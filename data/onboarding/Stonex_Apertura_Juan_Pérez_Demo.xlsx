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1" autoFilterDateGrouping="1"/>
  </bookViews>
  <sheets>
    <sheet xmlns:r="http://schemas.openxmlformats.org/officeDocument/2006/relationships" name="Datos - solicitar a cliente (2)" sheetId="1" state="hidden" r:id="rId1"/>
    <sheet xmlns:r="http://schemas.openxmlformats.org/officeDocument/2006/relationships" name="Datos - solicitar a cliente" sheetId="2" state="visible" r:id="rId2"/>
    <sheet xmlns:r="http://schemas.openxmlformats.org/officeDocument/2006/relationships" name="NO BORRAR" sheetId="3" state="hidden" r:id="rId3"/>
    <sheet xmlns:r="http://schemas.openxmlformats.org/officeDocument/2006/relationships" name="Datos -con comentarios-" sheetId="4" state="hidden" r:id="rId4"/>
  </sheets>
  <definedNames>
    <definedName name="Cuál_de_las_siguientes_opciones_mejor_describe_su_nivel_de_conocimiento_sobre_mercado_de_valores_y_sus_productos">'Datos - solicitar a cliente'!$T$46:$T$50</definedName>
    <definedName name="Cuál_de_las_siguientes_opciones_mejor_describe_su_nivel_de_conocimiento_sobre_mercado_de_valores_y_sus_productos" localSheetId="0">'Datos - solicitar a cliente (2)'!$T$15:$T$18</definedName>
    <definedName name="Cuál_de_las_siguientes_opciones_mejor_describe_su_nivel_de_conocimiento_sobre_mercado_de_valores_y_sus_productos" localSheetId="3">'Datos -con comentarios-'!$T$23:$T$26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General\ &quot; %&quot;"/>
  </numFmts>
  <fonts count="1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0"/>
      <scheme val="minor"/>
    </font>
    <font>
      <name val="Nexa-Book"/>
      <color rgb="FF333333"/>
      <sz val="11"/>
    </font>
    <font>
      <name val="Segoe UI"/>
      <family val="2"/>
      <color theme="1"/>
      <sz val="11"/>
    </font>
    <font>
      <name val="Aptos Narrow"/>
      <family val="2"/>
      <b val="1"/>
      <color theme="1"/>
      <sz val="20"/>
      <scheme val="minor"/>
    </font>
    <font>
      <name val="Aptos Narrow"/>
      <family val="2"/>
      <color rgb="FFFF0000"/>
      <sz val="11"/>
      <scheme val="minor"/>
    </font>
    <font>
      <name val="FS Elliot Pro"/>
      <family val="3"/>
      <b val="1"/>
      <color theme="1"/>
      <sz val="18"/>
    </font>
    <font>
      <name val="FS Elliot Pro"/>
      <family val="3"/>
      <color theme="1"/>
      <sz val="11"/>
    </font>
    <font>
      <name val="FS Elliot Pro"/>
      <family val="3"/>
      <color theme="0"/>
      <sz val="11"/>
    </font>
    <font>
      <name val="FS Elliot Pro"/>
      <family val="3"/>
      <b val="1"/>
      <color theme="1"/>
      <sz val="11"/>
    </font>
    <font>
      <name val="FS Elliot Pro"/>
      <family val="3"/>
      <b val="1"/>
      <color theme="1"/>
      <sz val="12"/>
    </font>
    <font>
      <name val="FS Elliot Pro"/>
      <family val="3"/>
      <b val="1"/>
      <color theme="1"/>
      <sz val="14"/>
    </font>
    <font>
      <name val="FS Elliot Pro"/>
      <family val="3"/>
      <b val="1"/>
      <color theme="1"/>
      <sz val="2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1" fillId="3" borderId="0" pivotButton="0" quotePrefix="0" xfId="0"/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wrapText="1"/>
    </xf>
    <xf numFmtId="0" fontId="0" fillId="2" borderId="1" applyAlignment="1" pivotButton="0" quotePrefix="0" xfId="0">
      <alignment horizontal="left"/>
    </xf>
    <xf numFmtId="14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wrapText="1"/>
    </xf>
    <xf numFmtId="0" fontId="3" fillId="3" borderId="2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0" fillId="3" borderId="3" pivotButton="0" quotePrefix="0" xfId="0"/>
    <xf numFmtId="0" fontId="0" fillId="3" borderId="3" applyAlignment="1" pivotButton="0" quotePrefix="0" xfId="0">
      <alignment wrapText="1"/>
    </xf>
    <xf numFmtId="0" fontId="0" fillId="2" borderId="3" applyAlignment="1" pivotButton="0" quotePrefix="0" xfId="0">
      <alignment horizontal="left"/>
    </xf>
    <xf numFmtId="0" fontId="0" fillId="2" borderId="3" applyAlignment="1" pivotButton="0" quotePrefix="0" xfId="0">
      <alignment horizontal="center"/>
    </xf>
    <xf numFmtId="14" fontId="0" fillId="2" borderId="3" applyAlignment="1" pivotButton="0" quotePrefix="0" xfId="0">
      <alignment horizontal="left"/>
    </xf>
    <xf numFmtId="0" fontId="0" fillId="2" borderId="3" pivotButton="0" quotePrefix="0" xfId="0"/>
    <xf numFmtId="0" fontId="3" fillId="4" borderId="0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/>
    </xf>
    <xf numFmtId="0" fontId="4" fillId="3" borderId="2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0" fontId="7" fillId="0" borderId="0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0" fillId="2" borderId="5" applyAlignment="1" pivotButton="0" quotePrefix="0" xfId="0">
      <alignment horizontal="left"/>
    </xf>
    <xf numFmtId="0" fontId="0" fillId="3" borderId="5" applyAlignment="1" pivotButton="0" quotePrefix="0" xfId="0">
      <alignment wrapText="1"/>
    </xf>
    <xf numFmtId="0" fontId="0" fillId="2" borderId="6" pivotButton="0" quotePrefix="0" xfId="0"/>
    <xf numFmtId="0" fontId="4" fillId="2" borderId="0" applyAlignment="1" pivotButton="0" quotePrefix="0" xfId="0">
      <alignment horizontal="left"/>
    </xf>
    <xf numFmtId="0" fontId="0" fillId="2" borderId="6" applyAlignment="1" pivotButton="0" quotePrefix="0" xfId="0">
      <alignment horizontal="left"/>
    </xf>
    <xf numFmtId="0" fontId="0" fillId="3" borderId="7" pivotButton="0" quotePrefix="0" xfId="0"/>
    <xf numFmtId="3" fontId="0" fillId="2" borderId="3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0" fillId="3" borderId="7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8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center"/>
    </xf>
    <xf numFmtId="0" fontId="9" fillId="2" borderId="0" pivotButton="0" quotePrefix="0" xfId="0"/>
    <xf numFmtId="0" fontId="0" fillId="5" borderId="3" pivotButton="0" quotePrefix="0" xfId="0"/>
    <xf numFmtId="0" fontId="0" fillId="5" borderId="3" applyAlignment="1" pivotButton="0" quotePrefix="0" xfId="0">
      <alignment horizontal="lef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6" borderId="8" applyAlignment="1" pivotButton="0" quotePrefix="0" xfId="0">
      <alignment horizontal="left"/>
    </xf>
    <xf numFmtId="0" fontId="0" fillId="6" borderId="8" applyAlignment="1" pivotButton="0" quotePrefix="0" xfId="0">
      <alignment horizontal="center"/>
    </xf>
    <xf numFmtId="14" fontId="0" fillId="6" borderId="8" applyAlignment="1" pivotButton="0" quotePrefix="0" xfId="0">
      <alignment horizontal="left"/>
    </xf>
    <xf numFmtId="14" fontId="0" fillId="6" borderId="7" applyAlignment="1" pivotButton="0" quotePrefix="0" xfId="0">
      <alignment horizontal="center"/>
    </xf>
    <xf numFmtId="0" fontId="0" fillId="2" borderId="8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4" fontId="0" fillId="2" borderId="0" applyAlignment="1" pivotButton="0" quotePrefix="0" xfId="0">
      <alignment horizontal="left"/>
    </xf>
    <xf numFmtId="14" fontId="0" fillId="2" borderId="0" applyAlignment="1" pivotButton="0" quotePrefix="0" xfId="0">
      <alignment horizontal="center"/>
    </xf>
    <xf numFmtId="0" fontId="0" fillId="6" borderId="8" pivotButton="0" quotePrefix="0" xfId="0"/>
    <xf numFmtId="0" fontId="0" fillId="6" borderId="9" applyAlignment="1" pivotButton="0" quotePrefix="0" xfId="0">
      <alignment horizontal="left"/>
    </xf>
    <xf numFmtId="0" fontId="0" fillId="5" borderId="5" applyAlignment="1" pivotButton="0" quotePrefix="0" xfId="0">
      <alignment wrapText="1"/>
    </xf>
    <xf numFmtId="0" fontId="0" fillId="5" borderId="6" applyAlignment="1" pivotButton="0" quotePrefix="0" xfId="0">
      <alignment horizontal="left"/>
    </xf>
    <xf numFmtId="0" fontId="3" fillId="4" borderId="0" applyAlignment="1" pivotButton="0" quotePrefix="0" xfId="0">
      <alignment horizontal="left" wrapText="1"/>
    </xf>
    <xf numFmtId="0" fontId="0" fillId="4" borderId="1" applyAlignment="1" pivotButton="0" quotePrefix="0" xfId="0">
      <alignment wrapText="1"/>
    </xf>
    <xf numFmtId="0" fontId="6" fillId="4" borderId="1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0" fillId="4" borderId="0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4" fontId="0" fillId="4" borderId="1" applyAlignment="1" pivotButton="0" quotePrefix="0" xfId="0">
      <alignment horizontal="left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14" fontId="0" fillId="4" borderId="1" applyAlignment="1" pivotButton="0" quotePrefix="0" xfId="0">
      <alignment horizontal="center"/>
    </xf>
    <xf numFmtId="0" fontId="0" fillId="7" borderId="0" pivotButton="0" quotePrefix="0" xfId="0"/>
    <xf numFmtId="0" fontId="10" fillId="7" borderId="0" pivotButton="0" quotePrefix="0" xfId="0"/>
    <xf numFmtId="0" fontId="0" fillId="7" borderId="0" applyAlignment="1" pivotButton="0" quotePrefix="0" xfId="0">
      <alignment horizontal="left"/>
    </xf>
    <xf numFmtId="0" fontId="1" fillId="5" borderId="0" applyAlignment="1" pivotButton="0" quotePrefix="0" xfId="0">
      <alignment wrapText="1"/>
    </xf>
    <xf numFmtId="0" fontId="12" fillId="2" borderId="0" pivotButton="0" quotePrefix="0" xfId="0"/>
    <xf numFmtId="0" fontId="13" fillId="2" borderId="0" pivotButton="0" quotePrefix="0" xfId="0"/>
    <xf numFmtId="0" fontId="12" fillId="5" borderId="3" pivotButton="0" quotePrefix="0" xfId="0"/>
    <xf numFmtId="0" fontId="12" fillId="5" borderId="3" applyAlignment="1" pivotButton="0" quotePrefix="0" xfId="0">
      <alignment horizontal="left"/>
    </xf>
    <xf numFmtId="0" fontId="12" fillId="5" borderId="0" pivotButton="0" quotePrefix="0" xfId="0"/>
    <xf numFmtId="0" fontId="12" fillId="5" borderId="0" applyAlignment="1" pivotButton="0" quotePrefix="0" xfId="0">
      <alignment horizontal="left"/>
    </xf>
    <xf numFmtId="0" fontId="12" fillId="2" borderId="0" applyAlignment="1" pivotButton="0" quotePrefix="0" xfId="0">
      <alignment horizontal="left"/>
    </xf>
    <xf numFmtId="0" fontId="11" fillId="2" borderId="0" pivotButton="0" quotePrefix="0" xfId="0"/>
    <xf numFmtId="0" fontId="14" fillId="3" borderId="0" applyAlignment="1" pivotButton="0" quotePrefix="0" xfId="0">
      <alignment wrapText="1"/>
    </xf>
    <xf numFmtId="0" fontId="12" fillId="3" borderId="0" applyAlignment="1" pivotButton="0" quotePrefix="0" xfId="0">
      <alignment horizontal="left"/>
    </xf>
    <xf numFmtId="0" fontId="12" fillId="3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wrapText="1"/>
    </xf>
    <xf numFmtId="0" fontId="12" fillId="2" borderId="0" applyAlignment="1" pivotButton="0" quotePrefix="0" xfId="0">
      <alignment horizontal="center" vertical="center" wrapText="1"/>
    </xf>
    <xf numFmtId="0" fontId="14" fillId="3" borderId="0" pivotButton="0" quotePrefix="0" xfId="0"/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wrapText="1"/>
    </xf>
    <xf numFmtId="0" fontId="14" fillId="2" borderId="0" applyAlignment="1" pivotButton="0" quotePrefix="0" xfId="0">
      <alignment vertical="top"/>
    </xf>
    <xf numFmtId="0" fontId="11" fillId="2" borderId="0" applyAlignment="1" pivotButton="0" quotePrefix="0" xfId="0">
      <alignment horizontal="center"/>
    </xf>
    <xf numFmtId="0" fontId="12" fillId="3" borderId="1" pivotButton="0" quotePrefix="0" xfId="0"/>
    <xf numFmtId="0" fontId="12" fillId="6" borderId="1" applyAlignment="1" pivotButton="0" quotePrefix="0" xfId="0">
      <alignment horizontal="left"/>
    </xf>
    <xf numFmtId="0" fontId="12" fillId="2" borderId="1" pivotButton="0" quotePrefix="0" xfId="0"/>
    <xf numFmtId="0" fontId="12" fillId="3" borderId="1" applyAlignment="1" pivotButton="0" quotePrefix="0" xfId="0">
      <alignment wrapText="1"/>
    </xf>
    <xf numFmtId="0" fontId="12" fillId="3" borderId="3" pivotButton="0" quotePrefix="0" xfId="0"/>
    <xf numFmtId="0" fontId="12" fillId="2" borderId="3" applyAlignment="1" pivotButton="0" quotePrefix="0" xfId="0">
      <alignment horizontal="left"/>
    </xf>
    <xf numFmtId="0" fontId="12" fillId="2" borderId="3" applyAlignment="1" pivotButton="0" quotePrefix="0" xfId="0">
      <alignment horizontal="center"/>
    </xf>
    <xf numFmtId="0" fontId="12" fillId="2" borderId="1" applyAlignment="1" pivotButton="0" quotePrefix="0" xfId="0">
      <alignment horizontal="left"/>
    </xf>
    <xf numFmtId="0" fontId="15" fillId="2" borderId="0" pivotButton="0" quotePrefix="0" xfId="0"/>
    <xf numFmtId="14" fontId="12" fillId="2" borderId="3" applyAlignment="1" pivotButton="0" quotePrefix="0" xfId="0">
      <alignment horizontal="left"/>
    </xf>
    <xf numFmtId="0" fontId="12" fillId="3" borderId="3" applyAlignment="1" pivotButton="0" quotePrefix="0" xfId="0">
      <alignment wrapText="1"/>
    </xf>
    <xf numFmtId="0" fontId="16" fillId="3" borderId="2" applyAlignment="1" pivotButton="0" quotePrefix="0" xfId="0">
      <alignment horizontal="center"/>
    </xf>
    <xf numFmtId="0" fontId="16" fillId="2" borderId="0" pivotButton="0" quotePrefix="0" xfId="0"/>
    <xf numFmtId="14" fontId="12" fillId="2" borderId="1" applyAlignment="1" pivotButton="0" quotePrefix="0" xfId="0">
      <alignment horizontal="center"/>
    </xf>
    <xf numFmtId="0" fontId="12" fillId="2" borderId="1" applyAlignment="1" pivotButton="0" quotePrefix="0" xfId="0">
      <alignment wrapText="1"/>
    </xf>
    <xf numFmtId="0" fontId="12" fillId="3" borderId="10" applyAlignment="1" pivotButton="0" quotePrefix="0" xfId="0">
      <alignment wrapText="1"/>
    </xf>
    <xf numFmtId="0" fontId="12" fillId="2" borderId="0" applyAlignment="1" pivotButton="0" quotePrefix="0" xfId="0">
      <alignment wrapText="1"/>
    </xf>
    <xf numFmtId="0" fontId="12" fillId="2" borderId="3" pivotButton="0" quotePrefix="0" xfId="0"/>
    <xf numFmtId="0" fontId="15" fillId="2" borderId="0" applyAlignment="1" pivotButton="0" quotePrefix="0" xfId="0">
      <alignment horizontal="center" wrapText="1"/>
    </xf>
    <xf numFmtId="0" fontId="12" fillId="6" borderId="1" applyAlignment="1" pivotButton="0" quotePrefix="0" xfId="0">
      <alignment horizontal="center"/>
    </xf>
    <xf numFmtId="0" fontId="14" fillId="2" borderId="0" pivotButton="0" quotePrefix="0" xfId="0"/>
    <xf numFmtId="14" fontId="12" fillId="6" borderId="1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2" fillId="3" borderId="7" pivotButton="0" quotePrefix="0" xfId="0"/>
    <xf numFmtId="0" fontId="15" fillId="2" borderId="0" applyAlignment="1" pivotButton="0" quotePrefix="0" xfId="0">
      <alignment horizontal="center"/>
    </xf>
    <xf numFmtId="0" fontId="12" fillId="3" borderId="7" applyAlignment="1" pivotButton="0" quotePrefix="0" xfId="0">
      <alignment wrapText="1"/>
    </xf>
    <xf numFmtId="0" fontId="12" fillId="6" borderId="1" applyAlignment="1" pivotButton="0" quotePrefix="0" xfId="0">
      <alignment horizontal="center" wrapText="1"/>
    </xf>
    <xf numFmtId="0" fontId="12" fillId="6" borderId="1" applyAlignment="1" pivotButton="0" quotePrefix="0" xfId="0">
      <alignment horizontal="left" wrapText="1"/>
    </xf>
    <xf numFmtId="0" fontId="16" fillId="2" borderId="0" applyAlignment="1" pivotButton="0" quotePrefix="0" xfId="0">
      <alignment horizontal="center"/>
    </xf>
    <xf numFmtId="0" fontId="16" fillId="2" borderId="2" applyAlignment="1" pivotButton="0" quotePrefix="0" xfId="0">
      <alignment horizontal="center"/>
    </xf>
    <xf numFmtId="0" fontId="14" fillId="2" borderId="2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12" fillId="2" borderId="0" applyProtection="1" pivotButton="0" quotePrefix="0" xfId="0">
      <protection locked="1" hidden="1"/>
    </xf>
    <xf numFmtId="0" fontId="17" fillId="2" borderId="0" pivotButton="0" quotePrefix="0" xfId="0"/>
    <xf numFmtId="0" fontId="17" fillId="2" borderId="0" applyAlignment="1" pivotButton="0" quotePrefix="0" xfId="0">
      <alignment horizontal="center"/>
    </xf>
    <xf numFmtId="0" fontId="12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vertical="center"/>
    </xf>
    <xf numFmtId="0" fontId="12" fillId="6" borderId="10" applyAlignment="1" pivotButton="0" quotePrefix="0" xfId="0">
      <alignment horizontal="center"/>
    </xf>
    <xf numFmtId="0" fontId="12" fillId="2" borderId="0" applyAlignment="1" pivotButton="0" quotePrefix="0" xfId="0">
      <alignment horizont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0" fontId="11" fillId="2" borderId="2" applyAlignment="1" pivotButton="0" quotePrefix="0" xfId="0">
      <alignment horizontal="center" wrapText="1"/>
    </xf>
    <xf numFmtId="0" fontId="14" fillId="5" borderId="3" applyAlignment="1" pivotButton="0" quotePrefix="0" xfId="0">
      <alignment horizontal="center"/>
    </xf>
    <xf numFmtId="0" fontId="14" fillId="3" borderId="0" applyAlignment="1" pivotButton="0" quotePrefix="0" xfId="0">
      <alignment horizontal="left" wrapText="1"/>
    </xf>
    <xf numFmtId="0" fontId="11" fillId="5" borderId="0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  <xf numFmtId="0" fontId="11" fillId="3" borderId="4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</cellXfs>
  <cellStyles count="1">
    <cellStyle name="Normal" xfId="0" builtinId="0"/>
  </cellStyles>
  <dxfs count="14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;;;"/>
      <border>
        <left/>
        <right/>
        <top/>
        <bottom/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9" tint="0.7999816888943144"/>
        </patternFill>
      </fill>
      <border>
        <left/>
        <right/>
        <top/>
        <bottom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8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drawing1.xml><?xml version="1.0" encoding="utf-8"?>
<wsDr xmlns="http://schemas.openxmlformats.org/drawingml/2006/spreadsheetDrawing">
  <oneCellAnchor>
    <from>
      <col>0</col>
      <colOff>68580</colOff>
      <row>14</row>
      <rowOff>15240</rowOff>
    </from>
    <ext cx="2421255" cy="1285817"/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2682240"/>
          <a:ext cx="2421255" cy="128581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0</col>
      <colOff>220980</colOff>
      <row>16</row>
      <rowOff>251460</rowOff>
    </from>
    <ext cx="2156460" cy="1143648"/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324231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68580</colOff>
      <row>40</row>
      <rowOff>15239</rowOff>
    </from>
    <to>
      <col>0</col>
      <colOff>4154154</colOff>
      <row>41</row>
      <rowOff>275657</rowOff>
    </to>
    <pic>
      <nvPicPr>
        <cNvPr id="10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8228600"/>
          <a:ext cx="3225196" cy="198344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220980</colOff>
      <row>42</row>
      <rowOff>251459</rowOff>
    </from>
    <to>
      <col>0</col>
      <colOff>3250560</colOff>
      <row>43</row>
      <rowOff>86504</rowOff>
    </to>
    <pic>
      <nvPicPr>
        <cNvPr id="8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10307361"/>
          <a:ext cx="3029580" cy="16066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220980</colOff>
      <row>94</row>
      <rowOff>251460</rowOff>
    </from>
    <to>
      <col>6</col>
      <colOff>91440</colOff>
      <row>147</row>
      <rowOff>137808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5385435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68580</colOff>
      <row>22</row>
      <rowOff>15240</rowOff>
    </from>
    <to>
      <col>0</col>
      <colOff>2489835</colOff>
      <row>23</row>
      <rowOff>8970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580" y="3291840"/>
          <a:ext cx="2421255" cy="12891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220980</colOff>
      <row>24</row>
      <rowOff>251460</rowOff>
    </from>
    <to>
      <col>0</col>
      <colOff>2377440</colOff>
      <row>24</row>
      <rowOff>1395108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0980" y="5128260"/>
          <a:ext cx="2156460" cy="11436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172</row>
      <rowOff>104957</rowOff>
    </from>
    <to>
      <col>1</col>
      <colOff>2850336</colOff>
      <row>193</row>
      <rowOff>121884</rowOff>
    </to>
    <pic>
      <nvPicPr>
        <cNvPr id="4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43975986"/>
          <a:ext cx="6326961" cy="40174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66"/>
  <sheetViews>
    <sheetView topLeftCell="A45" zoomScale="115" zoomScaleNormal="115" workbookViewId="0">
      <selection activeCell="D27" sqref="D27"/>
    </sheetView>
  </sheetViews>
  <sheetFormatPr baseColWidth="10" defaultColWidth="11.5703125" defaultRowHeight="15"/>
  <cols>
    <col width="49.140625" customWidth="1" style="2" min="1" max="1"/>
    <col width="47.85546875" customWidth="1" style="22" min="2" max="2"/>
    <col width="44.7109375" customWidth="1" style="2" min="3" max="3"/>
    <col width="39.7109375" customWidth="1" style="2" min="4" max="4"/>
    <col width="42.85546875" customWidth="1" style="2" min="5" max="5"/>
    <col width="52.42578125" customWidth="1" style="2" min="6" max="6"/>
    <col width="48" customWidth="1" style="2" min="7" max="7"/>
    <col width="28" customWidth="1" style="2" min="8" max="8"/>
    <col width="55.5703125" customWidth="1" style="2" min="9" max="9"/>
    <col width="26.85546875" customWidth="1" style="2" min="10" max="10"/>
    <col width="28.42578125" customWidth="1" style="2" min="11" max="11"/>
    <col width="42.140625" customWidth="1" style="2" min="12" max="12"/>
    <col width="11.5703125" customWidth="1" style="2" min="13" max="19"/>
    <col width="110.5703125" customWidth="1" style="20" min="20" max="20"/>
    <col width="11.5703125" customWidth="1" style="20" min="21" max="23"/>
    <col width="11.5703125" customWidth="1" style="2" min="24" max="16384"/>
  </cols>
  <sheetData>
    <row r="2" ht="24" customHeight="1">
      <c r="A2" s="7" t="inlineStr">
        <is>
          <t>PERFIL DE RIESGO</t>
        </is>
      </c>
    </row>
    <row r="3" ht="6" customHeight="1"/>
    <row r="4">
      <c r="A4" s="13" t="inlineStr">
        <is>
          <t>1 - Horizonte de tiempo</t>
        </is>
      </c>
      <c r="B4" s="23" t="n"/>
      <c r="C4" s="14" t="n"/>
      <c r="D4" s="14" t="n"/>
    </row>
    <row r="5" ht="28.9" customHeight="1">
      <c r="A5" s="171" t="inlineStr">
        <is>
          <t>¿Cuál es su horizonte de tiempo para esta inversión? ¿Cuándo necesitará este dinero, o durante cuánto tiempo cree que mantendrá esta inversión?</t>
        </is>
      </c>
      <c r="D5" s="45" t="inlineStr">
        <is>
          <t>Seleccione una opción</t>
        </is>
      </c>
      <c r="T5" s="20" t="inlineStr">
        <is>
          <t>1 - Horizonte de tiempo</t>
        </is>
      </c>
    </row>
    <row r="6">
      <c r="A6" s="13" t="inlineStr">
        <is>
          <t>2 - Experiencia</t>
        </is>
      </c>
      <c r="B6" s="23" t="n"/>
      <c r="C6" s="14" t="n"/>
      <c r="D6" s="23" t="n"/>
      <c r="T6" s="20" t="inlineStr">
        <is>
          <t>¿Cuál es su horizonte de tiempo para esta inversión? ¿Cuándo necesitará este dinero, o durante cuánto tiempo cree que mantendrá esta inversión?</t>
        </is>
      </c>
    </row>
    <row r="7" ht="25.9" customHeight="1">
      <c r="A7" s="172" t="inlineStr">
        <is>
          <t>Cuál de las siguientes opciones mejor describe su nivel de conocimiento 
sobre mercado de valores y sus productos:</t>
        </is>
      </c>
      <c r="D7" s="45" t="inlineStr">
        <is>
          <t>Seleccione una opción</t>
        </is>
      </c>
      <c r="T7" s="20" t="inlineStr">
        <is>
          <t>Elija aquí</t>
        </is>
      </c>
    </row>
    <row r="8">
      <c r="A8" s="13" t="inlineStr">
        <is>
          <t>3 - % de activos totales</t>
        </is>
      </c>
      <c r="B8" s="23" t="n"/>
      <c r="C8" s="14" t="n"/>
      <c r="D8" s="23" t="n"/>
      <c r="T8" s="20" t="inlineStr">
        <is>
          <t xml:space="preserve"> Menos de 3 años</t>
        </is>
      </c>
    </row>
    <row r="9" ht="28.9" customHeight="1">
      <c r="A9" s="173" t="inlineStr">
        <is>
          <t>¿Qué porcentaje de sus activos totales líquidos (incluyendo dinero en efectivo, depósitos, bonos, acciones, fondos mutuos, pero excluyendo inmuebles) representa esta inversión?</t>
        </is>
      </c>
      <c r="D9" s="45" t="inlineStr">
        <is>
          <t>Seleccione una opción</t>
        </is>
      </c>
      <c r="T9" s="20" t="inlineStr">
        <is>
          <t xml:space="preserve"> 3 - 5 años</t>
        </is>
      </c>
    </row>
    <row r="10">
      <c r="A10" s="13" t="inlineStr">
        <is>
          <t>4 - Objetivos de inversión</t>
        </is>
      </c>
      <c r="B10" s="23" t="n"/>
      <c r="C10" s="14" t="n"/>
      <c r="D10" s="23" t="n"/>
      <c r="T10" s="20" t="inlineStr">
        <is>
          <t xml:space="preserve"> 6 - 10 años</t>
        </is>
      </c>
    </row>
    <row r="11" ht="24.75" customHeight="1">
      <c r="A11" s="173" t="inlineStr">
        <is>
          <t>¿Cuál de estas frases describe mejor sus objetivos de inversión para esta inversión en particular?</t>
        </is>
      </c>
      <c r="D11" s="45" t="inlineStr">
        <is>
          <t>Seleccione una opción</t>
        </is>
      </c>
      <c r="T11" s="20" t="inlineStr">
        <is>
          <t xml:space="preserve"> 11 años o más</t>
        </is>
      </c>
    </row>
    <row r="12">
      <c r="A12" s="16" t="inlineStr">
        <is>
          <t>5 - Riesgo y alta volatilidad</t>
        </is>
      </c>
      <c r="B12" s="23" t="n"/>
      <c r="C12" s="14" t="n"/>
      <c r="D12" s="23" t="n"/>
      <c r="T12" s="20" t="inlineStr">
        <is>
          <t>2 - Experiencia</t>
        </is>
      </c>
    </row>
    <row r="13" ht="15.75" customHeight="1">
      <c r="A13" s="174" t="inlineStr">
        <is>
          <t>¿Cuál es su actitud frente a la volatilidad del mercado en el corto plazo?</t>
        </is>
      </c>
      <c r="T13" s="20" t="inlineStr">
        <is>
          <t>Cuál de las siguientes opciones mejor describe su nivel de conocimiento sobre mercado de valores y sus productos:</t>
        </is>
      </c>
    </row>
    <row r="14">
      <c r="A14" s="13" t="inlineStr">
        <is>
          <t>6 - Elección de portafolio</t>
        </is>
      </c>
      <c r="B14" s="23" t="n"/>
      <c r="C14" s="14" t="n"/>
      <c r="D14" s="14" t="n"/>
      <c r="T14" s="20" t="inlineStr">
        <is>
          <t>Elija aquí</t>
        </is>
      </c>
    </row>
    <row r="15" ht="102" customHeight="1">
      <c r="B15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15" s="174" t="inlineStr">
        <is>
          <t>Seleccione una opción</t>
        </is>
      </c>
      <c r="T15" s="20" t="inlineStr">
        <is>
          <t xml:space="preserve"> Ninguno – sin conocimiento ni experiencia sobre inversiones</t>
        </is>
      </c>
    </row>
    <row r="16" ht="24" customHeight="1">
      <c r="B16" s="25" t="n"/>
      <c r="T16" s="20" t="inlineStr">
        <is>
          <t xml:space="preserve"> Mínimo – mi conocimiento es muy limitado y no tengo experiencia</t>
        </is>
      </c>
      <c r="X16" s="170" t="inlineStr">
        <is>
          <t>Datos Titular 2</t>
        </is>
      </c>
    </row>
    <row r="17" ht="115.15" customHeight="1">
      <c r="A17" s="19" t="inlineStr">
        <is>
          <t>7 - Elección de rendimiento</t>
        </is>
      </c>
      <c r="B17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17" s="174" t="inlineStr">
        <is>
          <t>Seleccione una opción</t>
        </is>
      </c>
      <c r="T17" s="20" t="inlineStr">
        <is>
          <t xml:space="preserve"> Bueno – buen conocimiento y cierta experiencia en inversiones</t>
        </is>
      </c>
      <c r="X17" s="10" t="inlineStr">
        <is>
          <t>Nombres</t>
        </is>
      </c>
      <c r="Y17" s="8" t="n"/>
    </row>
    <row r="18">
      <c r="T18" s="20" t="inlineStr">
        <is>
          <t xml:space="preserve"> Amplio – fuerte conocimiento y experiencia activa en inversiones</t>
        </is>
      </c>
      <c r="X18" s="10" t="inlineStr">
        <is>
          <t>Apellidos</t>
        </is>
      </c>
      <c r="Y18" s="8" t="n"/>
    </row>
    <row r="19" ht="24" customHeight="1">
      <c r="A19" s="16" t="inlineStr">
        <is>
          <t>8 - Caída en portafolio</t>
        </is>
      </c>
      <c r="B19" s="23" t="n"/>
      <c r="C19" s="14" t="n"/>
      <c r="D19" s="14" t="n"/>
      <c r="T19" s="20" t="inlineStr">
        <is>
          <t>3 - % de activos totales</t>
        </is>
      </c>
      <c r="X19" s="10" t="inlineStr">
        <is>
          <t>Dirección (País, Provincia y Ciudad)</t>
        </is>
      </c>
      <c r="Y19" s="8" t="n"/>
    </row>
    <row r="20" ht="95.25" customHeight="1">
      <c r="A20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0" s="174" t="inlineStr">
        <is>
          <t>Seleccione una opción</t>
        </is>
      </c>
      <c r="T20" s="20" t="inlineStr">
        <is>
          <t>¿Qué porcentaje de sus activos totales líquidos (incluyendo dinero en efectivo, depósitos, bonos, acciones, fondos mutuos, pero excluyendo inmuebles) representa esta inversión?</t>
        </is>
      </c>
      <c r="X20" s="10" t="inlineStr">
        <is>
          <t>Dirección de residencia</t>
        </is>
      </c>
      <c r="Y20" s="8" t="n"/>
    </row>
    <row r="21" ht="24" customHeight="1">
      <c r="A21" s="170" t="inlineStr">
        <is>
          <t>Datos Titular 1</t>
        </is>
      </c>
      <c r="C21" s="175" t="inlineStr">
        <is>
          <t>Datos Titular 2 (Opcional)</t>
        </is>
      </c>
      <c r="D21" s="179" t="n"/>
      <c r="E21" s="175" t="inlineStr">
        <is>
          <t>Datos Titular 3 (Opcional)</t>
        </is>
      </c>
      <c r="F21" s="179" t="n"/>
      <c r="G21" s="175" t="inlineStr">
        <is>
          <t>Datos Titular 4 (Opcional)</t>
        </is>
      </c>
      <c r="H21" s="179" t="n"/>
      <c r="I21" s="175" t="inlineStr">
        <is>
          <t>Datos Titular 5 (Opcional)</t>
        </is>
      </c>
      <c r="J21" s="179" t="n"/>
      <c r="X21" s="10" t="inlineStr">
        <is>
          <t>Código Postal</t>
        </is>
      </c>
      <c r="Y21" s="8" t="n"/>
    </row>
    <row r="22" ht="17.25" customFormat="1" customHeight="1" s="7">
      <c r="A22" s="36" t="inlineStr">
        <is>
          <t>Primer Nombre</t>
        </is>
      </c>
      <c r="B22" s="38" t="n"/>
      <c r="C22" s="36" t="inlineStr">
        <is>
          <t>Primer Nombre</t>
        </is>
      </c>
      <c r="D22" s="38" t="n"/>
      <c r="E22" s="36" t="inlineStr">
        <is>
          <t>Primer Nombre</t>
        </is>
      </c>
      <c r="F22" s="38" t="n"/>
      <c r="G22" s="36" t="inlineStr">
        <is>
          <t>Primer Nombre</t>
        </is>
      </c>
      <c r="H22" s="38" t="n"/>
      <c r="I22" s="36" t="inlineStr">
        <is>
          <t>Primer Nombre</t>
        </is>
      </c>
      <c r="J22" s="38" t="n"/>
      <c r="N22" s="2" t="n"/>
      <c r="O22" s="2" t="n"/>
      <c r="P22" s="2" t="n"/>
      <c r="T22" s="20" t="n"/>
      <c r="U22" s="20" t="n"/>
      <c r="V22" s="20" t="n"/>
      <c r="W22" s="20" t="n"/>
      <c r="X22" s="11" t="inlineStr">
        <is>
          <t>Dirección de correspondencia (solo si difiere a la de residencia)</t>
        </is>
      </c>
      <c r="Y22" s="8" t="n"/>
    </row>
    <row r="23">
      <c r="A23" s="36" t="inlineStr">
        <is>
          <t>Segundo Nombre</t>
        </is>
      </c>
      <c r="B23" s="38" t="n"/>
      <c r="C23" s="36" t="inlineStr">
        <is>
          <t>Segundo Nombre</t>
        </is>
      </c>
      <c r="D23" s="38" t="n"/>
      <c r="E23" s="36" t="inlineStr">
        <is>
          <t>Segundo Nombre</t>
        </is>
      </c>
      <c r="F23" s="38" t="n"/>
      <c r="G23" s="36" t="inlineStr">
        <is>
          <t>Segundo Nombre</t>
        </is>
      </c>
      <c r="H23" s="38" t="n"/>
      <c r="I23" s="36" t="inlineStr">
        <is>
          <t>Segundo Nombre</t>
        </is>
      </c>
      <c r="J23" s="38" t="n"/>
      <c r="X23" s="10" t="inlineStr">
        <is>
          <t>Teléfono (País, Ciudad y Número)</t>
        </is>
      </c>
      <c r="Y23" s="8" t="n"/>
    </row>
    <row r="24">
      <c r="A24" s="36" t="inlineStr">
        <is>
          <t>Primer Apellido</t>
        </is>
      </c>
      <c r="B24" s="38" t="n"/>
      <c r="C24" s="36" t="inlineStr">
        <is>
          <t>Primer Apellido</t>
        </is>
      </c>
      <c r="D24" s="38" t="n"/>
      <c r="E24" s="36" t="inlineStr">
        <is>
          <t>Primer Apellido</t>
        </is>
      </c>
      <c r="F24" s="38" t="n"/>
      <c r="G24" s="36" t="inlineStr">
        <is>
          <t>Primer Apellido</t>
        </is>
      </c>
      <c r="H24" s="38" t="n"/>
      <c r="I24" s="36" t="inlineStr">
        <is>
          <t>Primer Apellido</t>
        </is>
      </c>
      <c r="J24" s="38" t="n"/>
      <c r="X24" s="10" t="inlineStr">
        <is>
          <t>E-mail</t>
        </is>
      </c>
      <c r="Y24" s="8" t="n"/>
    </row>
    <row r="25">
      <c r="A25" s="36" t="inlineStr">
        <is>
          <t>Segundo Apellido</t>
        </is>
      </c>
      <c r="B25" s="39" t="n"/>
      <c r="C25" s="36" t="inlineStr">
        <is>
          <t>Segundo Apellido</t>
        </is>
      </c>
      <c r="D25" s="39" t="n"/>
      <c r="E25" s="36" t="inlineStr">
        <is>
          <t>Segundo Apellido</t>
        </is>
      </c>
      <c r="F25" s="39" t="n"/>
      <c r="G25" s="36" t="inlineStr">
        <is>
          <t>Segundo Apellido</t>
        </is>
      </c>
      <c r="H25" s="39" t="n"/>
      <c r="I25" s="36" t="inlineStr">
        <is>
          <t>Segundo Apellido</t>
        </is>
      </c>
      <c r="J25" s="39" t="n"/>
      <c r="X25" s="10" t="inlineStr">
        <is>
          <t>Cantidad de hijos</t>
        </is>
      </c>
      <c r="Y25" s="8" t="n"/>
    </row>
    <row r="26" ht="20.25" customHeight="1">
      <c r="A26" s="36" t="inlineStr">
        <is>
          <t>Dirección de residencia</t>
        </is>
      </c>
      <c r="B26" s="38" t="n"/>
      <c r="C26" s="36" t="inlineStr">
        <is>
          <t>Dirección de residencia</t>
        </is>
      </c>
      <c r="D26" s="38" t="n"/>
      <c r="E26" s="36" t="inlineStr">
        <is>
          <t>Dirección de residencia</t>
        </is>
      </c>
      <c r="F26" s="38" t="n"/>
      <c r="G26" s="36" t="inlineStr">
        <is>
          <t>Dirección de residencia</t>
        </is>
      </c>
      <c r="H26" s="38" t="n"/>
      <c r="I26" s="36" t="inlineStr">
        <is>
          <t>Dirección de residencia</t>
        </is>
      </c>
      <c r="J26" s="38" t="n"/>
      <c r="X26" s="10" t="inlineStr">
        <is>
          <t>Fecha de nacimiento</t>
        </is>
      </c>
      <c r="Y26" s="8" t="n"/>
    </row>
    <row r="27" ht="16.5" customHeight="1">
      <c r="A27" s="36" t="inlineStr">
        <is>
          <t xml:space="preserve">País </t>
        </is>
      </c>
      <c r="B27" s="38" t="inlineStr">
        <is>
          <t>Seleccione una opción</t>
        </is>
      </c>
      <c r="C27" s="36" t="inlineStr">
        <is>
          <t xml:space="preserve">País </t>
        </is>
      </c>
      <c r="D27" s="38" t="inlineStr">
        <is>
          <t>Seleccione una opción</t>
        </is>
      </c>
      <c r="E27" s="36" t="inlineStr">
        <is>
          <t xml:space="preserve">País </t>
        </is>
      </c>
      <c r="F27" s="38" t="inlineStr">
        <is>
          <t>Seleccione una opción</t>
        </is>
      </c>
      <c r="G27" s="36" t="inlineStr">
        <is>
          <t xml:space="preserve">País </t>
        </is>
      </c>
      <c r="H27" s="38" t="inlineStr">
        <is>
          <t>Seleccione una opción</t>
        </is>
      </c>
      <c r="I27" s="36" t="inlineStr">
        <is>
          <t xml:space="preserve">País </t>
        </is>
      </c>
      <c r="J27" s="38" t="inlineStr">
        <is>
          <t>Seleccione una opción</t>
        </is>
      </c>
      <c r="X27" s="10" t="inlineStr">
        <is>
          <t>País emisor del documento</t>
        </is>
      </c>
      <c r="Y27" s="26" t="inlineStr">
        <is>
          <t>Elija aquí</t>
        </is>
      </c>
    </row>
    <row r="28">
      <c r="A28" s="36" t="inlineStr">
        <is>
          <t>Provincia</t>
        </is>
      </c>
      <c r="B28" s="38" t="n"/>
      <c r="C28" s="36" t="inlineStr">
        <is>
          <t>Provincia</t>
        </is>
      </c>
      <c r="D28" s="38" t="n"/>
      <c r="E28" s="36" t="inlineStr">
        <is>
          <t>Provincia</t>
        </is>
      </c>
      <c r="F28" s="38" t="n"/>
      <c r="G28" s="36" t="inlineStr">
        <is>
          <t>Provincia</t>
        </is>
      </c>
      <c r="H28" s="38" t="n"/>
      <c r="I28" s="36" t="inlineStr">
        <is>
          <t>Provincia</t>
        </is>
      </c>
      <c r="J28" s="38" t="n"/>
      <c r="X28" s="10" t="inlineStr">
        <is>
          <t>Tipo de documento</t>
        </is>
      </c>
      <c r="Y28" s="26" t="inlineStr">
        <is>
          <t>Elija aquí</t>
        </is>
      </c>
    </row>
    <row r="29">
      <c r="A29" s="36" t="inlineStr">
        <is>
          <t>Ciudad</t>
        </is>
      </c>
      <c r="B29" s="38" t="n"/>
      <c r="C29" s="36" t="inlineStr">
        <is>
          <t>Ciudad</t>
        </is>
      </c>
      <c r="D29" s="38" t="n"/>
      <c r="E29" s="36" t="inlineStr">
        <is>
          <t>Ciudad</t>
        </is>
      </c>
      <c r="F29" s="38" t="n"/>
      <c r="G29" s="36" t="inlineStr">
        <is>
          <t>Ciudad</t>
        </is>
      </c>
      <c r="H29" s="38" t="n"/>
      <c r="I29" s="36" t="inlineStr">
        <is>
          <t>Ciudad</t>
        </is>
      </c>
      <c r="J29" s="38" t="n"/>
      <c r="X29" s="10" t="inlineStr">
        <is>
          <t>Número de documento</t>
        </is>
      </c>
      <c r="Y29" s="8" t="n"/>
    </row>
    <row r="30">
      <c r="A30" s="36" t="inlineStr">
        <is>
          <t>Codigo Postal</t>
        </is>
      </c>
      <c r="B30" s="40" t="n"/>
      <c r="C30" s="36" t="inlineStr">
        <is>
          <t>Codigo Postal</t>
        </is>
      </c>
      <c r="D30" s="40" t="n"/>
      <c r="E30" s="36" t="inlineStr">
        <is>
          <t>Codigo Postal</t>
        </is>
      </c>
      <c r="F30" s="40" t="n"/>
      <c r="G30" s="36" t="inlineStr">
        <is>
          <t>Codigo Postal</t>
        </is>
      </c>
      <c r="H30" s="40" t="n"/>
      <c r="I30" s="36" t="inlineStr">
        <is>
          <t>Codigo Postal</t>
        </is>
      </c>
      <c r="J30" s="40" t="n"/>
      <c r="X30" s="10" t="inlineStr">
        <is>
          <t>Identificación fiscal</t>
        </is>
      </c>
      <c r="Y30" s="8" t="n"/>
    </row>
    <row r="31" ht="50.25" customHeight="1">
      <c r="A31" s="37" t="inlineStr">
        <is>
          <t>Dirección de correspondencia (solo si difiere a la de residencia)</t>
        </is>
      </c>
      <c r="B31" s="38" t="n"/>
      <c r="C31" s="37" t="inlineStr">
        <is>
          <t>Dirección de correspondencia (solo si difiere a la de residencia)</t>
        </is>
      </c>
      <c r="D31" s="38" t="n"/>
      <c r="E31" s="37" t="inlineStr">
        <is>
          <t>Dirección de correspondencia (solo si difiere a la de residencia)</t>
        </is>
      </c>
      <c r="F31" s="38" t="n"/>
      <c r="G31" s="37" t="inlineStr">
        <is>
          <t>Dirección de correspondencia (solo si difiere a la de residencia)</t>
        </is>
      </c>
      <c r="H31" s="38" t="n"/>
      <c r="I31" s="37" t="inlineStr">
        <is>
          <t>Dirección de correspondencia (solo si difiere a la de residencia)</t>
        </is>
      </c>
      <c r="J31" s="38" t="n"/>
      <c r="X31" s="10" t="inlineStr">
        <is>
          <t>Nacionalidad</t>
        </is>
      </c>
      <c r="Y31" s="26" t="inlineStr">
        <is>
          <t>Elija aquí</t>
        </is>
      </c>
    </row>
    <row r="32">
      <c r="A32" s="36" t="inlineStr">
        <is>
          <t>Télefono</t>
        </is>
      </c>
      <c r="B32" s="38" t="n"/>
      <c r="C32" s="36" t="inlineStr">
        <is>
          <t>Télefono</t>
        </is>
      </c>
      <c r="D32" s="38" t="n"/>
      <c r="E32" s="36" t="inlineStr">
        <is>
          <t>Télefono</t>
        </is>
      </c>
      <c r="F32" s="38" t="n"/>
      <c r="G32" s="36" t="inlineStr">
        <is>
          <t>Télefono</t>
        </is>
      </c>
      <c r="H32" s="38" t="n"/>
      <c r="I32" s="36" t="inlineStr">
        <is>
          <t>Télefono</t>
        </is>
      </c>
      <c r="J32" s="38" t="n"/>
      <c r="X32" s="10" t="inlineStr">
        <is>
          <t>Ciudadanía</t>
        </is>
      </c>
      <c r="Y32" s="26" t="inlineStr">
        <is>
          <t>Elija aquí</t>
        </is>
      </c>
    </row>
    <row r="33">
      <c r="A33" s="36" t="inlineStr">
        <is>
          <t>E-mail</t>
        </is>
      </c>
      <c r="B33" s="38" t="n"/>
      <c r="C33" s="36" t="inlineStr">
        <is>
          <t>E-mail</t>
        </is>
      </c>
      <c r="D33" s="38" t="n"/>
      <c r="E33" s="36" t="inlineStr">
        <is>
          <t>E-mail</t>
        </is>
      </c>
      <c r="F33" s="38" t="n"/>
      <c r="G33" s="36" t="inlineStr">
        <is>
          <t>E-mail</t>
        </is>
      </c>
      <c r="H33" s="38" t="n"/>
      <c r="I33" s="36" t="inlineStr">
        <is>
          <t>E-mail</t>
        </is>
      </c>
      <c r="J33" s="38" t="n"/>
    </row>
    <row r="34" ht="18.75" customHeight="1">
      <c r="A34" s="36" t="inlineStr">
        <is>
          <t>Fecha de nacimiento</t>
        </is>
      </c>
      <c r="B34" s="46" t="n"/>
      <c r="C34" s="36" t="inlineStr">
        <is>
          <t>Fecha de nacimiento</t>
        </is>
      </c>
      <c r="D34" s="46" t="n"/>
      <c r="E34" s="36" t="inlineStr">
        <is>
          <t>Fecha de nacimiento</t>
        </is>
      </c>
      <c r="F34" s="46" t="n"/>
      <c r="G34" s="36" t="inlineStr">
        <is>
          <t>Fecha de nacimiento</t>
        </is>
      </c>
      <c r="H34" s="46" t="n"/>
      <c r="I34" s="36" t="inlineStr">
        <is>
          <t>Fecha de nacimiento</t>
        </is>
      </c>
      <c r="J34" s="46" t="n"/>
      <c r="X34" s="176" t="inlineStr">
        <is>
          <t>Situación Laboral</t>
        </is>
      </c>
      <c r="Y34" s="180" t="n"/>
    </row>
    <row r="35">
      <c r="A35" s="36" t="inlineStr">
        <is>
          <t>País Emisor del documento</t>
        </is>
      </c>
      <c r="B35" s="38" t="inlineStr">
        <is>
          <t>Seleccione una opción</t>
        </is>
      </c>
      <c r="C35" s="36" t="inlineStr">
        <is>
          <t>País Emisor del documento</t>
        </is>
      </c>
      <c r="D35" s="38" t="inlineStr">
        <is>
          <t>Seleccione una opción</t>
        </is>
      </c>
      <c r="E35" s="36" t="inlineStr">
        <is>
          <t>País Emisor del documento</t>
        </is>
      </c>
      <c r="F35" s="38" t="inlineStr">
        <is>
          <t>Seleccione una opción</t>
        </is>
      </c>
      <c r="G35" s="36" t="inlineStr">
        <is>
          <t>País Emisor del documento</t>
        </is>
      </c>
      <c r="H35" s="38" t="inlineStr">
        <is>
          <t>Seleccione una opción</t>
        </is>
      </c>
      <c r="I35" s="36" t="inlineStr">
        <is>
          <t>País Emisor del documento</t>
        </is>
      </c>
      <c r="J35" s="38" t="inlineStr">
        <is>
          <t>Seleccione una opción</t>
        </is>
      </c>
      <c r="X35" s="10" t="inlineStr">
        <is>
          <t>Ocupación</t>
        </is>
      </c>
      <c r="Y35" s="8" t="inlineStr">
        <is>
          <t>Seleccione una opción</t>
        </is>
      </c>
    </row>
    <row r="36">
      <c r="A36" s="36" t="inlineStr">
        <is>
          <t>Tipo de documento</t>
        </is>
      </c>
      <c r="B36" s="38" t="n"/>
      <c r="C36" s="36" t="inlineStr">
        <is>
          <t>Tipo de documento</t>
        </is>
      </c>
      <c r="D36" s="38" t="n"/>
      <c r="E36" s="36" t="inlineStr">
        <is>
          <t>Tipo de documento</t>
        </is>
      </c>
      <c r="F36" s="38" t="n"/>
      <c r="G36" s="36" t="inlineStr">
        <is>
          <t>Tipo de documento</t>
        </is>
      </c>
      <c r="H36" s="38" t="n"/>
      <c r="I36" s="36" t="inlineStr">
        <is>
          <t>Tipo de documento</t>
        </is>
      </c>
      <c r="J36" s="38" t="n"/>
      <c r="X36" s="10" t="inlineStr">
        <is>
          <t>Cargo</t>
        </is>
      </c>
      <c r="Y36" s="8" t="n"/>
    </row>
    <row r="37">
      <c r="A37" s="36" t="inlineStr">
        <is>
          <t>Número de documento</t>
        </is>
      </c>
      <c r="B37" s="38" t="n"/>
      <c r="C37" s="36" t="inlineStr">
        <is>
          <t>Número de documento</t>
        </is>
      </c>
      <c r="D37" s="38" t="n"/>
      <c r="E37" s="36" t="inlineStr">
        <is>
          <t>Número de documento</t>
        </is>
      </c>
      <c r="F37" s="38" t="n"/>
      <c r="G37" s="36" t="inlineStr">
        <is>
          <t>Número de documento</t>
        </is>
      </c>
      <c r="H37" s="38" t="n"/>
      <c r="I37" s="36" t="inlineStr">
        <is>
          <t>Número de documento</t>
        </is>
      </c>
      <c r="J37" s="38" t="n"/>
      <c r="X37" s="10" t="inlineStr">
        <is>
          <t>Empresa</t>
        </is>
      </c>
      <c r="Y37" s="8" t="n"/>
    </row>
    <row r="38">
      <c r="A38" s="36" t="inlineStr">
        <is>
          <t>Identificación fiscal</t>
        </is>
      </c>
      <c r="B38" s="38" t="n"/>
      <c r="C38" s="36" t="inlineStr">
        <is>
          <t>Identificación fiscal</t>
        </is>
      </c>
      <c r="D38" s="38" t="n"/>
      <c r="E38" s="36" t="inlineStr">
        <is>
          <t>Identificación fiscal</t>
        </is>
      </c>
      <c r="F38" s="38" t="n"/>
      <c r="G38" s="36" t="inlineStr">
        <is>
          <t>Identificación fiscal</t>
        </is>
      </c>
      <c r="H38" s="38" t="n"/>
      <c r="I38" s="36" t="inlineStr">
        <is>
          <t>Identificación fiscal</t>
        </is>
      </c>
      <c r="J38" s="38" t="n"/>
      <c r="X38" s="10" t="inlineStr">
        <is>
          <t>Rubro de la empresa</t>
        </is>
      </c>
      <c r="Y38" s="8" t="n"/>
    </row>
    <row r="39" ht="17.25" customHeight="1">
      <c r="A39" s="36" t="inlineStr">
        <is>
          <t>Nacionalidad</t>
        </is>
      </c>
      <c r="B39" s="38" t="inlineStr">
        <is>
          <t>Seleccione una opción</t>
        </is>
      </c>
      <c r="C39" s="36" t="inlineStr">
        <is>
          <t>Nacionalidad</t>
        </is>
      </c>
      <c r="D39" s="38" t="inlineStr">
        <is>
          <t>Seleccione una opción</t>
        </is>
      </c>
      <c r="E39" s="36" t="inlineStr">
        <is>
          <t>Nacionalidad</t>
        </is>
      </c>
      <c r="F39" s="38" t="inlineStr">
        <is>
          <t>Seleccione una opción</t>
        </is>
      </c>
      <c r="G39" s="36" t="inlineStr">
        <is>
          <t>Nacionalidad</t>
        </is>
      </c>
      <c r="H39" s="38" t="inlineStr">
        <is>
          <t>Seleccione una opción</t>
        </is>
      </c>
      <c r="I39" s="36" t="inlineStr">
        <is>
          <t>Nacionalidad</t>
        </is>
      </c>
      <c r="J39" s="38" t="inlineStr">
        <is>
          <t>Seleccione una opción</t>
        </is>
      </c>
      <c r="X39" s="11" t="inlineStr">
        <is>
          <t>Dirección Empresa (País, Provincia y Ciudad)</t>
        </is>
      </c>
      <c r="Y39" s="9" t="n"/>
    </row>
    <row r="40" ht="18.75" customFormat="1" customHeight="1" s="1">
      <c r="A40" s="36" t="inlineStr">
        <is>
          <t>Ciudadanía</t>
        </is>
      </c>
      <c r="B40" s="38" t="inlineStr">
        <is>
          <t>Seleccione una opción</t>
        </is>
      </c>
      <c r="C40" s="36" t="inlineStr">
        <is>
          <t>Ciudadanía</t>
        </is>
      </c>
      <c r="D40" s="38" t="inlineStr">
        <is>
          <t>Seleccione una opción</t>
        </is>
      </c>
      <c r="E40" s="36" t="inlineStr">
        <is>
          <t>Ciudadanía</t>
        </is>
      </c>
      <c r="F40" s="38" t="inlineStr">
        <is>
          <t>Seleccione una opción</t>
        </is>
      </c>
      <c r="G40" s="36" t="inlineStr">
        <is>
          <t>Ciudadanía</t>
        </is>
      </c>
      <c r="H40" s="38" t="inlineStr">
        <is>
          <t>Seleccione una opción</t>
        </is>
      </c>
      <c r="I40" s="36" t="inlineStr">
        <is>
          <t>Ciudadanía</t>
        </is>
      </c>
      <c r="J40" s="38" t="inlineStr">
        <is>
          <t>Seleccione una opción</t>
        </is>
      </c>
      <c r="N40" s="2" t="n"/>
      <c r="O40" s="2" t="n"/>
      <c r="P40" s="2" t="n"/>
      <c r="T40" s="20" t="n"/>
      <c r="U40" s="20" t="n"/>
      <c r="V40" s="20" t="n"/>
      <c r="W40" s="20" t="n"/>
      <c r="X40" s="10" t="inlineStr">
        <is>
          <t>Dirección Empresa</t>
        </is>
      </c>
      <c r="Y40" s="8" t="n"/>
    </row>
    <row r="41">
      <c r="A41" s="36" t="inlineStr">
        <is>
          <t>Situación laboral</t>
        </is>
      </c>
      <c r="B41" s="38" t="inlineStr">
        <is>
          <t>Seleccione una opción</t>
        </is>
      </c>
      <c r="C41" s="36" t="inlineStr">
        <is>
          <t>Situación laboral</t>
        </is>
      </c>
      <c r="D41" s="38" t="inlineStr">
        <is>
          <t>Seleccione una opción</t>
        </is>
      </c>
      <c r="E41" s="36" t="inlineStr">
        <is>
          <t>Situación laboral</t>
        </is>
      </c>
      <c r="F41" s="38" t="inlineStr">
        <is>
          <t>Seleccione una opción</t>
        </is>
      </c>
      <c r="G41" s="36" t="inlineStr">
        <is>
          <t>Situación laboral</t>
        </is>
      </c>
      <c r="H41" s="38" t="inlineStr">
        <is>
          <t>Seleccione una opción</t>
        </is>
      </c>
      <c r="I41" s="36" t="inlineStr">
        <is>
          <t>Situación laboral</t>
        </is>
      </c>
      <c r="J41" s="38" t="inlineStr">
        <is>
          <t>Seleccione una opción</t>
        </is>
      </c>
      <c r="X41" s="10" t="inlineStr">
        <is>
          <t>Código Postal Empresa</t>
        </is>
      </c>
      <c r="Y41" s="8" t="n"/>
    </row>
    <row r="42" ht="18" customHeight="1">
      <c r="A42" s="36" t="inlineStr">
        <is>
          <t>Ocupación</t>
        </is>
      </c>
      <c r="B42" s="41" t="inlineStr">
        <is>
          <t>Seleccione una opción</t>
        </is>
      </c>
      <c r="C42" s="36" t="inlineStr">
        <is>
          <t>Ocupación</t>
        </is>
      </c>
      <c r="D42" s="41" t="inlineStr">
        <is>
          <t>Seleccione una opción</t>
        </is>
      </c>
      <c r="E42" s="36" t="inlineStr">
        <is>
          <t>Ocupación</t>
        </is>
      </c>
      <c r="F42" s="41" t="inlineStr">
        <is>
          <t>Seleccione una opción</t>
        </is>
      </c>
      <c r="G42" s="36" t="inlineStr">
        <is>
          <t>Ocupación</t>
        </is>
      </c>
      <c r="H42" s="41" t="inlineStr">
        <is>
          <t>Seleccione una opción</t>
        </is>
      </c>
      <c r="I42" s="36" t="inlineStr">
        <is>
          <t>Ocupación</t>
        </is>
      </c>
      <c r="J42" s="41" t="inlineStr">
        <is>
          <t>Seleccione una opción</t>
        </is>
      </c>
      <c r="X42" s="11" t="inlineStr">
        <is>
          <t>Teléfono Empresa (País, Ciudad, Número y Fax)</t>
        </is>
      </c>
      <c r="Y42" s="9" t="n"/>
    </row>
    <row r="43">
      <c r="A43" s="50" t="inlineStr">
        <is>
          <t>Estado Civil</t>
        </is>
      </c>
      <c r="B43" s="38" t="inlineStr">
        <is>
          <t>Casado/a</t>
        </is>
      </c>
      <c r="C43" s="36" t="inlineStr">
        <is>
          <t>Estado Civil</t>
        </is>
      </c>
      <c r="D43" s="38" t="inlineStr">
        <is>
          <t>Seleccione una opción</t>
        </is>
      </c>
      <c r="E43" s="36" t="inlineStr">
        <is>
          <t>Estado Civil</t>
        </is>
      </c>
      <c r="F43" s="38" t="inlineStr">
        <is>
          <t>Seleccione una opción</t>
        </is>
      </c>
      <c r="G43" s="36" t="inlineStr">
        <is>
          <t>Estado Civil</t>
        </is>
      </c>
      <c r="H43" s="38" t="inlineStr">
        <is>
          <t>Seleccione una opción</t>
        </is>
      </c>
      <c r="I43" s="36" t="inlineStr">
        <is>
          <t>Estado Civil</t>
        </is>
      </c>
      <c r="J43" s="38" t="inlineStr">
        <is>
          <t>Seleccione una opción</t>
        </is>
      </c>
      <c r="X43" s="10" t="inlineStr">
        <is>
          <t>E-mail</t>
        </is>
      </c>
      <c r="Y43" s="8" t="n"/>
    </row>
    <row r="44" ht="18.75" customHeight="1">
      <c r="A44" s="36" t="inlineStr">
        <is>
          <t>Cantidad de hijos</t>
        </is>
      </c>
      <c r="B44" s="38" t="n"/>
      <c r="C44" s="36" t="inlineStr">
        <is>
          <t>Cantidad de hijos</t>
        </is>
      </c>
      <c r="D44" s="38" t="n"/>
      <c r="E44" s="36" t="inlineStr">
        <is>
          <t>Cantidad de hijos</t>
        </is>
      </c>
      <c r="F44" s="38" t="n"/>
      <c r="G44" s="36" t="inlineStr">
        <is>
          <t>Cantidad de hijos</t>
        </is>
      </c>
      <c r="H44" s="38" t="n"/>
      <c r="I44" s="36" t="inlineStr">
        <is>
          <t>Cantidad de hijos</t>
        </is>
      </c>
      <c r="J44" s="38" t="n"/>
      <c r="X44" s="10" t="inlineStr">
        <is>
          <t>Página web de la empresa</t>
        </is>
      </c>
      <c r="Y44" s="8" t="n"/>
    </row>
    <row r="45" ht="27" customFormat="1" customHeight="1" s="3">
      <c r="A45" s="52" t="inlineStr">
        <is>
          <t>Indique si se encuentra comprendido en la categoría de PEP (persona políticamente expuesta)</t>
        </is>
      </c>
      <c r="B45" s="51" t="inlineStr">
        <is>
          <t>Si</t>
        </is>
      </c>
      <c r="C45" s="37" t="inlineStr">
        <is>
          <t>Indique si se encuentra comprendido en la categoría de PEP (persona políticamente expuesta)</t>
        </is>
      </c>
      <c r="D45" s="38" t="inlineStr">
        <is>
          <t>No</t>
        </is>
      </c>
      <c r="E45" s="37" t="inlineStr">
        <is>
          <t>Indique si se encuentra comprendido en la categoría de PEP (persona políticamente expuesta)</t>
        </is>
      </c>
      <c r="F45" s="38" t="inlineStr">
        <is>
          <t>No</t>
        </is>
      </c>
      <c r="G45" s="37" t="inlineStr">
        <is>
          <t>Indique si se encuentra comprendido en la categoría de PEP (persona políticamente expuesta)</t>
        </is>
      </c>
      <c r="H45" s="38" t="inlineStr">
        <is>
          <t>No</t>
        </is>
      </c>
      <c r="I45" s="37" t="inlineStr">
        <is>
          <t>Indique si se encuentra comprendido en la categoría de PEP (persona políticamente expuesta)</t>
        </is>
      </c>
      <c r="J45" s="38" t="inlineStr">
        <is>
          <t>No</t>
        </is>
      </c>
      <c r="N45" s="2" t="n"/>
      <c r="O45" s="2" t="n"/>
      <c r="P45" s="2" t="n"/>
      <c r="T45" s="20" t="n"/>
      <c r="U45" s="20" t="n"/>
      <c r="V45" s="20" t="n"/>
      <c r="W45" s="20" t="n"/>
      <c r="X45" s="10" t="inlineStr">
        <is>
          <t>Ocupación</t>
        </is>
      </c>
      <c r="Y45" s="8" t="inlineStr">
        <is>
          <t>Elija aquí</t>
        </is>
      </c>
    </row>
    <row r="46" ht="26.25" customHeight="1">
      <c r="A46" s="53">
        <f>IF(B45="Si","Cargo público desempeñado y período de tiempo","")</f>
        <v/>
      </c>
      <c r="B46" s="55" t="n"/>
      <c r="C46" s="53">
        <f>IF(D45="Si","Cargo público desempeñado y período de tiempo","")</f>
        <v/>
      </c>
      <c r="E46" s="53">
        <f>IF(F45="Si","Cargo público desempeñado y período de tiempo","")</f>
        <v/>
      </c>
      <c r="G46" s="53">
        <f>IF(H45="Si","Cargo público desempeñado y período de tiempo","")</f>
        <v/>
      </c>
      <c r="I46" s="53">
        <f>IF(J45="Si","Cargo público desempeñado y período de tiempo","")</f>
        <v/>
      </c>
      <c r="X46" s="10" t="inlineStr">
        <is>
          <t>Estado civil</t>
        </is>
      </c>
      <c r="Y46" s="26" t="inlineStr">
        <is>
          <t>Elija aquí</t>
        </is>
      </c>
    </row>
    <row r="47" ht="22.5" customHeight="1">
      <c r="A47" s="62">
        <f>IF(B43="Casado/a"," Datos Cónyuge","")</f>
        <v/>
      </c>
      <c r="F47" s="3" t="n"/>
      <c r="X47" s="11" t="inlineStr">
        <is>
          <t>Indique si se encuentra comprendido en la categoría de PEP (persona políticamente expuesta) Si/No:</t>
        </is>
      </c>
      <c r="Y47" s="26" t="inlineStr">
        <is>
          <t>Elija aquí</t>
        </is>
      </c>
    </row>
    <row r="48" ht="15.75" customFormat="1" customHeight="1" s="3">
      <c r="A48" s="3">
        <f>IF(B43="Casado/a"," Nombres","")</f>
        <v/>
      </c>
      <c r="B48" s="54" t="n"/>
      <c r="C48" s="2" t="n"/>
      <c r="D48" s="2" t="n"/>
      <c r="E48" s="2" t="n"/>
      <c r="F48" s="2" t="n"/>
      <c r="N48" s="2" t="n"/>
      <c r="O48" s="2" t="n"/>
      <c r="P48" s="2" t="n"/>
      <c r="T48" s="20" t="n"/>
      <c r="U48" s="20" t="n"/>
      <c r="V48" s="20" t="n"/>
      <c r="W48" s="20" t="n"/>
      <c r="X48" s="11" t="inlineStr">
        <is>
          <t>¿Acepta que la correspondencia sea por correo electrónico?</t>
        </is>
      </c>
      <c r="Y48" s="26" t="inlineStr">
        <is>
          <t>Elija aquí</t>
        </is>
      </c>
    </row>
    <row r="49">
      <c r="A49" s="3">
        <f>IF(B43="Casado/a"," Apellidos","")</f>
        <v/>
      </c>
    </row>
    <row r="50">
      <c r="A50" s="2">
        <f>IF(B43="Casado/a"," Fecha de nacimiento","")</f>
        <v/>
      </c>
    </row>
    <row r="51">
      <c r="A51" s="2">
        <f>IF(B43="Casado/a"," País emisor del documento","")</f>
        <v/>
      </c>
    </row>
    <row r="52">
      <c r="A52" s="2">
        <f>IF(B43="Casado/a"," Tipo de documento","")</f>
        <v/>
      </c>
    </row>
    <row r="53">
      <c r="A53" s="2">
        <f>IF(B43="Casado/a"," Número de documento","")</f>
        <v/>
      </c>
    </row>
    <row r="54">
      <c r="A54" s="2">
        <f>IF(B43="Casado/a"," Nacionalidad","")</f>
        <v/>
      </c>
    </row>
    <row r="55">
      <c r="A55" s="2">
        <f>IF(B43="Casado/a"," Situación laboral","")</f>
        <v/>
      </c>
    </row>
    <row r="57" ht="18.75" customHeight="1">
      <c r="A57" s="1" t="inlineStr">
        <is>
          <t>Datos Beneficiarios/Transfer on death</t>
        </is>
      </c>
      <c r="B57" s="4" t="n"/>
      <c r="C57" s="1" t="n"/>
      <c r="D57" s="1" t="n"/>
      <c r="E57" s="1" t="n"/>
      <c r="F57" s="1" t="n"/>
    </row>
    <row r="58" ht="141.75" customHeight="1">
      <c r="A58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58" s="21" t="n"/>
      <c r="C58" s="4" t="n"/>
      <c r="D58" s="4" t="n"/>
      <c r="E58" s="4" t="n"/>
    </row>
    <row r="59" ht="5.25" customHeight="1">
      <c r="A59" s="4" t="n"/>
      <c r="B59" s="21" t="n"/>
      <c r="C59" s="4" t="n"/>
      <c r="D59" s="4" t="n"/>
      <c r="E59" s="4" t="n"/>
    </row>
    <row r="60" ht="56.25" customHeight="1">
      <c r="A60" s="11" t="inlineStr">
        <is>
          <t xml:space="preserve"> A los beneficios principales restantes a prorrata (en proporción a los porcentajes designados).</t>
        </is>
      </c>
      <c r="B60" s="35" t="b">
        <v>0</v>
      </c>
      <c r="C60" s="4" t="n"/>
      <c r="D60" s="4" t="n"/>
      <c r="E60" s="4" t="n"/>
    </row>
    <row r="61" ht="32.25" customHeight="1">
      <c r="A61" s="11" t="inlineStr">
        <is>
          <t xml:space="preserve"> A los beneficiarios contingentes designados en la sección Designación de beneficiarios contingentes de la página 6.</t>
        </is>
      </c>
      <c r="B61" s="35" t="b">
        <v>0</v>
      </c>
    </row>
    <row r="62" ht="32.25" customFormat="1" customHeight="1" s="3">
      <c r="A62" s="11" t="inlineStr">
        <is>
          <t xml:space="preserve"> A los herederos del último titular de la cuenta que sobreviva.</t>
        </is>
      </c>
      <c r="B62" s="35" t="b">
        <v>0</v>
      </c>
      <c r="C62" s="2" t="n"/>
      <c r="D62" s="2" t="n"/>
      <c r="E62" s="2" t="n"/>
      <c r="F62" s="2" t="n"/>
      <c r="G62" s="1" t="n"/>
      <c r="H62" s="1" t="n"/>
      <c r="N62" s="2" t="n"/>
      <c r="O62" s="2" t="n"/>
      <c r="P62" s="2" t="n"/>
      <c r="T62" s="20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U62" s="20" t="n"/>
      <c r="V62" s="20" t="n"/>
      <c r="W62" s="20" t="n"/>
    </row>
    <row r="63" ht="62.25" customHeight="1">
      <c r="A63" s="11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3" s="35" t="b">
        <v>0</v>
      </c>
    </row>
    <row r="64" ht="18.75" customFormat="1" customHeight="1" s="1">
      <c r="A64" s="3" t="n"/>
      <c r="B64" s="22" t="n"/>
      <c r="C64" s="2" t="n"/>
      <c r="D64" s="2" t="n"/>
      <c r="E64" s="2" t="n"/>
      <c r="F64" s="2" t="n"/>
      <c r="G64" s="2" t="n"/>
      <c r="H64" s="2" t="n"/>
      <c r="N64" s="2" t="n"/>
      <c r="O64" s="2" t="n"/>
      <c r="P64" s="2" t="n"/>
      <c r="T64" s="20" t="n"/>
      <c r="U64" s="20" t="n"/>
      <c r="V64" s="20" t="n"/>
      <c r="W64" s="20" t="n"/>
    </row>
    <row r="65" ht="15.75" customHeight="1">
      <c r="A65" s="29" t="inlineStr">
        <is>
          <t>Datos Beneficiario 1</t>
        </is>
      </c>
      <c r="B65" s="29" t="n"/>
    </row>
    <row r="66" ht="15.75" customHeight="1">
      <c r="A66" s="10" t="inlineStr">
        <is>
          <t>% de participacion</t>
        </is>
      </c>
      <c r="B66" s="43" t="n"/>
      <c r="C66" s="5" t="n"/>
      <c r="D66" s="5" t="n"/>
      <c r="E66" s="5" t="n"/>
    </row>
    <row r="67">
      <c r="A67" s="10" t="inlineStr">
        <is>
          <t>Tipo</t>
        </is>
      </c>
      <c r="B67" s="34" t="inlineStr">
        <is>
          <t>Seleccione una opción</t>
        </is>
      </c>
    </row>
    <row r="68">
      <c r="A68" s="10" t="inlineStr">
        <is>
          <t>Relación</t>
        </is>
      </c>
      <c r="B68" s="34" t="inlineStr">
        <is>
          <t>Seleccione una opción</t>
        </is>
      </c>
    </row>
    <row r="69">
      <c r="A69" s="10" t="inlineStr">
        <is>
          <t>Nombres</t>
        </is>
      </c>
      <c r="B69" s="26" t="n"/>
    </row>
    <row r="70">
      <c r="A70" s="10" t="inlineStr">
        <is>
          <t>Apellidos</t>
        </is>
      </c>
      <c r="B70" s="26" t="n"/>
      <c r="T70" s="20" t="inlineStr">
        <is>
          <t>Elija aquí</t>
        </is>
      </c>
    </row>
    <row r="71">
      <c r="A71" s="10" t="inlineStr">
        <is>
          <t>Dirección (País, Provincia y Ciudad)</t>
        </is>
      </c>
      <c r="T71" s="20" t="inlineStr">
        <is>
          <t xml:space="preserve"> Portafolio A</t>
        </is>
      </c>
    </row>
    <row r="72" ht="18.75" customHeight="1">
      <c r="A72" s="10" t="inlineStr">
        <is>
          <t>Dirección de residencia</t>
        </is>
      </c>
      <c r="B72" s="26" t="n"/>
      <c r="F72" s="1" t="n"/>
      <c r="T72" s="20" t="inlineStr">
        <is>
          <t xml:space="preserve"> Portafolio B</t>
        </is>
      </c>
    </row>
    <row r="73" ht="15.75" customHeight="1">
      <c r="A73" s="10" t="inlineStr">
        <is>
          <t>Código Postal</t>
        </is>
      </c>
      <c r="B73" s="26" t="n"/>
      <c r="F73" s="4" t="n"/>
      <c r="T73" s="20" t="inlineStr">
        <is>
          <t xml:space="preserve"> Portafolio C</t>
        </is>
      </c>
    </row>
    <row r="74" ht="15.75" customHeight="1">
      <c r="A74" s="10" t="inlineStr">
        <is>
          <t>Teléfono (País, Ciudad y Número)</t>
        </is>
      </c>
      <c r="B74" s="26" t="n"/>
      <c r="F74" s="4" t="n"/>
      <c r="T74" s="20" t="inlineStr">
        <is>
          <t xml:space="preserve"> Portafolio D</t>
        </is>
      </c>
    </row>
    <row r="75" ht="15.75" customHeight="1">
      <c r="A75" s="10" t="inlineStr">
        <is>
          <t>Fecha de nacimiento</t>
        </is>
      </c>
      <c r="B75" s="27" t="n"/>
      <c r="F75" s="4" t="n"/>
      <c r="T75" s="20" t="inlineStr">
        <is>
          <t xml:space="preserve"> Portafolio E</t>
        </is>
      </c>
    </row>
    <row r="76">
      <c r="A76" s="10" t="inlineStr">
        <is>
          <t>País emisor del documento</t>
        </is>
      </c>
      <c r="B76" s="34" t="inlineStr">
        <is>
          <t>Seleccione una opción</t>
        </is>
      </c>
      <c r="T76" s="20" t="inlineStr">
        <is>
          <t>8 - Caída en portafolio</t>
        </is>
      </c>
    </row>
    <row r="77" ht="18.75" customHeight="1">
      <c r="A77" s="10" t="inlineStr">
        <is>
          <t>Tipo de documento</t>
        </is>
      </c>
      <c r="B77" s="34" t="inlineStr">
        <is>
          <t>Seleccione una opción</t>
        </is>
      </c>
      <c r="G77" s="1" t="n"/>
      <c r="H77" s="1" t="n"/>
      <c r="T77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8" ht="15.75" customHeight="1">
      <c r="A78" s="10" t="inlineStr">
        <is>
          <t>Número de documento</t>
        </is>
      </c>
      <c r="B78" s="26" t="n"/>
      <c r="G78" s="5" t="n"/>
      <c r="H78" s="5" t="n"/>
      <c r="T78" s="20" t="inlineStr">
        <is>
          <t>Elija aquí</t>
        </is>
      </c>
    </row>
    <row r="79" ht="31.5" customFormat="1" customHeight="1" s="1">
      <c r="A79" s="2" t="n"/>
      <c r="B79" s="22" t="n"/>
      <c r="C79" s="2" t="n"/>
      <c r="D79" s="2" t="n"/>
      <c r="E79" s="2" t="n"/>
      <c r="F79" s="2" t="n"/>
      <c r="G79" s="5" t="n"/>
      <c r="H79" s="5" t="n"/>
      <c r="N79" s="2" t="n"/>
      <c r="O79" s="2" t="n"/>
      <c r="P79" s="2" t="n"/>
      <c r="T79" s="20" t="inlineStr">
        <is>
          <t xml:space="preserve"> Vender el 100% de los fondos</t>
        </is>
      </c>
      <c r="U79" s="20" t="n"/>
      <c r="V79" s="20" t="n"/>
      <c r="W79" s="20" t="n"/>
    </row>
    <row r="80" ht="25.5" customFormat="1" customHeight="1" s="5">
      <c r="A80" s="29" t="inlineStr">
        <is>
          <t>Datos Beneficiario 2</t>
        </is>
      </c>
      <c r="B80" s="29" t="n"/>
      <c r="C80" s="2" t="n"/>
      <c r="D80" s="2" t="n"/>
      <c r="E80" s="2" t="n"/>
      <c r="F80" s="2" t="n"/>
      <c r="N80" s="2" t="n"/>
      <c r="O80" s="2" t="n"/>
      <c r="P80" s="2" t="n"/>
      <c r="T80" s="20" t="inlineStr">
        <is>
          <t xml:space="preserve"> Vender parte de los fondos</t>
        </is>
      </c>
      <c r="U80" s="20" t="n"/>
      <c r="V80" s="20" t="n"/>
      <c r="W80" s="20" t="n"/>
    </row>
    <row r="81" ht="17.25" customFormat="1" customHeight="1" s="5">
      <c r="A81" s="10" t="inlineStr">
        <is>
          <t>% de participacion</t>
        </is>
      </c>
      <c r="B81" s="43" t="n"/>
      <c r="G81" s="2" t="n"/>
      <c r="H81" s="2" t="n"/>
      <c r="N81" s="2" t="n"/>
      <c r="O81" s="2" t="n"/>
      <c r="P81" s="2" t="n"/>
      <c r="T81" s="20" t="inlineStr">
        <is>
          <t xml:space="preserve"> Transferir parte a un fondo más conservador</t>
        </is>
      </c>
      <c r="U81" s="20" t="n"/>
      <c r="V81" s="20" t="n"/>
      <c r="W81" s="20" t="n"/>
    </row>
    <row r="82" ht="24" customFormat="1" customHeight="1" s="5">
      <c r="A82" s="10" t="inlineStr">
        <is>
          <t>Tipo</t>
        </is>
      </c>
      <c r="B82" s="34" t="inlineStr">
        <is>
          <t>Seleccione una opción</t>
        </is>
      </c>
      <c r="C82" s="2" t="n"/>
      <c r="D82" s="2" t="n"/>
      <c r="E82" s="2" t="n"/>
      <c r="F82" s="2" t="n"/>
      <c r="G82" s="2" t="n"/>
      <c r="H82" s="2" t="n"/>
      <c r="N82" s="2" t="n"/>
      <c r="O82" s="2" t="n"/>
      <c r="P82" s="2" t="n"/>
      <c r="T82" s="20" t="inlineStr">
        <is>
          <t xml:space="preserve"> Analizaría las perspectivas del activo y compraría más unidades del mismo fondo (siempre que los fundamentos así lo justifiquen)</t>
        </is>
      </c>
      <c r="U82" s="20" t="n"/>
      <c r="V82" s="20" t="n"/>
      <c r="W82" s="20" t="n"/>
    </row>
    <row r="83">
      <c r="A83" s="10" t="inlineStr">
        <is>
          <t>Relación</t>
        </is>
      </c>
      <c r="B83" s="34" t="inlineStr">
        <is>
          <t>Seleccione una opción</t>
        </is>
      </c>
      <c r="T83" s="20" t="inlineStr">
        <is>
          <t xml:space="preserve"> No haría nada</t>
        </is>
      </c>
    </row>
    <row r="84">
      <c r="A84" s="10" t="inlineStr">
        <is>
          <t>Nombres</t>
        </is>
      </c>
      <c r="B84" s="34" t="n"/>
    </row>
    <row r="85">
      <c r="A85" s="10" t="inlineStr">
        <is>
          <t>Apellidos</t>
        </is>
      </c>
      <c r="B85" s="34" t="n"/>
    </row>
    <row r="86" ht="15.75" customHeight="1">
      <c r="A86" s="10" t="inlineStr">
        <is>
          <t>Dirección (País, Provincia y Ciudad)</t>
        </is>
      </c>
      <c r="B86" s="45" t="n"/>
      <c r="G86" s="5" t="n"/>
      <c r="H86" s="5" t="n"/>
    </row>
    <row r="87">
      <c r="A87" s="10" t="inlineStr">
        <is>
          <t>Dirección de residencia</t>
        </is>
      </c>
      <c r="B87" s="34" t="n"/>
    </row>
    <row r="88" ht="15.75" customFormat="1" customHeight="1" s="5">
      <c r="A88" s="10" t="inlineStr">
        <is>
          <t>Código Postal</t>
        </is>
      </c>
      <c r="B88" s="34" t="n"/>
      <c r="C88" s="2" t="n"/>
      <c r="D88" s="2" t="n"/>
      <c r="E88" s="2" t="n"/>
      <c r="F88" s="2" t="n"/>
      <c r="G88" s="2" t="n"/>
      <c r="H88" s="2" t="n"/>
      <c r="N88" s="2" t="n"/>
      <c r="O88" s="2" t="n"/>
      <c r="P88" s="2" t="n"/>
      <c r="T88" s="20" t="n"/>
      <c r="U88" s="20" t="n"/>
      <c r="V88" s="20" t="n"/>
      <c r="W88" s="20" t="n"/>
    </row>
    <row r="89">
      <c r="A89" s="10" t="inlineStr">
        <is>
          <t>Teléfono (País, Ciudad y Número)</t>
        </is>
      </c>
      <c r="B89" s="34" t="n"/>
    </row>
    <row r="90">
      <c r="A90" s="10" t="inlineStr">
        <is>
          <t>Fecha de nacimiento</t>
        </is>
      </c>
      <c r="B90" s="46" t="n"/>
    </row>
    <row r="91">
      <c r="A91" s="10" t="inlineStr">
        <is>
          <t>País emisor del documento</t>
        </is>
      </c>
      <c r="B91" s="34" t="inlineStr">
        <is>
          <t>Seleccione una opción</t>
        </is>
      </c>
    </row>
    <row r="92">
      <c r="A92" s="10" t="inlineStr">
        <is>
          <t>Tipo de documento</t>
        </is>
      </c>
      <c r="B92" s="34" t="inlineStr">
        <is>
          <t>Seleccione una opción</t>
        </is>
      </c>
    </row>
    <row r="93">
      <c r="A93" s="10" t="inlineStr">
        <is>
          <t>Número de documento</t>
        </is>
      </c>
      <c r="B93" s="34" t="n"/>
    </row>
    <row r="94">
      <c r="B94" s="45" t="n"/>
    </row>
    <row r="95" ht="18.75" customHeight="1">
      <c r="A95" s="30" t="inlineStr">
        <is>
          <t>Experiencia de inversiones</t>
        </is>
      </c>
      <c r="B95" s="30" t="n"/>
    </row>
    <row r="96" ht="30.75" customHeight="1">
      <c r="A96" s="33" t="inlineStr">
        <is>
          <t>Completar información contemplando a todos los titulares (Nula / Limitada / Promedio / Alta)</t>
        </is>
      </c>
      <c r="B96" s="58" t="n"/>
      <c r="C96" s="1" t="n"/>
      <c r="D96" s="1" t="n"/>
      <c r="E96" s="1" t="n"/>
      <c r="F96" s="5" t="n"/>
    </row>
    <row r="97">
      <c r="A97" s="56" t="inlineStr">
        <is>
          <t>Acciones</t>
        </is>
      </c>
      <c r="B97" s="39" t="inlineStr">
        <is>
          <t>Seleccione una opción</t>
        </is>
      </c>
      <c r="C97" s="6" t="n"/>
      <c r="D97" s="6" t="n"/>
      <c r="E97" s="6" t="n"/>
    </row>
    <row r="98">
      <c r="A98" s="56" t="inlineStr">
        <is>
          <t>Fondos Mutuos</t>
        </is>
      </c>
      <c r="B98" s="39" t="inlineStr">
        <is>
          <t>Seleccione una opción</t>
        </is>
      </c>
    </row>
    <row r="99">
      <c r="A99" s="56" t="inlineStr">
        <is>
          <t>Anualidades</t>
        </is>
      </c>
      <c r="B99" s="39" t="inlineStr">
        <is>
          <t>Seleccione una opción</t>
        </is>
      </c>
    </row>
    <row r="100">
      <c r="A100" s="56" t="inlineStr">
        <is>
          <t>Opciones</t>
        </is>
      </c>
      <c r="B100" s="39" t="inlineStr">
        <is>
          <t>Seleccione una opción</t>
        </is>
      </c>
    </row>
    <row r="101" ht="15.75" customHeight="1">
      <c r="A101" s="56" t="inlineStr">
        <is>
          <t>Inversiones Alternativas</t>
        </is>
      </c>
      <c r="B101" s="39" t="inlineStr">
        <is>
          <t>Seleccione una opción</t>
        </is>
      </c>
      <c r="G101" s="5" t="n"/>
      <c r="H101" s="5" t="n"/>
    </row>
    <row r="102">
      <c r="A102" s="56" t="inlineStr">
        <is>
          <t>Financial Profile</t>
        </is>
      </c>
      <c r="B102" s="39" t="inlineStr">
        <is>
          <t>Seleccione una opción</t>
        </is>
      </c>
    </row>
    <row r="103" ht="15.75" customFormat="1" customHeight="1" s="5">
      <c r="B103" s="47" t="n"/>
      <c r="C103" s="2" t="n"/>
      <c r="D103" s="2" t="n"/>
      <c r="E103" s="2" t="n"/>
      <c r="F103" s="2" t="n"/>
      <c r="G103" s="2" t="n"/>
      <c r="H103" s="2" t="n"/>
      <c r="N103" s="2" t="n"/>
      <c r="O103" s="2" t="n"/>
      <c r="P103" s="2" t="n"/>
      <c r="T103" s="20" t="n"/>
      <c r="U103" s="20" t="n"/>
      <c r="V103" s="20" t="n"/>
      <c r="W103" s="20" t="n"/>
    </row>
    <row r="104" ht="18.75" customHeight="1">
      <c r="A104" s="176" t="inlineStr">
        <is>
          <t>Financial Profile</t>
        </is>
      </c>
      <c r="B104" s="30" t="n"/>
    </row>
    <row r="105">
      <c r="A105" s="56" t="inlineStr">
        <is>
          <t>Necesidad de liquidez</t>
        </is>
      </c>
      <c r="B105" s="39" t="n"/>
    </row>
    <row r="106">
      <c r="A106" s="56" t="inlineStr">
        <is>
          <t>Ingresos Anuales (USD)</t>
        </is>
      </c>
      <c r="B106" s="39" t="n"/>
    </row>
    <row r="107" ht="18.75" customHeight="1">
      <c r="A107" s="56" t="inlineStr">
        <is>
          <t>Monto exacto de ingresos anuales (USD)</t>
        </is>
      </c>
      <c r="B107" s="39" t="n"/>
      <c r="C107" s="1" t="n"/>
    </row>
    <row r="108">
      <c r="A108" s="56" t="inlineStr">
        <is>
          <t>Activos líquidos (USD)</t>
        </is>
      </c>
      <c r="B108" s="39" t="inlineStr">
        <is>
          <t>Seleccione una opción</t>
        </is>
      </c>
    </row>
    <row r="109">
      <c r="A109" s="56" t="inlineStr">
        <is>
          <t>Monto exacto de activos liquidos (USD)</t>
        </is>
      </c>
      <c r="B109" s="39" t="inlineStr">
        <is>
          <t>Seleccione una opción</t>
        </is>
      </c>
    </row>
    <row r="110">
      <c r="A110" s="56" t="inlineStr">
        <is>
          <t>Patrimonio total (USD)</t>
        </is>
      </c>
      <c r="B110" s="39" t="inlineStr">
        <is>
          <t>Seleccione una opción</t>
        </is>
      </c>
    </row>
    <row r="111">
      <c r="A111" s="56" t="inlineStr">
        <is>
          <t>Planea efectuar aportes adicionales</t>
        </is>
      </c>
      <c r="B111" s="57" t="inlineStr">
        <is>
          <t>Seleccione una opción</t>
        </is>
      </c>
    </row>
    <row r="112">
      <c r="A112" s="2">
        <f>IF(B111="Si","Periodicidad de aportes","")</f>
        <v/>
      </c>
    </row>
    <row r="113">
      <c r="A113" s="2">
        <f>IF(B111="Si","Montos aproximados de aportes adicionales","")</f>
        <v/>
      </c>
    </row>
    <row r="116" ht="21.75" customHeight="1">
      <c r="H116" s="1" t="n"/>
    </row>
    <row r="117" ht="30" customHeight="1">
      <c r="A117" s="59" t="inlineStr">
        <is>
          <t>Tiempo estimado (en años) en el que planea realizar retiros de la cuenta</t>
        </is>
      </c>
      <c r="B117" s="39" t="inlineStr">
        <is>
          <t>Seleccione una opción</t>
        </is>
      </c>
      <c r="H117" s="6" t="n"/>
    </row>
    <row r="118" ht="18.75" customFormat="1" customHeight="1" s="1">
      <c r="A118" s="56" t="inlineStr">
        <is>
          <t>Banco origen de los fondos</t>
        </is>
      </c>
      <c r="B118" s="39" t="n"/>
      <c r="C118" s="2" t="n"/>
      <c r="F118" s="2" t="n"/>
      <c r="G118" s="2" t="n"/>
      <c r="H118" s="2" t="n"/>
      <c r="N118" s="2" t="n"/>
      <c r="O118" s="2" t="n"/>
      <c r="P118" s="2" t="n"/>
      <c r="T118" s="20" t="n"/>
      <c r="U118" s="20" t="n"/>
      <c r="V118" s="20" t="n"/>
      <c r="W118" s="20" t="n"/>
    </row>
    <row r="119" ht="15" customFormat="1" customHeight="1" s="6">
      <c r="A119" s="56" t="inlineStr">
        <is>
          <t>País de origen de los fondos</t>
        </is>
      </c>
      <c r="B119" s="39" t="inlineStr">
        <is>
          <t>Seleccione una opción</t>
        </is>
      </c>
      <c r="C119" s="2" t="n"/>
      <c r="F119" s="2" t="n"/>
      <c r="G119" s="2" t="n"/>
      <c r="H119" s="2" t="n"/>
      <c r="N119" s="2" t="n"/>
      <c r="O119" s="2" t="n"/>
      <c r="P119" s="2" t="n"/>
      <c r="T119" s="20" t="n"/>
      <c r="U119" s="20" t="n"/>
      <c r="V119" s="20" t="n"/>
      <c r="W119" s="20" t="n"/>
    </row>
    <row r="120">
      <c r="A120" s="56" t="inlineStr">
        <is>
          <t>Banco origen de los fondos</t>
        </is>
      </c>
      <c r="B120" s="39" t="n"/>
    </row>
    <row r="121">
      <c r="A121" s="56" t="inlineStr">
        <is>
          <t>Origen de fondos</t>
        </is>
      </c>
      <c r="B121" s="39" t="inlineStr">
        <is>
          <t>Seleccione una opción</t>
        </is>
      </c>
    </row>
    <row r="122">
      <c r="A122" s="2">
        <f>IF(OR(B121="Arrendamientos",B121="Bonos",B121="Dividendos",B121="Divorcio",B121="Venta de empresa",B121="Venta de inmuebles",B121="Patrimonio familiar",B121="Herencia",B121="Donación"),"Monto recibido (USD)",IF(B121="Profesión del cliente","Antigüedad laboral (en años)",""))</f>
        <v/>
      </c>
      <c r="C122" s="3" t="n"/>
    </row>
    <row r="123">
      <c r="A123" s="2">
        <f>IF(OR(B121="Arrendamientos",B121="Bonos",B121="Dividendos",B121="Divorcio",B121="Venta de empresa",B121="Venta de inmuebles",B121="Herencia",B121="Donación"),"Fecha en la que se recibió",IF(B121="Patrimonio familiar","Cantidad de años en los que fue generado el patrimonio",""))</f>
        <v/>
      </c>
    </row>
    <row r="124">
      <c r="A124" s="2">
        <f>IF(B121="Donación","Relación con el donante","")</f>
        <v/>
      </c>
    </row>
    <row r="125">
      <c r="A125" s="56" t="inlineStr">
        <is>
          <t>Apoderado para enviar órdenes</t>
        </is>
      </c>
      <c r="B125" s="39" t="n"/>
    </row>
    <row r="126">
      <c r="A126" s="56" t="inlineStr">
        <is>
          <t>Mail autorizado</t>
        </is>
      </c>
      <c r="B126" s="39" t="n"/>
    </row>
    <row r="127" ht="18.75" customHeight="1">
      <c r="A127" s="59" t="inlineStr">
        <is>
          <t>Monto exacto de inversión que planea</t>
        </is>
      </c>
      <c r="B127" s="60" t="n"/>
      <c r="G127" s="1" t="n"/>
      <c r="H127" s="1" t="n"/>
    </row>
    <row r="128">
      <c r="A128" s="56" t="inlineStr">
        <is>
          <t>Tipo de contrato</t>
        </is>
      </c>
      <c r="B128" s="39" t="inlineStr">
        <is>
          <t>Seleccione una opción</t>
        </is>
      </c>
    </row>
    <row r="129" ht="18.75" customFormat="1" customHeight="1" s="1">
      <c r="A129" s="56" t="inlineStr">
        <is>
          <t>Fee anual</t>
        </is>
      </c>
      <c r="B129" s="39" t="n"/>
      <c r="C129" s="2" t="n"/>
      <c r="D129" s="2" t="n"/>
      <c r="E129" s="2" t="n"/>
      <c r="F129" s="2" t="n"/>
      <c r="G129" s="2" t="n"/>
      <c r="H129" s="2" t="n"/>
      <c r="N129" s="2" t="n"/>
      <c r="O129" s="2" t="n"/>
      <c r="P129" s="2" t="n"/>
      <c r="T129" s="20" t="n"/>
      <c r="U129" s="20" t="n"/>
      <c r="V129" s="20" t="n"/>
      <c r="W129" s="20" t="n"/>
    </row>
    <row r="130">
      <c r="A130" s="56" t="inlineStr">
        <is>
          <t>Dealing Fee</t>
        </is>
      </c>
      <c r="B130" s="39" t="n"/>
    </row>
    <row r="131">
      <c r="A131" s="56" t="inlineStr">
        <is>
          <t>Método de pago</t>
        </is>
      </c>
      <c r="B131" s="39" t="inlineStr">
        <is>
          <t>Seleccione una opción</t>
        </is>
      </c>
    </row>
    <row r="132">
      <c r="A132" s="56" t="n"/>
      <c r="B132" s="39" t="n"/>
    </row>
    <row r="136" ht="18.75" customHeight="1">
      <c r="A136" s="44" t="inlineStr">
        <is>
          <t>Bancos con los que habitualmente trabaja</t>
        </is>
      </c>
      <c r="B136" s="176" t="n"/>
    </row>
    <row r="137">
      <c r="A137" s="10" t="inlineStr">
        <is>
          <t xml:space="preserve">País </t>
        </is>
      </c>
      <c r="B137" s="34" t="inlineStr">
        <is>
          <t>Seleccione una opción</t>
        </is>
      </c>
      <c r="F137" s="3" t="n"/>
    </row>
    <row r="138">
      <c r="A138" s="10" t="inlineStr">
        <is>
          <t>Ciudad</t>
        </is>
      </c>
      <c r="B138" s="26" t="n"/>
    </row>
    <row r="139">
      <c r="A139" s="10" t="inlineStr">
        <is>
          <t>Banco</t>
        </is>
      </c>
      <c r="B139" s="26" t="n"/>
    </row>
    <row r="140">
      <c r="A140" s="10" t="inlineStr">
        <is>
          <t>Sucursal</t>
        </is>
      </c>
      <c r="B140" s="26" t="n"/>
    </row>
    <row r="142">
      <c r="G142" s="3" t="n"/>
      <c r="H142" s="3" t="n"/>
    </row>
    <row r="144" customFormat="1" s="3">
      <c r="C144" s="2" t="n"/>
      <c r="D144" s="2" t="n"/>
      <c r="E144" s="2" t="n"/>
      <c r="F144" s="2" t="n"/>
      <c r="G144" s="2" t="n"/>
      <c r="H144" s="2" t="n"/>
      <c r="T144" s="20" t="n"/>
      <c r="U144" s="20" t="n"/>
      <c r="V144" s="20" t="n"/>
      <c r="W144" s="20" t="n"/>
    </row>
    <row r="145" ht="18.75" customHeight="1">
      <c r="A145" s="176" t="inlineStr">
        <is>
          <t>Referencias personales</t>
        </is>
      </c>
      <c r="B145" s="176" t="n"/>
      <c r="C145" s="1" t="n"/>
      <c r="D145" s="1" t="n"/>
      <c r="E145" s="1" t="n"/>
    </row>
    <row r="146">
      <c r="A146" s="10" t="inlineStr">
        <is>
          <t>Nombres</t>
        </is>
      </c>
      <c r="B146" s="26" t="n"/>
      <c r="C146" s="3" t="n"/>
      <c r="D146" s="3" t="n"/>
      <c r="E146" s="3" t="n"/>
    </row>
    <row r="147">
      <c r="A147" s="10" t="inlineStr">
        <is>
          <t>Apellidos</t>
        </is>
      </c>
      <c r="B147" s="26" t="n"/>
      <c r="C147" s="3" t="n"/>
      <c r="D147" s="3" t="n"/>
      <c r="E147" s="3" t="n"/>
    </row>
    <row r="148">
      <c r="A148" s="10" t="inlineStr">
        <is>
          <t>País</t>
        </is>
      </c>
      <c r="B148" s="34" t="inlineStr">
        <is>
          <t>Seleccione una opción</t>
        </is>
      </c>
      <c r="C148" s="3" t="n"/>
      <c r="D148" s="3" t="n"/>
      <c r="E148" s="3" t="n"/>
    </row>
    <row r="149">
      <c r="A149" s="10" t="inlineStr">
        <is>
          <t>Provincia</t>
        </is>
      </c>
      <c r="B149" s="26" t="n"/>
    </row>
    <row r="150">
      <c r="A150" s="10" t="inlineStr">
        <is>
          <t>Ciudad</t>
        </is>
      </c>
      <c r="B150" s="26" t="n"/>
    </row>
    <row r="151">
      <c r="A151" s="10" t="inlineStr">
        <is>
          <t>Teléfono</t>
        </is>
      </c>
      <c r="B151" s="26" t="n"/>
    </row>
    <row r="152">
      <c r="A152" s="10" t="inlineStr">
        <is>
          <t>E-mail</t>
        </is>
      </c>
      <c r="B152" s="26" t="n"/>
    </row>
    <row r="153">
      <c r="A153" s="10" t="n"/>
      <c r="B153" s="26" t="n"/>
    </row>
    <row r="154" ht="18.75" customHeight="1">
      <c r="A154" s="10" t="inlineStr">
        <is>
          <t>Nombres</t>
        </is>
      </c>
      <c r="B154" s="26" t="n"/>
      <c r="C154" s="1" t="n"/>
      <c r="D154" s="1" t="n"/>
      <c r="E154" s="1" t="n"/>
    </row>
    <row r="155">
      <c r="A155" s="10" t="inlineStr">
        <is>
          <t>Apellidos</t>
        </is>
      </c>
      <c r="B155" s="26" t="n"/>
      <c r="C155" s="3" t="n"/>
      <c r="D155" s="3" t="n"/>
      <c r="E155" s="3" t="n"/>
    </row>
    <row r="156">
      <c r="A156" s="10" t="inlineStr">
        <is>
          <t>País</t>
        </is>
      </c>
      <c r="B156" s="26" t="n"/>
      <c r="C156" s="3" t="n"/>
      <c r="D156" s="3" t="n"/>
      <c r="E156" s="3" t="n"/>
    </row>
    <row r="157">
      <c r="A157" s="10" t="inlineStr">
        <is>
          <t>Provincia</t>
        </is>
      </c>
      <c r="B157" s="26" t="n"/>
      <c r="C157" s="3" t="n"/>
      <c r="D157" s="3" t="n"/>
      <c r="E157" s="3" t="n"/>
    </row>
    <row r="158">
      <c r="A158" s="10" t="inlineStr">
        <is>
          <t>Ciudad</t>
        </is>
      </c>
      <c r="B158" s="26" t="n"/>
    </row>
    <row r="159">
      <c r="A159" s="10" t="inlineStr">
        <is>
          <t>Teléfono</t>
        </is>
      </c>
      <c r="B159" s="26" t="n"/>
    </row>
    <row r="160" ht="18.75" customHeight="1">
      <c r="A160" s="10" t="inlineStr">
        <is>
          <t>E-mail</t>
        </is>
      </c>
      <c r="B160" s="26" t="n"/>
      <c r="F160" s="1" t="n"/>
    </row>
    <row r="161">
      <c r="F161" s="3" t="n"/>
    </row>
    <row r="162" ht="18.75" customHeight="1">
      <c r="A162" s="176" t="inlineStr">
        <is>
          <t>Conocimiento de cliente</t>
        </is>
      </c>
      <c r="B162" s="176" t="n"/>
      <c r="F162" s="3" t="n"/>
    </row>
    <row r="163">
      <c r="A163" s="12" t="inlineStr">
        <is>
          <t>¿Cuánto tiempo hace que conoce al cliente?</t>
        </is>
      </c>
      <c r="B163" s="48" t="inlineStr">
        <is>
          <t>Seleccione una opción</t>
        </is>
      </c>
      <c r="F163" s="3" t="n"/>
    </row>
    <row r="164">
      <c r="A164" s="12" t="inlineStr">
        <is>
          <t>Fecha de la última reunión personal con el cliente</t>
        </is>
      </c>
      <c r="B164" s="46" t="n"/>
    </row>
    <row r="165" ht="30" customHeight="1">
      <c r="A165" s="12" t="inlineStr">
        <is>
          <t>Ubicación de la última reunión personal con el cliente</t>
        </is>
      </c>
      <c r="B165" s="28" t="n"/>
      <c r="G165" s="1" t="n"/>
      <c r="H165" s="1" t="n"/>
    </row>
    <row r="166">
      <c r="G166" s="3" t="n"/>
      <c r="H166" s="3" t="n"/>
    </row>
  </sheetData>
  <mergeCells count="12">
    <mergeCell ref="I21:J21"/>
    <mergeCell ref="G21:H21"/>
    <mergeCell ref="A21:B21"/>
    <mergeCell ref="X16:Y16"/>
    <mergeCell ref="C21:D21"/>
    <mergeCell ref="A7:B7"/>
    <mergeCell ref="X34:Y34"/>
    <mergeCell ref="A11:B11"/>
    <mergeCell ref="A5:B5"/>
    <mergeCell ref="A13:B13"/>
    <mergeCell ref="A9:B9"/>
    <mergeCell ref="E21:F21"/>
  </mergeCells>
  <conditionalFormatting sqref="B46">
    <cfRule type="cellIs" priority="35" operator="equal" dxfId="0">
      <formula>$A$46&lt;&gt;"Cargo público desempeñado y período de tiempo"</formula>
    </cfRule>
  </conditionalFormatting>
  <conditionalFormatting sqref="B48">
    <cfRule type="cellIs" priority="8" operator="equal" dxfId="0">
      <formula>$A$48&lt;&gt;" Nombres"</formula>
    </cfRule>
  </conditionalFormatting>
  <conditionalFormatting sqref="B49">
    <cfRule type="cellIs" priority="7" operator="equal" dxfId="0">
      <formula>$A$49&lt;&gt;" Apellidos"</formula>
    </cfRule>
  </conditionalFormatting>
  <conditionalFormatting sqref="B50">
    <cfRule type="cellIs" priority="6" operator="equal" dxfId="0">
      <formula>$A$50&lt;&gt;" Fecha de nacimiento"</formula>
    </cfRule>
  </conditionalFormatting>
  <conditionalFormatting sqref="B51">
    <cfRule type="cellIs" priority="5" operator="equal" dxfId="0">
      <formula>$A$51&lt;&gt;" País emisor del documento"</formula>
    </cfRule>
  </conditionalFormatting>
  <conditionalFormatting sqref="B52">
    <cfRule type="cellIs" priority="4" operator="equal" dxfId="0">
      <formula>$A$52&lt;&gt;" Tipo de documento"</formula>
    </cfRule>
  </conditionalFormatting>
  <conditionalFormatting sqref="B53">
    <cfRule type="cellIs" priority="3" operator="equal" dxfId="0">
      <formula>$A$53&lt;&gt;" Número de documento"</formula>
    </cfRule>
  </conditionalFormatting>
  <conditionalFormatting sqref="B54">
    <cfRule type="cellIs" priority="2" operator="equal" dxfId="0">
      <formula>$A$54&lt;&gt;" Nacionalidad"</formula>
    </cfRule>
  </conditionalFormatting>
  <conditionalFormatting sqref="B55">
    <cfRule type="cellIs" priority="1" operator="equal" dxfId="0">
      <formula>$A$55&lt;&gt;" Situación laboral"</formula>
    </cfRule>
  </conditionalFormatting>
  <conditionalFormatting sqref="B112">
    <cfRule type="cellIs" priority="26" operator="equal" dxfId="0">
      <formula>$A$112&lt;&gt;"Periodicidad de aportes"</formula>
    </cfRule>
  </conditionalFormatting>
  <conditionalFormatting sqref="B113">
    <cfRule type="cellIs" priority="23" operator="equal" dxfId="0">
      <formula>$A$113&lt;&gt;"Montos aproximados de aportes adicionales"</formula>
    </cfRule>
  </conditionalFormatting>
  <conditionalFormatting sqref="B122">
    <cfRule type="expression" priority="19" dxfId="0">
      <formula>$A$122&lt;&gt;""</formula>
    </cfRule>
  </conditionalFormatting>
  <conditionalFormatting sqref="B123">
    <cfRule type="expression" priority="18" dxfId="0">
      <formula>$A$123&lt;&gt;""</formula>
    </cfRule>
  </conditionalFormatting>
  <conditionalFormatting sqref="B124">
    <cfRule type="expression" priority="17" dxfId="0">
      <formula>$A$124&lt;&gt;""</formula>
    </cfRule>
  </conditionalFormatting>
  <conditionalFormatting sqref="D46">
    <cfRule type="cellIs" priority="33" operator="equal" dxfId="0">
      <formula>$C$46&lt;&gt;"Cargo público desempeñado y período de tiempo"</formula>
    </cfRule>
  </conditionalFormatting>
  <conditionalFormatting sqref="F46">
    <cfRule type="cellIs" priority="29" operator="equal" dxfId="0">
      <formula>$E$46&lt;&gt;"Cargo público desempeñado y período de tiempo"</formula>
    </cfRule>
  </conditionalFormatting>
  <conditionalFormatting sqref="H46">
    <cfRule type="cellIs" priority="28" operator="equal" dxfId="0">
      <formula>$G$46&lt;&gt;"Cargo público desempeñado y período de tiempo"</formula>
    </cfRule>
  </conditionalFormatting>
  <conditionalFormatting sqref="J46">
    <cfRule type="cellIs" priority="27" operator="equal" dxfId="0">
      <formula>$I$46&lt;&gt;"Cargo público desempeñado y período de tiempo"</formula>
    </cfRule>
  </conditionalFormatting>
  <dataValidations count="2">
    <dataValidation sqref="B34 B90 B164 D34 F34 H34 J34" showDropDown="0" showInputMessage="1" showErrorMessage="1" allowBlank="1" promptTitle="Formato" prompt="dd/mm/año"/>
    <dataValidation sqref="B66 B81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3:Y146"/>
  <sheetViews>
    <sheetView tabSelected="1" zoomScale="84" zoomScaleNormal="85" workbookViewId="0">
      <selection activeCell="C94" sqref="C94"/>
    </sheetView>
  </sheetViews>
  <sheetFormatPr baseColWidth="10" defaultColWidth="11.5703125" defaultRowHeight="15"/>
  <cols>
    <col width="64.85546875" customWidth="1" style="100" min="1" max="1"/>
    <col width="47.85546875" customWidth="1" style="106" min="2" max="2"/>
    <col width="52" customWidth="1" style="100" min="3" max="3"/>
    <col width="42.28515625" customWidth="1" style="100" min="4" max="4"/>
    <col width="43.42578125" customWidth="1" style="100" min="5" max="5"/>
    <col width="22.140625" customWidth="1" style="100" min="6" max="6"/>
    <col width="48" customWidth="1" style="100" min="7" max="7"/>
    <col width="28" customWidth="1" style="100" min="8" max="8"/>
    <col width="55.5703125" customWidth="1" style="100" min="9" max="9"/>
    <col width="26.85546875" customWidth="1" style="100" min="10" max="10"/>
    <col width="28.42578125" customWidth="1" style="100" min="11" max="11"/>
    <col width="42.140625" customWidth="1" style="100" min="12" max="12"/>
    <col width="11.5703125" customWidth="1" style="100" min="13" max="19"/>
    <col width="110.5703125" customWidth="1" style="101" min="20" max="20"/>
    <col width="11.5703125" customWidth="1" style="101" min="21" max="23"/>
    <col width="11.5703125" customWidth="1" style="100" min="24" max="16384"/>
  </cols>
  <sheetData>
    <row r="3">
      <c r="B3" t="inlineStr">
        <is>
          <t>5 - 10 años</t>
        </is>
      </c>
    </row>
    <row r="5">
      <c r="B5" t="inlineStr">
        <is>
          <t>Buena (3-5 años)</t>
        </is>
      </c>
    </row>
    <row r="7">
      <c r="B7" t="inlineStr">
        <is>
          <t>25% - 50%</t>
        </is>
      </c>
    </row>
    <row r="9">
      <c r="B9" t="inlineStr">
        <is>
          <t>Crecimiento agresivo</t>
        </is>
      </c>
    </row>
    <row r="11">
      <c r="B11" t="inlineStr">
        <is>
          <t>Alta</t>
        </is>
      </c>
    </row>
    <row r="15">
      <c r="B15" t="inlineStr">
        <is>
          <t>Individual</t>
        </is>
      </c>
    </row>
    <row r="16" ht="24" customHeight="1">
      <c r="A16" s="167" t="inlineStr">
        <is>
          <t>Datos Cuenta</t>
        </is>
      </c>
    </row>
    <row r="17">
      <c r="A17" s="102" t="inlineStr">
        <is>
          <t>Tipo de Cuenta</t>
        </is>
      </c>
      <c r="B17" s="165" t="inlineStr">
        <is>
          <t>Individual</t>
        </is>
      </c>
    </row>
    <row r="18">
      <c r="A18" s="104" t="n"/>
      <c r="B18" s="105" t="inlineStr">
        <is>
          <t>Asesor FV</t>
        </is>
      </c>
    </row>
    <row r="19" ht="24" customHeight="1">
      <c r="A19" s="167" t="inlineStr">
        <is>
          <t>Juan Pérez Demo</t>
        </is>
      </c>
    </row>
    <row r="20">
      <c r="A20" s="102" t="inlineStr">
        <is>
          <t>Rep Code</t>
        </is>
      </c>
      <c r="B20" s="103" t="n"/>
    </row>
    <row r="21">
      <c r="A21" s="102" t="inlineStr">
        <is>
          <t>Nombre Completo</t>
        </is>
      </c>
      <c r="B21" s="103" t="n"/>
    </row>
    <row r="22">
      <c r="A22" s="102" t="inlineStr">
        <is>
          <t>E-mail</t>
        </is>
      </c>
      <c r="B22" s="103" t="n"/>
    </row>
    <row r="26" ht="1.5" customHeight="1"/>
    <row r="27" hidden="1"/>
    <row r="28" ht="27" customHeight="1">
      <c r="A28" s="156" t="inlineStr">
        <is>
          <t>PERFIL DE RIESGO</t>
        </is>
      </c>
    </row>
    <row r="29" ht="3.75" customHeight="1"/>
    <row r="30" ht="24.75" customHeight="1">
      <c r="A30" s="108" t="inlineStr">
        <is>
          <t>1 - Horizonte de tiempo</t>
        </is>
      </c>
      <c r="B30" s="109" t="n"/>
      <c r="C30" s="110" t="n"/>
      <c r="D30" s="110" t="n"/>
    </row>
    <row r="31" ht="68.25" customHeight="1">
      <c r="A31" s="111" t="inlineStr">
        <is>
          <t>¿Cuál es su horizonte de tiempo para esta inversión? ¿Cuándo necesitará este dinero, o durante cuánto tiempo cree que mantendrá esta inversión?</t>
        </is>
      </c>
      <c r="B31" s="111" t="n"/>
      <c r="D31" s="118" t="inlineStr">
        <is>
          <t>Seleccione una opción</t>
        </is>
      </c>
    </row>
    <row r="32">
      <c r="A32" s="108" t="inlineStr">
        <is>
          <t>2 - Experiencia</t>
        </is>
      </c>
      <c r="B32" s="109" t="n"/>
      <c r="C32" s="110" t="n"/>
      <c r="D32" s="109" t="n"/>
    </row>
    <row r="33" ht="45" customHeight="1">
      <c r="A33" s="113" t="inlineStr">
        <is>
          <t>Cuál de las siguientes opciones mejor describe su nivel de conocimiento 
sobre mercado de valores y sus productos:</t>
        </is>
      </c>
      <c r="B33" s="113" t="n"/>
      <c r="D33" s="118" t="inlineStr">
        <is>
          <t>Seleccione una opción</t>
        </is>
      </c>
    </row>
    <row r="34" ht="21" customHeight="1">
      <c r="A34" s="108" t="inlineStr">
        <is>
          <t>3 - % de activos totales</t>
        </is>
      </c>
      <c r="B34" s="109" t="n"/>
      <c r="C34" s="110" t="n"/>
      <c r="D34" s="109" t="n"/>
    </row>
    <row r="35" ht="60" customHeight="1">
      <c r="A35" s="114" t="inlineStr">
        <is>
          <t>¿Qué porcentaje de sus activos totales líquidos (incluyendo dinero en efectivo, depósitos, bonos, acciones, fondos mutuos, pero excluyendo inmuebles) representa esta inversión?</t>
        </is>
      </c>
      <c r="B35" s="114" t="n"/>
      <c r="D35" s="118" t="inlineStr">
        <is>
          <t>Seleccione una opción</t>
        </is>
      </c>
    </row>
    <row r="36" ht="28.9" customHeight="1">
      <c r="A36" s="108" t="inlineStr">
        <is>
          <t>4 - Objetivos de inversión</t>
        </is>
      </c>
      <c r="B36" s="109" t="n"/>
      <c r="C36" s="110" t="n"/>
      <c r="D36" s="109" t="n"/>
      <c r="T36" s="101" t="inlineStr">
        <is>
          <t>1 - Horizonte de tiempo</t>
        </is>
      </c>
    </row>
    <row r="37" ht="43.5" customHeight="1">
      <c r="A37" s="114" t="inlineStr">
        <is>
          <t>¿Cuál de estas frases describe mejor sus objetivos de inversión para esta inversión en particular?</t>
        </is>
      </c>
      <c r="B37" s="114" t="n"/>
      <c r="D37" s="118" t="inlineStr">
        <is>
          <t>Seleccione una opción</t>
        </is>
      </c>
      <c r="T37" s="101" t="inlineStr">
        <is>
          <t>¿Cuál es su horizonte de tiempo para esta inversión? ¿Cuándo necesitará este dinero, o durante cuánto tiempo cree que mantendrá esta inversión?</t>
        </is>
      </c>
    </row>
    <row r="38" ht="25.9" customHeight="1">
      <c r="A38" s="115" t="inlineStr">
        <is>
          <t>5 - Riesgo y alta volatilidad</t>
        </is>
      </c>
      <c r="B38" s="109" t="n"/>
      <c r="C38" s="110" t="n"/>
      <c r="D38" s="157" t="n"/>
      <c r="T38" s="101" t="inlineStr">
        <is>
          <t>Elija aquí</t>
        </is>
      </c>
    </row>
    <row r="39" ht="34.5" customHeight="1">
      <c r="A39" s="114" t="inlineStr">
        <is>
          <t>¿Cuál es su actitud frente a la volatilidad del mercado en el corto plazo?</t>
        </is>
      </c>
      <c r="B39" s="116" t="n"/>
      <c r="D39" s="118" t="inlineStr">
        <is>
          <t>Seleccione una opción</t>
        </is>
      </c>
      <c r="T39" s="101" t="inlineStr">
        <is>
          <t xml:space="preserve"> Menos de 3 años</t>
        </is>
      </c>
    </row>
    <row r="40" ht="28.9" customHeight="1">
      <c r="A40" s="166" t="inlineStr">
        <is>
          <t>6 - Elección de portafolio</t>
        </is>
      </c>
      <c r="B40" s="109" t="n"/>
      <c r="C40" s="110" t="n"/>
      <c r="D40" s="158" t="n"/>
      <c r="T40" s="101" t="inlineStr">
        <is>
          <t xml:space="preserve"> 3 - 5 años</t>
        </is>
      </c>
    </row>
    <row r="41" ht="135" customHeight="1">
      <c r="B41" s="117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41" s="118" t="inlineStr">
        <is>
          <t>Seleccione una opción</t>
        </is>
      </c>
      <c r="T41" s="101" t="inlineStr">
        <is>
          <t xml:space="preserve"> 6 - 10 años</t>
        </is>
      </c>
    </row>
    <row r="42" ht="51.75" customHeight="1">
      <c r="B42" s="119" t="n"/>
      <c r="T42" s="101" t="inlineStr">
        <is>
          <t xml:space="preserve"> 11 años o más</t>
        </is>
      </c>
    </row>
    <row r="43" ht="139.5" customHeight="1">
      <c r="A43" s="120" t="inlineStr">
        <is>
          <t>7 - Elección de rendimiento</t>
        </is>
      </c>
      <c r="B43" s="117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43" s="118" t="inlineStr">
        <is>
          <t>Seleccione una opción</t>
        </is>
      </c>
      <c r="T43" s="101" t="inlineStr">
        <is>
          <t>2 - Experiencia</t>
        </is>
      </c>
    </row>
    <row r="44" ht="17.25" customHeight="1">
      <c r="T44" s="101" t="inlineStr">
        <is>
          <t>Cuál de las siguientes opciones mejor describe su nivel de conocimiento sobre mercado de valores y sus productos:</t>
        </is>
      </c>
    </row>
    <row r="45">
      <c r="A45" s="115" t="inlineStr">
        <is>
          <t>8 - Caída en portafolio</t>
        </is>
      </c>
      <c r="B45" s="109" t="n"/>
      <c r="C45" s="110" t="n"/>
      <c r="D45" s="110" t="n"/>
      <c r="T45" s="101" t="inlineStr">
        <is>
          <t>Elija aquí</t>
        </is>
      </c>
    </row>
    <row r="46" ht="100.5" customHeight="1">
      <c r="A46" s="111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46" s="118" t="inlineStr">
        <is>
          <t>Seleccione una opción</t>
        </is>
      </c>
      <c r="T46" s="101" t="inlineStr">
        <is>
          <t xml:space="preserve"> Ninguno – sin conocimiento ni experiencia sobre inversiones</t>
        </is>
      </c>
    </row>
    <row r="47" ht="25.5" customHeight="1">
      <c r="A47" s="114" t="n"/>
      <c r="D47" s="116" t="n"/>
    </row>
    <row r="48" ht="31.5" customHeight="1">
      <c r="A48" s="156" t="inlineStr">
        <is>
          <t>Datos Titular 1</t>
        </is>
      </c>
      <c r="B48" s="121" t="n"/>
      <c r="T48" s="101" t="inlineStr">
        <is>
          <t xml:space="preserve"> Mínimo – mi conocimiento es muy limitado y no tengo experiencia</t>
        </is>
      </c>
      <c r="X48" s="168" t="inlineStr">
        <is>
          <t>Datos Titular 2</t>
        </is>
      </c>
    </row>
    <row r="49" ht="22.5" customHeight="1">
      <c r="A49" s="122" t="inlineStr">
        <is>
          <t>Primer Nombre</t>
        </is>
      </c>
      <c r="B49" s="123" t="n"/>
      <c r="C49" s="107" t="n"/>
      <c r="D49" s="107" t="n"/>
      <c r="E49" s="107" t="n"/>
      <c r="F49" s="107" t="n"/>
      <c r="G49" s="107" t="n"/>
      <c r="H49" s="107" t="n"/>
      <c r="I49" s="107" t="n"/>
      <c r="J49" s="107" t="n"/>
      <c r="K49" s="107" t="n"/>
      <c r="L49" s="107" t="n"/>
      <c r="T49" s="101" t="inlineStr">
        <is>
          <t xml:space="preserve"> Bueno – buen conocimiento y cierta experiencia en inversiones</t>
        </is>
      </c>
      <c r="X49" s="122" t="inlineStr">
        <is>
          <t>Nombres</t>
        </is>
      </c>
      <c r="Y49" s="124" t="n"/>
    </row>
    <row r="50">
      <c r="A50" s="122" t="inlineStr">
        <is>
          <t>Segundo Nombre</t>
        </is>
      </c>
      <c r="B50" s="123" t="n"/>
      <c r="T50" s="101" t="inlineStr">
        <is>
          <t xml:space="preserve"> Amplio – fuerte conocimiento y experiencia activa en inversiones</t>
        </is>
      </c>
      <c r="X50" s="122" t="inlineStr">
        <is>
          <t>Apellidos</t>
        </is>
      </c>
      <c r="Y50" s="124" t="n"/>
    </row>
    <row r="51" ht="24" customHeight="1">
      <c r="A51" s="122" t="inlineStr">
        <is>
          <t>Primer Apellido</t>
        </is>
      </c>
      <c r="B51" s="123" t="n"/>
      <c r="T51" s="101" t="inlineStr">
        <is>
          <t>3 - % de activos totales</t>
        </is>
      </c>
      <c r="X51" s="122" t="inlineStr">
        <is>
          <t>Dirección (País, Provincia y Ciudad)</t>
        </is>
      </c>
      <c r="Y51" s="124" t="n"/>
    </row>
    <row r="52">
      <c r="A52" s="122" t="inlineStr">
        <is>
          <t>Segundo Apellido</t>
        </is>
      </c>
      <c r="B52" s="123" t="n"/>
      <c r="T52" s="101" t="inlineStr">
        <is>
          <t>¿Qué porcentaje de sus activos totales líquidos (incluyendo dinero en efectivo, depósitos, bonos, acciones, fondos mutuos, pero excluyendo inmuebles) representa esta inversión?</t>
        </is>
      </c>
      <c r="X52" s="122" t="inlineStr">
        <is>
          <t>Dirección de residencia</t>
        </is>
      </c>
      <c r="Y52" s="124" t="n"/>
    </row>
    <row r="53">
      <c r="A53" s="122" t="inlineStr">
        <is>
          <t>Dirección de residencia</t>
        </is>
      </c>
      <c r="B53" s="123" t="n"/>
      <c r="X53" s="122" t="inlineStr">
        <is>
          <t>Código Postal</t>
        </is>
      </c>
      <c r="Y53" s="124" t="n"/>
    </row>
    <row r="54" ht="17.25" customFormat="1" customHeight="1" s="107">
      <c r="A54" s="122" t="inlineStr">
        <is>
          <t xml:space="preserve">País </t>
        </is>
      </c>
      <c r="B54" s="141" t="inlineStr">
        <is>
          <t>Chile</t>
        </is>
      </c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N54" s="169" t="inlineStr">
        <is>
          <t>Datos Titular 2 (Opcional)</t>
        </is>
      </c>
      <c r="O54" s="179" t="n"/>
      <c r="P54" s="169" t="inlineStr">
        <is>
          <t>Datos Titular 3 (Opcional)</t>
        </is>
      </c>
      <c r="Q54" s="179" t="n"/>
      <c r="R54" s="169" t="inlineStr">
        <is>
          <t>Datos Titular 4 (Opcional)</t>
        </is>
      </c>
      <c r="S54" s="179" t="n"/>
      <c r="T54" s="169" t="inlineStr">
        <is>
          <t>Datos Titular 5 (Opcional)</t>
        </is>
      </c>
      <c r="U54" s="179" t="n"/>
      <c r="V54" s="101" t="n"/>
      <c r="W54" s="101" t="n"/>
      <c r="X54" s="125" t="inlineStr">
        <is>
          <t>Dirección de correspondencia (solo si difiere a la de residencia)</t>
        </is>
      </c>
      <c r="Y54" s="124" t="n"/>
    </row>
    <row r="55">
      <c r="A55" s="122" t="inlineStr">
        <is>
          <t>Provincia</t>
        </is>
      </c>
      <c r="B55" s="141" t="n"/>
      <c r="N55" s="126" t="inlineStr">
        <is>
          <t>Primer Nombre</t>
        </is>
      </c>
      <c r="O55" s="127" t="n"/>
      <c r="P55" s="126" t="inlineStr">
        <is>
          <t>Primer Nombre</t>
        </is>
      </c>
      <c r="Q55" s="127" t="n"/>
      <c r="R55" s="126" t="inlineStr">
        <is>
          <t>Primer Nombre</t>
        </is>
      </c>
      <c r="S55" s="127" t="n"/>
      <c r="T55" s="126" t="inlineStr">
        <is>
          <t>Primer Nombre</t>
        </is>
      </c>
      <c r="U55" s="127" t="n"/>
      <c r="X55" s="122" t="inlineStr">
        <is>
          <t>Teléfono (País, Ciudad y Número)</t>
        </is>
      </c>
      <c r="Y55" s="124" t="n"/>
    </row>
    <row r="56">
      <c r="A56" s="122" t="inlineStr">
        <is>
          <t>Ciudad</t>
        </is>
      </c>
      <c r="B56" s="141" t="n"/>
      <c r="N56" s="126" t="inlineStr">
        <is>
          <t>Segundo Nombre</t>
        </is>
      </c>
      <c r="O56" s="127" t="n"/>
      <c r="P56" s="126" t="inlineStr">
        <is>
          <t>Segundo Nombre</t>
        </is>
      </c>
      <c r="Q56" s="127" t="n"/>
      <c r="R56" s="126" t="inlineStr">
        <is>
          <t>Segundo Nombre</t>
        </is>
      </c>
      <c r="S56" s="127" t="n"/>
      <c r="T56" s="126" t="inlineStr">
        <is>
          <t>Segundo Nombre</t>
        </is>
      </c>
      <c r="U56" s="127" t="n"/>
      <c r="X56" s="122" t="inlineStr">
        <is>
          <t>E-mail</t>
        </is>
      </c>
      <c r="Y56" s="124" t="n"/>
    </row>
    <row r="57">
      <c r="A57" s="122" t="inlineStr">
        <is>
          <t>Codigo Postal</t>
        </is>
      </c>
      <c r="B57" s="141" t="n"/>
      <c r="D57" s="154" t="n"/>
      <c r="N57" s="126" t="inlineStr">
        <is>
          <t>Primer Apellido</t>
        </is>
      </c>
      <c r="O57" s="127" t="n"/>
      <c r="P57" s="126" t="inlineStr">
        <is>
          <t>Primer Apellido</t>
        </is>
      </c>
      <c r="Q57" s="127" t="n"/>
      <c r="R57" s="126" t="inlineStr">
        <is>
          <t>Primer Apellido</t>
        </is>
      </c>
      <c r="S57" s="127" t="n"/>
      <c r="T57" s="126" t="inlineStr">
        <is>
          <t>Primer Apellido</t>
        </is>
      </c>
      <c r="U57" s="127" t="n"/>
      <c r="X57" s="122" t="inlineStr">
        <is>
          <t>Cantidad de hijos</t>
        </is>
      </c>
      <c r="Y57" s="124" t="n"/>
    </row>
    <row r="58" ht="35.25" customHeight="1">
      <c r="A58" s="125" t="inlineStr">
        <is>
          <t>Dirección de correspondencia (solo si difiere a la de residencia)</t>
        </is>
      </c>
      <c r="B58" s="141" t="n"/>
      <c r="N58" s="126" t="inlineStr">
        <is>
          <t>Segundo Apellido</t>
        </is>
      </c>
      <c r="O58" s="128" t="n"/>
      <c r="P58" s="126" t="inlineStr">
        <is>
          <t>Segundo Apellido</t>
        </is>
      </c>
      <c r="Q58" s="128" t="n"/>
      <c r="R58" s="126" t="inlineStr">
        <is>
          <t>Segundo Apellido</t>
        </is>
      </c>
      <c r="S58" s="128" t="n"/>
      <c r="T58" s="126" t="inlineStr">
        <is>
          <t>Segundo Apellido</t>
        </is>
      </c>
      <c r="U58" s="128" t="n"/>
      <c r="X58" s="122" t="inlineStr">
        <is>
          <t>Fecha de nacimiento</t>
        </is>
      </c>
      <c r="Y58" s="124" t="n"/>
    </row>
    <row r="59" ht="16.5" customHeight="1">
      <c r="A59" s="122" t="inlineStr">
        <is>
          <t>Télefono</t>
        </is>
      </c>
      <c r="B59" s="141" t="n"/>
      <c r="N59" s="126" t="inlineStr">
        <is>
          <t>Dirección de residencia</t>
        </is>
      </c>
      <c r="O59" s="127" t="n"/>
      <c r="P59" s="126" t="inlineStr">
        <is>
          <t>Dirección de residencia</t>
        </is>
      </c>
      <c r="Q59" s="127" t="n"/>
      <c r="R59" s="126" t="inlineStr">
        <is>
          <t>Dirección de residencia</t>
        </is>
      </c>
      <c r="S59" s="127" t="n"/>
      <c r="T59" s="126" t="inlineStr">
        <is>
          <t>Dirección de residencia</t>
        </is>
      </c>
      <c r="U59" s="127" t="n"/>
      <c r="X59" s="122" t="inlineStr">
        <is>
          <t>País emisor del documento</t>
        </is>
      </c>
      <c r="Y59" s="129" t="inlineStr">
        <is>
          <t>Elija aquí</t>
        </is>
      </c>
    </row>
    <row r="60">
      <c r="A60" s="122" t="inlineStr">
        <is>
          <t>E-mail</t>
        </is>
      </c>
      <c r="B60" s="141" t="inlineStr">
        <is>
          <t>ID Nacional</t>
        </is>
      </c>
      <c r="N60" s="126" t="inlineStr">
        <is>
          <t xml:space="preserve">País </t>
        </is>
      </c>
      <c r="O60" s="127" t="inlineStr">
        <is>
          <t>Seleccione una opción</t>
        </is>
      </c>
      <c r="P60" s="126" t="inlineStr">
        <is>
          <t xml:space="preserve">País </t>
        </is>
      </c>
      <c r="Q60" s="127" t="inlineStr">
        <is>
          <t>Seleccione una opción</t>
        </is>
      </c>
      <c r="R60" s="126" t="inlineStr">
        <is>
          <t xml:space="preserve">País </t>
        </is>
      </c>
      <c r="S60" s="127" t="inlineStr">
        <is>
          <t>Seleccione una opción</t>
        </is>
      </c>
      <c r="T60" s="126" t="inlineStr">
        <is>
          <t xml:space="preserve">País </t>
        </is>
      </c>
      <c r="U60" s="127" t="inlineStr">
        <is>
          <t>Seleccione una opción</t>
        </is>
      </c>
      <c r="X60" s="122" t="inlineStr">
        <is>
          <t>Tipo de documento</t>
        </is>
      </c>
      <c r="Y60" s="129" t="inlineStr">
        <is>
          <t>Elija aquí</t>
        </is>
      </c>
    </row>
    <row r="61">
      <c r="A61" s="122" t="inlineStr">
        <is>
          <t>Fecha de nacimiento</t>
        </is>
      </c>
      <c r="B61" s="141" t="n"/>
      <c r="N61" s="126" t="inlineStr">
        <is>
          <t>Provincia</t>
        </is>
      </c>
      <c r="O61" s="127" t="n"/>
      <c r="P61" s="126" t="inlineStr">
        <is>
          <t>Provincia</t>
        </is>
      </c>
      <c r="Q61" s="127" t="n"/>
      <c r="R61" s="126" t="inlineStr">
        <is>
          <t>Provincia</t>
        </is>
      </c>
      <c r="S61" s="127" t="n"/>
      <c r="T61" s="126" t="inlineStr">
        <is>
          <t>Provincia</t>
        </is>
      </c>
      <c r="U61" s="127" t="n"/>
      <c r="X61" s="122" t="inlineStr">
        <is>
          <t>Número de documento</t>
        </is>
      </c>
      <c r="Y61" s="124" t="n"/>
    </row>
    <row r="62">
      <c r="A62" s="122" t="inlineStr">
        <is>
          <t>País Emisor del documento</t>
        </is>
      </c>
      <c r="B62" s="141" t="inlineStr">
        <is>
          <t>Chile</t>
        </is>
      </c>
      <c r="C62" s="144" t="n"/>
      <c r="D62" s="144" t="n"/>
      <c r="N62" s="126" t="inlineStr">
        <is>
          <t>Ciudad</t>
        </is>
      </c>
      <c r="O62" s="127" t="n"/>
      <c r="P62" s="126" t="inlineStr">
        <is>
          <t>Ciudad</t>
        </is>
      </c>
      <c r="Q62" s="127" t="n"/>
      <c r="R62" s="126" t="inlineStr">
        <is>
          <t>Ciudad</t>
        </is>
      </c>
      <c r="S62" s="127" t="n"/>
      <c r="T62" s="126" t="inlineStr">
        <is>
          <t>Ciudad</t>
        </is>
      </c>
      <c r="U62" s="127" t="n"/>
      <c r="X62" s="122" t="inlineStr">
        <is>
          <t>Identificación fiscal</t>
        </is>
      </c>
      <c r="Y62" s="124" t="n"/>
    </row>
    <row r="63" ht="33.75" customHeight="1">
      <c r="A63" s="122" t="inlineStr">
        <is>
          <t xml:space="preserve">Tipo de documento </t>
        </is>
      </c>
      <c r="B63" s="141" t="inlineStr">
        <is>
          <t>Seleccione una opción</t>
        </is>
      </c>
      <c r="C63" s="140">
        <f>IF(OR(B68="Empleado/Independiente",B68="No empleado",B68="Retirado"),"Responda las siguientes preguntas sobre su situación laboral :","")</f>
        <v/>
      </c>
      <c r="D63" s="144" t="n"/>
      <c r="N63" s="126" t="inlineStr">
        <is>
          <t>Codigo Postal</t>
        </is>
      </c>
      <c r="O63" s="131" t="n"/>
      <c r="P63" s="126" t="inlineStr">
        <is>
          <t>Codigo Postal</t>
        </is>
      </c>
      <c r="Q63" s="131" t="n"/>
      <c r="R63" s="126" t="inlineStr">
        <is>
          <t>Codigo Postal</t>
        </is>
      </c>
      <c r="S63" s="131" t="n"/>
      <c r="T63" s="126" t="inlineStr">
        <is>
          <t>Codigo Postal</t>
        </is>
      </c>
      <c r="U63" s="131" t="n"/>
      <c r="X63" s="122" t="inlineStr">
        <is>
          <t>Nacionalidad</t>
        </is>
      </c>
      <c r="Y63" s="129" t="inlineStr">
        <is>
          <t>Elija aquí</t>
        </is>
      </c>
    </row>
    <row r="64" ht="20.25" customHeight="1">
      <c r="A64" s="122" t="inlineStr">
        <is>
          <t>Número de documento (rut)</t>
        </is>
      </c>
      <c r="B64" s="141" t="n"/>
      <c r="C64" s="144">
        <f>IF(B68="Empleado/Independiente","Cargo",IF(OR(B68="No empleado",B68="Retirado"),"Cargo (Último trabajo)",""))</f>
        <v/>
      </c>
      <c r="D64" s="144" t="n"/>
      <c r="N64" s="132" t="inlineStr">
        <is>
          <t>Dirección de correspondencia (solo si difiere a la de residencia)</t>
        </is>
      </c>
      <c r="O64" s="127" t="n"/>
      <c r="P64" s="132" t="inlineStr">
        <is>
          <t>Dirección de correspondencia (solo si difiere a la de residencia)</t>
        </is>
      </c>
      <c r="Q64" s="127" t="n"/>
      <c r="R64" s="132" t="inlineStr">
        <is>
          <t>Dirección de correspondencia (solo si difiere a la de residencia)</t>
        </is>
      </c>
      <c r="S64" s="127" t="n"/>
      <c r="T64" s="132" t="inlineStr">
        <is>
          <t>Dirección de correspondencia (solo si difiere a la de residencia)</t>
        </is>
      </c>
      <c r="U64" s="127" t="n"/>
      <c r="X64" s="122" t="inlineStr">
        <is>
          <t>Ciudadanía</t>
        </is>
      </c>
      <c r="Y64" s="129" t="inlineStr">
        <is>
          <t>Elija aquí</t>
        </is>
      </c>
    </row>
    <row r="65">
      <c r="A65" s="122" t="inlineStr">
        <is>
          <t>Identificación fiscal (rut)</t>
        </is>
      </c>
      <c r="B65" s="141" t="n"/>
      <c r="C65" s="144">
        <f>IF(B68="Empleado/Independiente","Empresa",IF(OR(B68="No empleado",B68="Retirado"),"Empresa (Último trabajo)",""))</f>
        <v/>
      </c>
      <c r="D65" s="144" t="n"/>
      <c r="N65" s="126" t="inlineStr">
        <is>
          <t>Télefono</t>
        </is>
      </c>
      <c r="O65" s="127" t="n"/>
      <c r="P65" s="126" t="inlineStr">
        <is>
          <t>Télefono</t>
        </is>
      </c>
      <c r="Q65" s="127" t="n"/>
      <c r="R65" s="126" t="inlineStr">
        <is>
          <t>Télefono</t>
        </is>
      </c>
      <c r="S65" s="127" t="n"/>
      <c r="T65" s="126" t="inlineStr">
        <is>
          <t>Télefono</t>
        </is>
      </c>
      <c r="U65" s="127" t="n"/>
    </row>
    <row r="66" ht="18.75" customHeight="1">
      <c r="A66" s="122" t="inlineStr">
        <is>
          <t>Nacionalidad</t>
        </is>
      </c>
      <c r="B66" s="141" t="inlineStr">
        <is>
          <t>Chilena</t>
        </is>
      </c>
      <c r="C66" s="144">
        <f>IF(B68="Empleado/Independiente","Rubro de la empresa",IF(OR(B68="No empleado",B68="Retirado"),"Rubro de la Empresa (Último trabajo)",""))</f>
        <v/>
      </c>
      <c r="D66" s="144" t="n"/>
      <c r="N66" s="126" t="inlineStr">
        <is>
          <t>E-mail</t>
        </is>
      </c>
      <c r="O66" s="127" t="n"/>
      <c r="P66" s="126" t="inlineStr">
        <is>
          <t>E-mail</t>
        </is>
      </c>
      <c r="Q66" s="127" t="n"/>
      <c r="R66" s="126" t="inlineStr">
        <is>
          <t>E-mail</t>
        </is>
      </c>
      <c r="S66" s="127" t="n"/>
      <c r="T66" s="126" t="inlineStr">
        <is>
          <t>E-mail</t>
        </is>
      </c>
      <c r="U66" s="127" t="n"/>
      <c r="X66" s="133" t="inlineStr">
        <is>
          <t>Situación Laboral</t>
        </is>
      </c>
      <c r="Y66" s="133" t="n"/>
    </row>
    <row r="67" ht="18.75" customHeight="1">
      <c r="A67" s="122" t="inlineStr">
        <is>
          <t>Ciudadanía</t>
        </is>
      </c>
      <c r="B67" s="141" t="inlineStr">
        <is>
          <t>Chilena</t>
        </is>
      </c>
      <c r="C67" s="144">
        <f>IF(B68="Empleado/Independiente","País empresa","")</f>
        <v/>
      </c>
      <c r="D67" s="144" t="inlineStr">
        <is>
          <t>Seleccione una opción</t>
        </is>
      </c>
      <c r="E67" s="134" t="n"/>
      <c r="F67" s="134" t="n"/>
      <c r="G67" s="134" t="n"/>
      <c r="H67" s="134" t="n"/>
      <c r="I67" s="134" t="n"/>
      <c r="J67" s="134" t="n"/>
      <c r="K67" s="134" t="n"/>
      <c r="L67" s="134" t="n"/>
      <c r="N67" s="126" t="inlineStr">
        <is>
          <t>Fecha de nacimiento</t>
        </is>
      </c>
      <c r="O67" s="135" t="n"/>
      <c r="P67" s="126" t="inlineStr">
        <is>
          <t>Fecha de nacimiento</t>
        </is>
      </c>
      <c r="Q67" s="135" t="n"/>
      <c r="R67" s="126" t="inlineStr">
        <is>
          <t>Fecha de nacimiento</t>
        </is>
      </c>
      <c r="S67" s="135" t="n"/>
      <c r="T67" s="126" t="inlineStr">
        <is>
          <t>Fecha de nacimiento</t>
        </is>
      </c>
      <c r="U67" s="135" t="n"/>
      <c r="X67" s="122" t="inlineStr">
        <is>
          <t>Ocupación</t>
        </is>
      </c>
      <c r="Y67" s="124" t="inlineStr">
        <is>
          <t>Seleccione una opción</t>
        </is>
      </c>
    </row>
    <row r="68">
      <c r="A68" s="122" t="inlineStr">
        <is>
          <t>Situación laboral</t>
        </is>
      </c>
      <c r="B68" s="141" t="inlineStr"/>
      <c r="C68" s="144">
        <f>IF(B68="Empleado/Independiente","Provincia empresa","")</f>
        <v/>
      </c>
      <c r="D68" s="144" t="n"/>
      <c r="N68" s="126" t="inlineStr">
        <is>
          <t>País Emisor del documento</t>
        </is>
      </c>
      <c r="O68" s="127" t="inlineStr">
        <is>
          <t>Seleccione una opción</t>
        </is>
      </c>
      <c r="P68" s="126" t="inlineStr">
        <is>
          <t>País Emisor del documento</t>
        </is>
      </c>
      <c r="Q68" s="127" t="inlineStr">
        <is>
          <t>Seleccione una opción</t>
        </is>
      </c>
      <c r="R68" s="126" t="inlineStr">
        <is>
          <t>País Emisor del documento</t>
        </is>
      </c>
      <c r="S68" s="127" t="inlineStr">
        <is>
          <t>Seleccione una opción</t>
        </is>
      </c>
      <c r="T68" s="126" t="inlineStr">
        <is>
          <t>País Emisor del documento</t>
        </is>
      </c>
      <c r="U68" s="127" t="inlineStr">
        <is>
          <t>Seleccione una opción</t>
        </is>
      </c>
      <c r="X68" s="122" t="inlineStr">
        <is>
          <t>Cargo</t>
        </is>
      </c>
      <c r="Y68" s="124" t="n"/>
    </row>
    <row r="69">
      <c r="A69" s="122" t="inlineStr">
        <is>
          <t>Ocupación</t>
        </is>
      </c>
      <c r="B69" s="141" t="inlineStr">
        <is>
          <t>Ingeniero Civil</t>
        </is>
      </c>
      <c r="C69" s="144">
        <f>IF(B68="Empleado/Independiente","Ciudad empresa","")</f>
        <v/>
      </c>
      <c r="D69" s="144" t="n"/>
      <c r="N69" s="126" t="inlineStr">
        <is>
          <t>Tipo de documento</t>
        </is>
      </c>
      <c r="O69" s="127" t="n"/>
      <c r="P69" s="126" t="inlineStr">
        <is>
          <t>Tipo de documento</t>
        </is>
      </c>
      <c r="Q69" s="127" t="n"/>
      <c r="R69" s="126" t="inlineStr">
        <is>
          <t>Tipo de documento</t>
        </is>
      </c>
      <c r="S69" s="127" t="n"/>
      <c r="T69" s="126" t="inlineStr">
        <is>
          <t>Tipo de documento</t>
        </is>
      </c>
      <c r="U69" s="127" t="n"/>
      <c r="X69" s="122" t="inlineStr">
        <is>
          <t>Empresa</t>
        </is>
      </c>
      <c r="Y69" s="124" t="n"/>
    </row>
    <row r="70">
      <c r="A70" s="122" t="inlineStr">
        <is>
          <t>Estado Civil</t>
        </is>
      </c>
      <c r="B70" s="141" t="inlineStr">
        <is>
          <t>Casado/a</t>
        </is>
      </c>
      <c r="C70" s="144">
        <f>IF(B68="Empleado/Independiente","Dirección empresa","")</f>
        <v/>
      </c>
      <c r="D70" s="144" t="n"/>
      <c r="N70" s="126" t="inlineStr">
        <is>
          <t>Número de documento</t>
        </is>
      </c>
      <c r="O70" s="127" t="n"/>
      <c r="P70" s="126" t="inlineStr">
        <is>
          <t>Número de documento</t>
        </is>
      </c>
      <c r="Q70" s="127" t="n"/>
      <c r="R70" s="126" t="inlineStr">
        <is>
          <t>Número de documento</t>
        </is>
      </c>
      <c r="S70" s="127" t="n"/>
      <c r="T70" s="126" t="inlineStr">
        <is>
          <t>Número de documento</t>
        </is>
      </c>
      <c r="U70" s="127" t="n"/>
      <c r="X70" s="122" t="inlineStr">
        <is>
          <t>Rubro de la empresa</t>
        </is>
      </c>
      <c r="Y70" s="124" t="n"/>
    </row>
    <row r="71" ht="17.25" customHeight="1">
      <c r="A71" s="122" t="inlineStr">
        <is>
          <t>Cantidad de hijos</t>
        </is>
      </c>
      <c r="B71" s="141" t="n"/>
      <c r="C71" s="144">
        <f>IF(B68="Empleado/Independiente","Código postal empresa","")</f>
        <v/>
      </c>
      <c r="D71" s="144" t="n"/>
      <c r="N71" s="126" t="inlineStr">
        <is>
          <t>Identificación fiscal</t>
        </is>
      </c>
      <c r="O71" s="127" t="n"/>
      <c r="P71" s="126" t="inlineStr">
        <is>
          <t>Identificación fiscal</t>
        </is>
      </c>
      <c r="Q71" s="127" t="n"/>
      <c r="R71" s="126" t="inlineStr">
        <is>
          <t>Identificación fiscal</t>
        </is>
      </c>
      <c r="S71" s="127" t="n"/>
      <c r="T71" s="126" t="inlineStr">
        <is>
          <t>Identificación fiscal</t>
        </is>
      </c>
      <c r="U71" s="127" t="n"/>
      <c r="X71" s="125" t="inlineStr">
        <is>
          <t>Dirección Empresa (País, Provincia y Ciudad)</t>
        </is>
      </c>
      <c r="Y71" s="136" t="n"/>
    </row>
    <row r="72" ht="30.75" customFormat="1" customHeight="1" s="134">
      <c r="A72" s="137" t="inlineStr">
        <is>
          <t>Indique si se encuentra comprendido en la categoría de PEP (persona políticamente expuesta)</t>
        </is>
      </c>
      <c r="B72" s="159" t="inlineStr">
        <is>
          <t>No</t>
        </is>
      </c>
      <c r="C72" s="144">
        <f>IF(B68="Empleado/Independiente","Número de contacto empresa","")</f>
        <v/>
      </c>
      <c r="D72" s="160" t="n"/>
      <c r="E72" s="100" t="n"/>
      <c r="F72" s="100" t="n"/>
      <c r="G72" s="100" t="n"/>
      <c r="H72" s="138" t="n"/>
      <c r="I72" s="138" t="n"/>
      <c r="J72" s="138" t="n"/>
      <c r="K72" s="138" t="n"/>
      <c r="L72" s="138" t="n"/>
      <c r="N72" s="126" t="inlineStr">
        <is>
          <t>Nacionalidad</t>
        </is>
      </c>
      <c r="O72" s="127" t="inlineStr">
        <is>
          <t>Seleccione una opción</t>
        </is>
      </c>
      <c r="P72" s="126" t="inlineStr">
        <is>
          <t>Nacionalidad</t>
        </is>
      </c>
      <c r="Q72" s="127" t="inlineStr">
        <is>
          <t>Seleccione una opción</t>
        </is>
      </c>
      <c r="R72" s="126" t="inlineStr">
        <is>
          <t>Nacionalidad</t>
        </is>
      </c>
      <c r="S72" s="127" t="inlineStr">
        <is>
          <t>Seleccione una opción</t>
        </is>
      </c>
      <c r="T72" s="126" t="inlineStr">
        <is>
          <t>Nacionalidad</t>
        </is>
      </c>
      <c r="U72" s="127" t="inlineStr">
        <is>
          <t>Seleccione una opción</t>
        </is>
      </c>
      <c r="V72" s="101" t="n"/>
      <c r="W72" s="101" t="n"/>
      <c r="X72" s="122" t="inlineStr">
        <is>
          <t>Dirección Empresa</t>
        </is>
      </c>
      <c r="Y72" s="124" t="n"/>
    </row>
    <row r="73">
      <c r="A73" s="138">
        <f>IF(B72="Si","Cargo público desempeñado y período de tiempo","")</f>
        <v/>
      </c>
      <c r="B73" s="160" t="n"/>
      <c r="C73" s="144">
        <f>IF(B68="Empleado/Independiente","E-mail Empresa","")</f>
        <v/>
      </c>
      <c r="D73" s="144" t="n"/>
      <c r="G73" s="100">
        <f>IF(S78="Si","Cargo público desempeñado y período de tiempo","")</f>
        <v/>
      </c>
      <c r="I73" s="100">
        <f>IF(U78="Si","Cargo público desempeñado y período de tiempo","")</f>
        <v/>
      </c>
      <c r="N73" s="126" t="inlineStr">
        <is>
          <t>Ciudadanía</t>
        </is>
      </c>
      <c r="O73" s="127" t="inlineStr">
        <is>
          <t>Seleccione una opción</t>
        </is>
      </c>
      <c r="P73" s="126" t="inlineStr">
        <is>
          <t>Ciudadanía</t>
        </is>
      </c>
      <c r="Q73" s="127" t="inlineStr">
        <is>
          <t>Seleccione una opción</t>
        </is>
      </c>
      <c r="R73" s="126" t="inlineStr">
        <is>
          <t>Ciudadanía</t>
        </is>
      </c>
      <c r="S73" s="127" t="inlineStr">
        <is>
          <t>Seleccione una opción</t>
        </is>
      </c>
      <c r="T73" s="126" t="inlineStr">
        <is>
          <t>Ciudadanía</t>
        </is>
      </c>
      <c r="U73" s="127" t="inlineStr">
        <is>
          <t>Seleccione una opción</t>
        </is>
      </c>
      <c r="X73" s="122" t="inlineStr">
        <is>
          <t>Código Postal Empresa</t>
        </is>
      </c>
      <c r="Y73" s="124" t="n"/>
    </row>
    <row r="74" ht="23.25" customHeight="1">
      <c r="A74" s="137" t="inlineStr">
        <is>
          <t>¿Acepta que la correspondencia sea por correo electrónico?</t>
        </is>
      </c>
      <c r="B74" s="159" t="inlineStr">
        <is>
          <t>Seleccione una opción</t>
        </is>
      </c>
      <c r="C74" s="144">
        <f>IF(B68="Empleado/Independiente","Página web de la empresa","")</f>
        <v/>
      </c>
      <c r="D74" s="144" t="n"/>
      <c r="E74" s="155" t="n"/>
      <c r="N74" s="126" t="inlineStr">
        <is>
          <t>Situación laboral</t>
        </is>
      </c>
      <c r="O74" s="127" t="inlineStr">
        <is>
          <t>Seleccione una opción</t>
        </is>
      </c>
      <c r="P74" s="126" t="inlineStr">
        <is>
          <t>Situación laboral</t>
        </is>
      </c>
      <c r="Q74" s="127" t="inlineStr">
        <is>
          <t>Seleccione una opción</t>
        </is>
      </c>
      <c r="R74" s="126" t="inlineStr">
        <is>
          <t>Situación laboral</t>
        </is>
      </c>
      <c r="S74" s="127" t="inlineStr">
        <is>
          <t>Seleccione una opción</t>
        </is>
      </c>
      <c r="T74" s="126" t="inlineStr">
        <is>
          <t>Situación laboral</t>
        </is>
      </c>
      <c r="U74" s="127" t="inlineStr">
        <is>
          <t>Seleccione una opción</t>
        </is>
      </c>
      <c r="X74" s="125" t="inlineStr">
        <is>
          <t>Teléfono Empresa (País, Ciudad, Número y Fax)</t>
        </is>
      </c>
      <c r="Y74" s="136" t="n"/>
    </row>
    <row r="75" ht="21" customHeight="1">
      <c r="B75" s="100" t="n"/>
      <c r="C75" s="138" t="n"/>
      <c r="D75" s="138" t="n"/>
      <c r="E75" s="138" t="n"/>
      <c r="F75" s="138" t="n"/>
      <c r="G75" s="138">
        <f>IF(S76="Casado/a"," Nombres","")</f>
        <v/>
      </c>
      <c r="H75" s="138" t="n"/>
      <c r="I75" s="138">
        <f>IF(U76="Casado/a"," Nombres","")</f>
        <v/>
      </c>
      <c r="J75" s="138" t="n"/>
      <c r="K75" s="138" t="n"/>
      <c r="L75" s="138" t="n"/>
      <c r="N75" s="126" t="inlineStr">
        <is>
          <t>Ocupación</t>
        </is>
      </c>
      <c r="O75" s="139" t="inlineStr">
        <is>
          <t>Seleccione una opción</t>
        </is>
      </c>
      <c r="P75" s="126" t="inlineStr">
        <is>
          <t>Ocupación</t>
        </is>
      </c>
      <c r="Q75" s="139" t="inlineStr">
        <is>
          <t>Seleccione una opción</t>
        </is>
      </c>
      <c r="R75" s="126" t="inlineStr">
        <is>
          <t>Ocupación</t>
        </is>
      </c>
      <c r="S75" s="139" t="inlineStr">
        <is>
          <t>Seleccione una opción</t>
        </is>
      </c>
      <c r="T75" s="126" t="inlineStr">
        <is>
          <t>Ocupación</t>
        </is>
      </c>
      <c r="U75" s="139" t="inlineStr">
        <is>
          <t>Seleccione una opción</t>
        </is>
      </c>
      <c r="X75" s="122" t="inlineStr">
        <is>
          <t>E-mail</t>
        </is>
      </c>
      <c r="Y75" s="124" t="n"/>
    </row>
    <row r="76" ht="28.5" customHeight="1">
      <c r="A76" s="156">
        <f>IF(B70="Casado/a"," Datos Cónyuge","")</f>
        <v/>
      </c>
      <c r="G76" s="100">
        <f>IF(S76="Casado/a"," Apellidos","")</f>
        <v/>
      </c>
      <c r="I76" s="100">
        <f>IF(U76="Casado/a"," Apellidos","")</f>
        <v/>
      </c>
      <c r="N76" s="126" t="inlineStr">
        <is>
          <t>Estado Civil</t>
        </is>
      </c>
      <c r="O76" s="127" t="inlineStr">
        <is>
          <t>Seleccione una opción</t>
        </is>
      </c>
      <c r="P76" s="126" t="inlineStr">
        <is>
          <t>Estado Civil</t>
        </is>
      </c>
      <c r="Q76" s="127" t="inlineStr">
        <is>
          <t>Seleccione una opción</t>
        </is>
      </c>
      <c r="R76" s="126" t="inlineStr">
        <is>
          <t>Estado Civil</t>
        </is>
      </c>
      <c r="S76" s="127" t="inlineStr">
        <is>
          <t>Seleccione una opción</t>
        </is>
      </c>
      <c r="T76" s="126" t="inlineStr">
        <is>
          <t>Estado Civil</t>
        </is>
      </c>
      <c r="U76" s="127" t="inlineStr">
        <is>
          <t>Soltero/a</t>
        </is>
      </c>
      <c r="X76" s="122" t="inlineStr">
        <is>
          <t>Página web de la empresa</t>
        </is>
      </c>
      <c r="Y76" s="124" t="n"/>
    </row>
    <row r="77" ht="27" customFormat="1" customHeight="1" s="138">
      <c r="A77" s="106">
        <f>IF(B70="Casado/a"," Nombres","")</f>
        <v/>
      </c>
      <c r="B77" s="106" t="n"/>
      <c r="C77" s="100">
        <f>IF(B70="Casado/a"," Fecha de nacimiento","")</f>
        <v/>
      </c>
      <c r="D77" s="106" t="n"/>
      <c r="E77" s="144">
        <f>IF(B79="Empleado/Independiente","Cargo",IF(OR(B79="No empleado",B79="Retirado"),"Cargo (Último trabajo)",""))</f>
        <v/>
      </c>
      <c r="F77" s="100" t="n"/>
      <c r="G77" s="100">
        <f>IF(S76="Casado/a"," Situación laboral","")</f>
        <v/>
      </c>
      <c r="H77" s="100" t="n"/>
      <c r="I77" s="100">
        <f>IF(U76="Casado/a"," Situación laboral","")</f>
        <v/>
      </c>
      <c r="J77" s="100" t="n"/>
      <c r="K77" s="100" t="n"/>
      <c r="L77" s="100" t="n"/>
      <c r="N77" s="126" t="inlineStr">
        <is>
          <t>Cantidad de hijos</t>
        </is>
      </c>
      <c r="O77" s="127" t="n"/>
      <c r="P77" s="126" t="inlineStr">
        <is>
          <t>Cantidad de hijos</t>
        </is>
      </c>
      <c r="Q77" s="127" t="n"/>
      <c r="R77" s="126" t="inlineStr">
        <is>
          <t>Cantidad de hijos</t>
        </is>
      </c>
      <c r="S77" s="127" t="n"/>
      <c r="T77" s="126" t="inlineStr">
        <is>
          <t>Cantidad de hijos</t>
        </is>
      </c>
      <c r="U77" s="127" t="n"/>
      <c r="V77" s="101" t="n"/>
      <c r="W77" s="101" t="n"/>
      <c r="X77" s="122" t="inlineStr">
        <is>
          <t>Ocupación</t>
        </is>
      </c>
      <c r="Y77" s="124" t="inlineStr">
        <is>
          <t>Elija aquí</t>
        </is>
      </c>
    </row>
    <row r="78" ht="26.25" customHeight="1">
      <c r="A78" s="106">
        <f>IF(B70="Casado/a"," Apellidos","")</f>
        <v/>
      </c>
      <c r="C78" s="100">
        <f>IF(B70="Casado/a"," País emisor del documento","")</f>
        <v/>
      </c>
      <c r="D78" s="112" t="inlineStr">
        <is>
          <t>Seleccione una opción</t>
        </is>
      </c>
      <c r="E78" s="144">
        <f>IF(B79="Empleado/Independiente","Empresa",IF(OR(B79="No empleado",B79="Retirado"),"Empresa (Último trabajo)",""))</f>
        <v/>
      </c>
      <c r="I78" s="134" t="n"/>
      <c r="J78" s="134" t="n"/>
      <c r="K78" s="134" t="n"/>
      <c r="L78" s="134" t="n"/>
      <c r="N78" s="132" t="inlineStr">
        <is>
          <t>Indique si se encuentra comprendido en la categoría de PEP (persona políticamente expuesta)</t>
        </is>
      </c>
      <c r="O78" s="127" t="inlineStr">
        <is>
          <t>No</t>
        </is>
      </c>
      <c r="P78" s="132" t="inlineStr">
        <is>
          <t>Indique si se encuentra comprendido en la categoría de PEP (persona políticamente expuesta)</t>
        </is>
      </c>
      <c r="Q78" s="127" t="inlineStr">
        <is>
          <t>No</t>
        </is>
      </c>
      <c r="R78" s="132" t="inlineStr">
        <is>
          <t>Indique si se encuentra comprendido en la categoría de PEP (persona políticamente expuesta)</t>
        </is>
      </c>
      <c r="S78" s="127" t="inlineStr">
        <is>
          <t>No</t>
        </is>
      </c>
      <c r="T78" s="132" t="inlineStr">
        <is>
          <t>Indique si se encuentra comprendido en la categoría de PEP (persona políticamente expuesta)</t>
        </is>
      </c>
      <c r="U78" s="127" t="inlineStr">
        <is>
          <t>No</t>
        </is>
      </c>
      <c r="X78" s="122" t="inlineStr">
        <is>
          <t>Estado civil</t>
        </is>
      </c>
      <c r="Y78" s="129" t="inlineStr">
        <is>
          <t>Elija aquí</t>
        </is>
      </c>
    </row>
    <row r="79" ht="34.5" customHeight="1">
      <c r="A79" s="106">
        <f>IF(B70="Casado/a"," Situación laboral","")</f>
        <v/>
      </c>
      <c r="B79" s="116" t="inlineStr">
        <is>
          <t>Seleccione una opción</t>
        </is>
      </c>
      <c r="C79" s="100">
        <f>IF(B70="Casado/a"," Tipo de documento","")</f>
        <v/>
      </c>
      <c r="D79" s="112" t="inlineStr">
        <is>
          <t>Documento Gubernamental</t>
        </is>
      </c>
      <c r="E79" s="144">
        <f>IF(B79="Empleado/Independiente","Rubro de la empresa",IF(OR(B79="No empleado",B79="Retirado"),"Rubro de la Empresa (Último trabajo)",""))</f>
        <v/>
      </c>
      <c r="X79" s="125" t="inlineStr">
        <is>
          <t>Indique si se encuentra comprendido en la categoría de PEP (persona políticamente expuesta) Si/No:</t>
        </is>
      </c>
      <c r="Y79" s="129" t="inlineStr">
        <is>
          <t>Elija aquí</t>
        </is>
      </c>
    </row>
    <row r="80" ht="17.25" customFormat="1" customHeight="1" s="138">
      <c r="A80" s="138">
        <f>IF(B70="Casado/a"," Nacionalidad","")</f>
        <v/>
      </c>
      <c r="B80" s="112" t="inlineStr">
        <is>
          <t>Seleccione una opción</t>
        </is>
      </c>
      <c r="C80" s="100">
        <f>IF(B70="Casado/a"," Número de documento","")</f>
        <v/>
      </c>
      <c r="D80" s="106" t="n"/>
      <c r="E80" s="130" t="n"/>
      <c r="F80" s="100" t="n"/>
      <c r="G80" s="100" t="n"/>
      <c r="H80" s="100" t="n"/>
      <c r="I80" s="100" t="n"/>
      <c r="J80" s="100" t="n"/>
      <c r="K80" s="100" t="n"/>
      <c r="L80" s="100" t="n"/>
      <c r="N80" s="100" t="n"/>
      <c r="O80" s="100" t="n"/>
      <c r="P80" s="100" t="n"/>
      <c r="T80" s="101" t="n"/>
      <c r="U80" s="101" t="n"/>
      <c r="V80" s="101" t="n"/>
      <c r="W80" s="101" t="n"/>
      <c r="X80" s="125" t="inlineStr">
        <is>
          <t>¿Acepta que la correspondencia sea por correo electrónico?</t>
        </is>
      </c>
      <c r="Y80" s="129" t="inlineStr">
        <is>
          <t>Elija aquí</t>
        </is>
      </c>
    </row>
    <row r="81">
      <c r="B81" s="144" t="n"/>
    </row>
    <row r="82" ht="27" customHeight="1">
      <c r="A82" s="156" t="inlineStr">
        <is>
          <t>Experiencia de inversiones</t>
        </is>
      </c>
      <c r="B82" s="150" t="n"/>
    </row>
    <row r="83" ht="30.75" customHeight="1">
      <c r="A83" s="152" t="inlineStr">
        <is>
          <t>Completar información contemplando a todos los titulares (Nula / Limitada / Promedio / Alta)</t>
        </is>
      </c>
      <c r="B83" s="153" t="n"/>
      <c r="C83" s="134" t="n"/>
      <c r="D83" s="134" t="n"/>
    </row>
    <row r="84">
      <c r="A84" s="145" t="inlineStr">
        <is>
          <t>Acciones</t>
        </is>
      </c>
      <c r="B84" s="141" t="inlineStr">
        <is>
          <t>Seleccione una opción</t>
        </is>
      </c>
      <c r="C84" s="142" t="n"/>
      <c r="D84" s="142" t="n"/>
    </row>
    <row r="85" ht="15.75" customFormat="1" customHeight="1" s="130">
      <c r="A85" s="145" t="inlineStr">
        <is>
          <t>Fondos Mutuos</t>
        </is>
      </c>
      <c r="B85" s="141" t="inlineStr">
        <is>
          <t>Seleccione una opción</t>
        </is>
      </c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N85" s="100" t="n"/>
      <c r="O85" s="100" t="n"/>
      <c r="P85" s="100" t="n"/>
      <c r="T85" s="101" t="n"/>
      <c r="U85" s="101" t="n"/>
      <c r="V85" s="101" t="n"/>
      <c r="W85" s="101" t="n"/>
    </row>
    <row r="86">
      <c r="A86" s="145" t="inlineStr">
        <is>
          <t>Anualidades</t>
        </is>
      </c>
      <c r="B86" s="141" t="inlineStr">
        <is>
          <t>Seleccione una opción</t>
        </is>
      </c>
    </row>
    <row r="87">
      <c r="A87" s="145" t="inlineStr">
        <is>
          <t>Opciones</t>
        </is>
      </c>
      <c r="B87" s="141" t="inlineStr">
        <is>
          <t>Seleccione una opción</t>
        </is>
      </c>
    </row>
    <row r="88">
      <c r="A88" s="145" t="inlineStr">
        <is>
          <t>Inversiones Alternativas</t>
        </is>
      </c>
      <c r="B88" s="141" t="inlineStr">
        <is>
          <t>Seleccione una opción</t>
        </is>
      </c>
    </row>
    <row r="89">
      <c r="A89" s="145" t="inlineStr">
        <is>
          <t>Financial Profile</t>
        </is>
      </c>
      <c r="B89" s="141" t="inlineStr">
        <is>
          <t>Seleccione una opción</t>
        </is>
      </c>
    </row>
    <row r="90" ht="15.75" customHeight="1">
      <c r="A90" s="130" t="n"/>
      <c r="B90" s="146" t="n"/>
    </row>
    <row r="91" ht="27" customHeight="1">
      <c r="A91" s="163" t="inlineStr">
        <is>
          <t>Financial Profile</t>
        </is>
      </c>
      <c r="B91" s="150" t="n"/>
    </row>
    <row r="92">
      <c r="A92" s="145" t="inlineStr">
        <is>
          <t>Necesidad de liquidez</t>
        </is>
      </c>
      <c r="B92" s="141" t="inlineStr"/>
    </row>
    <row r="93" ht="18.75" customHeight="1">
      <c r="A93" s="145" t="inlineStr">
        <is>
          <t>Ingresos Anuales (USD)</t>
        </is>
      </c>
      <c r="B93" s="141" t="inlineStr">
        <is>
          <t>100.000 - 250.000</t>
        </is>
      </c>
      <c r="H93" s="134" t="n"/>
    </row>
    <row r="94" ht="18.75" customHeight="1">
      <c r="A94" s="145" t="inlineStr">
        <is>
          <t>Monto exacto de ingresos anuales (USD)</t>
        </is>
      </c>
      <c r="B94" s="141" t="n"/>
      <c r="C94" s="134" t="n"/>
      <c r="H94" s="142" t="n"/>
    </row>
    <row r="95" ht="18.75" customHeight="1">
      <c r="A95" s="145" t="inlineStr">
        <is>
          <t>Activos líquidos (USD)</t>
        </is>
      </c>
      <c r="B95" s="141" t="inlineStr"/>
      <c r="E95" s="134" t="n"/>
      <c r="I95" s="134" t="n"/>
      <c r="J95" s="134" t="n"/>
      <c r="K95" s="134" t="n"/>
      <c r="L95" s="134" t="n"/>
    </row>
    <row r="96">
      <c r="A96" s="145" t="inlineStr">
        <is>
          <t>Monto exacto de activos liquidos (USD)</t>
        </is>
      </c>
      <c r="B96" s="141" t="n"/>
      <c r="E96" s="142" t="n"/>
      <c r="I96" s="142" t="n"/>
      <c r="J96" s="142" t="n"/>
      <c r="K96" s="142" t="n"/>
      <c r="L96" s="142" t="n"/>
    </row>
    <row r="97">
      <c r="A97" s="145" t="inlineStr">
        <is>
          <t>Patrimonio total (USD)</t>
        </is>
      </c>
      <c r="B97" s="141" t="inlineStr">
        <is>
          <t>500.000 - 1.000.000</t>
        </is>
      </c>
    </row>
    <row r="98" ht="21.75" customHeight="1">
      <c r="A98" s="145" t="inlineStr">
        <is>
          <t>Planea efectuar aportes adicionales</t>
        </is>
      </c>
      <c r="B98" s="141" t="inlineStr">
        <is>
          <t>No</t>
        </is>
      </c>
    </row>
    <row r="99">
      <c r="A99" s="100">
        <f>IF(B98="Si","Periodicidad de aportes","")</f>
        <v/>
      </c>
      <c r="B99" s="144" t="inlineStr">
        <is>
          <t>Seleccione una opción</t>
        </is>
      </c>
    </row>
    <row r="100">
      <c r="A100" s="100">
        <f>IF(B98="Si","Montos aproximados de aportes adicionales","")</f>
        <v/>
      </c>
      <c r="B100" s="144" t="inlineStr">
        <is>
          <t>Seleccione una opción</t>
        </is>
      </c>
    </row>
    <row r="101" ht="30.75" customHeight="1">
      <c r="A101" s="147" t="inlineStr">
        <is>
          <t>Tiempo estimado (en años) en el que planea realizar retiros de la cuenta</t>
        </is>
      </c>
      <c r="B101" s="141" t="inlineStr">
        <is>
          <t>Más de 10 años</t>
        </is>
      </c>
      <c r="G101" s="134" t="n"/>
      <c r="H101" s="134" t="n"/>
    </row>
    <row r="102" ht="18.75" customHeight="1">
      <c r="A102" s="145" t="inlineStr">
        <is>
          <t>Banco origen de los fondos</t>
        </is>
      </c>
      <c r="B102" s="141" t="n"/>
      <c r="D102" s="134" t="n"/>
    </row>
    <row r="103" ht="18.75" customHeight="1">
      <c r="A103" s="145" t="inlineStr">
        <is>
          <t>País de origen de los fondos</t>
        </is>
      </c>
      <c r="B103" s="141" t="inlineStr">
        <is>
          <t>Chile</t>
        </is>
      </c>
      <c r="D103" s="142" t="n"/>
      <c r="I103" s="134" t="n"/>
      <c r="J103" s="134" t="n"/>
      <c r="K103" s="134" t="n"/>
      <c r="L103" s="134" t="n"/>
    </row>
    <row r="104">
      <c r="A104" s="145" t="inlineStr">
        <is>
          <t>Origen de fondos</t>
        </is>
      </c>
      <c r="B104" s="141" t="inlineStr">
        <is>
          <t>Venta de empresa</t>
        </is>
      </c>
    </row>
    <row r="105">
      <c r="C105" s="100">
        <f>IF(OR(B104="Arrendamientos",B104="Bonos",B104="Dividendos",B104="Divorcio",B104="Venta de empresa",B104="Venta de inmuebles",B104="Patrimonio familiar",B104="Herencia",B104="Donación"),"Monto recibido (USD)",IF(B104="Profesión del cliente","Antigüedad laboral (en años)",""))</f>
        <v/>
      </c>
      <c r="D105" s="106" t="n"/>
    </row>
    <row r="106">
      <c r="C106" s="100">
        <f>IF(OR(B104="Arrendamientos",B104="Bonos",B104="Dividendos",B104="Divorcio",B104="Venta de empresa",B104="Venta de inmuebles",B104="Herencia",B104="Donación"),"Fecha en la que se recibió",IF(B104="Patrimonio familiar","Cantidad de años en los que fue generado el patrimonio",""))</f>
        <v/>
      </c>
      <c r="D106" s="106" t="n"/>
    </row>
    <row r="107">
      <c r="A107" s="145" t="inlineStr">
        <is>
          <t>Apoderado para enviar órdenes (Averta Support)</t>
        </is>
      </c>
      <c r="B107" s="141" t="n"/>
      <c r="C107" s="100">
        <f>IF(B104="Donación","Relación con el donante","")</f>
        <v/>
      </c>
      <c r="D107" s="106" t="n"/>
    </row>
    <row r="108">
      <c r="A108" s="145" t="inlineStr">
        <is>
          <t>Mail autorizado (Averta Support)</t>
        </is>
      </c>
      <c r="B108" s="141" t="n"/>
    </row>
    <row r="109">
      <c r="A109" s="147" t="inlineStr">
        <is>
          <t>150000</t>
        </is>
      </c>
      <c r="B109" s="141" t="n"/>
      <c r="F109" s="138" t="n"/>
    </row>
    <row r="110">
      <c r="A110" s="145" t="inlineStr">
        <is>
          <t>Tipo de contrato</t>
        </is>
      </c>
      <c r="B110" s="141" t="inlineStr">
        <is>
          <t>No Discrecional</t>
        </is>
      </c>
    </row>
    <row r="111">
      <c r="A111" s="145" t="inlineStr">
        <is>
          <t>1.0%</t>
        </is>
      </c>
      <c r="B111" s="141" t="n"/>
    </row>
    <row r="112">
      <c r="A112" s="145" t="inlineStr">
        <is>
          <t>0</t>
        </is>
      </c>
      <c r="B112" s="141" t="n"/>
    </row>
    <row r="113">
      <c r="A113" s="145" t="inlineStr">
        <is>
          <t>Método de pago</t>
        </is>
      </c>
      <c r="B113" s="141" t="inlineStr">
        <is>
          <t>ACAT</t>
        </is>
      </c>
    </row>
    <row r="114">
      <c r="B114" s="100" t="n"/>
      <c r="G114" s="138" t="n"/>
      <c r="H114" s="138" t="n"/>
    </row>
    <row r="116" ht="48" customHeight="1">
      <c r="A116" s="164" t="inlineStr">
        <is>
          <t>Bancos con los que habitualmente trabaja</t>
        </is>
      </c>
      <c r="B116" s="151" t="n"/>
      <c r="E116" s="138" t="n"/>
    </row>
    <row r="117">
      <c r="A117" s="122" t="inlineStr">
        <is>
          <t xml:space="preserve">País </t>
        </is>
      </c>
      <c r="B117" s="141" t="inlineStr">
        <is>
          <t>Seleccione una opción</t>
        </is>
      </c>
      <c r="E117" s="138" t="n"/>
    </row>
    <row r="118">
      <c r="A118" s="122" t="inlineStr">
        <is>
          <t>Ciudad</t>
        </is>
      </c>
      <c r="B118" s="141" t="n"/>
      <c r="E118" s="138" t="n"/>
    </row>
    <row r="119" customFormat="1" s="138">
      <c r="A119" s="122" t="inlineStr">
        <is>
          <t>Banco</t>
        </is>
      </c>
      <c r="B119" s="141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T119" s="101" t="n"/>
      <c r="U119" s="101" t="n"/>
      <c r="V119" s="101" t="n"/>
      <c r="W119" s="101" t="n"/>
    </row>
    <row r="120">
      <c r="A120" s="122" t="inlineStr">
        <is>
          <t>Sucursal</t>
        </is>
      </c>
      <c r="B120" s="141" t="n"/>
    </row>
    <row r="122" ht="27" customHeight="1">
      <c r="A122" s="163" t="inlineStr">
        <is>
          <t>Referencias personales</t>
        </is>
      </c>
      <c r="B122" s="151" t="n"/>
      <c r="C122" s="134" t="n"/>
      <c r="D122" s="134" t="n"/>
      <c r="E122" s="138" t="n"/>
    </row>
    <row r="123">
      <c r="A123" s="162" t="inlineStr">
        <is>
          <t>Nombres</t>
        </is>
      </c>
      <c r="B123" s="123" t="n"/>
      <c r="C123" s="138" t="n"/>
      <c r="D123" s="138" t="n"/>
      <c r="E123" s="138" t="n"/>
    </row>
    <row r="124">
      <c r="A124" s="162" t="inlineStr">
        <is>
          <t>Apellidos</t>
        </is>
      </c>
      <c r="B124" s="123" t="n"/>
      <c r="C124" s="138" t="n"/>
      <c r="D124" s="138" t="n"/>
      <c r="E124" s="138" t="n"/>
    </row>
    <row r="125">
      <c r="A125" s="162" t="inlineStr">
        <is>
          <t>País</t>
        </is>
      </c>
      <c r="B125" s="141" t="inlineStr">
        <is>
          <t>Seleccione una opción</t>
        </is>
      </c>
      <c r="C125" s="138" t="n"/>
      <c r="D125" s="138" t="n"/>
    </row>
    <row r="126">
      <c r="A126" s="162" t="inlineStr">
        <is>
          <t>Provincia</t>
        </is>
      </c>
      <c r="B126" s="123" t="n"/>
    </row>
    <row r="127" ht="18.75" customHeight="1">
      <c r="A127" s="162" t="inlineStr">
        <is>
          <t>Ciudad</t>
        </is>
      </c>
      <c r="B127" s="123" t="n"/>
      <c r="F127" s="134" t="n"/>
    </row>
    <row r="128">
      <c r="A128" s="162" t="inlineStr">
        <is>
          <t>Teléfono</t>
        </is>
      </c>
      <c r="B128" s="123" t="n"/>
      <c r="F128" s="138" t="n"/>
    </row>
    <row r="129">
      <c r="A129" s="162" t="inlineStr">
        <is>
          <t>E-mail</t>
        </is>
      </c>
      <c r="B129" s="123" t="n"/>
      <c r="F129" s="138" t="n"/>
    </row>
    <row r="130" ht="18.75" customHeight="1">
      <c r="A130" s="162" t="inlineStr">
        <is>
          <t>Nombres</t>
        </is>
      </c>
      <c r="B130" s="123" t="n"/>
      <c r="C130" s="134" t="n"/>
      <c r="D130" s="134" t="n"/>
    </row>
    <row r="131" ht="18.75" customHeight="1">
      <c r="A131" s="162" t="inlineStr">
        <is>
          <t>Apellidos</t>
        </is>
      </c>
      <c r="B131" s="123" t="n"/>
      <c r="C131" s="138" t="n"/>
      <c r="D131" s="138" t="n"/>
      <c r="G131" s="134" t="n"/>
      <c r="H131" s="134" t="n"/>
    </row>
    <row r="132">
      <c r="A132" s="162" t="inlineStr">
        <is>
          <t>País</t>
        </is>
      </c>
      <c r="B132" s="123" t="n"/>
      <c r="C132" s="138" t="n"/>
      <c r="D132" s="138" t="n"/>
      <c r="G132" s="138" t="n"/>
      <c r="H132" s="138" t="n"/>
    </row>
    <row r="133" ht="18.75" customHeight="1">
      <c r="A133" s="162" t="inlineStr">
        <is>
          <t>Provincia</t>
        </is>
      </c>
      <c r="B133" s="123" t="n"/>
      <c r="C133" s="138" t="n"/>
      <c r="D133" s="138" t="n"/>
      <c r="F133" s="134" t="n"/>
      <c r="G133" s="138" t="n"/>
      <c r="H133" s="138" t="n"/>
      <c r="I133" s="134" t="n"/>
      <c r="J133" s="134" t="n"/>
      <c r="K133" s="134" t="n"/>
      <c r="L133" s="134" t="n"/>
    </row>
    <row r="134">
      <c r="A134" s="162" t="inlineStr">
        <is>
          <t>Ciudad</t>
        </is>
      </c>
      <c r="B134" s="123" t="n"/>
      <c r="F134" s="138" t="n"/>
      <c r="G134" s="138" t="n"/>
      <c r="H134" s="138" t="n"/>
      <c r="I134" s="138" t="n"/>
      <c r="J134" s="138" t="n"/>
      <c r="K134" s="138" t="n"/>
      <c r="L134" s="138" t="n"/>
    </row>
    <row r="135">
      <c r="A135" s="162" t="inlineStr">
        <is>
          <t>Teléfono</t>
        </is>
      </c>
      <c r="B135" s="123" t="n"/>
      <c r="F135" s="138" t="n"/>
      <c r="I135" s="138" t="n"/>
      <c r="J135" s="138" t="n"/>
      <c r="K135" s="138" t="n"/>
      <c r="L135" s="138" t="n"/>
    </row>
    <row r="136">
      <c r="A136" s="162" t="inlineStr">
        <is>
          <t>E-mail</t>
        </is>
      </c>
      <c r="B136" s="123" t="n"/>
      <c r="F136" s="138" t="n"/>
      <c r="I136" s="138" t="n"/>
      <c r="J136" s="138" t="n"/>
      <c r="K136" s="138" t="n"/>
      <c r="L136" s="138" t="n"/>
    </row>
    <row r="138" ht="27" customFormat="1" customHeight="1" s="134">
      <c r="A138" s="163" t="inlineStr">
        <is>
          <t>Conocimiento de cliente</t>
        </is>
      </c>
      <c r="B138" s="151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T138" s="101" t="n"/>
      <c r="U138" s="101" t="n"/>
      <c r="V138" s="101" t="n"/>
      <c r="W138" s="101" t="n"/>
    </row>
    <row r="139" customFormat="1" s="138">
      <c r="A139" s="161" t="inlineStr">
        <is>
          <t>¿Cuánto tiempo hace que conoce al cliente?</t>
        </is>
      </c>
      <c r="B139" s="148" t="inlineStr">
        <is>
          <t>Seleccione una opción</t>
        </is>
      </c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T139" s="101" t="n"/>
      <c r="U139" s="101" t="n"/>
      <c r="V139" s="101" t="n"/>
      <c r="W139" s="101" t="n"/>
    </row>
    <row r="140" customFormat="1" s="138">
      <c r="A140" s="161" t="inlineStr">
        <is>
          <t>Fecha de la última reunión personal con el cliente</t>
        </is>
      </c>
      <c r="B140" s="143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T140" s="101" t="n"/>
      <c r="U140" s="101" t="n"/>
      <c r="V140" s="101" t="n"/>
      <c r="W140" s="101" t="n"/>
    </row>
    <row r="141" customFormat="1" s="138">
      <c r="A141" s="161" t="inlineStr">
        <is>
          <t>Ubicación de la última reunión personal con el cliente</t>
        </is>
      </c>
      <c r="B141" s="149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T141" s="101" t="n"/>
      <c r="U141" s="101" t="n"/>
      <c r="V141" s="101" t="n"/>
      <c r="W141" s="101" t="n"/>
    </row>
    <row r="142">
      <c r="B142" s="100" t="n"/>
    </row>
    <row r="143">
      <c r="B143" s="100" t="n"/>
    </row>
    <row r="144">
      <c r="B144" s="100" t="n"/>
    </row>
    <row r="145">
      <c r="B145" s="100" t="n"/>
    </row>
    <row r="146">
      <c r="B146" s="100" t="n"/>
    </row>
  </sheetData>
  <mergeCells count="7">
    <mergeCell ref="A16:B16"/>
    <mergeCell ref="T54:U54"/>
    <mergeCell ref="X48:Y48"/>
    <mergeCell ref="A19:B19"/>
    <mergeCell ref="N54:O54"/>
    <mergeCell ref="R54:S54"/>
    <mergeCell ref="P54:Q54"/>
  </mergeCells>
  <conditionalFormatting sqref="B73">
    <cfRule type="cellIs" priority="49" operator="equal" dxfId="42">
      <formula>$A$73&lt;&gt;"Cargo público desempeñado y período de tiempo"</formula>
    </cfRule>
  </conditionalFormatting>
  <conditionalFormatting sqref="B77">
    <cfRule type="cellIs" priority="53" operator="equal" dxfId="42">
      <formula>$A$77&lt;&gt;" Nombres"</formula>
    </cfRule>
  </conditionalFormatting>
  <conditionalFormatting sqref="B78">
    <cfRule type="cellIs" priority="29" operator="equal" dxfId="102">
      <formula>$A$78&lt;&gt;" Apellidos"</formula>
    </cfRule>
  </conditionalFormatting>
  <conditionalFormatting sqref="B79">
    <cfRule type="cellIs" priority="150" operator="equal" dxfId="55">
      <formula>$B$79</formula>
    </cfRule>
  </conditionalFormatting>
  <conditionalFormatting sqref="B80">
    <cfRule type="cellIs" priority="25" operator="equal" dxfId="53">
      <formula>$B$80</formula>
    </cfRule>
  </conditionalFormatting>
  <conditionalFormatting sqref="B99:B100">
    <cfRule type="expression" priority="2" dxfId="53">
      <formula>$A$99&lt;&gt;""</formula>
    </cfRule>
    <cfRule type="cellIs" priority="126" operator="equal" dxfId="0">
      <formula>$A$99&lt;&gt;"Periodicidad de aportes"</formula>
    </cfRule>
  </conditionalFormatting>
  <conditionalFormatting sqref="B106">
    <cfRule type="expression" priority="118" dxfId="0">
      <formula>$A$106&lt;&gt;""</formula>
    </cfRule>
  </conditionalFormatting>
  <conditionalFormatting sqref="D64">
    <cfRule type="expression" priority="14" dxfId="53">
      <formula>$C$64&lt;&gt;""</formula>
    </cfRule>
  </conditionalFormatting>
  <conditionalFormatting sqref="D64:D66">
    <cfRule type="expression" priority="61" dxfId="0">
      <formula>$C$64&lt;&gt;""</formula>
    </cfRule>
  </conditionalFormatting>
  <conditionalFormatting sqref="D65">
    <cfRule type="expression" priority="13" dxfId="53">
      <formula>$C$65&lt;&gt;""</formula>
    </cfRule>
    <cfRule type="cellIs" priority="62" operator="equal" dxfId="0">
      <formula>$C$65&lt;&gt;"Empresa"</formula>
    </cfRule>
  </conditionalFormatting>
  <conditionalFormatting sqref="D66">
    <cfRule type="expression" priority="12" dxfId="53">
      <formula>$C$66&lt;&gt;""</formula>
    </cfRule>
  </conditionalFormatting>
  <conditionalFormatting sqref="D67">
    <cfRule type="expression" priority="11" dxfId="53">
      <formula>$C$67&lt;&gt;""</formula>
    </cfRule>
    <cfRule type="expression" priority="58" dxfId="69">
      <formula>$C$67=""</formula>
    </cfRule>
  </conditionalFormatting>
  <conditionalFormatting sqref="D67:D74">
    <cfRule type="expression" priority="57" dxfId="0">
      <formula>$C$67&lt;&gt;""</formula>
    </cfRule>
  </conditionalFormatting>
  <conditionalFormatting sqref="D68">
    <cfRule type="expression" priority="10" dxfId="53">
      <formula>$C$68&lt;&gt;""</formula>
    </cfRule>
  </conditionalFormatting>
  <conditionalFormatting sqref="D69">
    <cfRule type="expression" priority="9" dxfId="53">
      <formula>$C$69&lt;&gt;""</formula>
    </cfRule>
  </conditionalFormatting>
  <conditionalFormatting sqref="D70">
    <cfRule type="expression" priority="8" dxfId="53">
      <formula>$C$70&lt;&gt;""</formula>
    </cfRule>
  </conditionalFormatting>
  <conditionalFormatting sqref="D71">
    <cfRule type="expression" priority="7" dxfId="53">
      <formula>$C$71&lt;&gt;""</formula>
    </cfRule>
  </conditionalFormatting>
  <conditionalFormatting sqref="D72">
    <cfRule type="expression" priority="6" dxfId="53">
      <formula>$C$72&lt;&gt;""</formula>
    </cfRule>
  </conditionalFormatting>
  <conditionalFormatting sqref="D73">
    <cfRule type="expression" priority="5" dxfId="53">
      <formula>$C$73&lt;&gt;""</formula>
    </cfRule>
    <cfRule type="cellIs" priority="140" operator="equal" dxfId="42">
      <formula>$C$68&lt;&gt;"Cargo público desempeñado y período de tiempo"</formula>
    </cfRule>
  </conditionalFormatting>
  <conditionalFormatting sqref="D74">
    <cfRule type="expression" priority="4" dxfId="53">
      <formula>$C$74&lt;&gt;""</formula>
    </cfRule>
  </conditionalFormatting>
  <conditionalFormatting sqref="D75">
    <cfRule type="cellIs" priority="141" operator="equal" dxfId="0">
      <formula>$C$70&lt;&gt;" Nombres"</formula>
    </cfRule>
  </conditionalFormatting>
  <conditionalFormatting sqref="D76">
    <cfRule type="cellIs" priority="142" operator="equal" dxfId="0">
      <formula>$C$71&lt;&gt;" Apellidos"</formula>
    </cfRule>
  </conditionalFormatting>
  <conditionalFormatting sqref="D77">
    <cfRule type="cellIs" priority="42" operator="equal" dxfId="42">
      <formula>$A$77&lt;&gt;" Nombres"</formula>
    </cfRule>
  </conditionalFormatting>
  <conditionalFormatting sqref="D78">
    <cfRule type="cellIs" priority="24" operator="equal" dxfId="55">
      <formula>$D$78</formula>
    </cfRule>
  </conditionalFormatting>
  <conditionalFormatting sqref="D79">
    <cfRule type="cellIs" priority="22" operator="equal" dxfId="53">
      <formula>$D$79</formula>
    </cfRule>
  </conditionalFormatting>
  <conditionalFormatting sqref="D80">
    <cfRule type="cellIs" priority="41" operator="equal" dxfId="42">
      <formula>$A$78&lt;&gt;" Apellidos"</formula>
    </cfRule>
  </conditionalFormatting>
  <conditionalFormatting sqref="D105">
    <cfRule type="expression" priority="45" dxfId="42">
      <formula>$C$105&lt;&gt;""</formula>
    </cfRule>
  </conditionalFormatting>
  <conditionalFormatting sqref="D106">
    <cfRule type="expression" priority="44" dxfId="42">
      <formula>$C$106&lt;&gt;""</formula>
    </cfRule>
  </conditionalFormatting>
  <conditionalFormatting sqref="D107">
    <cfRule type="expression" priority="43" dxfId="42">
      <formula>$C$107&lt;&gt;""</formula>
    </cfRule>
  </conditionalFormatting>
  <conditionalFormatting sqref="E77:E79">
    <cfRule type="expression" priority="17" dxfId="4">
      <formula>$B$79&lt;&gt;"Seleccione una opción"</formula>
    </cfRule>
    <cfRule type="expression" priority="15" dxfId="47">
      <formula>$B$79="Estudiante"</formula>
    </cfRule>
  </conditionalFormatting>
  <conditionalFormatting sqref="F73">
    <cfRule type="cellIs" priority="129" operator="equal" dxfId="0">
      <formula>$E$73&lt;&gt;"Cargo público desempeñado y período de tiempo"</formula>
    </cfRule>
  </conditionalFormatting>
  <conditionalFormatting sqref="F75">
    <cfRule type="cellIs" priority="89" operator="equal" dxfId="0">
      <formula>$E$75&lt;&gt;" Nombres"</formula>
    </cfRule>
  </conditionalFormatting>
  <conditionalFormatting sqref="F76">
    <cfRule type="cellIs" priority="88" operator="equal" dxfId="0">
      <formula>$E$76&lt;&gt;" Apellidos"</formula>
    </cfRule>
  </conditionalFormatting>
  <conditionalFormatting sqref="F77">
    <cfRule type="cellIs" priority="87" operator="equal" dxfId="0">
      <formula>$E$77&lt;&gt;" Situación laboral"</formula>
    </cfRule>
  </conditionalFormatting>
  <conditionalFormatting sqref="F77:F79">
    <cfRule type="expression" priority="16" dxfId="42">
      <formula>$E$77&lt;&gt;""</formula>
    </cfRule>
  </conditionalFormatting>
  <conditionalFormatting sqref="H73">
    <cfRule type="cellIs" priority="128" operator="equal" dxfId="0">
      <formula>$G$73&lt;&gt;"Cargo público desempeñado y período de tiempo"</formula>
    </cfRule>
  </conditionalFormatting>
  <conditionalFormatting sqref="H75">
    <cfRule type="cellIs" priority="83" operator="equal" dxfId="0">
      <formula>$G$75&lt;&gt;" Nombres"</formula>
    </cfRule>
  </conditionalFormatting>
  <conditionalFormatting sqref="H76">
    <cfRule type="cellIs" priority="82" operator="equal" dxfId="0">
      <formula>$G$76&lt;&gt; " Apellidos"</formula>
    </cfRule>
  </conditionalFormatting>
  <conditionalFormatting sqref="H77">
    <cfRule type="cellIs" priority="81" operator="equal" dxfId="0">
      <formula>$G$77&lt;&gt;" Situación laboral"</formula>
    </cfRule>
  </conditionalFormatting>
  <conditionalFormatting sqref="J73">
    <cfRule type="cellIs" priority="127" operator="equal" dxfId="0">
      <formula>$I$73&lt;&gt;"Cargo público desempeñado y período de tiempo"</formula>
    </cfRule>
  </conditionalFormatting>
  <conditionalFormatting sqref="J75">
    <cfRule type="cellIs" priority="77" operator="equal" dxfId="0">
      <formula>$I$75&lt;&gt;" Nombres"</formula>
    </cfRule>
  </conditionalFormatting>
  <conditionalFormatting sqref="J76">
    <cfRule type="cellIs" priority="76" operator="equal" dxfId="0">
      <formula>$I$76&lt;&gt;" Apellidos"</formula>
    </cfRule>
  </conditionalFormatting>
  <conditionalFormatting sqref="J77">
    <cfRule type="cellIs" priority="75" operator="equal" dxfId="0">
      <formula>$I$77&lt;&gt;" Situación laboral"</formula>
    </cfRule>
  </conditionalFormatting>
  <dataValidations count="1">
    <dataValidation sqref="B61 B140 O67 Q67 S67 U67" showDropDown="0" showInputMessage="1" showErrorMessage="1" allowBlank="1" promptTitle="Formato" prompt="dd/mm/año"/>
  </dataValidations>
  <pageMargins left="0.7" right="0.7" top="0.75" bottom="0.75" header="0.3" footer="0.3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S200"/>
  <sheetViews>
    <sheetView workbookViewId="0">
      <selection activeCell="B2" sqref="B2:B4"/>
    </sheetView>
  </sheetViews>
  <sheetFormatPr baseColWidth="10" defaultColWidth="11.42578125" defaultRowHeight="15"/>
  <cols>
    <col width="61.42578125" customWidth="1" min="7" max="7"/>
  </cols>
  <sheetData>
    <row r="1">
      <c r="A1" t="inlineStr">
        <is>
          <t>pa</t>
        </is>
      </c>
      <c r="I1" t="inlineStr">
        <is>
          <t>Tipo de Cuenta</t>
        </is>
      </c>
    </row>
    <row r="2">
      <c r="B2" t="inlineStr">
        <is>
          <t>Seleccione una opción</t>
        </is>
      </c>
      <c r="E2" t="inlineStr">
        <is>
          <t>Seleccione una opción</t>
        </is>
      </c>
      <c r="J2" t="inlineStr">
        <is>
          <t>Documento Gubernamental</t>
        </is>
      </c>
    </row>
    <row r="3">
      <c r="B3" t="inlineStr">
        <is>
          <t>Documento Gubernamental</t>
        </is>
      </c>
      <c r="E3" t="inlineStr">
        <is>
          <t>Si</t>
        </is>
      </c>
      <c r="I3" t="inlineStr">
        <is>
          <t>Seleccione una opción</t>
        </is>
      </c>
    </row>
    <row r="4">
      <c r="B4" t="inlineStr">
        <is>
          <t>Pasaporte</t>
        </is>
      </c>
      <c r="E4" t="inlineStr">
        <is>
          <t>No</t>
        </is>
      </c>
      <c r="I4" t="inlineStr">
        <is>
          <t xml:space="preserve">Individual </t>
        </is>
      </c>
    </row>
    <row r="5">
      <c r="I5" t="inlineStr">
        <is>
          <t>Corporativo</t>
        </is>
      </c>
    </row>
    <row r="6">
      <c r="G6" t="inlineStr">
        <is>
          <t>Seleccione una opción</t>
        </is>
      </c>
    </row>
    <row r="7">
      <c r="B7" t="inlineStr">
        <is>
          <t>Seleccione una opción</t>
        </is>
      </c>
      <c r="C7" t="inlineStr">
        <is>
          <t>Seleccione una opción</t>
        </is>
      </c>
      <c r="G7" t="inlineStr">
        <is>
          <t>Canalización de ordenes</t>
        </is>
      </c>
    </row>
    <row r="8">
      <c r="B8" t="inlineStr">
        <is>
          <t>Soltero/a</t>
        </is>
      </c>
      <c r="C8" t="inlineStr">
        <is>
          <t>Empleado/Independiente</t>
        </is>
      </c>
      <c r="G8" t="inlineStr">
        <is>
          <t>Gestión de portafolio</t>
        </is>
      </c>
    </row>
    <row r="9">
      <c r="B9" t="inlineStr">
        <is>
          <t>Casado/a</t>
        </is>
      </c>
      <c r="C9" t="inlineStr">
        <is>
          <t>No empleado</t>
        </is>
      </c>
    </row>
    <row r="10">
      <c r="B10" t="inlineStr">
        <is>
          <t>Divorciado/a</t>
        </is>
      </c>
      <c r="C10" t="inlineStr">
        <is>
          <t>Estudiante</t>
        </is>
      </c>
    </row>
    <row r="11">
      <c r="B11" t="inlineStr">
        <is>
          <t>Viudo/a</t>
        </is>
      </c>
      <c r="C11" t="inlineStr">
        <is>
          <t>Retirado</t>
        </is>
      </c>
    </row>
    <row r="12">
      <c r="B12" t="inlineStr">
        <is>
          <t>Concubino/a</t>
        </is>
      </c>
    </row>
    <row r="13">
      <c r="G13" t="inlineStr">
        <is>
          <t>Seleccione una opción</t>
        </is>
      </c>
      <c r="I13" t="inlineStr">
        <is>
          <t>Seleccione una opción</t>
        </is>
      </c>
    </row>
    <row r="14">
      <c r="B14" t="inlineStr">
        <is>
          <t>Seleccione una opción</t>
        </is>
      </c>
      <c r="E14" t="inlineStr">
        <is>
          <t>Seleccione una opción</t>
        </is>
      </c>
      <c r="G14" t="inlineStr">
        <is>
          <t>Mensual</t>
        </is>
      </c>
      <c r="I14" t="inlineStr">
        <is>
          <t>Nula</t>
        </is>
      </c>
    </row>
    <row r="15">
      <c r="B15" t="inlineStr">
        <is>
          <t>Primario</t>
        </is>
      </c>
      <c r="E15" t="inlineStr">
        <is>
          <t>Madre</t>
        </is>
      </c>
      <c r="G15" t="inlineStr">
        <is>
          <t>Trimestral</t>
        </is>
      </c>
      <c r="I15" t="inlineStr">
        <is>
          <t>Limitada</t>
        </is>
      </c>
      <c r="N15" t="inlineStr">
        <is>
          <t>Seleccione una opción</t>
        </is>
      </c>
      <c r="S15" t="inlineStr">
        <is>
          <t>Seleccione una opción</t>
        </is>
      </c>
    </row>
    <row r="16">
      <c r="B16" t="inlineStr">
        <is>
          <t>Contingente</t>
        </is>
      </c>
      <c r="E16" t="inlineStr">
        <is>
          <t>Padre</t>
        </is>
      </c>
      <c r="G16" t="inlineStr">
        <is>
          <t>Anual</t>
        </is>
      </c>
      <c r="I16" t="inlineStr">
        <is>
          <t>Promedio</t>
        </is>
      </c>
      <c r="N16" t="inlineStr">
        <is>
          <t>Albania</t>
        </is>
      </c>
      <c r="S16" t="inlineStr">
        <is>
          <t>Abogado</t>
        </is>
      </c>
    </row>
    <row r="17">
      <c r="E17" t="inlineStr">
        <is>
          <t>Hermano/a</t>
        </is>
      </c>
      <c r="I17" t="inlineStr">
        <is>
          <t>Avanzada</t>
        </is>
      </c>
      <c r="N17" t="inlineStr">
        <is>
          <t>Alemania</t>
        </is>
      </c>
      <c r="S17" t="inlineStr">
        <is>
          <t>Actividades bursátiles y cambiarias</t>
        </is>
      </c>
    </row>
    <row r="18">
      <c r="B18" t="inlineStr">
        <is>
          <t>Seleccione una opción</t>
        </is>
      </c>
      <c r="E18" t="inlineStr">
        <is>
          <t>Esposo/a</t>
        </is>
      </c>
      <c r="N18" t="inlineStr">
        <is>
          <t>Andorra</t>
        </is>
      </c>
      <c r="S18" t="inlineStr">
        <is>
          <t>Actividades de limpieza</t>
        </is>
      </c>
    </row>
    <row r="19">
      <c r="B19" t="inlineStr">
        <is>
          <t>Baja</t>
        </is>
      </c>
      <c r="E19" t="inlineStr">
        <is>
          <t>Hijo/a</t>
        </is>
      </c>
      <c r="G19" t="inlineStr">
        <is>
          <t>Seleccione una opción</t>
        </is>
      </c>
      <c r="N19" t="inlineStr">
        <is>
          <t>Anguila</t>
        </is>
      </c>
      <c r="S19" t="inlineStr">
        <is>
          <t>Actividades Fiduciarias</t>
        </is>
      </c>
    </row>
    <row r="20" ht="16.5" customHeight="1">
      <c r="B20" t="inlineStr">
        <is>
          <t>Media</t>
        </is>
      </c>
      <c r="E20" t="inlineStr">
        <is>
          <t>Padrino</t>
        </is>
      </c>
      <c r="G20" t="inlineStr">
        <is>
          <t>&lt;10K</t>
        </is>
      </c>
      <c r="J20" s="61" t="inlineStr">
        <is>
          <t>&lt;10K 10–20 20–50 50–100 100–200 &gt;200K</t>
        </is>
      </c>
      <c r="N20" t="inlineStr">
        <is>
          <t>Antigua República Yugoslava de Macedonia</t>
        </is>
      </c>
      <c r="S20" t="inlineStr">
        <is>
          <t>Administración de mercados financieros / Fondos de inversión</t>
        </is>
      </c>
    </row>
    <row r="21">
      <c r="B21" t="inlineStr">
        <is>
          <t>Alta</t>
        </is>
      </c>
      <c r="E21" t="inlineStr">
        <is>
          <t>Madrina</t>
        </is>
      </c>
      <c r="G21" t="inlineStr">
        <is>
          <t>10–20</t>
        </is>
      </c>
      <c r="N21" t="inlineStr">
        <is>
          <t>Antigua y Barbuda</t>
        </is>
      </c>
      <c r="S21" t="inlineStr">
        <is>
          <t>Administrador​as, explotadores y los usuarios de zona franca</t>
        </is>
      </c>
    </row>
    <row r="22">
      <c r="E22" t="inlineStr">
        <is>
          <t>Amigo</t>
        </is>
      </c>
      <c r="G22" t="inlineStr">
        <is>
          <t>20–50</t>
        </is>
      </c>
      <c r="N22" t="inlineStr">
        <is>
          <t>Arabia Saudita</t>
        </is>
      </c>
      <c r="S22" t="inlineStr">
        <is>
          <t>Agencia de viajes / Ss. Turísticos</t>
        </is>
      </c>
    </row>
    <row r="23">
      <c r="B23" t="inlineStr">
        <is>
          <t>Seleccione una opción</t>
        </is>
      </c>
      <c r="E23" t="inlineStr">
        <is>
          <t>Primo</t>
        </is>
      </c>
      <c r="G23" t="inlineStr">
        <is>
          <t>50–100</t>
        </is>
      </c>
      <c r="N23" t="inlineStr">
        <is>
          <t>Argelia</t>
        </is>
      </c>
      <c r="S23" t="inlineStr">
        <is>
          <t>Almacenamiento y deposito</t>
        </is>
      </c>
    </row>
    <row r="24">
      <c r="B24" t="inlineStr">
        <is>
          <t>&lt;50.000</t>
        </is>
      </c>
      <c r="E24" t="inlineStr">
        <is>
          <t>Titular</t>
        </is>
      </c>
      <c r="G24" t="inlineStr">
        <is>
          <t>100–200</t>
        </is>
      </c>
      <c r="N24" t="inlineStr">
        <is>
          <t>Argentina</t>
        </is>
      </c>
      <c r="S24" t="inlineStr">
        <is>
          <t>Ama de casa</t>
        </is>
      </c>
    </row>
    <row r="25">
      <c r="B25" t="inlineStr">
        <is>
          <t>50.000-99.999</t>
        </is>
      </c>
      <c r="E25" t="inlineStr">
        <is>
          <t>Concubino/a</t>
        </is>
      </c>
      <c r="G25" t="inlineStr">
        <is>
          <t>&gt;200K</t>
        </is>
      </c>
      <c r="N25" t="inlineStr">
        <is>
          <t>Armenia</t>
        </is>
      </c>
      <c r="S25" t="inlineStr">
        <is>
          <t>Arrendamiento de locales comerciales</t>
        </is>
      </c>
    </row>
    <row r="26">
      <c r="B26" t="inlineStr">
        <is>
          <t>100.000-199.999</t>
        </is>
      </c>
      <c r="E26" t="inlineStr">
        <is>
          <t>Sin definir</t>
        </is>
      </c>
      <c r="N26" t="inlineStr">
        <is>
          <t>Aruba</t>
        </is>
      </c>
      <c r="S26" t="inlineStr">
        <is>
          <t>Artículos de iluminación</t>
        </is>
      </c>
    </row>
    <row r="27">
      <c r="B27" t="inlineStr">
        <is>
          <t>200.000-499.999</t>
        </is>
      </c>
      <c r="E27" t="inlineStr">
        <is>
          <t>Sobrino/a</t>
        </is>
      </c>
      <c r="N27" t="inlineStr">
        <is>
          <t>Australia</t>
        </is>
      </c>
      <c r="S27" t="inlineStr">
        <is>
          <t>Artista Plastico - Artesano - Actor</t>
        </is>
      </c>
    </row>
    <row r="28">
      <c r="B28" t="inlineStr">
        <is>
          <t>500.000-999.999</t>
        </is>
      </c>
      <c r="E28" t="inlineStr">
        <is>
          <t>Agente</t>
        </is>
      </c>
      <c r="N28" t="inlineStr">
        <is>
          <t>Austria</t>
        </is>
      </c>
      <c r="S28" t="inlineStr">
        <is>
          <t>Asesor Financiero</t>
        </is>
      </c>
    </row>
    <row r="29">
      <c r="B29" t="inlineStr">
        <is>
          <t>1 mil-2.49mil</t>
        </is>
      </c>
      <c r="E29" t="inlineStr">
        <is>
          <t>Banco Custodio</t>
        </is>
      </c>
      <c r="N29" t="inlineStr">
        <is>
          <t>Azerbaiyán</t>
        </is>
      </c>
      <c r="S29" t="inlineStr">
        <is>
          <t>Asesoramiento en dirección y gestión empresarial (legales, contables, impositivos)</t>
        </is>
      </c>
    </row>
    <row r="30">
      <c r="B30" t="inlineStr">
        <is>
          <t>2.5mil +</t>
        </is>
      </c>
      <c r="E30" t="inlineStr">
        <is>
          <t>Nieto/a</t>
        </is>
      </c>
      <c r="N30" t="inlineStr">
        <is>
          <t>Azerbaiyán</t>
        </is>
      </c>
      <c r="S30" t="inlineStr">
        <is>
          <t>Astillero naval</t>
        </is>
      </c>
    </row>
    <row r="31">
      <c r="N31" t="inlineStr">
        <is>
          <t>Bahréin</t>
        </is>
      </c>
      <c r="S31" t="inlineStr">
        <is>
          <t>Auditoría</t>
        </is>
      </c>
    </row>
    <row r="32">
      <c r="N32" t="inlineStr">
        <is>
          <t>Bangladesh</t>
        </is>
      </c>
      <c r="S32" t="inlineStr">
        <is>
          <t>Automotora</t>
        </is>
      </c>
    </row>
    <row r="33">
      <c r="C33" t="inlineStr">
        <is>
          <t>Seleccione una opción</t>
        </is>
      </c>
      <c r="E33" t="inlineStr">
        <is>
          <t>Seleccione una opción</t>
        </is>
      </c>
      <c r="H33" t="inlineStr">
        <is>
          <t>Seleccione una opción</t>
        </is>
      </c>
      <c r="J33" t="inlineStr">
        <is>
          <t>Seleccione una opción</t>
        </is>
      </c>
      <c r="N33" t="inlineStr">
        <is>
          <t>Barbados</t>
        </is>
      </c>
      <c r="S33" t="inlineStr">
        <is>
          <t>Bancos</t>
        </is>
      </c>
    </row>
    <row r="34">
      <c r="C34" t="inlineStr">
        <is>
          <t>&lt; 1</t>
        </is>
      </c>
      <c r="E34" t="inlineStr">
        <is>
          <t>Arrendamientos</t>
        </is>
      </c>
      <c r="H34" t="inlineStr">
        <is>
          <t>Transferencia</t>
        </is>
      </c>
      <c r="J34" t="inlineStr">
        <is>
          <t>Menos de 1 año</t>
        </is>
      </c>
      <c r="N34" t="inlineStr">
        <is>
          <t>Belarús</t>
        </is>
      </c>
      <c r="S34" t="inlineStr">
        <is>
          <t>Belleza / Perfumería</t>
        </is>
      </c>
    </row>
    <row r="35">
      <c r="C35" t="inlineStr">
        <is>
          <t>1–3</t>
        </is>
      </c>
      <c r="E35" t="inlineStr">
        <is>
          <t>Bonos</t>
        </is>
      </c>
      <c r="H35" t="inlineStr">
        <is>
          <t>Transferencia de activos</t>
        </is>
      </c>
      <c r="J35" t="inlineStr">
        <is>
          <t>1 – 5 años</t>
        </is>
      </c>
      <c r="N35" t="inlineStr">
        <is>
          <t>Bélgica</t>
        </is>
      </c>
      <c r="S35" t="inlineStr">
        <is>
          <t>Casa de cambio</t>
        </is>
      </c>
    </row>
    <row r="36">
      <c r="C36" t="inlineStr">
        <is>
          <t>4–6</t>
        </is>
      </c>
      <c r="E36" t="inlineStr">
        <is>
          <t>Dividendos</t>
        </is>
      </c>
      <c r="H36" t="inlineStr">
        <is>
          <t>ACAT</t>
        </is>
      </c>
      <c r="J36" t="inlineStr">
        <is>
          <t>5 – 10 años</t>
        </is>
      </c>
      <c r="N36" t="inlineStr">
        <is>
          <t>Belice</t>
        </is>
      </c>
      <c r="S36" t="inlineStr">
        <is>
          <t>Casinos y empresas que explotan juegos de azar</t>
        </is>
      </c>
    </row>
    <row r="37">
      <c r="C37" t="inlineStr">
        <is>
          <t>7–9</t>
        </is>
      </c>
      <c r="E37" t="inlineStr">
        <is>
          <t>Divorcio</t>
        </is>
      </c>
      <c r="H37" t="inlineStr">
        <is>
          <t>ACH</t>
        </is>
      </c>
      <c r="J37" t="inlineStr">
        <is>
          <t>10 – 15 años</t>
        </is>
      </c>
      <c r="N37" t="inlineStr">
        <is>
          <t>Benin</t>
        </is>
      </c>
      <c r="S37" t="inlineStr">
        <is>
          <t>Clientes que manejen formal o informalmente fondos o valores de terceros</t>
        </is>
      </c>
    </row>
    <row r="38">
      <c r="C38" t="inlineStr">
        <is>
          <t>10–12</t>
        </is>
      </c>
      <c r="E38" t="inlineStr">
        <is>
          <t>Donación</t>
        </is>
      </c>
      <c r="H38" t="inlineStr">
        <is>
          <t>Otros</t>
        </is>
      </c>
      <c r="J38" t="inlineStr">
        <is>
          <t>Más de 15 años</t>
        </is>
      </c>
      <c r="N38" t="inlineStr">
        <is>
          <t>Bermudas</t>
        </is>
      </c>
      <c r="S38" t="inlineStr">
        <is>
          <t>Comercialización y corretaje de granos</t>
        </is>
      </c>
    </row>
    <row r="39">
      <c r="C39" t="inlineStr">
        <is>
          <t>13–15</t>
        </is>
      </c>
      <c r="E39" t="inlineStr">
        <is>
          <t>Herencia</t>
        </is>
      </c>
      <c r="N39" t="inlineStr">
        <is>
          <t>Bután</t>
        </is>
      </c>
      <c r="S39" t="inlineStr">
        <is>
          <t>Comerciantes mayoristas</t>
        </is>
      </c>
    </row>
    <row r="40">
      <c r="C40" t="inlineStr">
        <is>
          <t>&gt; 15</t>
        </is>
      </c>
      <c r="E40" t="inlineStr">
        <is>
          <t>Patrimonio familiar</t>
        </is>
      </c>
      <c r="N40" t="inlineStr">
        <is>
          <t>Bolivia</t>
        </is>
      </c>
      <c r="S40" t="inlineStr">
        <is>
          <t>Comerciantes minoristas</t>
        </is>
      </c>
    </row>
    <row r="41">
      <c r="E41" t="inlineStr">
        <is>
          <t>Profesión del cliente</t>
        </is>
      </c>
      <c r="N41" t="inlineStr">
        <is>
          <t>Bosnia y Herzegovina</t>
        </is>
      </c>
      <c r="S41" t="inlineStr">
        <is>
          <t>Comercio Exterior / Trading</t>
        </is>
      </c>
    </row>
    <row r="42">
      <c r="E42" t="inlineStr">
        <is>
          <t>Venta de empresa</t>
        </is>
      </c>
      <c r="N42" t="inlineStr">
        <is>
          <t>Botswana</t>
        </is>
      </c>
      <c r="S42" t="inlineStr">
        <is>
          <t>Compraventa de objetos de arte, joyas y antigüedades</t>
        </is>
      </c>
    </row>
    <row r="43">
      <c r="E43" t="inlineStr">
        <is>
          <t>Venta de inmuebles</t>
        </is>
      </c>
      <c r="N43" t="inlineStr">
        <is>
          <t>Brasil</t>
        </is>
      </c>
      <c r="S43" t="inlineStr">
        <is>
          <t>Concesionaria de automóviles o embarcaciones</t>
        </is>
      </c>
    </row>
    <row r="44">
      <c r="E44" t="inlineStr">
        <is>
          <t>Inversión previa en Utmost/ITA</t>
        </is>
      </c>
      <c r="N44" t="inlineStr">
        <is>
          <t>Brunei</t>
        </is>
      </c>
      <c r="S44" t="inlineStr">
        <is>
          <t>Constructora</t>
        </is>
      </c>
    </row>
    <row r="45">
      <c r="N45" t="inlineStr">
        <is>
          <t>Bulgaria</t>
        </is>
      </c>
      <c r="S45" t="inlineStr">
        <is>
          <t>Consultor en RRHH</t>
        </is>
      </c>
    </row>
    <row r="46">
      <c r="N46" t="inlineStr">
        <is>
          <t>Burkina Faso</t>
        </is>
      </c>
      <c r="S46" t="inlineStr">
        <is>
          <t>Consultoría en Defensa Militar</t>
        </is>
      </c>
    </row>
    <row r="47">
      <c r="N47" t="inlineStr">
        <is>
          <t>Cabo Verde</t>
        </is>
      </c>
      <c r="S47" t="inlineStr">
        <is>
          <t>Contador</t>
        </is>
      </c>
    </row>
    <row r="48">
      <c r="C48" t="inlineStr">
        <is>
          <t>Seleccione una opción</t>
        </is>
      </c>
      <c r="N48" t="inlineStr">
        <is>
          <t>Camerún</t>
        </is>
      </c>
      <c r="S48" t="inlineStr">
        <is>
          <t>Corredor de Seguros</t>
        </is>
      </c>
    </row>
    <row r="49" ht="28.5" customHeight="1">
      <c r="C49" s="49" t="inlineStr">
        <is>
          <t>Menos de 3 años</t>
        </is>
      </c>
      <c r="N49" t="inlineStr">
        <is>
          <t>Canadá</t>
        </is>
      </c>
      <c r="S49" t="inlineStr">
        <is>
          <t>Corredores de bolsa</t>
        </is>
      </c>
    </row>
    <row r="50" ht="28.5" customHeight="1">
      <c r="C50" s="49" t="inlineStr">
        <is>
          <t xml:space="preserve"> 3 - 5 años</t>
        </is>
      </c>
      <c r="N50" t="inlineStr">
        <is>
          <t>Chile</t>
        </is>
      </c>
      <c r="S50" t="inlineStr">
        <is>
          <t>Cultivo de productos agrícolas en combinación con la cría de animales</t>
        </is>
      </c>
    </row>
    <row r="51" ht="28.5" customHeight="1">
      <c r="C51" s="49" t="inlineStr">
        <is>
          <t xml:space="preserve"> 6 - 10 años</t>
        </is>
      </c>
      <c r="N51" t="inlineStr">
        <is>
          <t>China</t>
        </is>
      </c>
      <c r="S51" t="inlineStr">
        <is>
          <t>Deportista (no futbol)</t>
        </is>
      </c>
    </row>
    <row r="52" ht="28.5" customHeight="1">
      <c r="C52" s="49" t="inlineStr">
        <is>
          <t xml:space="preserve"> 11 años o más</t>
        </is>
      </c>
      <c r="N52" t="inlineStr">
        <is>
          <t>Chipre</t>
        </is>
      </c>
      <c r="S52" t="inlineStr">
        <is>
          <t>Desarrollo o venta de Software</t>
        </is>
      </c>
    </row>
    <row r="53">
      <c r="N53" t="inlineStr">
        <is>
          <t>Cisjordania (West Bank) y Franja de Gaza</t>
        </is>
      </c>
      <c r="S53" t="inlineStr">
        <is>
          <t>Diplomático</t>
        </is>
      </c>
    </row>
    <row r="54">
      <c r="G54" t="inlineStr">
        <is>
          <t>Seleccione una opción</t>
        </is>
      </c>
      <c r="N54" t="inlineStr">
        <is>
          <t>Colombia</t>
        </is>
      </c>
      <c r="S54" t="inlineStr">
        <is>
          <t>Director de Cine</t>
        </is>
      </c>
    </row>
    <row r="55" ht="28.5" customHeight="1">
      <c r="G55" s="49" t="inlineStr">
        <is>
          <t>Me conformo con que mis inversiones renten al menos la inflación, ya que no quiero arriesgarme a perder dinero</t>
        </is>
      </c>
      <c r="N55" t="inlineStr">
        <is>
          <t>Congo</t>
        </is>
      </c>
      <c r="S55" t="inlineStr">
        <is>
          <t>Director de Fondos de Inversión</t>
        </is>
      </c>
    </row>
    <row r="56" ht="28.5" customHeight="1">
      <c r="G56" s="49" t="inlineStr">
        <is>
          <t xml:space="preserve"> Puedo aceptar pérdidas pequeñas a corto plazo, pero me importa la seguridad de mi inversión</t>
        </is>
      </c>
      <c r="N56" t="inlineStr">
        <is>
          <t>Corea del Sur</t>
        </is>
      </c>
      <c r="S56" t="inlineStr">
        <is>
          <t>Dirigentes y administradores de ONGs</t>
        </is>
      </c>
    </row>
    <row r="57" ht="42.75" customHeight="1">
      <c r="G57" s="49" t="inlineStr">
        <is>
          <t xml:space="preserve"> Me gustaría que mis inversiones rentaran más que la inflación a largo plazo, aún cuando existe algo de riesgo que éstas sufran altos y bajos en los precios en el corto plazo</t>
        </is>
      </c>
      <c r="N57" t="inlineStr">
        <is>
          <t>Costa de Marfil</t>
        </is>
      </c>
      <c r="S57" t="inlineStr">
        <is>
          <t>Diseñador gráfico/interiores/moda</t>
        </is>
      </c>
    </row>
    <row r="58" ht="42.75" customHeight="1">
      <c r="G58" s="49" t="inlineStr">
        <is>
          <t xml:space="preserve"> Busco el crecimiento de la inversión y estoy dispuesto a aceptar algunas pérdidas para obtener un crecimiento potencialmente mayor</t>
        </is>
      </c>
      <c r="N58" t="inlineStr">
        <is>
          <t>Costa Rica</t>
        </is>
      </c>
      <c r="S58" t="inlineStr">
        <is>
          <t>Distribuidora artículos minoristas</t>
        </is>
      </c>
    </row>
    <row r="59" ht="42.75" customHeight="1">
      <c r="G59" s="49" t="inlineStr">
        <is>
          <t xml:space="preserve"> Me gustaría que mis inversiones superen ampliamente la inflación a largo plazo, aún corriendo un mayor riesgo de pérdidas en el corto plazo</t>
        </is>
      </c>
      <c r="N59" t="inlineStr">
        <is>
          <t>Croacia</t>
        </is>
      </c>
      <c r="S59" t="inlineStr">
        <is>
          <t>Distribuidora de Combustibles</t>
        </is>
      </c>
    </row>
    <row r="60">
      <c r="N60" t="inlineStr">
        <is>
          <t>Cuba</t>
        </is>
      </c>
      <c r="S60" t="inlineStr">
        <is>
          <t>Distribuidora de películas de cine</t>
        </is>
      </c>
    </row>
    <row r="61">
      <c r="C61" t="inlineStr">
        <is>
          <t>Seleccione una opción</t>
        </is>
      </c>
      <c r="N61" t="inlineStr">
        <is>
          <t>Curacao</t>
        </is>
      </c>
      <c r="S61" t="inlineStr">
        <is>
          <t>Docente</t>
        </is>
      </c>
    </row>
    <row r="62" ht="99.75" customHeight="1">
      <c r="C62" s="49" t="inlineStr">
        <is>
          <t>Generalmente entro en pánico cuando el mercado cae</t>
        </is>
      </c>
      <c r="N62" t="inlineStr">
        <is>
          <t>Dinamarca</t>
        </is>
      </c>
      <c r="S62" t="inlineStr">
        <is>
          <t>Editorial y gráfica</t>
        </is>
      </c>
    </row>
    <row r="63" ht="114" customHeight="1">
      <c r="C63" s="49" t="inlineStr">
        <is>
          <t xml:space="preserve"> Algunas veces sobre-reacciono ante las fluctuaciones del mercado</t>
        </is>
      </c>
      <c r="N63" t="inlineStr">
        <is>
          <t>Djibouti</t>
        </is>
      </c>
      <c r="S63" t="inlineStr">
        <is>
          <t>Elaboración de productos alimenticios</t>
        </is>
      </c>
    </row>
    <row r="64" ht="142.5" customHeight="1">
      <c r="C64" s="49" t="inlineStr">
        <is>
          <t xml:space="preserve"> Paciente pero preocupado; adopto una actitud de “esperar y ver qué pasa”</t>
        </is>
      </c>
      <c r="N64" t="inlineStr">
        <is>
          <t>Dominica</t>
        </is>
      </c>
      <c r="S64" t="inlineStr">
        <is>
          <t>Electrodomésticos y hogar</t>
        </is>
      </c>
    </row>
    <row r="65" ht="99.75" customHeight="1">
      <c r="C65" s="49" t="inlineStr">
        <is>
          <t xml:space="preserve"> La volatilidad en el corto plazo NO me afecta</t>
        </is>
      </c>
      <c r="N65" t="inlineStr">
        <is>
          <t>Ecuador</t>
        </is>
      </c>
      <c r="S65" t="inlineStr">
        <is>
          <t>Empleado Administrativo / de Oficina, Comercio y Servicios</t>
        </is>
      </c>
    </row>
    <row r="66">
      <c r="N66" t="inlineStr">
        <is>
          <t>Egipto</t>
        </is>
      </c>
      <c r="S66" t="inlineStr">
        <is>
          <t>Empleado Bancario</t>
        </is>
      </c>
    </row>
    <row r="67">
      <c r="N67" t="inlineStr">
        <is>
          <t>El Salvador</t>
        </is>
      </c>
      <c r="S67" t="inlineStr">
        <is>
          <t>Empleado Inmobiliaria</t>
        </is>
      </c>
    </row>
    <row r="68">
      <c r="N68" t="inlineStr">
        <is>
          <t>Emiratos Árabes Unidos</t>
        </is>
      </c>
      <c r="S68" t="inlineStr">
        <is>
          <t>Empresa agroindustrial</t>
        </is>
      </c>
    </row>
    <row r="69">
      <c r="F69" t="inlineStr">
        <is>
          <t>Seleccione una opción</t>
        </is>
      </c>
      <c r="N69" t="inlineStr">
        <is>
          <t>Eslovaquia</t>
        </is>
      </c>
      <c r="S69" t="inlineStr">
        <is>
          <t>Empresa Constructora Internacional</t>
        </is>
      </c>
    </row>
    <row r="70">
      <c r="B70" t="inlineStr">
        <is>
          <t>Seleccione una opción</t>
        </is>
      </c>
      <c r="F70" t="inlineStr">
        <is>
          <t>Ninguno – sin conocimiento ni experiencia sobre inversiones</t>
        </is>
      </c>
      <c r="N70" t="inlineStr">
        <is>
          <t>Eslovenia</t>
        </is>
      </c>
      <c r="S70" t="inlineStr">
        <is>
          <t>Empresa de Relaciones Públicas y Comunicación</t>
        </is>
      </c>
    </row>
    <row r="71">
      <c r="B71" t="inlineStr">
        <is>
          <t xml:space="preserve"> Menos de 3 años</t>
        </is>
      </c>
      <c r="F71" t="inlineStr">
        <is>
          <t xml:space="preserve"> Mínimo – mi conocimiento es muy limitado y no tengo experiencia</t>
        </is>
      </c>
      <c r="N71" t="inlineStr">
        <is>
          <t>España</t>
        </is>
      </c>
      <c r="S71" t="inlineStr">
        <is>
          <t>Empresa de Software y Hardware</t>
        </is>
      </c>
    </row>
    <row r="72">
      <c r="B72" t="inlineStr">
        <is>
          <t xml:space="preserve"> 3 - 5 años</t>
        </is>
      </c>
      <c r="F72" t="inlineStr">
        <is>
          <t xml:space="preserve"> Bueno – buen conocimiento y cierta experiencia en inversiones</t>
        </is>
      </c>
      <c r="N72" t="inlineStr">
        <is>
          <t>Estados Unidos de América</t>
        </is>
      </c>
      <c r="S72" t="inlineStr">
        <is>
          <t>Empresa rubro óleo químico</t>
        </is>
      </c>
    </row>
    <row r="73">
      <c r="B73" t="inlineStr">
        <is>
          <t xml:space="preserve"> 6 - 10 años</t>
        </is>
      </c>
      <c r="F73" t="inlineStr">
        <is>
          <t xml:space="preserve"> Amplio – fuerte conocimiento y experiencia activa en inversiones</t>
        </is>
      </c>
      <c r="N73" t="inlineStr">
        <is>
          <t>Estonia</t>
        </is>
      </c>
      <c r="S73" t="inlineStr">
        <is>
          <t>Empresa rubro porcelanatos, griferías y sanitarios</t>
        </is>
      </c>
    </row>
    <row r="74">
      <c r="B74" t="inlineStr">
        <is>
          <t xml:space="preserve"> 11 años o más</t>
        </is>
      </c>
      <c r="N74" t="inlineStr">
        <is>
          <t>Etiopía</t>
        </is>
      </c>
      <c r="S74" t="inlineStr">
        <is>
          <t>Empresa Servicios software control aéreo</t>
        </is>
      </c>
    </row>
    <row r="75">
      <c r="N75" t="inlineStr">
        <is>
          <t>Fiji</t>
        </is>
      </c>
      <c r="S75" t="inlineStr">
        <is>
          <t>Empresa textil</t>
        </is>
      </c>
    </row>
    <row r="76">
      <c r="N76" t="inlineStr">
        <is>
          <t>Filipinas</t>
        </is>
      </c>
      <c r="S76" t="inlineStr">
        <is>
          <t>Empresas Financieras no Bancarias</t>
        </is>
      </c>
    </row>
    <row r="77">
      <c r="N77" t="inlineStr">
        <is>
          <t>Finlandia</t>
        </is>
      </c>
      <c r="S77" t="inlineStr">
        <is>
          <t>Escribanos</t>
        </is>
      </c>
    </row>
    <row r="78">
      <c r="N78" t="inlineStr">
        <is>
          <t>Francés Guayana</t>
        </is>
      </c>
      <c r="S78" t="inlineStr">
        <is>
          <t>Estudiante</t>
        </is>
      </c>
    </row>
    <row r="79">
      <c r="N79" t="inlineStr">
        <is>
          <t>Francia</t>
        </is>
      </c>
      <c r="S79" t="inlineStr">
        <is>
          <t>Explotación ganadera</t>
        </is>
      </c>
    </row>
    <row r="80" ht="24" customHeight="1">
      <c r="B80" t="inlineStr">
        <is>
          <t>Seleccione una opción</t>
        </is>
      </c>
      <c r="D80" s="7" t="n"/>
      <c r="E80" s="22" t="n"/>
      <c r="F80" s="2" t="n"/>
      <c r="G80" s="2" t="n"/>
      <c r="N80" t="inlineStr">
        <is>
          <t>Gabón</t>
        </is>
      </c>
      <c r="S80" t="inlineStr">
        <is>
          <t>Exportadores</t>
        </is>
      </c>
    </row>
    <row r="81" ht="28.5" customHeight="1">
      <c r="B81" s="49" t="inlineStr">
        <is>
          <t>Más del 75%</t>
        </is>
      </c>
      <c r="D81" s="2" t="n"/>
      <c r="E81" s="22" t="n"/>
      <c r="F81" s="2" t="n"/>
      <c r="G81" s="2" t="n"/>
      <c r="N81" t="inlineStr">
        <is>
          <t>Gambia</t>
        </is>
      </c>
      <c r="S81" t="inlineStr">
        <is>
          <t>Fabricación de productos de plástico</t>
        </is>
      </c>
    </row>
    <row r="82" ht="42.75" customHeight="1">
      <c r="B82" s="49" t="inlineStr">
        <is>
          <t xml:space="preserve"> Entre 50% - 75%</t>
        </is>
      </c>
      <c r="D82" s="13" t="n"/>
      <c r="E82" s="23" t="n"/>
      <c r="F82" s="14" t="n"/>
      <c r="G82" s="14" t="n"/>
      <c r="N82" t="inlineStr">
        <is>
          <t>Georgia</t>
        </is>
      </c>
      <c r="S82" t="inlineStr">
        <is>
          <t>Fabricación de vehículos automotores</t>
        </is>
      </c>
    </row>
    <row r="83" ht="42.75" customHeight="1">
      <c r="B83" s="49" t="inlineStr">
        <is>
          <t xml:space="preserve"> Entre 25% - 50%</t>
        </is>
      </c>
      <c r="D83" s="171" t="n"/>
      <c r="F83" s="2" t="n"/>
      <c r="G83" s="2" t="n"/>
      <c r="N83" t="inlineStr">
        <is>
          <t>Ghana</t>
        </is>
      </c>
      <c r="S83" t="inlineStr">
        <is>
          <t>Farmaceutica Internacional</t>
        </is>
      </c>
    </row>
    <row r="84" ht="28.5" customHeight="1">
      <c r="B84" s="49" t="inlineStr">
        <is>
          <t xml:space="preserve"> Menos de 25%</t>
        </is>
      </c>
      <c r="D84" s="13" t="n"/>
      <c r="E84" s="23" t="n"/>
      <c r="F84" s="14" t="n"/>
      <c r="G84" s="14" t="n"/>
      <c r="N84" t="inlineStr">
        <is>
          <t>Gibraltar</t>
        </is>
      </c>
      <c r="S84" t="inlineStr">
        <is>
          <t>Fotógrafo profesional</t>
        </is>
      </c>
    </row>
    <row r="85">
      <c r="D85" s="172" t="n"/>
      <c r="F85" s="2" t="n"/>
      <c r="G85" s="2" t="n"/>
      <c r="N85" t="inlineStr">
        <is>
          <t>Granada</t>
        </is>
      </c>
      <c r="S85" t="inlineStr">
        <is>
          <t>Free shop</t>
        </is>
      </c>
    </row>
    <row r="86">
      <c r="D86" s="13" t="n"/>
      <c r="E86" s="23" t="n"/>
      <c r="F86" s="14" t="n"/>
      <c r="G86" s="14" t="n"/>
      <c r="N86" t="inlineStr">
        <is>
          <t>Grecia</t>
        </is>
      </c>
      <c r="S86" t="inlineStr">
        <is>
          <t>Funcionario público del area financiera</t>
        </is>
      </c>
    </row>
    <row r="87">
      <c r="D87" s="173" t="n"/>
      <c r="F87" s="2" t="n"/>
      <c r="G87" s="2" t="n"/>
      <c r="N87" t="inlineStr">
        <is>
          <t>Guam</t>
        </is>
      </c>
      <c r="S87" t="inlineStr">
        <is>
          <t>Funcionario público no PEP</t>
        </is>
      </c>
    </row>
    <row r="88">
      <c r="D88" s="13" t="n"/>
      <c r="E88" s="23" t="n"/>
      <c r="F88" s="14" t="n"/>
      <c r="G88" s="14" t="n"/>
      <c r="N88" t="inlineStr">
        <is>
          <t>Guatemala</t>
        </is>
      </c>
      <c r="S88" t="inlineStr">
        <is>
          <t>Fundaciones</t>
        </is>
      </c>
    </row>
    <row r="89">
      <c r="D89" s="173" t="n"/>
      <c r="F89" s="2" t="n"/>
      <c r="G89" s="2" t="n"/>
      <c r="N89" t="inlineStr">
        <is>
          <t>Guernsey</t>
        </is>
      </c>
      <c r="S89" t="inlineStr">
        <is>
          <t>Futbolista</t>
        </is>
      </c>
    </row>
    <row r="90">
      <c r="D90" s="16" t="n"/>
      <c r="E90" s="23" t="n"/>
      <c r="F90" s="14" t="n"/>
      <c r="G90" s="14" t="n"/>
      <c r="N90" t="inlineStr">
        <is>
          <t>Guyana</t>
        </is>
      </c>
      <c r="S90" t="inlineStr">
        <is>
          <t>Gastronomía</t>
        </is>
      </c>
    </row>
    <row r="91">
      <c r="D91" s="174" t="n"/>
      <c r="F91" s="2" t="n"/>
      <c r="G91" s="2" t="n"/>
      <c r="N91" t="inlineStr">
        <is>
          <t>Haití</t>
        </is>
      </c>
      <c r="S91" t="inlineStr">
        <is>
          <t>Gerente de empresa no financiera</t>
        </is>
      </c>
    </row>
    <row r="92">
      <c r="D92" s="13" t="n"/>
      <c r="E92" s="23" t="n"/>
      <c r="F92" s="14" t="n"/>
      <c r="G92" s="14" t="n"/>
      <c r="N92" t="inlineStr">
        <is>
          <t>Honduras</t>
        </is>
      </c>
      <c r="S92" t="inlineStr">
        <is>
          <t>Gerentes de producción, operaciones, compras y comercial</t>
        </is>
      </c>
    </row>
    <row r="93">
      <c r="D93" s="2" t="n"/>
      <c r="E93" s="24" t="n"/>
      <c r="F93" s="2" t="n"/>
      <c r="G93" s="17" t="n"/>
      <c r="N93" t="inlineStr">
        <is>
          <t>Hong Kong</t>
        </is>
      </c>
      <c r="S93" t="inlineStr">
        <is>
          <t>Hotelería</t>
        </is>
      </c>
    </row>
    <row r="94">
      <c r="D94" s="2" t="n"/>
      <c r="E94" s="25" t="n"/>
      <c r="F94" s="2" t="n"/>
      <c r="G94" s="2" t="n"/>
      <c r="N94" t="inlineStr">
        <is>
          <t>Hungría</t>
        </is>
      </c>
      <c r="S94" t="inlineStr">
        <is>
          <t>Importación y comercialización de maquinaria agrícola</t>
        </is>
      </c>
    </row>
    <row r="95">
      <c r="D95" s="19" t="n"/>
      <c r="E95" s="24" t="n"/>
      <c r="F95" s="2" t="n"/>
      <c r="G95" s="17" t="n"/>
      <c r="N95" t="inlineStr">
        <is>
          <t>India</t>
        </is>
      </c>
      <c r="S95" t="inlineStr">
        <is>
          <t>Importación y comercialización de productos para la industria minera y petrolera</t>
        </is>
      </c>
    </row>
    <row r="96">
      <c r="D96" s="2" t="n"/>
      <c r="E96" s="22" t="n"/>
      <c r="F96" s="2" t="n"/>
      <c r="G96" s="2" t="n"/>
      <c r="N96" t="inlineStr">
        <is>
          <t>Indonesia</t>
        </is>
      </c>
      <c r="S96" t="inlineStr">
        <is>
          <t>Importadores</t>
        </is>
      </c>
    </row>
    <row r="97">
      <c r="D97" s="16" t="n"/>
      <c r="E97" s="23" t="n"/>
      <c r="F97" s="14" t="n"/>
      <c r="G97" s="14" t="n"/>
      <c r="N97" t="inlineStr">
        <is>
          <t>Irán</t>
        </is>
      </c>
      <c r="S97" t="inlineStr">
        <is>
          <t>Industria Farmacéutica nacional</t>
        </is>
      </c>
    </row>
    <row r="98">
      <c r="D98" s="15" t="n"/>
      <c r="E98" s="22" t="n"/>
      <c r="F98" s="2" t="n"/>
      <c r="G98" s="18" t="n"/>
      <c r="N98" t="inlineStr">
        <is>
          <t>Irlanda</t>
        </is>
      </c>
      <c r="S98" t="inlineStr">
        <is>
          <t>Industria Forestal</t>
        </is>
      </c>
    </row>
    <row r="99">
      <c r="N99" t="inlineStr">
        <is>
          <t>Isla de Man</t>
        </is>
      </c>
      <c r="S99" t="inlineStr">
        <is>
          <t>Industria Metalúrgica</t>
        </is>
      </c>
    </row>
    <row r="100">
      <c r="N100" t="inlineStr">
        <is>
          <t>Islandia</t>
        </is>
      </c>
      <c r="S100" t="inlineStr">
        <is>
          <t>Industria Petroquímica</t>
        </is>
      </c>
    </row>
    <row r="101">
      <c r="N101" t="inlineStr">
        <is>
          <t>Islas Cook</t>
        </is>
      </c>
      <c r="S101" t="inlineStr">
        <is>
          <t>Ingeniero / Arquitecto</t>
        </is>
      </c>
    </row>
    <row r="102">
      <c r="N102" t="inlineStr">
        <is>
          <t>Islas Feroe</t>
        </is>
      </c>
      <c r="S102" t="inlineStr">
        <is>
          <t>Inmobiliaria</t>
        </is>
      </c>
    </row>
    <row r="103">
      <c r="N103" t="inlineStr">
        <is>
          <t>Islas Malvinas</t>
        </is>
      </c>
      <c r="S103" t="inlineStr">
        <is>
          <t>Intermediación financiera</t>
        </is>
      </c>
    </row>
    <row r="104">
      <c r="N104" t="inlineStr">
        <is>
          <t>Islas Svalbard y Jan Mayen</t>
        </is>
      </c>
      <c r="S104" t="inlineStr">
        <is>
          <t>Jubilado</t>
        </is>
      </c>
    </row>
    <row r="105">
      <c r="N105" t="inlineStr">
        <is>
          <t>Islas Turcas y Caicos</t>
        </is>
      </c>
      <c r="S105" t="inlineStr">
        <is>
          <t>Juez</t>
        </is>
      </c>
    </row>
    <row r="106">
      <c r="N106" t="inlineStr">
        <is>
          <t>Islas Vírgenes Británicas</t>
        </is>
      </c>
      <c r="S106" t="inlineStr">
        <is>
          <t>Juguetería</t>
        </is>
      </c>
    </row>
    <row r="107">
      <c r="N107" t="inlineStr">
        <is>
          <t>Islas Vírgenes de EE.UU.</t>
        </is>
      </c>
      <c r="S107" t="inlineStr">
        <is>
          <t>Librería / papelería</t>
        </is>
      </c>
    </row>
    <row r="108">
      <c r="N108" t="inlineStr">
        <is>
          <t>Israel</t>
        </is>
      </c>
      <c r="S108" t="inlineStr">
        <is>
          <t>Muebles y equipamiento</t>
        </is>
      </c>
    </row>
    <row r="109">
      <c r="N109" t="inlineStr">
        <is>
          <t>Italia</t>
        </is>
      </c>
      <c r="S109" t="inlineStr">
        <is>
          <t>Oficios (electricista, carpintero, pintor, etc.)</t>
        </is>
      </c>
    </row>
    <row r="110">
      <c r="N110" t="inlineStr">
        <is>
          <t>Jamaica</t>
        </is>
      </c>
      <c r="S110" t="inlineStr">
        <is>
          <t>Organizaciones Benéficas</t>
        </is>
      </c>
    </row>
    <row r="111">
      <c r="N111" t="inlineStr">
        <is>
          <t>Japón</t>
        </is>
      </c>
      <c r="S111" t="inlineStr">
        <is>
          <t>Organizaciones Eclesiásticas</t>
        </is>
      </c>
    </row>
    <row r="112">
      <c r="N112" t="inlineStr">
        <is>
          <t>Jersey</t>
        </is>
      </c>
      <c r="S112" t="inlineStr">
        <is>
          <t>Paisajista y jardinería</t>
        </is>
      </c>
    </row>
    <row r="113">
      <c r="N113" t="inlineStr">
        <is>
          <t>Jordania</t>
        </is>
      </c>
      <c r="S113" t="inlineStr">
        <is>
          <t>Pintor de murales</t>
        </is>
      </c>
    </row>
    <row r="114">
      <c r="N114" t="inlineStr">
        <is>
          <t>Kazajstán</t>
        </is>
      </c>
      <c r="S114" t="inlineStr">
        <is>
          <t>Politólogo</t>
        </is>
      </c>
    </row>
    <row r="115">
      <c r="N115" t="inlineStr">
        <is>
          <t>Kenya</t>
        </is>
      </c>
      <c r="S115" t="inlineStr">
        <is>
          <t>Productor Agropecuario</t>
        </is>
      </c>
    </row>
    <row r="116">
      <c r="N116" t="inlineStr">
        <is>
          <t>Kiribati</t>
        </is>
      </c>
      <c r="S116" t="inlineStr">
        <is>
          <t>Productor Audiovisual</t>
        </is>
      </c>
    </row>
    <row r="117">
      <c r="N117" t="inlineStr">
        <is>
          <t>Kuwait</t>
        </is>
      </c>
      <c r="S117" t="inlineStr">
        <is>
          <t>Productor Frutihorticola</t>
        </is>
      </c>
    </row>
    <row r="118">
      <c r="N118" t="inlineStr">
        <is>
          <t>Las Bahamas</t>
        </is>
      </c>
      <c r="S118" t="inlineStr">
        <is>
          <t>Profesional universitario Minera o Petrolera</t>
        </is>
      </c>
    </row>
    <row r="119">
      <c r="N119" t="inlineStr">
        <is>
          <t>Las Islas Caimán</t>
        </is>
      </c>
      <c r="S119" t="inlineStr">
        <is>
          <t>Profesional universitario que maneje formal o informalmente fondos de terceros</t>
        </is>
      </c>
    </row>
    <row r="120">
      <c r="N120" t="inlineStr">
        <is>
          <t>Las Islas Marshall</t>
        </is>
      </c>
      <c r="S120" t="inlineStr">
        <is>
          <t>Profesional universitario que no maneje fondos de terceros</t>
        </is>
      </c>
    </row>
    <row r="121">
      <c r="N121" t="inlineStr">
        <is>
          <t>Las Islas Salomón</t>
        </is>
      </c>
      <c r="S121" t="inlineStr">
        <is>
          <t>Profesionales de la salud (no prod. medicamentos)</t>
        </is>
      </c>
    </row>
    <row r="122">
      <c r="N122" t="inlineStr">
        <is>
          <t>Lesotho</t>
        </is>
      </c>
      <c r="S122" t="inlineStr">
        <is>
          <t>Publicidad y Marketing</t>
        </is>
      </c>
    </row>
    <row r="123">
      <c r="N123" t="inlineStr">
        <is>
          <t>Liberia</t>
        </is>
      </c>
      <c r="S123" t="inlineStr">
        <is>
          <t>Referenciador</t>
        </is>
      </c>
    </row>
    <row r="124">
      <c r="N124" t="inlineStr">
        <is>
          <t>Liechtenstein</t>
        </is>
      </c>
      <c r="S124" t="inlineStr">
        <is>
          <t>Relaciones de Correspondalía</t>
        </is>
      </c>
    </row>
    <row r="125">
      <c r="N125" t="inlineStr">
        <is>
          <t>Lituania</t>
        </is>
      </c>
      <c r="S125" t="inlineStr">
        <is>
          <t>Remate / casas de empeño</t>
        </is>
      </c>
    </row>
    <row r="126">
      <c r="N126" t="inlineStr">
        <is>
          <t>Luxemburgo</t>
        </is>
      </c>
      <c r="S126" t="inlineStr">
        <is>
          <t>Remesas / Envío de fondos</t>
        </is>
      </c>
    </row>
    <row r="127">
      <c r="N127" t="inlineStr">
        <is>
          <t>Macao</t>
        </is>
      </c>
      <c r="S127" t="inlineStr">
        <is>
          <t>Rentista</t>
        </is>
      </c>
    </row>
    <row r="128">
      <c r="N128" t="inlineStr">
        <is>
          <t>Malasia</t>
        </is>
      </c>
      <c r="S128" t="inlineStr">
        <is>
          <t>Representantes, contratistas y personas vinculadas al Fútbol</t>
        </is>
      </c>
    </row>
    <row r="129">
      <c r="N129" t="inlineStr">
        <is>
          <t>Malawi</t>
        </is>
      </c>
      <c r="S129" t="inlineStr">
        <is>
          <t>Servicio de Pago Beneficio Alimenticio</t>
        </is>
      </c>
    </row>
    <row r="130">
      <c r="N130" t="inlineStr">
        <is>
          <t>Malta</t>
        </is>
      </c>
      <c r="S130" t="inlineStr">
        <is>
          <t>Servicios agrícolas</t>
        </is>
      </c>
    </row>
    <row r="131">
      <c r="N131" t="inlineStr">
        <is>
          <t>Marianas del Norte</t>
        </is>
      </c>
      <c r="S131" t="inlineStr">
        <is>
          <t>Servicios electromecánicos y obras</t>
        </is>
      </c>
    </row>
    <row r="132">
      <c r="N132" t="inlineStr">
        <is>
          <t>Marruecos</t>
        </is>
      </c>
      <c r="S132" t="inlineStr">
        <is>
          <t>Servicios ganaderos</t>
        </is>
      </c>
    </row>
    <row r="133">
      <c r="N133" t="inlineStr">
        <is>
          <t>Mauricio</t>
        </is>
      </c>
      <c r="S133" t="inlineStr">
        <is>
          <t>Servicios Tecnológicos de Automatización y proyectos de Ingeniería</t>
        </is>
      </c>
    </row>
    <row r="134">
      <c r="N134" t="inlineStr">
        <is>
          <t>México</t>
        </is>
      </c>
      <c r="S134" t="inlineStr">
        <is>
          <t>Sociedad de Bolsa</t>
        </is>
      </c>
    </row>
    <row r="135">
      <c r="N135" t="inlineStr">
        <is>
          <t>Mónaco</t>
        </is>
      </c>
      <c r="S135" t="inlineStr">
        <is>
          <t>Socio/ Presidente/ Dueño</t>
        </is>
      </c>
    </row>
    <row r="136">
      <c r="N136" t="inlineStr">
        <is>
          <t>Mongolia</t>
        </is>
      </c>
      <c r="S136" t="inlineStr">
        <is>
          <t>Tabacalera</t>
        </is>
      </c>
    </row>
    <row r="137">
      <c r="N137" t="inlineStr">
        <is>
          <t>Montenegro</t>
        </is>
      </c>
      <c r="S137" t="inlineStr">
        <is>
          <t>Tecnología (exceptuando software)</t>
        </is>
      </c>
    </row>
    <row r="138">
      <c r="N138" t="inlineStr">
        <is>
          <t>Montserrat</t>
        </is>
      </c>
      <c r="S138" t="inlineStr">
        <is>
          <t>Tesorero</t>
        </is>
      </c>
    </row>
    <row r="139">
      <c r="N139" t="inlineStr">
        <is>
          <t>Namibia</t>
        </is>
      </c>
      <c r="S139" t="inlineStr">
        <is>
          <t>Traductor</t>
        </is>
      </c>
    </row>
    <row r="140">
      <c r="N140" t="inlineStr">
        <is>
          <t>Nauru</t>
        </is>
      </c>
      <c r="S140" t="inlineStr">
        <is>
          <t>Transporte de Carga</t>
        </is>
      </c>
    </row>
    <row r="141">
      <c r="N141" t="inlineStr">
        <is>
          <t>Nepal</t>
        </is>
      </c>
      <c r="S141" t="inlineStr">
        <is>
          <t>Transporte Internacional</t>
        </is>
      </c>
    </row>
    <row r="142">
      <c r="N142" t="inlineStr">
        <is>
          <t>Nicaragua</t>
        </is>
      </c>
      <c r="S142" t="inlineStr">
        <is>
          <t>Transporte Nacional</t>
        </is>
      </c>
    </row>
    <row r="143">
      <c r="N143" t="inlineStr">
        <is>
          <t>Níger</t>
        </is>
      </c>
      <c r="S143" t="inlineStr">
        <is>
          <t>Vendedor empresa comercial</t>
        </is>
      </c>
    </row>
    <row r="144">
      <c r="N144" t="inlineStr">
        <is>
          <t>Nigeria</t>
        </is>
      </c>
      <c r="S144" t="inlineStr">
        <is>
          <t>Vestimenta</t>
        </is>
      </c>
    </row>
    <row r="145">
      <c r="N145" t="inlineStr">
        <is>
          <t>Niue</t>
        </is>
      </c>
      <c r="S145" t="inlineStr">
        <is>
          <t>Veterinario</t>
        </is>
      </c>
    </row>
    <row r="146">
      <c r="N146" t="inlineStr">
        <is>
          <t>Noruega</t>
        </is>
      </c>
      <c r="S146" t="inlineStr">
        <is>
          <t>Viveros</t>
        </is>
      </c>
    </row>
    <row r="147">
      <c r="N147" t="inlineStr">
        <is>
          <t>Nueva Zelanda</t>
        </is>
      </c>
    </row>
    <row r="148">
      <c r="N148" t="inlineStr">
        <is>
          <t>Omán</t>
        </is>
      </c>
    </row>
    <row r="149">
      <c r="N149" t="inlineStr">
        <is>
          <t>Países Bajos</t>
        </is>
      </c>
    </row>
    <row r="150">
      <c r="N150" t="inlineStr">
        <is>
          <t>Pakistán</t>
        </is>
      </c>
    </row>
    <row r="151">
      <c r="N151" t="inlineStr">
        <is>
          <t>Panamá</t>
        </is>
      </c>
    </row>
    <row r="152">
      <c r="N152" t="inlineStr">
        <is>
          <t>Paraguay</t>
        </is>
      </c>
    </row>
    <row r="153">
      <c r="N153" t="inlineStr">
        <is>
          <t>Perú</t>
        </is>
      </c>
    </row>
    <row r="154">
      <c r="N154" t="inlineStr">
        <is>
          <t>Polonia</t>
        </is>
      </c>
    </row>
    <row r="155">
      <c r="N155" t="inlineStr">
        <is>
          <t>Portugal</t>
        </is>
      </c>
    </row>
    <row r="156">
      <c r="N156" t="inlineStr">
        <is>
          <t>Puerto Rico</t>
        </is>
      </c>
    </row>
    <row r="157">
      <c r="N157" t="inlineStr">
        <is>
          <t>Qatar</t>
        </is>
      </c>
    </row>
    <row r="158">
      <c r="I158" t="inlineStr">
        <is>
          <t>Seleccione una opción</t>
        </is>
      </c>
      <c r="N158" t="inlineStr">
        <is>
          <t>Reino Unido</t>
        </is>
      </c>
    </row>
    <row r="159" ht="28.5" customHeight="1">
      <c r="I159" s="49" t="inlineStr">
        <is>
          <t>Portafolio 1</t>
        </is>
      </c>
      <c r="N159" t="inlineStr">
        <is>
          <t>Reino Unido</t>
        </is>
      </c>
    </row>
    <row r="160" ht="28.5" customHeight="1">
      <c r="I160" s="49" t="inlineStr">
        <is>
          <t xml:space="preserve"> Portafolio 2</t>
        </is>
      </c>
      <c r="N160" t="inlineStr">
        <is>
          <t>República Checa</t>
        </is>
      </c>
    </row>
    <row r="161" ht="28.5" customHeight="1">
      <c r="I161" s="49" t="inlineStr">
        <is>
          <t xml:space="preserve"> Portafolio 3</t>
        </is>
      </c>
      <c r="N161" t="inlineStr">
        <is>
          <t>República Dominicana</t>
        </is>
      </c>
    </row>
    <row r="162">
      <c r="N162" t="inlineStr">
        <is>
          <t>Rumania</t>
        </is>
      </c>
    </row>
    <row r="163">
      <c r="N163" t="inlineStr">
        <is>
          <t>Rusia</t>
        </is>
      </c>
    </row>
    <row r="164">
      <c r="N164" t="inlineStr">
        <is>
          <t>Rwanda</t>
        </is>
      </c>
    </row>
    <row r="165">
      <c r="N165" t="inlineStr">
        <is>
          <t>Sáhara Occidental</t>
        </is>
      </c>
    </row>
    <row r="166">
      <c r="N166" t="inlineStr">
        <is>
          <t>Saint Kitts y Nevis</t>
        </is>
      </c>
    </row>
    <row r="167">
      <c r="I167" t="inlineStr">
        <is>
          <t>Seleccione una opción</t>
        </is>
      </c>
      <c r="N167" t="inlineStr">
        <is>
          <t>Samoa</t>
        </is>
      </c>
    </row>
    <row r="168" ht="28.5" customHeight="1">
      <c r="I168" s="49" t="inlineStr">
        <is>
          <t>Portafolio A</t>
        </is>
      </c>
      <c r="N168" t="inlineStr">
        <is>
          <t>San Marino</t>
        </is>
      </c>
    </row>
    <row r="169" ht="28.5" customHeight="1">
      <c r="I169" s="49" t="inlineStr">
        <is>
          <t xml:space="preserve"> Portafolio B</t>
        </is>
      </c>
      <c r="N169" t="inlineStr">
        <is>
          <t>San Vicente y las Granadinas</t>
        </is>
      </c>
    </row>
    <row r="170" ht="28.5" customHeight="1">
      <c r="I170" s="49" t="inlineStr">
        <is>
          <t xml:space="preserve"> Portafolio C</t>
        </is>
      </c>
      <c r="N170" t="inlineStr">
        <is>
          <t>Santa Elena</t>
        </is>
      </c>
    </row>
    <row r="171" ht="28.5" customHeight="1">
      <c r="I171" s="49" t="inlineStr">
        <is>
          <t xml:space="preserve"> Portafolio D</t>
        </is>
      </c>
      <c r="N171" t="inlineStr">
        <is>
          <t>Santa Lucía</t>
        </is>
      </c>
    </row>
    <row r="172" ht="28.5" customHeight="1">
      <c r="I172" s="49" t="inlineStr">
        <is>
          <t xml:space="preserve"> Portafolio E</t>
        </is>
      </c>
      <c r="N172" t="inlineStr">
        <is>
          <t>Santo Tomé y Príncipe</t>
        </is>
      </c>
    </row>
    <row r="173">
      <c r="N173" t="inlineStr">
        <is>
          <t>Senegal</t>
        </is>
      </c>
    </row>
    <row r="174">
      <c r="N174" t="inlineStr">
        <is>
          <t>Seychelles</t>
        </is>
      </c>
    </row>
    <row r="175">
      <c r="N175" t="inlineStr">
        <is>
          <t>Sierra Leona</t>
        </is>
      </c>
    </row>
    <row r="176">
      <c r="N176" t="inlineStr">
        <is>
          <t>Singapur</t>
        </is>
      </c>
    </row>
    <row r="177">
      <c r="N177" t="inlineStr">
        <is>
          <t>Sri Lanka</t>
        </is>
      </c>
    </row>
    <row r="178">
      <c r="N178" t="inlineStr">
        <is>
          <t>Sudáfrica</t>
        </is>
      </c>
    </row>
    <row r="179">
      <c r="N179" t="inlineStr">
        <is>
          <t>Sudán del Sur</t>
        </is>
      </c>
    </row>
    <row r="180">
      <c r="N180" t="inlineStr">
        <is>
          <t>Suecia</t>
        </is>
      </c>
    </row>
    <row r="181">
      <c r="N181" t="inlineStr">
        <is>
          <t>Suiza</t>
        </is>
      </c>
    </row>
    <row r="182">
      <c r="N182" t="inlineStr">
        <is>
          <t>Suriname</t>
        </is>
      </c>
    </row>
    <row r="183">
      <c r="N183" t="inlineStr">
        <is>
          <t>Swazilandia</t>
        </is>
      </c>
    </row>
    <row r="184">
      <c r="N184" t="inlineStr">
        <is>
          <t>Tailandia</t>
        </is>
      </c>
    </row>
    <row r="185">
      <c r="N185" t="inlineStr">
        <is>
          <t>Taiwan</t>
        </is>
      </c>
    </row>
    <row r="186">
      <c r="N186" t="inlineStr">
        <is>
          <t>Tanzania</t>
        </is>
      </c>
    </row>
    <row r="187">
      <c r="N187" t="inlineStr">
        <is>
          <t>Tayikistán</t>
        </is>
      </c>
    </row>
    <row r="188">
      <c r="N188" t="inlineStr">
        <is>
          <t>Togo</t>
        </is>
      </c>
    </row>
    <row r="189">
      <c r="N189" t="inlineStr">
        <is>
          <t>Tonga</t>
        </is>
      </c>
    </row>
    <row r="190">
      <c r="N190" t="inlineStr">
        <is>
          <t>Trinidad y Tobago</t>
        </is>
      </c>
    </row>
    <row r="191">
      <c r="I191" t="inlineStr">
        <is>
          <t>Seleccione una opción</t>
        </is>
      </c>
      <c r="N191" t="inlineStr">
        <is>
          <t>Túnez</t>
        </is>
      </c>
    </row>
    <row r="192" ht="57" customHeight="1">
      <c r="I192" s="49" t="inlineStr">
        <is>
          <t>Vender el 100% de los fondos</t>
        </is>
      </c>
      <c r="N192" t="inlineStr">
        <is>
          <t>Turquía</t>
        </is>
      </c>
    </row>
    <row r="193" ht="57" customHeight="1">
      <c r="I193" s="49" t="inlineStr">
        <is>
          <t xml:space="preserve"> Vender parte de los fondos</t>
        </is>
      </c>
      <c r="N193" t="inlineStr">
        <is>
          <t>Ucrania</t>
        </is>
      </c>
    </row>
    <row r="194" ht="85.5" customHeight="1">
      <c r="I194" s="49" t="inlineStr">
        <is>
          <t xml:space="preserve"> Transferir parte a un fondo más conservador</t>
        </is>
      </c>
      <c r="N194" t="inlineStr">
        <is>
          <t>Uganda</t>
        </is>
      </c>
    </row>
    <row r="195" ht="256.5" customHeight="1">
      <c r="I195" s="49" t="inlineStr">
        <is>
          <t xml:space="preserve"> Analizaría las perspectivas del activo y compraría más unidades del mismo fondo (siempre que los fundamentos así lo justifiquen)</t>
        </is>
      </c>
      <c r="N195" t="inlineStr">
        <is>
          <t>Uruguay</t>
        </is>
      </c>
    </row>
    <row r="196" ht="28.5" customHeight="1">
      <c r="I196" s="49" t="inlineStr">
        <is>
          <t xml:space="preserve"> No haría nada</t>
        </is>
      </c>
      <c r="N196" t="inlineStr">
        <is>
          <t>Uzbekistán</t>
        </is>
      </c>
    </row>
    <row r="197">
      <c r="N197" t="inlineStr">
        <is>
          <t>Vanuatu</t>
        </is>
      </c>
    </row>
    <row r="198">
      <c r="N198" t="inlineStr">
        <is>
          <t>Venezuela</t>
        </is>
      </c>
    </row>
    <row r="199">
      <c r="N199" t="inlineStr">
        <is>
          <t>Vietnam</t>
        </is>
      </c>
    </row>
    <row r="200">
      <c r="N200" t="inlineStr">
        <is>
          <t>Zambia</t>
        </is>
      </c>
    </row>
  </sheetData>
  <mergeCells count="5">
    <mergeCell ref="D83:E83"/>
    <mergeCell ref="D87:E87"/>
    <mergeCell ref="D89:E89"/>
    <mergeCell ref="D85:E85"/>
    <mergeCell ref="D91:E91"/>
  </mergeCells>
  <dataValidations count="8">
    <dataValidation sqref="B3:B4" showDropDown="0" showInputMessage="1" showErrorMessage="1" allowBlank="1" promptTitle="Elija aquí"/>
    <dataValidation sqref="G98" showDropDown="0" showInputMessage="1" showErrorMessage="1" allowBlank="1" type="list">
      <formula1>$T$70:$T$75</formula1>
    </dataValidation>
    <dataValidation sqref="G95" showDropDown="0" showInputMessage="1" showErrorMessage="1" allowBlank="1" type="list">
      <formula1>$T$62:$T$67</formula1>
    </dataValidation>
    <dataValidation sqref="G93" showDropDown="0" showInputMessage="1" showErrorMessage="1" allowBlank="1" type="list">
      <formula1>$T$49:$T$52</formula1>
    </dataValidation>
    <dataValidation sqref="G91" showDropDown="0" showInputMessage="1" showErrorMessage="1" allowBlank="1" type="list">
      <formula1>$T$36:$T$40</formula1>
    </dataValidation>
    <dataValidation sqref="G89" showDropDown="0" showInputMessage="1" showErrorMessage="1" allowBlank="1" type="list">
      <formula1>$T$28:$T$33</formula1>
    </dataValidation>
    <dataValidation sqref="G83 G87" showDropDown="0" showInputMessage="1" showErrorMessage="1" allowBlank="1" type="list">
      <formula1>$C$48:$C$52</formula1>
    </dataValidation>
    <dataValidation sqref="G85" showDropDown="0" showInputMessage="1" showErrorMessage="1" allowBlank="1" type="list">
      <formula1>$T$14:$T$18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0"/>
  <sheetViews>
    <sheetView topLeftCell="A38" zoomScale="71" zoomScaleNormal="100" workbookViewId="0">
      <selection activeCell="B49" sqref="B49"/>
    </sheetView>
  </sheetViews>
  <sheetFormatPr baseColWidth="10" defaultColWidth="11.5703125" defaultRowHeight="15"/>
  <cols>
    <col width="52.140625" customWidth="1" style="2" min="1" max="1"/>
    <col width="47.85546875" customWidth="1" style="22" min="2" max="2"/>
    <col width="45.85546875" customWidth="1" style="2" min="3" max="3"/>
    <col width="39.7109375" customWidth="1" style="2" min="4" max="4"/>
    <col width="42.85546875" customWidth="1" style="2" min="5" max="5"/>
    <col width="52.42578125" customWidth="1" style="2" min="6" max="6"/>
    <col width="48" customWidth="1" style="2" min="7" max="7"/>
    <col width="28" customWidth="1" style="2" min="8" max="8"/>
    <col width="55.5703125" customWidth="1" style="2" min="9" max="9"/>
    <col width="26.85546875" customWidth="1" style="2" min="10" max="10"/>
    <col width="28.42578125" customWidth="1" style="2" min="11" max="11"/>
    <col width="42.140625" customWidth="1" style="2" min="12" max="12"/>
    <col width="9.140625" customWidth="1" style="2" min="13" max="19"/>
    <col width="110.5703125" customWidth="1" style="20" min="20" max="20"/>
    <col width="11.5703125" customWidth="1" style="20" min="21" max="23"/>
    <col width="11.5703125" customWidth="1" style="2" min="24" max="16384"/>
  </cols>
  <sheetData>
    <row r="1" ht="24" customHeight="1">
      <c r="A1" s="177" t="inlineStr">
        <is>
          <t>Datos Cuenta</t>
        </is>
      </c>
    </row>
    <row r="2">
      <c r="A2" s="64" t="inlineStr">
        <is>
          <t>Tipo de Cuenta</t>
        </is>
      </c>
      <c r="B2" s="65" t="n"/>
      <c r="C2" s="66" t="inlineStr">
        <is>
          <t>Individual: Persona Natural</t>
        </is>
      </c>
    </row>
    <row r="3">
      <c r="A3" s="66" t="n"/>
      <c r="B3" s="67" t="n"/>
      <c r="C3" s="66" t="inlineStr">
        <is>
          <t>Corporativo: Persona Jurídica</t>
        </is>
      </c>
    </row>
    <row r="4" ht="24" customHeight="1">
      <c r="A4" s="177" t="inlineStr">
        <is>
          <t>Datos Asesor</t>
        </is>
      </c>
    </row>
    <row r="5">
      <c r="A5" s="64" t="inlineStr">
        <is>
          <t>Rep Code</t>
        </is>
      </c>
      <c r="B5" s="65" t="n"/>
    </row>
    <row r="6">
      <c r="A6" s="64" t="inlineStr">
        <is>
          <t>Nombre Completo</t>
        </is>
      </c>
      <c r="B6" s="65" t="n"/>
    </row>
    <row r="7">
      <c r="A7" s="64" t="inlineStr">
        <is>
          <t>E-mail</t>
        </is>
      </c>
      <c r="B7" s="65" t="n"/>
    </row>
    <row r="10" ht="24" customHeight="1">
      <c r="A10" s="7" t="inlineStr">
        <is>
          <t>PERFIL DE RIESGO</t>
        </is>
      </c>
    </row>
    <row r="11" ht="6" customHeight="1"/>
    <row r="12">
      <c r="A12" s="13" t="inlineStr">
        <is>
          <t>1 - Horizonte de tiempo</t>
        </is>
      </c>
      <c r="B12" s="23" t="n"/>
      <c r="C12" s="14" t="n"/>
      <c r="D12" s="14" t="n"/>
    </row>
    <row r="13" ht="28.9" customHeight="1">
      <c r="A13" s="171" t="inlineStr">
        <is>
          <t>¿Cuál es su horizonte de tiempo para esta inversión? ¿Cuándo necesitará este dinero, o durante cuánto tiempo cree que mantendrá esta inversión?</t>
        </is>
      </c>
      <c r="D13" s="68" t="inlineStr">
        <is>
          <t xml:space="preserve"> Menos de 3 años</t>
        </is>
      </c>
      <c r="T13" s="20" t="inlineStr">
        <is>
          <t>1 - Horizonte de tiempo</t>
        </is>
      </c>
    </row>
    <row r="14">
      <c r="A14" s="13" t="inlineStr">
        <is>
          <t>2 - Experiencia</t>
        </is>
      </c>
      <c r="B14" s="23" t="n"/>
      <c r="C14" s="14" t="n"/>
      <c r="D14" s="23" t="n"/>
      <c r="T14" s="20" t="inlineStr">
        <is>
          <t>¿Cuál es su horizonte de tiempo para esta inversión? ¿Cuándo necesitará este dinero, o durante cuánto tiempo cree que mantendrá esta inversión?</t>
        </is>
      </c>
    </row>
    <row r="15" ht="25.9" customHeight="1">
      <c r="A15" s="172" t="inlineStr">
        <is>
          <t>Cuál de las siguientes opciones mejor describe su nivel de conocimiento 
sobre mercado de valores y sus productos:</t>
        </is>
      </c>
      <c r="D15" s="68" t="inlineStr">
        <is>
          <t>Ninguno – sin conocimiento ni experiencia sobre inversiones</t>
        </is>
      </c>
      <c r="T15" s="20" t="inlineStr">
        <is>
          <t>Elija aquí</t>
        </is>
      </c>
    </row>
    <row r="16">
      <c r="A16" s="13" t="inlineStr">
        <is>
          <t>3 - % de activos totales</t>
        </is>
      </c>
      <c r="B16" s="23" t="n"/>
      <c r="C16" s="14" t="n"/>
      <c r="D16" s="23" t="n"/>
      <c r="T16" s="20" t="inlineStr">
        <is>
          <t xml:space="preserve"> Menos de 3 años</t>
        </is>
      </c>
    </row>
    <row r="17" ht="28.9" customHeight="1">
      <c r="A17" s="173" t="inlineStr">
        <is>
          <t>¿Qué porcentaje de sus activos totales líquidos (incluyendo dinero en efectivo, depósitos, bonos, acciones, fondos mutuos, pero excluyendo inmuebles) representa esta inversión?</t>
        </is>
      </c>
      <c r="D17" s="68" t="inlineStr">
        <is>
          <t>Más del 75%</t>
        </is>
      </c>
      <c r="T17" s="20" t="inlineStr">
        <is>
          <t xml:space="preserve"> 3 - 5 años</t>
        </is>
      </c>
    </row>
    <row r="18">
      <c r="A18" s="13" t="inlineStr">
        <is>
          <t>4 - Objetivos de inversión</t>
        </is>
      </c>
      <c r="B18" s="23" t="n"/>
      <c r="C18" s="14" t="n"/>
      <c r="D18" s="23" t="n"/>
      <c r="T18" s="20" t="inlineStr">
        <is>
          <t xml:space="preserve"> 6 - 10 años</t>
        </is>
      </c>
    </row>
    <row r="19" ht="24.75" customHeight="1">
      <c r="A19" s="173" t="inlineStr">
        <is>
          <t>¿Cuál de estas frases describe mejor sus objetivos de inversión para esta inversión en particular?</t>
        </is>
      </c>
      <c r="D19" s="68" t="inlineStr">
        <is>
          <t xml:space="preserve"> Puedo aceptar pérdidas pequeñas a corto plazo, pero me importa la seguridad de mi inversión</t>
        </is>
      </c>
      <c r="T19" s="20" t="inlineStr">
        <is>
          <t xml:space="preserve"> 11 años o más</t>
        </is>
      </c>
    </row>
    <row r="20">
      <c r="A20" s="16" t="inlineStr">
        <is>
          <t>5 - Riesgo y alta volatilidad</t>
        </is>
      </c>
      <c r="B20" s="23" t="n"/>
      <c r="C20" s="14" t="n"/>
      <c r="D20" s="23" t="n"/>
      <c r="T20" s="20" t="inlineStr">
        <is>
          <t>2 - Experiencia</t>
        </is>
      </c>
    </row>
    <row r="21" ht="15.75" customHeight="1">
      <c r="A21" s="174" t="inlineStr">
        <is>
          <t>¿Cuál es su actitud frente a la volatilidad del mercado en el corto plazo?</t>
        </is>
      </c>
      <c r="D21" s="68" t="inlineStr">
        <is>
          <t>Generalmente entro en pánico cuando el mercado cae</t>
        </is>
      </c>
      <c r="T21" s="20" t="inlineStr">
        <is>
          <t>Cuál de las siguientes opciones mejor describe su nivel de conocimiento sobre mercado de valores y sus productos:</t>
        </is>
      </c>
    </row>
    <row r="22">
      <c r="A22" s="13" t="inlineStr">
        <is>
          <t>6 - Elección de portafolio</t>
        </is>
      </c>
      <c r="B22" s="23" t="n"/>
      <c r="C22" s="14" t="n"/>
      <c r="D22" s="14" t="n"/>
      <c r="T22" s="20" t="inlineStr">
        <is>
          <t>Elija aquí</t>
        </is>
      </c>
    </row>
    <row r="23" ht="102" customHeight="1">
      <c r="B23" s="24" t="inlineStr">
        <is>
          <t>El siguiente gráfico muestra la evolución del valor de tres portafolios de inversión hipotéticos, para un período de 4 años, los portafolios más riesgosos experimentan variaciones(más frecuentes y profundas en su valor, sin embargo, tienen un mayor retorno esperado en el largo plazo). ¿En cuál de los portafolios se sentiría más cómodo invirtiendo?</t>
        </is>
      </c>
      <c r="D23" s="69" t="inlineStr">
        <is>
          <t>Portafolio 1</t>
        </is>
      </c>
      <c r="T23" s="20" t="inlineStr">
        <is>
          <t xml:space="preserve"> Ninguno – sin conocimiento ni experiencia sobre inversiones</t>
        </is>
      </c>
    </row>
    <row r="24" ht="24" customHeight="1">
      <c r="B24" s="25" t="n"/>
      <c r="T24" s="20" t="inlineStr">
        <is>
          <t xml:space="preserve"> Mínimo – mi conocimiento es muy limitado y no tengo experiencia</t>
        </is>
      </c>
      <c r="X24" s="170" t="inlineStr">
        <is>
          <t>Datos Titular 2</t>
        </is>
      </c>
    </row>
    <row r="25" ht="115.15" customHeight="1">
      <c r="A25" s="19" t="inlineStr">
        <is>
          <t>7 - Elección de rendimiento</t>
        </is>
      </c>
      <c r="B25" s="24" t="inlineStr">
        <is>
          <t>La gráfica del cuadro que aparece a continuación muestra el rendimiento de cinco inversiones hipotéticas diferentes, cada barra muestra los posibles rendimientos de las inversiones en un año. ¿Con cuál de estas inversiones se sentiría más cómodo?</t>
        </is>
      </c>
      <c r="D25" s="69" t="inlineStr">
        <is>
          <t>Portafolio A</t>
        </is>
      </c>
      <c r="T25" s="20" t="inlineStr">
        <is>
          <t xml:space="preserve"> Bueno – buen conocimiento y cierta experiencia en inversiones</t>
        </is>
      </c>
      <c r="X25" s="10" t="inlineStr">
        <is>
          <t>Nombres</t>
        </is>
      </c>
      <c r="Y25" s="8" t="n"/>
    </row>
    <row r="26">
      <c r="T26" s="20" t="inlineStr">
        <is>
          <t xml:space="preserve"> Amplio – fuerte conocimiento y experiencia activa en inversiones</t>
        </is>
      </c>
      <c r="X26" s="10" t="inlineStr">
        <is>
          <t>Apellidos</t>
        </is>
      </c>
      <c r="Y26" s="8" t="n"/>
    </row>
    <row r="27" ht="24" customHeight="1">
      <c r="A27" s="16" t="inlineStr">
        <is>
          <t>8 - Caída en portafolio</t>
        </is>
      </c>
      <c r="B27" s="23" t="n"/>
      <c r="C27" s="14" t="n"/>
      <c r="D27" s="14" t="n"/>
      <c r="T27" s="20" t="inlineStr">
        <is>
          <t>3 - % de activos totales</t>
        </is>
      </c>
      <c r="X27" s="10" t="inlineStr">
        <is>
          <t>Dirección (País, Provincia y Ciudad)</t>
        </is>
      </c>
      <c r="Y27" s="8" t="n"/>
    </row>
    <row r="28" ht="95.25" customHeight="1">
      <c r="A28" s="15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  <c r="D28" s="69" t="inlineStr">
        <is>
          <t>Vender el 100% de los fondos</t>
        </is>
      </c>
      <c r="T28" s="20" t="inlineStr">
        <is>
          <t>¿Qué porcentaje de sus activos totales líquidos (incluyendo dinero en efectivo, depósitos, bonos, acciones, fondos mutuos, pero excluyendo inmuebles) representa esta inversión?</t>
        </is>
      </c>
      <c r="X28" s="10" t="inlineStr">
        <is>
          <t>Dirección de residencia</t>
        </is>
      </c>
      <c r="Y28" s="8" t="n"/>
    </row>
    <row r="29" ht="24" customHeight="1">
      <c r="A29" s="170" t="inlineStr">
        <is>
          <t xml:space="preserve">Datos Titular </t>
        </is>
      </c>
      <c r="C29" s="178" t="n"/>
      <c r="E29" s="178" t="n"/>
      <c r="G29" s="178" t="n"/>
      <c r="I29" s="178" t="n"/>
      <c r="X29" s="10" t="inlineStr">
        <is>
          <t>Código Postal</t>
        </is>
      </c>
      <c r="Y29" s="8" t="n"/>
    </row>
    <row r="30" ht="17.25" customFormat="1" customHeight="1" s="7">
      <c r="A30" s="36" t="inlineStr">
        <is>
          <t>Primer Nombre</t>
        </is>
      </c>
      <c r="B30" s="70" t="n"/>
      <c r="C30" s="2" t="n"/>
      <c r="D30" s="22" t="n"/>
      <c r="E30" s="2" t="n"/>
      <c r="F30" s="22" t="n"/>
      <c r="G30" s="2" t="n"/>
      <c r="H30" s="22" t="n"/>
      <c r="I30" s="2" t="n"/>
      <c r="J30" s="22" t="n"/>
      <c r="N30" s="2" t="n"/>
      <c r="O30" s="2" t="n"/>
      <c r="P30" s="2" t="n"/>
      <c r="T30" s="20" t="n"/>
      <c r="U30" s="20" t="n"/>
      <c r="V30" s="20" t="n"/>
      <c r="W30" s="20" t="n"/>
      <c r="X30" s="11" t="inlineStr">
        <is>
          <t>Dirección de correspondencia (solo si difiere a la de residencia)</t>
        </is>
      </c>
      <c r="Y30" s="8" t="n"/>
    </row>
    <row r="31">
      <c r="A31" s="36" t="inlineStr">
        <is>
          <t>Segundo Nombre</t>
        </is>
      </c>
      <c r="B31" s="70" t="n"/>
      <c r="D31" s="22" t="n"/>
      <c r="F31" s="22" t="n"/>
      <c r="H31" s="22" t="n"/>
      <c r="J31" s="22" t="n"/>
      <c r="X31" s="10" t="inlineStr">
        <is>
          <t>Teléfono (País, Ciudad y Número)</t>
        </is>
      </c>
      <c r="Y31" s="8" t="n"/>
    </row>
    <row r="32">
      <c r="A32" s="36" t="inlineStr">
        <is>
          <t>Primer Apellido</t>
        </is>
      </c>
      <c r="B32" s="70" t="n"/>
      <c r="D32" s="22" t="n"/>
      <c r="F32" s="22" t="n"/>
      <c r="H32" s="22" t="n"/>
      <c r="J32" s="22" t="n"/>
      <c r="X32" s="10" t="inlineStr">
        <is>
          <t>E-mail</t>
        </is>
      </c>
      <c r="Y32" s="8" t="n"/>
    </row>
    <row r="33">
      <c r="A33" s="36" t="inlineStr">
        <is>
          <t>Segundo Apellido</t>
        </is>
      </c>
      <c r="B33" s="71" t="n"/>
      <c r="D33" s="22" t="n"/>
      <c r="F33" s="22" t="n"/>
      <c r="H33" s="22" t="n"/>
      <c r="J33" s="45" t="n"/>
      <c r="X33" s="10" t="inlineStr">
        <is>
          <t>Cantidad de hijos</t>
        </is>
      </c>
      <c r="Y33" s="8" t="n"/>
    </row>
    <row r="34" ht="20.25" customHeight="1">
      <c r="A34" s="36" t="inlineStr">
        <is>
          <t>Dirección de residencia</t>
        </is>
      </c>
      <c r="B34" s="70" t="n"/>
      <c r="D34" s="22" t="n"/>
      <c r="F34" s="22" t="n"/>
      <c r="H34" s="22" t="n"/>
      <c r="J34" s="22" t="n"/>
      <c r="X34" s="10" t="inlineStr">
        <is>
          <t>Fecha de nacimiento</t>
        </is>
      </c>
      <c r="Y34" s="8" t="n"/>
    </row>
    <row r="35" ht="16.5" customHeight="1">
      <c r="A35" s="36" t="inlineStr">
        <is>
          <t xml:space="preserve">País </t>
        </is>
      </c>
      <c r="B35" s="70" t="inlineStr">
        <is>
          <t>Seleccione una opción</t>
        </is>
      </c>
      <c r="D35" s="22" t="n"/>
      <c r="F35" s="22" t="n"/>
      <c r="H35" s="22" t="n"/>
      <c r="J35" s="22" t="n"/>
      <c r="X35" s="10" t="inlineStr">
        <is>
          <t>País emisor del documento</t>
        </is>
      </c>
      <c r="Y35" s="26" t="inlineStr">
        <is>
          <t>Elija aquí</t>
        </is>
      </c>
    </row>
    <row r="36">
      <c r="A36" s="36" t="inlineStr">
        <is>
          <t>Provincia</t>
        </is>
      </c>
      <c r="B36" s="70" t="n"/>
      <c r="D36" s="22" t="n"/>
      <c r="F36" s="22" t="n"/>
      <c r="H36" s="22" t="n"/>
      <c r="J36" s="22" t="n"/>
      <c r="X36" s="10" t="inlineStr">
        <is>
          <t>Tipo de documento</t>
        </is>
      </c>
      <c r="Y36" s="26" t="inlineStr">
        <is>
          <t>Elija aquí</t>
        </is>
      </c>
    </row>
    <row r="37">
      <c r="A37" s="36" t="inlineStr">
        <is>
          <t>Ciudad</t>
        </is>
      </c>
      <c r="B37" s="70" t="n"/>
      <c r="D37" s="22" t="n"/>
      <c r="F37" s="22" t="n"/>
      <c r="H37" s="22" t="n"/>
      <c r="J37" s="22" t="n"/>
      <c r="X37" s="10" t="inlineStr">
        <is>
          <t>Número de documento</t>
        </is>
      </c>
      <c r="Y37" s="8" t="n"/>
    </row>
    <row r="38">
      <c r="A38" s="36" t="inlineStr">
        <is>
          <t>Codigo Postal</t>
        </is>
      </c>
      <c r="B38" s="72" t="n"/>
      <c r="D38" s="22" t="n"/>
      <c r="F38" s="22" t="n"/>
      <c r="H38" s="22" t="n"/>
      <c r="J38" s="76" t="n"/>
      <c r="X38" s="10" t="inlineStr">
        <is>
          <t>Identificación fiscal</t>
        </is>
      </c>
      <c r="Y38" s="8" t="n"/>
    </row>
    <row r="39" ht="33.75" customHeight="1">
      <c r="A39" s="37" t="inlineStr">
        <is>
          <t>Dirección de correspondencia (solo si difiere a la de residencia)</t>
        </is>
      </c>
      <c r="B39" s="70" t="n"/>
      <c r="C39" s="3" t="n"/>
      <c r="D39" s="22" t="n"/>
      <c r="F39" s="22" t="n"/>
      <c r="H39" s="22" t="n"/>
      <c r="I39" s="3" t="n"/>
      <c r="J39" s="22" t="n"/>
      <c r="X39" s="10" t="inlineStr">
        <is>
          <t>Nacionalidad</t>
        </is>
      </c>
      <c r="Y39" s="26" t="inlineStr">
        <is>
          <t>Elija aquí</t>
        </is>
      </c>
    </row>
    <row r="40">
      <c r="A40" s="36" t="inlineStr">
        <is>
          <t>Télefono</t>
        </is>
      </c>
      <c r="B40" s="70" t="n"/>
      <c r="D40" s="22" t="n"/>
      <c r="F40" s="22" t="n"/>
      <c r="H40" s="22" t="n"/>
      <c r="J40" s="22" t="n"/>
      <c r="X40" s="10" t="inlineStr">
        <is>
          <t>Ciudadanía</t>
        </is>
      </c>
      <c r="Y40" s="26" t="inlineStr">
        <is>
          <t>Elija aquí</t>
        </is>
      </c>
    </row>
    <row r="41">
      <c r="A41" s="36" t="inlineStr">
        <is>
          <t>E-mail</t>
        </is>
      </c>
      <c r="B41" s="70" t="n"/>
      <c r="D41" s="22" t="n"/>
      <c r="F41" s="22" t="n"/>
      <c r="H41" s="22" t="n"/>
      <c r="J41" s="22" t="n"/>
    </row>
    <row r="42" ht="18.75" customHeight="1">
      <c r="A42" s="36" t="inlineStr">
        <is>
          <t>Fecha de nacimiento</t>
        </is>
      </c>
      <c r="B42" s="73" t="n"/>
      <c r="D42" s="22" t="n"/>
      <c r="F42" s="22" t="n"/>
      <c r="H42" s="22" t="n"/>
      <c r="J42" s="77" t="n"/>
      <c r="X42" s="176" t="inlineStr">
        <is>
          <t>Situación Laboral</t>
        </is>
      </c>
      <c r="Y42" s="180" t="n"/>
    </row>
    <row r="43">
      <c r="A43" s="36" t="inlineStr">
        <is>
          <t>País Emisor del documento</t>
        </is>
      </c>
      <c r="B43" s="70" t="inlineStr">
        <is>
          <t>Seleccione una opción</t>
        </is>
      </c>
      <c r="D43" s="22" t="n"/>
      <c r="F43" s="22" t="n"/>
      <c r="H43" s="22" t="n"/>
      <c r="J43" s="22" t="n"/>
      <c r="X43" s="10" t="inlineStr">
        <is>
          <t>Ocupación</t>
        </is>
      </c>
      <c r="Y43" s="8" t="inlineStr">
        <is>
          <t>Seleccione una opción</t>
        </is>
      </c>
    </row>
    <row r="44">
      <c r="A44" s="36" t="inlineStr">
        <is>
          <t>Tipo de documento</t>
        </is>
      </c>
      <c r="B44" s="74" t="inlineStr">
        <is>
          <t>Documento Gubernamental</t>
        </is>
      </c>
      <c r="D44" s="22" t="n"/>
      <c r="F44" s="22" t="n"/>
      <c r="H44" s="22" t="n"/>
      <c r="J44" s="22" t="n"/>
      <c r="X44" s="10" t="inlineStr">
        <is>
          <t>Cargo</t>
        </is>
      </c>
      <c r="Y44" s="8" t="n"/>
    </row>
    <row r="45">
      <c r="A45" s="36" t="inlineStr">
        <is>
          <t>Número de documento</t>
        </is>
      </c>
      <c r="B45" s="70" t="n"/>
      <c r="C45" s="2" t="inlineStr">
        <is>
          <t>Rut</t>
        </is>
      </c>
      <c r="D45" s="22" t="n"/>
      <c r="F45" s="22" t="n"/>
      <c r="H45" s="22" t="n"/>
      <c r="J45" s="22" t="n"/>
      <c r="X45" s="10" t="inlineStr">
        <is>
          <t>Empresa</t>
        </is>
      </c>
      <c r="Y45" s="8" t="n"/>
    </row>
    <row r="46">
      <c r="A46" s="36" t="inlineStr">
        <is>
          <t>Identificación fiscal</t>
        </is>
      </c>
      <c r="B46" s="70" t="n"/>
      <c r="C46" s="2" t="inlineStr">
        <is>
          <t>Rut</t>
        </is>
      </c>
      <c r="D46" s="22" t="n"/>
      <c r="F46" s="22" t="n"/>
      <c r="H46" s="22" t="n"/>
      <c r="J46" s="22" t="n"/>
      <c r="X46" s="10" t="inlineStr">
        <is>
          <t>Rubro de la empresa</t>
        </is>
      </c>
      <c r="Y46" s="8" t="n"/>
    </row>
    <row r="47" ht="17.25" customHeight="1">
      <c r="A47" s="36" t="inlineStr">
        <is>
          <t>Nacionalidad</t>
        </is>
      </c>
      <c r="B47" s="70" t="inlineStr">
        <is>
          <t>Seleccione una opción</t>
        </is>
      </c>
      <c r="D47" s="22" t="n"/>
      <c r="F47" s="22" t="n"/>
      <c r="H47" s="22" t="n"/>
      <c r="J47" s="22" t="n"/>
      <c r="X47" s="11" t="inlineStr">
        <is>
          <t>Dirección Empresa (País, Provincia y Ciudad)</t>
        </is>
      </c>
      <c r="Y47" s="9" t="n"/>
    </row>
    <row r="48" ht="18.75" customFormat="1" customHeight="1" s="1">
      <c r="A48" s="36" t="inlineStr">
        <is>
          <t>Ciudadanía</t>
        </is>
      </c>
      <c r="B48" s="70" t="inlineStr">
        <is>
          <t>Seleccione una opción</t>
        </is>
      </c>
      <c r="C48" s="2" t="n"/>
      <c r="D48" s="22" t="n"/>
      <c r="E48" s="2" t="n"/>
      <c r="F48" s="22" t="n"/>
      <c r="G48" s="2" t="n"/>
      <c r="H48" s="22" t="n"/>
      <c r="I48" s="2" t="n"/>
      <c r="J48" s="22" t="n"/>
      <c r="N48" s="2" t="n"/>
      <c r="O48" s="2" t="n"/>
      <c r="P48" s="2" t="n"/>
      <c r="T48" s="20" t="n"/>
      <c r="U48" s="20" t="n"/>
      <c r="V48" s="20" t="n"/>
      <c r="W48" s="20" t="n"/>
      <c r="X48" s="10" t="inlineStr">
        <is>
          <t>Dirección Empresa</t>
        </is>
      </c>
      <c r="Y48" s="8" t="n"/>
    </row>
    <row r="49">
      <c r="A49" s="50" t="inlineStr">
        <is>
          <t>Situación laboral</t>
        </is>
      </c>
      <c r="B49" s="70" t="inlineStr">
        <is>
          <t>Estudiante</t>
        </is>
      </c>
      <c r="C49" s="99">
        <f>IF(OR(B49="Empleado/Independiente",B49="No empleado",B49="Retirado"),"Responda las siguientes preguntas sobre su situación laboral :","")</f>
        <v/>
      </c>
      <c r="D49" s="22" t="n"/>
      <c r="F49" s="22" t="n"/>
      <c r="H49" s="22" t="n"/>
      <c r="J49" s="22" t="n"/>
      <c r="X49" s="10" t="inlineStr">
        <is>
          <t>Código Postal Empresa</t>
        </is>
      </c>
      <c r="Y49" s="8" t="n"/>
    </row>
    <row r="50" ht="18" customHeight="1">
      <c r="A50" s="36" t="inlineStr">
        <is>
          <t>Ocupación</t>
        </is>
      </c>
      <c r="B50" s="78" t="inlineStr">
        <is>
          <t>Seleccione una opción</t>
        </is>
      </c>
      <c r="C50" s="66">
        <f>IF(B49="Empleado/Independiente","Cargo",IF(OR(B49="No empleado",B49="Retirado"),"Cargo (Último trabajo)",""))</f>
        <v/>
      </c>
      <c r="D50" s="22" t="n"/>
      <c r="H50" s="22" t="n"/>
      <c r="X50" s="11" t="inlineStr">
        <is>
          <t>Teléfono Empresa (País, Ciudad, Número y Fax)</t>
        </is>
      </c>
      <c r="Y50" s="9" t="n"/>
    </row>
    <row r="51">
      <c r="A51" s="36" t="inlineStr">
        <is>
          <t>Estado Civil</t>
        </is>
      </c>
      <c r="B51" s="70" t="inlineStr">
        <is>
          <t>Casado/a</t>
        </is>
      </c>
      <c r="C51" s="66">
        <f>IF(B49="Empleado/Independiente","Empresa",IF(OR(B49="No empleado",B49="Retirado"),"Empresa (Último trabajo)",""))</f>
        <v/>
      </c>
      <c r="D51" s="22" t="n"/>
      <c r="F51" s="22" t="n"/>
      <c r="H51" s="22" t="n"/>
      <c r="J51" s="22" t="n"/>
      <c r="X51" s="10" t="inlineStr">
        <is>
          <t>E-mail</t>
        </is>
      </c>
      <c r="Y51" s="8" t="n"/>
    </row>
    <row r="52" ht="18.75" customHeight="1">
      <c r="A52" s="36" t="inlineStr">
        <is>
          <t>Cantidad de hijos</t>
        </is>
      </c>
      <c r="B52" s="70" t="n"/>
      <c r="C52" s="66">
        <f>IF(B49="Empleado/Independiente","Rubro de la empresa",IF(OR(B49="No empleado",B49="Retirado"),"Rubro de la Empresa (Último trabajo)",""))</f>
        <v/>
      </c>
      <c r="D52" s="22" t="n"/>
      <c r="F52" s="22" t="n"/>
      <c r="H52" s="22" t="n"/>
      <c r="J52" s="22" t="n"/>
      <c r="X52" s="10" t="inlineStr">
        <is>
          <t>Página web de la empresa</t>
        </is>
      </c>
      <c r="Y52" s="8" t="n"/>
    </row>
    <row r="53" ht="27" customFormat="1" customHeight="1" s="3">
      <c r="A53" s="52" t="inlineStr">
        <is>
          <t>Indique si se encuentra comprendido en la categoría de PEP (persona políticamente expuesta)</t>
        </is>
      </c>
      <c r="B53" s="79" t="inlineStr">
        <is>
          <t>Si</t>
        </is>
      </c>
      <c r="C53" s="66">
        <f>IF(B49="Empleado/Independiente","País empresa","")</f>
        <v/>
      </c>
      <c r="D53" s="22" t="n"/>
      <c r="E53" s="2" t="n"/>
      <c r="F53" s="22" t="n"/>
      <c r="G53" s="2" t="n"/>
      <c r="H53" s="22" t="n"/>
      <c r="J53" s="22" t="n"/>
      <c r="N53" s="2" t="n"/>
      <c r="O53" s="2" t="n"/>
      <c r="P53" s="2" t="n"/>
      <c r="T53" s="20" t="n"/>
      <c r="U53" s="20" t="n"/>
      <c r="V53" s="20" t="n"/>
      <c r="W53" s="20" t="n"/>
      <c r="X53" s="10" t="inlineStr">
        <is>
          <t>Ocupación</t>
        </is>
      </c>
      <c r="Y53" s="8" t="inlineStr">
        <is>
          <t>Elija aquí</t>
        </is>
      </c>
    </row>
    <row r="54" ht="26.25" customHeight="1">
      <c r="A54" s="80" t="inlineStr">
        <is>
          <t>¿Acepta que la correspondencia sea por correo electrónico?</t>
        </is>
      </c>
      <c r="B54" s="81" t="inlineStr">
        <is>
          <t>Si</t>
        </is>
      </c>
      <c r="C54" s="66">
        <f>IF(B49="Empleado/Independiente","Provincia empresa","")</f>
        <v/>
      </c>
      <c r="D54" s="22" t="n"/>
      <c r="H54" s="22" t="n"/>
      <c r="I54" s="2">
        <f>IF(J53="Si","Cargo público desempeñado y período de tiempo","")</f>
        <v/>
      </c>
      <c r="X54" s="10" t="inlineStr">
        <is>
          <t>Estado civil</t>
        </is>
      </c>
      <c r="Y54" s="26" t="inlineStr">
        <is>
          <t>Elija aquí</t>
        </is>
      </c>
    </row>
    <row r="55" ht="34.5" customHeight="1">
      <c r="A55" s="178">
        <f>IF(B51="Casado/a"," Datos Cónyuge","")</f>
        <v/>
      </c>
      <c r="C55" s="66">
        <f>IF(B49="Empleado/Independiente","Ciudad empresa","")</f>
        <v/>
      </c>
      <c r="D55" s="22" t="n"/>
      <c r="G55" s="63">
        <f>IF(H51="Casado/a"," Datos Cónyuge","")</f>
        <v/>
      </c>
      <c r="H55" s="22" t="n"/>
      <c r="I55" s="63">
        <f>IF(J51="Casado/a"," Datos Cónyuge","")</f>
        <v/>
      </c>
      <c r="X55" s="11" t="inlineStr">
        <is>
          <t>Indique si se encuentra comprendido en la categoría de PEP (persona políticamente expuesta) Si/No:</t>
        </is>
      </c>
      <c r="Y55" s="26" t="inlineStr">
        <is>
          <t>Elija aquí</t>
        </is>
      </c>
    </row>
    <row r="56" ht="17.25" customFormat="1" customHeight="1" s="3">
      <c r="A56" s="3">
        <f>IF(B51="Casado/a"," Nombres","")</f>
        <v/>
      </c>
      <c r="B56" s="54" t="n"/>
      <c r="C56" s="66">
        <f>IF(B49="Empleado/Independiente","Dirección empresa","")</f>
        <v/>
      </c>
      <c r="D56" s="22" t="n"/>
      <c r="E56" s="2" t="n"/>
      <c r="G56" s="3">
        <f>IF(H51="Casado/a"," Nombres","")</f>
        <v/>
      </c>
      <c r="H56" s="22" t="n"/>
      <c r="I56" s="3">
        <f>IF(J51="Casado/a"," Nombres","")</f>
        <v/>
      </c>
      <c r="N56" s="2" t="n"/>
      <c r="O56" s="2" t="n"/>
      <c r="P56" s="2" t="n"/>
      <c r="T56" s="20" t="n"/>
      <c r="U56" s="20" t="n"/>
      <c r="V56" s="20" t="n"/>
      <c r="W56" s="20" t="n"/>
      <c r="X56" s="11" t="inlineStr">
        <is>
          <t>¿Acepta que la correspondencia sea por correo electrónico?</t>
        </is>
      </c>
      <c r="Y56" s="26" t="inlineStr">
        <is>
          <t>Elija aquí</t>
        </is>
      </c>
    </row>
    <row r="57" ht="18.75" customHeight="1">
      <c r="A57" s="3">
        <f>IF(B51="Casado/a"," Apellidos","")</f>
        <v/>
      </c>
      <c r="C57" s="66">
        <f>IF(B49="Empleado/Independiente","Código postal empresa","")</f>
        <v/>
      </c>
      <c r="D57" s="22" t="n"/>
      <c r="G57" s="2">
        <f>IF(H51="Casado/a"," Apellidos","")</f>
        <v/>
      </c>
      <c r="H57" s="22" t="n"/>
      <c r="I57" s="2">
        <f>IF(J51="Casado/a"," Apellidos","")</f>
        <v/>
      </c>
    </row>
    <row r="58">
      <c r="A58" s="2">
        <f>IF(B51="Casado/a"," Situación laboral","")</f>
        <v/>
      </c>
      <c r="C58" s="66">
        <f>IF(B49="Empleado/Independiente","Número de contacto empresa","")</f>
        <v/>
      </c>
      <c r="E58" s="2">
        <f>IF(F51="Casado/a"," Situación laboral","")</f>
        <v/>
      </c>
      <c r="G58" s="2">
        <f>IF(H51="Casado/a"," Situación laboral","")</f>
        <v/>
      </c>
      <c r="H58" s="22" t="n"/>
      <c r="I58" s="2">
        <f>IF(J51="Casado/a"," Situación laboral","")</f>
        <v/>
      </c>
    </row>
    <row r="59" ht="18.75" customFormat="1" customHeight="1" s="1">
      <c r="E59" s="2" t="n"/>
      <c r="F59" s="2" t="n"/>
      <c r="G59" s="2" t="n"/>
      <c r="H59" s="22" t="n"/>
      <c r="N59" s="2" t="n"/>
      <c r="O59" s="2" t="n"/>
      <c r="P59" s="2" t="n"/>
      <c r="T59" s="20" t="n"/>
      <c r="U59" s="20" t="n"/>
      <c r="V59" s="20" t="n"/>
      <c r="W59" s="20" t="n"/>
    </row>
    <row r="60">
      <c r="H60" s="22" t="n"/>
    </row>
    <row r="61" ht="18.75" customHeight="1">
      <c r="A61" s="3" t="n"/>
      <c r="B61" s="54" t="n"/>
      <c r="E61" s="5" t="n"/>
      <c r="H61" s="22" t="n"/>
    </row>
    <row r="62" ht="18.75" customHeight="1">
      <c r="A62" s="1" t="inlineStr">
        <is>
          <t>Datos Beneficiarios/Transfer on death</t>
        </is>
      </c>
      <c r="B62" s="4" t="n"/>
      <c r="C62" s="1" t="n"/>
      <c r="D62" s="1" t="n"/>
      <c r="H62" s="22" t="n"/>
    </row>
    <row r="63" ht="110.25" customHeight="1">
      <c r="A63" s="42" t="inlineStr">
        <is>
          <t>Marque, a continuación, una casilla: Si algún beneficiario principal no está vivo cuando fallece el último titular de la cuenta sobreviviente o si ese beneficiario 
renuncia a su interés, la parte de ese beneficiario se distribuirá de la siguiente manera (marque con una "x" su elección):</t>
        </is>
      </c>
      <c r="B63" s="82" t="n"/>
      <c r="C63" s="4" t="n"/>
      <c r="D63" s="4" t="n"/>
      <c r="H63" s="22" t="n"/>
    </row>
    <row r="64" ht="15.75" customHeight="1">
      <c r="A64" s="42" t="n"/>
      <c r="B64" s="82" t="n"/>
      <c r="C64" s="4" t="n"/>
      <c r="D64" s="4" t="n"/>
      <c r="H64" s="22" t="n"/>
    </row>
    <row r="65" ht="32.25" customHeight="1">
      <c r="A65" s="83" t="inlineStr">
        <is>
          <t xml:space="preserve"> A los beneficios principales restantes a prorrata (en proporción a los porcentajes designados).</t>
        </is>
      </c>
      <c r="B65" s="84" t="b">
        <v>0</v>
      </c>
      <c r="C65" s="4" t="n"/>
      <c r="D65" s="4" t="n"/>
      <c r="T65" s="20" t="inlineStr">
        <is>
          <t>Elija aquí</t>
        </is>
      </c>
    </row>
    <row r="66" ht="47.25" customHeight="1">
      <c r="A66" s="83" t="inlineStr">
        <is>
          <t xml:space="preserve"> A los beneficiarios contingentes designados en la sección Designación de beneficiarios contingentes de la página 6.</t>
        </is>
      </c>
      <c r="B66" s="84" t="b">
        <v>0</v>
      </c>
      <c r="T66" s="20" t="inlineStr">
        <is>
          <t xml:space="preserve"> Portafolio A</t>
        </is>
      </c>
    </row>
    <row r="67" ht="32.25" customHeight="1">
      <c r="A67" s="83" t="inlineStr">
        <is>
          <t xml:space="preserve"> A los herederos del último titular de la cuenta que sobreviva.</t>
        </is>
      </c>
      <c r="B67" s="84" t="b">
        <v>0</v>
      </c>
      <c r="F67" s="1" t="n"/>
      <c r="T67" s="20" t="inlineStr">
        <is>
          <t xml:space="preserve"> Portafolio B</t>
        </is>
      </c>
    </row>
    <row r="68" ht="62.25" customHeight="1">
      <c r="A68" s="83" t="inlineStr">
        <is>
          <t xml:space="preserve"> A los herederos del último fallecido. Renuncio a los beneficiarios principales por estirpes. Si marca esta casilla, debe completar también la sección Designación por estirpes de la página 6.</t>
        </is>
      </c>
      <c r="B68" s="84" t="b">
        <v>0</v>
      </c>
      <c r="F68" s="4" t="n"/>
      <c r="T68" s="20" t="inlineStr">
        <is>
          <t xml:space="preserve"> Portafolio C</t>
        </is>
      </c>
    </row>
    <row r="69" ht="15.75" customHeight="1">
      <c r="A69" s="85" t="n"/>
      <c r="B69" s="86" t="n"/>
      <c r="F69" s="4" t="n"/>
      <c r="T69" s="20" t="inlineStr">
        <is>
          <t xml:space="preserve"> Portafolio D</t>
        </is>
      </c>
    </row>
    <row r="70" ht="15.75" customHeight="1">
      <c r="A70" s="87" t="inlineStr">
        <is>
          <t>Datos Beneficiario 1</t>
        </is>
      </c>
      <c r="B70" s="87" t="n"/>
      <c r="F70" s="4" t="n"/>
      <c r="T70" s="20" t="inlineStr">
        <is>
          <t xml:space="preserve"> Portafolio E</t>
        </is>
      </c>
    </row>
    <row r="71" ht="15.75" customHeight="1">
      <c r="A71" s="88" t="inlineStr">
        <is>
          <t>% de participacion</t>
        </is>
      </c>
      <c r="B71" s="89" t="n"/>
      <c r="C71" s="5" t="n"/>
      <c r="D71" s="5" t="n"/>
      <c r="T71" s="20" t="inlineStr">
        <is>
          <t>8 - Caída en portafolio</t>
        </is>
      </c>
    </row>
    <row r="72" ht="18.75" customHeight="1">
      <c r="A72" s="88" t="inlineStr">
        <is>
          <t>Tipo</t>
        </is>
      </c>
      <c r="B72" s="90" t="inlineStr">
        <is>
          <t>Seleccione una opción</t>
        </is>
      </c>
      <c r="G72" s="1" t="n"/>
      <c r="H72" s="1" t="n"/>
      <c r="T72" s="20" t="inlineStr">
        <is>
          <t>Considere el siguiente escenario: Imagine que durante los últimos 3 meses la bolsa de valores tuvo una pérdida del 25 %, algunos fondos de su portafolio también están perdiendo 25 % de su valor. ¿Qué haría usted?</t>
        </is>
      </c>
    </row>
    <row r="73" ht="15.75" customHeight="1">
      <c r="A73" s="88" t="inlineStr">
        <is>
          <t>Relación</t>
        </is>
      </c>
      <c r="B73" s="90" t="inlineStr">
        <is>
          <t>Seleccione una opción</t>
        </is>
      </c>
      <c r="G73" s="5" t="n"/>
      <c r="H73" s="5" t="n"/>
      <c r="T73" s="20" t="inlineStr">
        <is>
          <t>Elija aquí</t>
        </is>
      </c>
    </row>
    <row r="74" ht="31.5" customFormat="1" customHeight="1" s="1">
      <c r="A74" s="88" t="inlineStr">
        <is>
          <t>Nombres</t>
        </is>
      </c>
      <c r="B74" s="91" t="n"/>
      <c r="C74" s="2" t="n"/>
      <c r="D74" s="2" t="n"/>
      <c r="E74" s="2" t="n"/>
      <c r="F74" s="2" t="n"/>
      <c r="G74" s="5" t="n"/>
      <c r="H74" s="5" t="n"/>
      <c r="N74" s="2" t="n"/>
      <c r="O74" s="2" t="n"/>
      <c r="P74" s="2" t="n"/>
      <c r="T74" s="20" t="inlineStr">
        <is>
          <t xml:space="preserve"> Vender el 100% de los fondos</t>
        </is>
      </c>
      <c r="U74" s="20" t="n"/>
      <c r="V74" s="20" t="n"/>
      <c r="W74" s="20" t="n"/>
    </row>
    <row r="75" ht="25.5" customFormat="1" customHeight="1" s="5">
      <c r="A75" s="88" t="inlineStr">
        <is>
          <t>Apellidos</t>
        </is>
      </c>
      <c r="B75" s="91" t="n"/>
      <c r="C75" s="2" t="n"/>
      <c r="D75" s="2" t="n"/>
      <c r="E75" s="2" t="n"/>
      <c r="F75" s="2" t="n"/>
      <c r="N75" s="2" t="n"/>
      <c r="O75" s="2" t="n"/>
      <c r="P75" s="2" t="n"/>
      <c r="T75" s="20" t="inlineStr">
        <is>
          <t xml:space="preserve"> Vender parte de los fondos</t>
        </is>
      </c>
      <c r="U75" s="20" t="n"/>
      <c r="V75" s="20" t="n"/>
      <c r="W75" s="20" t="n"/>
    </row>
    <row r="76" ht="17.25" customFormat="1" customHeight="1" s="5">
      <c r="A76" s="88" t="inlineStr">
        <is>
          <t>Dirección (País, Provincia y Ciudad)</t>
        </is>
      </c>
      <c r="B76" s="86" t="n"/>
      <c r="C76" s="2" t="n"/>
      <c r="D76" s="2" t="n"/>
      <c r="G76" s="2" t="n"/>
      <c r="H76" s="2" t="n"/>
      <c r="N76" s="2" t="n"/>
      <c r="O76" s="2" t="n"/>
      <c r="P76" s="2" t="n"/>
      <c r="T76" s="20" t="inlineStr">
        <is>
          <t xml:space="preserve"> Transferir parte a un fondo más conservador</t>
        </is>
      </c>
      <c r="U76" s="20" t="n"/>
      <c r="V76" s="20" t="n"/>
      <c r="W76" s="20" t="n"/>
    </row>
    <row r="77" ht="24" customFormat="1" customHeight="1" s="5">
      <c r="A77" s="88" t="inlineStr">
        <is>
          <t>Dirección de residencia</t>
        </is>
      </c>
      <c r="B77" s="91" t="n"/>
      <c r="C77" s="2" t="n"/>
      <c r="D77" s="2" t="n"/>
      <c r="E77" s="2" t="n"/>
      <c r="F77" s="2" t="n"/>
      <c r="G77" s="2" t="n"/>
      <c r="H77" s="2" t="n"/>
      <c r="N77" s="2" t="n"/>
      <c r="O77" s="2" t="n"/>
      <c r="P77" s="2" t="n"/>
      <c r="T77" s="20" t="inlineStr">
        <is>
          <t xml:space="preserve"> Analizaría las perspectivas del activo y compraría más unidades del mismo fondo (siempre que los fundamentos así lo justifiquen)</t>
        </is>
      </c>
      <c r="U77" s="20" t="n"/>
      <c r="V77" s="20" t="n"/>
      <c r="W77" s="20" t="n"/>
    </row>
    <row r="78">
      <c r="A78" s="88" t="inlineStr">
        <is>
          <t>Código Postal</t>
        </is>
      </c>
      <c r="B78" s="91" t="n"/>
      <c r="T78" s="20" t="inlineStr">
        <is>
          <t xml:space="preserve"> No haría nada</t>
        </is>
      </c>
    </row>
    <row r="79">
      <c r="A79" s="88" t="inlineStr">
        <is>
          <t>Teléfono (País, Ciudad y Número)</t>
        </is>
      </c>
      <c r="B79" s="91" t="n"/>
    </row>
    <row r="80">
      <c r="A80" s="88" t="inlineStr">
        <is>
          <t>Fecha de nacimiento</t>
        </is>
      </c>
      <c r="B80" s="92" t="n"/>
    </row>
    <row r="81" ht="15.75" customHeight="1">
      <c r="A81" s="88" t="inlineStr">
        <is>
          <t>País emisor del documento</t>
        </is>
      </c>
      <c r="B81" s="90" t="inlineStr">
        <is>
          <t>Seleccione una opción</t>
        </is>
      </c>
      <c r="G81" s="5" t="n"/>
      <c r="H81" s="5" t="n"/>
    </row>
    <row r="82">
      <c r="A82" s="88" t="inlineStr">
        <is>
          <t>Tipo de documento</t>
        </is>
      </c>
      <c r="B82" s="90" t="inlineStr">
        <is>
          <t>Seleccione una opción</t>
        </is>
      </c>
    </row>
    <row r="83" ht="15.75" customFormat="1" customHeight="1" s="5">
      <c r="A83" s="88" t="inlineStr">
        <is>
          <t>Número de documento</t>
        </is>
      </c>
      <c r="B83" s="91" t="n"/>
      <c r="C83" s="2" t="n"/>
      <c r="D83" s="2" t="n"/>
      <c r="E83" s="2" t="n"/>
      <c r="F83" s="2" t="n"/>
      <c r="G83" s="2" t="n"/>
      <c r="H83" s="2" t="n"/>
      <c r="N83" s="2" t="n"/>
      <c r="O83" s="2" t="n"/>
      <c r="P83" s="2" t="n"/>
      <c r="T83" s="20" t="n"/>
      <c r="U83" s="20" t="n"/>
      <c r="V83" s="20" t="n"/>
      <c r="W83" s="20" t="n"/>
    </row>
    <row r="84">
      <c r="A84" s="93" t="n"/>
      <c r="B84" s="86" t="n"/>
    </row>
    <row r="85" ht="15.75" customHeight="1">
      <c r="A85" s="87" t="inlineStr">
        <is>
          <t>Datos Beneficiario 2</t>
        </is>
      </c>
      <c r="B85" s="87" t="n"/>
    </row>
    <row r="86" ht="15.75" customHeight="1">
      <c r="A86" s="88" t="inlineStr">
        <is>
          <t>% de participacion</t>
        </is>
      </c>
      <c r="B86" s="89" t="n"/>
      <c r="C86" s="5" t="n"/>
      <c r="D86" s="5" t="n"/>
    </row>
    <row r="87">
      <c r="A87" s="88" t="inlineStr">
        <is>
          <t>Tipo</t>
        </is>
      </c>
      <c r="B87" s="90" t="inlineStr">
        <is>
          <t>Seleccione una opción</t>
        </is>
      </c>
    </row>
    <row r="88">
      <c r="A88" s="88" t="inlineStr">
        <is>
          <t>Relación</t>
        </is>
      </c>
      <c r="B88" s="90" t="inlineStr">
        <is>
          <t>Seleccione una opción</t>
        </is>
      </c>
    </row>
    <row r="89">
      <c r="A89" s="88" t="inlineStr">
        <is>
          <t>Nombres</t>
        </is>
      </c>
      <c r="B89" s="90" t="n"/>
    </row>
    <row r="90">
      <c r="A90" s="88" t="inlineStr">
        <is>
          <t>Apellidos</t>
        </is>
      </c>
      <c r="B90" s="90" t="n"/>
    </row>
    <row r="91" ht="18.75" customHeight="1">
      <c r="A91" s="88" t="inlineStr">
        <is>
          <t>Dirección (País, Provincia y Ciudad)</t>
        </is>
      </c>
      <c r="B91" s="94" t="n"/>
      <c r="E91" s="1" t="n"/>
      <c r="F91" s="5" t="n"/>
    </row>
    <row r="92">
      <c r="A92" s="88" t="inlineStr">
        <is>
          <t>Dirección de residencia</t>
        </is>
      </c>
      <c r="B92" s="90" t="n"/>
      <c r="E92" s="6" t="n"/>
    </row>
    <row r="93">
      <c r="A93" s="88" t="inlineStr">
        <is>
          <t>Código Postal</t>
        </is>
      </c>
      <c r="B93" s="90" t="n"/>
    </row>
    <row r="94">
      <c r="A94" s="88" t="inlineStr">
        <is>
          <t>Teléfono (País, Ciudad y Número)</t>
        </is>
      </c>
      <c r="B94" s="90" t="n"/>
    </row>
    <row r="95">
      <c r="A95" s="88" t="inlineStr">
        <is>
          <t>Fecha de nacimiento</t>
        </is>
      </c>
      <c r="B95" s="95" t="n"/>
    </row>
    <row r="96" ht="15.75" customHeight="1">
      <c r="A96" s="88" t="inlineStr">
        <is>
          <t>País emisor del documento</t>
        </is>
      </c>
      <c r="B96" s="90" t="inlineStr">
        <is>
          <t>Seleccione una opción</t>
        </is>
      </c>
      <c r="G96" s="5" t="n"/>
      <c r="H96" s="5" t="n"/>
    </row>
    <row r="97">
      <c r="A97" s="88" t="inlineStr">
        <is>
          <t>Tipo de documento</t>
        </is>
      </c>
      <c r="B97" s="90" t="inlineStr">
        <is>
          <t>Seleccione una opción</t>
        </is>
      </c>
    </row>
    <row r="98" ht="15.75" customFormat="1" customHeight="1" s="5">
      <c r="A98" s="88" t="inlineStr">
        <is>
          <t>Número de documento</t>
        </is>
      </c>
      <c r="B98" s="90" t="n"/>
      <c r="C98" s="2" t="n"/>
      <c r="D98" s="2" t="n"/>
      <c r="E98" s="2" t="n"/>
      <c r="F98" s="2" t="n"/>
      <c r="G98" s="2" t="n"/>
      <c r="H98" s="2" t="n"/>
      <c r="N98" s="2" t="n"/>
      <c r="O98" s="2" t="n"/>
      <c r="P98" s="2" t="n"/>
      <c r="T98" s="20" t="n"/>
      <c r="U98" s="20" t="n"/>
      <c r="V98" s="20" t="n"/>
      <c r="W98" s="20" t="n"/>
    </row>
    <row r="99">
      <c r="B99" s="45" t="n"/>
    </row>
    <row r="100" ht="18.75" customHeight="1">
      <c r="A100" s="30" t="inlineStr">
        <is>
          <t>Experiencia de inversiones</t>
        </is>
      </c>
      <c r="B100" s="30" t="n"/>
    </row>
    <row r="101" ht="30.75" customHeight="1">
      <c r="A101" s="33" t="inlineStr">
        <is>
          <t>Completar información contemplando a todos los titulares (Nula / Limitada / Promedio / Alta)</t>
        </is>
      </c>
      <c r="B101" s="58" t="n"/>
      <c r="C101" s="1" t="n"/>
      <c r="D101" s="1" t="n"/>
    </row>
    <row r="102">
      <c r="A102" s="56" t="inlineStr">
        <is>
          <t>Acciones</t>
        </is>
      </c>
      <c r="B102" s="39" t="inlineStr">
        <is>
          <t>Seleccione una opción</t>
        </is>
      </c>
      <c r="C102" s="6" t="n"/>
      <c r="D102" s="6" t="n"/>
    </row>
    <row r="103">
      <c r="A103" s="56" t="inlineStr">
        <is>
          <t>Fondos Mutuos</t>
        </is>
      </c>
      <c r="B103" s="39" t="inlineStr">
        <is>
          <t>Seleccione una opción</t>
        </is>
      </c>
    </row>
    <row r="104">
      <c r="A104" s="56" t="inlineStr">
        <is>
          <t>Anualidades</t>
        </is>
      </c>
      <c r="B104" s="39" t="inlineStr">
        <is>
          <t>Seleccione una opción</t>
        </is>
      </c>
    </row>
    <row r="105">
      <c r="A105" s="56" t="inlineStr">
        <is>
          <t>Opciones</t>
        </is>
      </c>
      <c r="B105" s="39" t="inlineStr">
        <is>
          <t>Seleccione una opción</t>
        </is>
      </c>
    </row>
    <row r="106">
      <c r="A106" s="56" t="inlineStr">
        <is>
          <t>Inversiones Alternativas</t>
        </is>
      </c>
      <c r="B106" s="39" t="inlineStr">
        <is>
          <t>Seleccione una opción</t>
        </is>
      </c>
    </row>
    <row r="107" ht="15.75" customHeight="1">
      <c r="A107" s="5" t="n"/>
      <c r="B107" s="47" t="n"/>
    </row>
    <row r="108" ht="18.75" customHeight="1">
      <c r="A108" s="176" t="inlineStr">
        <is>
          <t>Financial Profile</t>
        </is>
      </c>
      <c r="B108" s="30" t="n"/>
    </row>
    <row r="109">
      <c r="A109" s="56" t="inlineStr">
        <is>
          <t>Necesidad de liquidez</t>
        </is>
      </c>
      <c r="B109" s="39" t="n"/>
    </row>
    <row r="110" ht="21.75" customHeight="1">
      <c r="A110" s="56" t="inlineStr">
        <is>
          <t>Ingresos Anuales (USD)</t>
        </is>
      </c>
      <c r="B110" s="39" t="n"/>
      <c r="H110" s="1" t="n"/>
    </row>
    <row r="111" ht="18.75" customHeight="1">
      <c r="A111" s="56" t="inlineStr">
        <is>
          <t>Monto exacto de ingresos anuales (USD)</t>
        </is>
      </c>
      <c r="B111" s="39" t="n"/>
      <c r="C111" s="1" t="n"/>
      <c r="H111" s="6" t="n"/>
    </row>
    <row r="112" ht="18.75" customFormat="1" customHeight="1" s="1">
      <c r="A112" s="56" t="inlineStr">
        <is>
          <t>Activos líquidos (USD)</t>
        </is>
      </c>
      <c r="B112" s="39" t="inlineStr">
        <is>
          <t>Seleccione una opción</t>
        </is>
      </c>
      <c r="C112" s="2" t="n"/>
      <c r="D112" s="2" t="n"/>
      <c r="F112" s="2" t="n"/>
      <c r="G112" s="2" t="n"/>
      <c r="H112" s="2" t="n"/>
      <c r="N112" s="2" t="n"/>
      <c r="O112" s="2" t="n"/>
      <c r="P112" s="2" t="n"/>
      <c r="T112" s="20" t="n"/>
      <c r="U112" s="20" t="n"/>
      <c r="V112" s="20" t="n"/>
      <c r="W112" s="20" t="n"/>
    </row>
    <row r="113" ht="15" customFormat="1" customHeight="1" s="6">
      <c r="A113" s="56" t="inlineStr">
        <is>
          <t>Monto exacto de activos liquidos (USD)</t>
        </is>
      </c>
      <c r="B113" s="39" t="n"/>
      <c r="C113" s="2" t="n"/>
      <c r="D113" s="2" t="n"/>
      <c r="F113" s="2" t="n"/>
      <c r="G113" s="2" t="n"/>
      <c r="H113" s="2" t="n"/>
      <c r="N113" s="2" t="n"/>
      <c r="O113" s="2" t="n"/>
      <c r="P113" s="2" t="n"/>
      <c r="T113" s="20" t="n"/>
      <c r="U113" s="20" t="n"/>
      <c r="V113" s="20" t="n"/>
      <c r="W113" s="20" t="n"/>
    </row>
    <row r="114">
      <c r="A114" s="56" t="inlineStr">
        <is>
          <t>Patrimonio total (USD)</t>
        </is>
      </c>
      <c r="B114" s="39" t="inlineStr">
        <is>
          <t>Seleccione una opción</t>
        </is>
      </c>
    </row>
    <row r="115">
      <c r="A115" s="56" t="inlineStr">
        <is>
          <t>Planea efectuar aportes adicionales</t>
        </is>
      </c>
      <c r="B115" s="57" t="inlineStr">
        <is>
          <t>No</t>
        </is>
      </c>
    </row>
    <row r="116">
      <c r="A116" s="2">
        <f>IF(B115="Si","Periodicidad de aportes","")</f>
        <v/>
      </c>
    </row>
    <row r="117">
      <c r="A117" s="2">
        <f>IF(B115="Si","Montos aproximados de aportes adicionales","")</f>
        <v/>
      </c>
    </row>
    <row r="121" ht="30.75" customHeight="1">
      <c r="A121" s="59" t="inlineStr">
        <is>
          <t>Tiempo estimado (en años) en el que planea realizar retiros de la cuenta</t>
        </is>
      </c>
      <c r="B121" s="39" t="inlineStr">
        <is>
          <t>Seleccione una opción</t>
        </is>
      </c>
      <c r="C121" s="6" t="n"/>
      <c r="D121" s="6" t="n"/>
      <c r="E121" s="6" t="n"/>
      <c r="G121" s="1" t="n"/>
      <c r="H121" s="1" t="n"/>
    </row>
    <row r="122">
      <c r="A122" s="56" t="inlineStr">
        <is>
          <t>Banco origen de los fondos</t>
        </is>
      </c>
      <c r="B122" s="39" t="n"/>
      <c r="C122" s="6" t="n"/>
      <c r="D122" s="3" t="n"/>
    </row>
    <row r="123" ht="18.75" customFormat="1" customHeight="1" s="1">
      <c r="A123" s="56" t="inlineStr">
        <is>
          <t>País de origen de los fondos</t>
        </is>
      </c>
      <c r="B123" s="39" t="inlineStr">
        <is>
          <t>Seleccione una opción</t>
        </is>
      </c>
      <c r="C123" s="6" t="n"/>
      <c r="D123" s="2" t="n"/>
      <c r="E123" s="2" t="n"/>
      <c r="F123" s="2" t="n"/>
      <c r="G123" s="2" t="n"/>
      <c r="H123" s="2" t="n"/>
      <c r="N123" s="2" t="n"/>
      <c r="O123" s="2" t="n"/>
      <c r="P123" s="2" t="n"/>
      <c r="T123" s="20" t="n"/>
      <c r="U123" s="20" t="n"/>
      <c r="V123" s="20" t="n"/>
      <c r="W123" s="20" t="n"/>
    </row>
    <row r="124">
      <c r="A124" s="56" t="inlineStr">
        <is>
          <t>Origen de fondos</t>
        </is>
      </c>
      <c r="B124" s="39" t="inlineStr">
        <is>
          <t>Seleccione una opción</t>
        </is>
      </c>
      <c r="C124" s="6" t="n"/>
      <c r="G124" s="2" t="inlineStr">
        <is>
          <t>Profesión del Cliente</t>
        </is>
      </c>
    </row>
    <row r="125">
      <c r="A125" s="2">
        <f>IF(OR(B124="Arrendamientos",B124="Bonos",B124="Dividendos",B124="Divorcio",B124="Venta de empresa",B124="Venta de inmuebles",B124="Patrimonio familiar",B124="Herencia",B124="Donación"),"Monto recibido (USD)",IF(B124="Profesión del cliente","Antigüedad laboral (en años)",""))</f>
        <v/>
      </c>
      <c r="C125" s="6" t="n"/>
      <c r="D125" s="3" t="n"/>
      <c r="G125" s="2" t="inlineStr">
        <is>
          <t>Antigüedad laboral (en años)</t>
        </is>
      </c>
    </row>
    <row r="126">
      <c r="A126" s="2">
        <f>IF(OR(B124="Arrendamientos",B124="Bonos",B124="Dividendos",B124="Divorcio",B124="Venta de empresa",B124="Venta de inmuebles",B124="Herencia",B124="Donación"),"Fecha en la que se recibió",IF(B124="Patrimonio familiar","Cantidad de años en los que fue generado el patrimonio",""))</f>
        <v/>
      </c>
      <c r="C126" s="6" t="n"/>
    </row>
    <row r="127">
      <c r="A127" s="2">
        <f>IF(B124="Donación","Relación con el donante","")</f>
        <v/>
      </c>
      <c r="C127" s="6" t="n"/>
    </row>
    <row r="128">
      <c r="A128" s="56" t="inlineStr">
        <is>
          <t>Apoderado para enviar órdenes</t>
        </is>
      </c>
      <c r="B128" s="39" t="n"/>
      <c r="C128" s="3" t="n"/>
    </row>
    <row r="129">
      <c r="A129" s="56" t="inlineStr">
        <is>
          <t>Mail autorizado</t>
        </is>
      </c>
      <c r="B129" s="39" t="n"/>
    </row>
    <row r="130">
      <c r="A130" s="59" t="inlineStr">
        <is>
          <t>Monto exacto de inversión que planea</t>
        </is>
      </c>
      <c r="B130" s="60" t="n"/>
      <c r="F130" s="3" t="n"/>
    </row>
    <row r="131">
      <c r="A131" s="56" t="inlineStr">
        <is>
          <t>Tipo de contrato</t>
        </is>
      </c>
      <c r="B131" s="39" t="inlineStr">
        <is>
          <t>Gestión de portafolio</t>
        </is>
      </c>
      <c r="C131" s="96" t="inlineStr">
        <is>
          <t>EXPLICAR Detalle</t>
        </is>
      </c>
    </row>
    <row r="132">
      <c r="A132" s="56" t="inlineStr">
        <is>
          <t>Fee anual</t>
        </is>
      </c>
      <c r="B132" s="39" t="n"/>
    </row>
    <row r="133">
      <c r="A133" s="56" t="inlineStr">
        <is>
          <t>Dealing Fee</t>
        </is>
      </c>
      <c r="B133" s="39" t="n"/>
    </row>
    <row r="134">
      <c r="A134" s="56" t="inlineStr">
        <is>
          <t>Método de pago</t>
        </is>
      </c>
      <c r="B134" s="39" t="inlineStr">
        <is>
          <t>Seleccione una opción</t>
        </is>
      </c>
    </row>
    <row r="136" customFormat="1" s="3">
      <c r="A136" s="2" t="n"/>
      <c r="B136" s="22" t="n"/>
      <c r="C136" s="2" t="n"/>
      <c r="D136" s="2" t="n"/>
      <c r="E136" s="2" t="n"/>
      <c r="F136" s="2" t="n"/>
      <c r="G136" s="2" t="n"/>
      <c r="H136" s="2" t="n"/>
      <c r="T136" s="20" t="n"/>
      <c r="U136" s="20" t="n"/>
      <c r="V136" s="20" t="n"/>
      <c r="W136" s="20" t="n"/>
    </row>
    <row r="137" ht="18.75" customHeight="1">
      <c r="E137" s="1" t="n"/>
    </row>
    <row r="138" ht="18.75" customHeight="1">
      <c r="A138" s="44" t="inlineStr">
        <is>
          <t>Bancos con los que habitualmente trabaja</t>
        </is>
      </c>
      <c r="B138" s="176" t="n"/>
      <c r="E138" s="3" t="n"/>
    </row>
    <row r="139">
      <c r="A139" s="10" t="inlineStr">
        <is>
          <t xml:space="preserve">País </t>
        </is>
      </c>
      <c r="B139" s="34" t="inlineStr">
        <is>
          <t>Albania</t>
        </is>
      </c>
      <c r="E139" s="3" t="n"/>
    </row>
    <row r="140">
      <c r="A140" s="10" t="inlineStr">
        <is>
          <t>Ciudad</t>
        </is>
      </c>
      <c r="B140" s="26" t="n"/>
      <c r="E140" s="3" t="n"/>
    </row>
    <row r="141">
      <c r="A141" s="10" t="inlineStr">
        <is>
          <t>Banco</t>
        </is>
      </c>
      <c r="B141" s="26" t="n"/>
    </row>
    <row r="142">
      <c r="A142" s="10" t="inlineStr">
        <is>
          <t>Sucursal</t>
        </is>
      </c>
      <c r="B142" s="26" t="n"/>
    </row>
    <row r="146" ht="18.75" customHeight="1">
      <c r="A146" s="3" t="n"/>
      <c r="B146" s="3" t="n"/>
      <c r="E146" s="1" t="n"/>
    </row>
    <row r="147" ht="18.75" customHeight="1">
      <c r="A147" s="176" t="inlineStr">
        <is>
          <t>Referencias personales</t>
        </is>
      </c>
      <c r="B147" s="176" t="n"/>
      <c r="C147" s="1" t="n"/>
      <c r="D147" s="1" t="n"/>
      <c r="E147" s="3" t="n"/>
    </row>
    <row r="148">
      <c r="A148" s="10" t="inlineStr">
        <is>
          <t>Nombres</t>
        </is>
      </c>
      <c r="B148" s="26" t="n"/>
      <c r="C148" s="3" t="n"/>
      <c r="D148" s="3" t="n"/>
      <c r="E148" s="3" t="n"/>
    </row>
    <row r="149">
      <c r="A149" s="10" t="inlineStr">
        <is>
          <t>Apellidos</t>
        </is>
      </c>
      <c r="B149" s="26" t="n"/>
      <c r="C149" s="3" t="n"/>
      <c r="D149" s="3" t="n"/>
      <c r="E149" s="3" t="n"/>
    </row>
    <row r="150">
      <c r="A150" s="10" t="inlineStr">
        <is>
          <t>País</t>
        </is>
      </c>
      <c r="B150" s="34" t="inlineStr">
        <is>
          <t>Seleccione una opción</t>
        </is>
      </c>
      <c r="C150" s="3" t="n"/>
      <c r="D150" s="3" t="n"/>
    </row>
    <row r="151">
      <c r="A151" s="10" t="inlineStr">
        <is>
          <t>Provincia</t>
        </is>
      </c>
      <c r="B151" s="26" t="n"/>
    </row>
    <row r="152" ht="18.75" customHeight="1">
      <c r="A152" s="10" t="inlineStr">
        <is>
          <t>Ciudad</t>
        </is>
      </c>
      <c r="B152" s="26" t="n"/>
      <c r="F152" s="1" t="n"/>
    </row>
    <row r="153">
      <c r="A153" s="10" t="inlineStr">
        <is>
          <t>Teléfono</t>
        </is>
      </c>
      <c r="B153" s="26" t="n"/>
      <c r="F153" s="3" t="n"/>
    </row>
    <row r="154">
      <c r="A154" s="10" t="inlineStr">
        <is>
          <t>E-mail</t>
        </is>
      </c>
      <c r="B154" s="26" t="n"/>
      <c r="F154" s="3" t="n"/>
    </row>
    <row r="155">
      <c r="A155" s="10" t="n"/>
      <c r="B155" s="26" t="n"/>
      <c r="F155" s="3" t="n"/>
    </row>
    <row r="156" ht="18.75" customHeight="1">
      <c r="A156" s="10" t="inlineStr">
        <is>
          <t>Nombres</t>
        </is>
      </c>
      <c r="B156" s="26" t="n"/>
      <c r="C156" s="1" t="n"/>
      <c r="D156" s="1" t="n"/>
    </row>
    <row r="157" ht="18.75" customHeight="1">
      <c r="A157" s="10" t="inlineStr">
        <is>
          <t>Apellidos</t>
        </is>
      </c>
      <c r="B157" s="26" t="n"/>
      <c r="C157" s="3" t="n"/>
      <c r="D157" s="3" t="n"/>
      <c r="G157" s="1" t="n"/>
      <c r="H157" s="1" t="n"/>
    </row>
    <row r="158">
      <c r="A158" s="10" t="inlineStr">
        <is>
          <t>País</t>
        </is>
      </c>
      <c r="B158" s="26" t="n"/>
      <c r="C158" s="3" t="n"/>
      <c r="D158" s="3" t="n"/>
      <c r="G158" s="3" t="n"/>
      <c r="H158" s="3" t="n"/>
    </row>
    <row r="159" ht="18.75" customFormat="1" customHeight="1" s="1">
      <c r="A159" s="10" t="inlineStr">
        <is>
          <t>Provincia</t>
        </is>
      </c>
      <c r="B159" s="26" t="n"/>
      <c r="C159" s="3" t="n"/>
      <c r="D159" s="3" t="n"/>
      <c r="E159" s="2" t="n"/>
      <c r="G159" s="3" t="n"/>
      <c r="H159" s="3" t="n"/>
      <c r="T159" s="20" t="n"/>
      <c r="U159" s="20" t="n"/>
      <c r="V159" s="20" t="n"/>
      <c r="W159" s="20" t="n"/>
    </row>
    <row r="160" customFormat="1" s="3">
      <c r="A160" s="10" t="inlineStr">
        <is>
          <t>Ciudad</t>
        </is>
      </c>
      <c r="B160" s="26" t="n"/>
      <c r="C160" s="2" t="n"/>
      <c r="D160" s="2" t="n"/>
      <c r="E160" s="2" t="n"/>
      <c r="T160" s="20" t="n"/>
      <c r="U160" s="20" t="n"/>
      <c r="V160" s="20" t="n"/>
      <c r="W160" s="20" t="n"/>
    </row>
    <row r="161" customFormat="1" s="3">
      <c r="A161" s="10" t="inlineStr">
        <is>
          <t>Teléfono</t>
        </is>
      </c>
      <c r="B161" s="26" t="n"/>
      <c r="C161" s="2" t="n"/>
      <c r="D161" s="2" t="n"/>
      <c r="E161" s="2" t="n"/>
      <c r="G161" s="2" t="n"/>
      <c r="H161" s="2" t="n"/>
      <c r="T161" s="20" t="n"/>
      <c r="U161" s="20" t="n"/>
      <c r="V161" s="20" t="n"/>
      <c r="W161" s="20" t="n"/>
    </row>
    <row r="162" customFormat="1" s="3">
      <c r="A162" s="10" t="inlineStr">
        <is>
          <t>E-mail</t>
        </is>
      </c>
      <c r="B162" s="26" t="n"/>
      <c r="C162" s="2" t="n"/>
      <c r="D162" s="2" t="n"/>
      <c r="E162" s="2" t="n"/>
      <c r="G162" s="2" t="n"/>
      <c r="H162" s="2" t="n"/>
      <c r="T162" s="20" t="n"/>
      <c r="U162" s="20" t="n"/>
      <c r="V162" s="20" t="n"/>
      <c r="W162" s="20" t="n"/>
    </row>
    <row r="164" ht="18.75" customHeight="1">
      <c r="A164" s="176" t="inlineStr">
        <is>
          <t>Conocimiento de cliente</t>
        </is>
      </c>
      <c r="B164" s="176" t="n"/>
    </row>
    <row r="165">
      <c r="A165" s="12" t="inlineStr">
        <is>
          <t>¿Cuánto tiempo hace que conoce al cliente?</t>
        </is>
      </c>
      <c r="B165" s="48" t="inlineStr">
        <is>
          <t>Seleccione una opción</t>
        </is>
      </c>
    </row>
    <row r="166">
      <c r="A166" s="12" t="inlineStr">
        <is>
          <t>Fecha de la última reunión personal con el cliente</t>
        </is>
      </c>
      <c r="B166" s="46" t="n"/>
    </row>
    <row r="167">
      <c r="A167" s="12" t="inlineStr">
        <is>
          <t>Ubicación de la última reunión personal con el cliente</t>
        </is>
      </c>
      <c r="B167" s="28" t="n"/>
    </row>
    <row r="170">
      <c r="A170" s="97" t="n"/>
      <c r="B170" s="98" t="inlineStr">
        <is>
          <t>Origen de los fondos</t>
        </is>
      </c>
    </row>
  </sheetData>
  <mergeCells count="14">
    <mergeCell ref="A4:B4"/>
    <mergeCell ref="G29:H29"/>
    <mergeCell ref="A21:B21"/>
    <mergeCell ref="I29:J29"/>
    <mergeCell ref="C29:D29"/>
    <mergeCell ref="A29:B29"/>
    <mergeCell ref="A15:B15"/>
    <mergeCell ref="X42:Y42"/>
    <mergeCell ref="X24:Y24"/>
    <mergeCell ref="E29:F29"/>
    <mergeCell ref="A19:B19"/>
    <mergeCell ref="A13:B13"/>
    <mergeCell ref="A1:B1"/>
    <mergeCell ref="A17:B17"/>
  </mergeCells>
  <conditionalFormatting sqref="B54">
    <cfRule type="cellIs" priority="49" operator="equal" dxfId="0">
      <formula>$A$54&lt;&gt;"Cargo público desempeñado y período de tiempo"</formula>
    </cfRule>
  </conditionalFormatting>
  <conditionalFormatting sqref="B56">
    <cfRule type="cellIs" priority="27" operator="equal" dxfId="0">
      <formula>$A$56&lt;&gt;" Nombres"</formula>
    </cfRule>
  </conditionalFormatting>
  <conditionalFormatting sqref="B57">
    <cfRule type="cellIs" priority="26" operator="equal" dxfId="0">
      <formula>$A$57&lt;&gt;" Apellidos"</formula>
    </cfRule>
  </conditionalFormatting>
  <conditionalFormatting sqref="B58">
    <cfRule type="cellIs" priority="25" operator="equal" dxfId="0">
      <formula>$A$58&lt;&gt;" Situación laboral"</formula>
    </cfRule>
  </conditionalFormatting>
  <conditionalFormatting sqref="B116">
    <cfRule type="cellIs" priority="40" operator="equal" dxfId="0">
      <formula>$A$116&lt;&gt;"Periodicidad de aportes"</formula>
    </cfRule>
  </conditionalFormatting>
  <conditionalFormatting sqref="B117">
    <cfRule type="cellIs" priority="37" operator="equal" dxfId="0">
      <formula>$A$117&lt;&gt;"Montos aproximados de aportes adicionales"</formula>
    </cfRule>
  </conditionalFormatting>
  <conditionalFormatting sqref="B125">
    <cfRule type="expression" priority="33" dxfId="0">
      <formula>$A$125&lt;&gt;""</formula>
    </cfRule>
  </conditionalFormatting>
  <conditionalFormatting sqref="B126">
    <cfRule type="expression" priority="32" dxfId="0">
      <formula>$A$126&lt;&gt;""</formula>
    </cfRule>
  </conditionalFormatting>
  <conditionalFormatting sqref="B127">
    <cfRule type="expression" priority="31" dxfId="0">
      <formula>$A$127&lt;&gt;""</formula>
    </cfRule>
  </conditionalFormatting>
  <conditionalFormatting sqref="D58">
    <cfRule type="cellIs" priority="19" operator="equal" dxfId="0">
      <formula>$C$58&lt;&gt;" Situación laboral"</formula>
    </cfRule>
  </conditionalFormatting>
  <conditionalFormatting sqref="F54">
    <cfRule type="cellIs" priority="43" operator="equal" dxfId="0">
      <formula>$E$54&lt;&gt;"Cargo público desempeñado y período de tiempo"</formula>
    </cfRule>
  </conditionalFormatting>
  <conditionalFormatting sqref="F56">
    <cfRule type="cellIs" priority="15" operator="equal" dxfId="0">
      <formula>$E$56&lt;&gt;" Nombres"</formula>
    </cfRule>
  </conditionalFormatting>
  <conditionalFormatting sqref="F57">
    <cfRule type="cellIs" priority="14" operator="equal" dxfId="0">
      <formula>$E$57&lt;&gt;" Apellidos"</formula>
    </cfRule>
  </conditionalFormatting>
  <conditionalFormatting sqref="F58">
    <cfRule type="cellIs" priority="13" operator="equal" dxfId="0">
      <formula>$E$58&lt;&gt;" Situación laboral"</formula>
    </cfRule>
  </conditionalFormatting>
  <conditionalFormatting sqref="J54">
    <cfRule type="cellIs" priority="41" operator="equal" dxfId="0">
      <formula>$I$54&lt;&gt;"Cargo público desempeñado y período de tiempo"</formula>
    </cfRule>
  </conditionalFormatting>
  <conditionalFormatting sqref="J56">
    <cfRule type="cellIs" priority="3" operator="equal" dxfId="0">
      <formula>$I$56&lt;&gt;" Nombres"</formula>
    </cfRule>
  </conditionalFormatting>
  <conditionalFormatting sqref="J57">
    <cfRule type="cellIs" priority="2" operator="equal" dxfId="0">
      <formula>$I$57&lt;&gt;" Apellidos"</formula>
    </cfRule>
  </conditionalFormatting>
  <conditionalFormatting sqref="J58">
    <cfRule type="cellIs" priority="1" operator="equal" dxfId="0">
      <formula>$I$58&lt;&gt;" Situación laboral"</formula>
    </cfRule>
  </conditionalFormatting>
  <dataValidations count="2">
    <dataValidation sqref="B42 B95 B166 J42" showDropDown="0" showInputMessage="1" showErrorMessage="1" allowBlank="1" promptTitle="Formato" prompt="dd/mm/año"/>
    <dataValidation sqref="B71 B86" showDropDown="0" showInputMessage="1" showErrorMessage="1" allowBlank="1" errorTitle="No válido" error="Valor mayor a 100. No escriba el porcentaje" type="whole" operator="lessThanOrEqual">
      <formula1>100</formula1>
    </dataValidation>
  </dataValidations>
  <pageMargins left="0.7" right="0.7" top="0.75" bottom="0.75" header="0.3" footer="0.3"/>
  <pageSetup orientation="portrait" paperSize="9"/>
  <headerFooter>
    <oddHeader/>
    <oddFooter>&amp;L&amp;"FS Elliot Pro"&amp;9 &amp;K737373_x000d_# Classification: Internal Use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Camino</dc:creator>
  <dcterms:created xmlns:dcterms="http://purl.org/dc/terms/" xmlns:xsi="http://www.w3.org/2001/XMLSchema-instance" xsi:type="dcterms:W3CDTF">2024-06-21T12:51:08Z</dcterms:created>
  <dcterms:modified xmlns:dcterms="http://purl.org/dc/terms/" xmlns:xsi="http://www.w3.org/2001/XMLSchema-instance" xsi:type="dcterms:W3CDTF">2026-08-16T21:09:51Z</dcterms:modified>
  <cp:lastModifiedBy>Reinstein, Francisca</cp:lastModifiedBy>
</cp:coreProperties>
</file>

<file path=docProps/custom.xml><?xml version="1.0" encoding="utf-8"?>
<Properties xmlns="http://schemas.openxmlformats.org/officeDocument/2006/custom-properties">
  <property name="MSIP_Label_f1a85edf-1344-4c6a-a94e-0a9833d749f3_Enabled" fmtid="{D5CDD505-2E9C-101B-9397-08002B2CF9AE}" pid="2">
    <vt:lpwstr xmlns:vt="http://schemas.openxmlformats.org/officeDocument/2006/docPropsVTypes">true</vt:lpwstr>
  </property>
  <property name="MSIP_Label_f1a85edf-1344-4c6a-a94e-0a9833d749f3_SetDate" fmtid="{D5CDD505-2E9C-101B-9397-08002B2CF9AE}" pid="3">
    <vt:lpwstr xmlns:vt="http://schemas.openxmlformats.org/officeDocument/2006/docPropsVTypes">2026-01-22T15:49:55Z</vt:lpwstr>
  </property>
  <property name="MSIP_Label_f1a85edf-1344-4c6a-a94e-0a9833d749f3_Method" fmtid="{D5CDD505-2E9C-101B-9397-08002B2CF9AE}" pid="4">
    <vt:lpwstr xmlns:vt="http://schemas.openxmlformats.org/officeDocument/2006/docPropsVTypes">Privileged</vt:lpwstr>
  </property>
  <property name="MSIP_Label_f1a85edf-1344-4c6a-a94e-0a9833d749f3_Name" fmtid="{D5CDD505-2E9C-101B-9397-08002B2CF9AE}" pid="5">
    <vt:lpwstr xmlns:vt="http://schemas.openxmlformats.org/officeDocument/2006/docPropsVTypes">Personal</vt:lpwstr>
  </property>
  <property name="MSIP_Label_f1a85edf-1344-4c6a-a94e-0a9833d749f3_SiteId" fmtid="{D5CDD505-2E9C-101B-9397-08002B2CF9AE}" pid="6">
    <vt:lpwstr xmlns:vt="http://schemas.openxmlformats.org/officeDocument/2006/docPropsVTypes">3bea478c-1684-4a8c-8e85-045ec54ba430</vt:lpwstr>
  </property>
  <property name="MSIP_Label_f1a85edf-1344-4c6a-a94e-0a9833d749f3_ActionId" fmtid="{D5CDD505-2E9C-101B-9397-08002B2CF9AE}" pid="7">
    <vt:lpwstr xmlns:vt="http://schemas.openxmlformats.org/officeDocument/2006/docPropsVTypes">45ff984f-977c-481d-9ea4-892cede5140f</vt:lpwstr>
  </property>
  <property name="MSIP_Label_f1a85edf-1344-4c6a-a94e-0a9833d749f3_ContentBits" fmtid="{D5CDD505-2E9C-101B-9397-08002B2CF9AE}" pid="8">
    <vt:lpwstr xmlns:vt="http://schemas.openxmlformats.org/officeDocument/2006/docPropsVTypes">2</vt:lpwstr>
  </property>
  <property name="MSIP_Label_f1a85edf-1344-4c6a-a94e-0a9833d749f3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0x0101009B786BBC8F5DB04AA8919A764AD278EE</vt:lpwstr>
  </property>
  <property name="MediaServiceImageTags" fmtid="{D5CDD505-2E9C-101B-9397-08002B2CF9AE}" pid="11">
    <vt:lpwstr xmlns:vt="http://schemas.openxmlformats.org/officeDocument/2006/docPropsVTypes"/>
  </property>
</Properties>
</file>