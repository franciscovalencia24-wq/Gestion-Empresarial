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86fff28ee952f5/Documentos/PROYECTOS/BD SENIOR/"/>
    </mc:Choice>
  </mc:AlternateContent>
  <xr:revisionPtr revIDLastSave="705" documentId="8_{FABFBFA3-4FFC-4BCB-A04F-FE0D25E4DD94}" xr6:coauthVersionLast="47" xr6:coauthVersionMax="47" xr10:uidLastSave="{66D8171E-29BC-4FFE-ABE8-31B55D47E742}"/>
  <bookViews>
    <workbookView xWindow="-108" yWindow="-108" windowWidth="23256" windowHeight="13896" xr2:uid="{9457EB46-FD10-4BB2-A776-79809D00B0E2}"/>
  </bookViews>
  <sheets>
    <sheet name="DETALLE 26" sheetId="3" r:id="rId1"/>
    <sheet name="ENERO 26" sheetId="1" r:id="rId2"/>
    <sheet name="FEBRERO 26" sheetId="2" r:id="rId3"/>
    <sheet name="MARZO 26" sheetId="5" r:id="rId4"/>
    <sheet name="ABRIL 26" sheetId="6" r:id="rId5"/>
    <sheet name="MAYO 26" sheetId="7" r:id="rId6"/>
  </sheets>
  <definedNames>
    <definedName name="_xlnm._FilterDatabase" localSheetId="0" hidden="1">'DETALLE 26'!$J$2:$Q$32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3" l="1"/>
  <c r="F16" i="3"/>
  <c r="F15" i="3"/>
  <c r="G17" i="3"/>
  <c r="G16" i="3"/>
  <c r="G15" i="3"/>
  <c r="F14" i="3"/>
  <c r="F13" i="3"/>
  <c r="F12" i="3"/>
  <c r="N20" i="7"/>
  <c r="L20" i="7"/>
  <c r="K20" i="7"/>
  <c r="J20" i="7"/>
  <c r="O34" i="3"/>
  <c r="P34" i="3"/>
  <c r="O41" i="3"/>
  <c r="P41" i="3" s="1"/>
  <c r="O40" i="3"/>
  <c r="P40" i="3" s="1"/>
  <c r="O38" i="3"/>
  <c r="P38" i="3" s="1"/>
  <c r="O36" i="3"/>
  <c r="P36" i="3" s="1"/>
  <c r="Y8" i="3"/>
  <c r="O28" i="3"/>
  <c r="P28" i="3" s="1"/>
  <c r="O27" i="3"/>
  <c r="P27" i="3" s="1"/>
  <c r="O26" i="3"/>
  <c r="P26" i="3" s="1"/>
  <c r="N20" i="6"/>
  <c r="L20" i="6"/>
  <c r="K20" i="6"/>
  <c r="J20" i="6"/>
  <c r="V61" i="3"/>
  <c r="G14" i="3" l="1"/>
  <c r="G12" i="3"/>
  <c r="G13" i="3"/>
  <c r="O15" i="3"/>
  <c r="P15" i="3" s="1"/>
  <c r="O9" i="3"/>
  <c r="P9" i="3" s="1"/>
  <c r="O10" i="3"/>
  <c r="P10" i="3" s="1"/>
  <c r="O14" i="3"/>
  <c r="P14" i="3" s="1"/>
  <c r="O18" i="3"/>
  <c r="P18" i="3" s="1"/>
  <c r="F5" i="3" l="1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4" i="3" l="1"/>
  <c r="G4" i="3" s="1"/>
  <c r="F3" i="3"/>
  <c r="G3" i="3" s="1"/>
  <c r="N20" i="5"/>
  <c r="L20" i="5"/>
  <c r="K20" i="5"/>
  <c r="J20" i="5"/>
  <c r="H61" i="3"/>
  <c r="G61" i="3" l="1"/>
  <c r="F61" i="3"/>
  <c r="Q6" i="3"/>
  <c r="Q12" i="3"/>
  <c r="Q8" i="3"/>
  <c r="Q11" i="3"/>
  <c r="L12" i="3"/>
  <c r="L8" i="3"/>
  <c r="L11" i="3"/>
  <c r="K12" i="3"/>
  <c r="K8" i="3"/>
  <c r="K11" i="3"/>
  <c r="J12" i="3"/>
  <c r="J8" i="3"/>
  <c r="J11" i="3"/>
  <c r="Q4" i="3"/>
  <c r="Q5" i="3"/>
  <c r="Q3" i="3"/>
  <c r="L4" i="3"/>
  <c r="L5" i="3"/>
  <c r="L3" i="3"/>
  <c r="K4" i="3"/>
  <c r="K5" i="3"/>
  <c r="K3" i="3"/>
  <c r="J4" i="3"/>
  <c r="J5" i="3"/>
  <c r="J3" i="3"/>
  <c r="N20" i="2"/>
  <c r="L20" i="2"/>
  <c r="K20" i="2"/>
  <c r="J20" i="2"/>
  <c r="N20" i="1"/>
  <c r="L20" i="1"/>
  <c r="K20" i="1"/>
  <c r="J20" i="1"/>
  <c r="Q61" i="3" l="1"/>
  <c r="O12" i="3"/>
  <c r="P12" i="3" s="1"/>
  <c r="O3" i="3"/>
  <c r="P3" i="3" s="1"/>
  <c r="O4" i="3"/>
  <c r="P4" i="3" s="1"/>
  <c r="O11" i="3"/>
  <c r="P11" i="3" s="1"/>
  <c r="O8" i="3"/>
  <c r="P8" i="3" s="1"/>
  <c r="O5" i="3"/>
  <c r="P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tc={BB006C7E-AE28-4CC2-9598-EE40282BC93F}</author>
  </authors>
  <commentList>
    <comment ref="V8" authorId="0" shapeId="0" xr:uid="{BB006C7E-AE28-4CC2-9598-EE40282BC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DINERO PENDIENTE DE DEVOLVER A LA EMPRESA (Fecha límite 15.12.26)
Respuesta:
    $18.500.000
Respuesta:
    Abono $500.000
Respuesta:
    $4.000.000</t>
      </text>
    </comment>
  </commentList>
</comments>
</file>

<file path=xl/sharedStrings.xml><?xml version="1.0" encoding="utf-8"?>
<sst xmlns="http://schemas.openxmlformats.org/spreadsheetml/2006/main" count="415" uniqueCount="141">
  <si>
    <t>Nro</t>
  </si>
  <si>
    <t>Tipo Compra</t>
  </si>
  <si>
    <t>RUT Proveedor</t>
  </si>
  <si>
    <t>Razon Social</t>
  </si>
  <si>
    <t>Folio</t>
  </si>
  <si>
    <t>Fecha Docto</t>
  </si>
  <si>
    <t>Fecha Recepcion</t>
  </si>
  <si>
    <t>Fecha Acuse</t>
  </si>
  <si>
    <t>Monto Exento</t>
  </si>
  <si>
    <t>Monto Neto</t>
  </si>
  <si>
    <t>Monto IVA Recuperable</t>
  </si>
  <si>
    <t>Monto Iva No Recuperable</t>
  </si>
  <si>
    <t>Codigo IVA No Rec.</t>
  </si>
  <si>
    <t>Monto Total</t>
  </si>
  <si>
    <t>Monto Neto Activo Fijo</t>
  </si>
  <si>
    <t>IVA Activo Fijo</t>
  </si>
  <si>
    <t>IVA uso Comun</t>
  </si>
  <si>
    <t>Impto. Sin Derecho a Credito</t>
  </si>
  <si>
    <t>IVA No Retenido</t>
  </si>
  <si>
    <t>Tabacos Puros</t>
  </si>
  <si>
    <t>Tabacos Cigarrillos</t>
  </si>
  <si>
    <t>Tabacos Elaborados</t>
  </si>
  <si>
    <t>NCE o NDE sobre Fact. de Compra</t>
  </si>
  <si>
    <t>Codigo Otro Impuesto</t>
  </si>
  <si>
    <t>Valor Otro Impuesto</t>
  </si>
  <si>
    <t>Tasa Otro Impuesto</t>
  </si>
  <si>
    <t>IVA no Recuperable</t>
  </si>
  <si>
    <t>85896100-9</t>
  </si>
  <si>
    <t>SERVICIOS EQUIFAX CHILE LIMITADA</t>
  </si>
  <si>
    <t>77261280-K</t>
  </si>
  <si>
    <t>FALABELLA RETAIL S.A.</t>
  </si>
  <si>
    <t>TOTAL</t>
  </si>
  <si>
    <t>92642000-3</t>
  </si>
  <si>
    <t>Artel S.A</t>
  </si>
  <si>
    <t>81201000-K</t>
  </si>
  <si>
    <t>CENCOSUD RETAIL S.A.</t>
  </si>
  <si>
    <t>78558400-7</t>
  </si>
  <si>
    <t>Guante Y G</t>
  </si>
  <si>
    <t>FECHA</t>
  </si>
  <si>
    <t>FOLIO</t>
  </si>
  <si>
    <t>CONCEPTO</t>
  </si>
  <si>
    <t>DETALLE</t>
  </si>
  <si>
    <t>INFORMES SOLICITADOS POR PRINCIPAL</t>
  </si>
  <si>
    <t>NOTEBOOK</t>
  </si>
  <si>
    <t>ZAPATOS</t>
  </si>
  <si>
    <t>ROPA FORMAL</t>
  </si>
  <si>
    <t>ARTICULOS DE OFICINA…</t>
  </si>
  <si>
    <t>-</t>
  </si>
  <si>
    <t xml:space="preserve"> ENERO 2026</t>
  </si>
  <si>
    <t xml:space="preserve"> FEBRERO 2026</t>
  </si>
  <si>
    <t xml:space="preserve"> MARZO 2026</t>
  </si>
  <si>
    <t>ARRIENDO PROPORCIONAL</t>
  </si>
  <si>
    <t>ARRIENDO COMPLETO</t>
  </si>
  <si>
    <t>SUELDO</t>
  </si>
  <si>
    <t>NATALIA</t>
  </si>
  <si>
    <t>MONTO TOTAL</t>
  </si>
  <si>
    <t>ROSEN</t>
  </si>
  <si>
    <t>SOFA + VELADORES</t>
  </si>
  <si>
    <t>SUSCRIPCIÓN MICROSOFT 365</t>
  </si>
  <si>
    <t>EGRESOS</t>
  </si>
  <si>
    <t>ABONOS</t>
  </si>
  <si>
    <t>UP FRONT</t>
  </si>
  <si>
    <t>2026/03</t>
  </si>
  <si>
    <t>ABONOS CTA. CTES.</t>
  </si>
  <si>
    <t>MEDIO DE PAGO</t>
  </si>
  <si>
    <t>CTA. CTE. BANCO CHILE: FCO</t>
  </si>
  <si>
    <t>CTA. CTE. BCI: FV ASESORIAS</t>
  </si>
  <si>
    <t>TC BANCO CHILE: FCO</t>
  </si>
  <si>
    <t>NUEVO NOTEBOOK</t>
  </si>
  <si>
    <t>DEVOLUCIÓN</t>
  </si>
  <si>
    <t>PAGO SUELDOS</t>
  </si>
  <si>
    <t>CTA. CTE. BANCO CHILE: NATALIA</t>
  </si>
  <si>
    <t>Del Giro</t>
  </si>
  <si>
    <t>Activo Fijo</t>
  </si>
  <si>
    <t>93129000-2</t>
  </si>
  <si>
    <t>ROSEN S.A.</t>
  </si>
  <si>
    <t>86708800-8</t>
  </si>
  <si>
    <t>BADAMAX RETAIL S A</t>
  </si>
  <si>
    <t>76449468-7</t>
  </si>
  <si>
    <t>IX Comercio Chile SPA</t>
  </si>
  <si>
    <t>FERUCH</t>
  </si>
  <si>
    <t>DOCKERS</t>
  </si>
  <si>
    <t>IMPRESORA</t>
  </si>
  <si>
    <t>GARANTÍA 3 AÑOS (MARZO 2029) - NUEVO NOTEBOOK</t>
  </si>
  <si>
    <t>GARANTÍA 3 AÑOS (MARZO 2029) - IMPRESORA</t>
  </si>
  <si>
    <t>PRESTAMO PREPAGO C.C. CHILE</t>
  </si>
  <si>
    <t>TRAILER FEE</t>
  </si>
  <si>
    <t>PREVIRED</t>
  </si>
  <si>
    <t>LEYES SOCIALES: NATALIA TAPIA</t>
  </si>
  <si>
    <t>IVA</t>
  </si>
  <si>
    <t>NETO</t>
  </si>
  <si>
    <t>DEVOLUCIÓN PRESTAMO FV</t>
  </si>
  <si>
    <t>CTA. CTE. BCI FV ASESORIAS</t>
  </si>
  <si>
    <t>2026/04</t>
  </si>
  <si>
    <t>UPFRONTMUD</t>
  </si>
  <si>
    <t>ACUM_E (Trailer Fee: Previsional)</t>
  </si>
  <si>
    <t>ACUM_A (Trailer Fee: RG)</t>
  </si>
  <si>
    <t>SEGUROS_E (Pago por póliza)</t>
  </si>
  <si>
    <t>SII IMPUESTOS</t>
  </si>
  <si>
    <t>F29 (IVA, IMPUESTO A LA RENTA ($87.811), PPM, ETC.</t>
  </si>
  <si>
    <t xml:space="preserve"> ABRIL 2026</t>
  </si>
  <si>
    <t xml:space="preserve"> MAYO 2026</t>
  </si>
  <si>
    <t>PRESTAMO ACUMULADO</t>
  </si>
  <si>
    <t>89862200-2</t>
  </si>
  <si>
    <t>LATAM AIRLINES GROUP SA</t>
  </si>
  <si>
    <t>VIAJE VALDIVIA</t>
  </si>
  <si>
    <t>EASY RETAIL S.A.</t>
  </si>
  <si>
    <t>MATERIALES PINTURA CASA ROJA</t>
  </si>
  <si>
    <t>BANCO DE CREDITO E INVERSIONES</t>
  </si>
  <si>
    <t>COMISIONES E INTERES ABRIL 2026</t>
  </si>
  <si>
    <t>DEVOLUCIÓN COMPRA EASY</t>
  </si>
  <si>
    <t>CTA. CTE. BANCO SANTANDER: NATALIA</t>
  </si>
  <si>
    <t>DEVOLUCIÓN COMPRA MICROSOFT</t>
  </si>
  <si>
    <t>SKY</t>
  </si>
  <si>
    <t>DEVOLUCIÓN COMPRA PASAJES AEREOS</t>
  </si>
  <si>
    <t>*</t>
  </si>
  <si>
    <t>COPAGO AVERTA</t>
  </si>
  <si>
    <t>PAGO ABRIL 2026</t>
  </si>
  <si>
    <t>2026/05</t>
  </si>
  <si>
    <t>MONTO PARA CALCULO</t>
  </si>
  <si>
    <t>COMPRA MUEBLE FCO. ALONSO</t>
  </si>
  <si>
    <t>OSOJI</t>
  </si>
  <si>
    <t>COMPRA ASPIRADORA ROBOT + CEPILLO LIMPIEZA + CABEZALES REPUESTO</t>
  </si>
  <si>
    <t>DEVOLUCIÓN COMPRA OSOJI</t>
  </si>
  <si>
    <t xml:space="preserve"> JUNIO 2026</t>
  </si>
  <si>
    <t>2026/06</t>
  </si>
  <si>
    <t>LAPIZ LOPEZ</t>
  </si>
  <si>
    <t>MATERIALES OFICINA</t>
  </si>
  <si>
    <t>LIDER</t>
  </si>
  <si>
    <t>ÚTILES DE ASEO</t>
  </si>
  <si>
    <t>DEVOLUCIÓN MATERIALES DE OFICINA</t>
  </si>
  <si>
    <t>DEVOLUCIÓN ÚTILES DE ASEO</t>
  </si>
  <si>
    <t>PRINCIPAL ASSET MANAGEMENT CHILE S.A.</t>
  </si>
  <si>
    <t>?????</t>
  </si>
  <si>
    <t>97006000-6</t>
  </si>
  <si>
    <t>76568660-1</t>
  </si>
  <si>
    <t>76613770-9</t>
  </si>
  <si>
    <t>BOLETA DE HONORARIOS</t>
  </si>
  <si>
    <t>FRANCISCO</t>
  </si>
  <si>
    <t>2026/07</t>
  </si>
  <si>
    <t>F29 (IVA, IMPUESTO A LA RENTA ($85.371), RETENCIÓN BOLETA HONORARIOS ($539.823), PPM,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</si>
</sst>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22" fontId="0" fillId="0" borderId="1" xfId="0" applyNumberFormat="1" applyBorder="1" applyAlignment="1">
      <alignment vertical="center"/>
    </xf>
    <xf numFmtId="42" fontId="2" fillId="0" borderId="1" xfId="1" applyFont="1" applyBorder="1" applyAlignment="1">
      <alignment horizontal="center" vertical="center" wrapText="1"/>
    </xf>
    <xf numFmtId="42" fontId="0" fillId="0" borderId="1" xfId="1" applyFont="1" applyBorder="1" applyAlignment="1">
      <alignment vertical="center"/>
    </xf>
    <xf numFmtId="42" fontId="0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42" fontId="3" fillId="0" borderId="3" xfId="1" applyFont="1" applyBorder="1" applyAlignment="1">
      <alignment vertical="center"/>
    </xf>
    <xf numFmtId="42" fontId="3" fillId="0" borderId="4" xfId="1" applyFont="1" applyBorder="1" applyAlignment="1">
      <alignment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2" fontId="0" fillId="0" borderId="0" xfId="0" applyNumberFormat="1" applyAlignme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5" fillId="2" borderId="9" xfId="0" applyNumberFormat="1" applyFont="1" applyFill="1" applyBorder="1" applyAlignment="1">
      <alignment horizontal="center" vertical="center"/>
    </xf>
    <xf numFmtId="42" fontId="6" fillId="2" borderId="10" xfId="1" applyFont="1" applyFill="1" applyBorder="1" applyAlignment="1">
      <alignment vertical="center"/>
    </xf>
    <xf numFmtId="14" fontId="0" fillId="0" borderId="17" xfId="0" applyNumberFormat="1" applyBorder="1" applyAlignment="1">
      <alignment horizontal="center" vertical="center"/>
    </xf>
    <xf numFmtId="42" fontId="0" fillId="3" borderId="16" xfId="1" applyFont="1" applyFill="1" applyBorder="1" applyAlignment="1">
      <alignment vertical="center"/>
    </xf>
    <xf numFmtId="42" fontId="0" fillId="0" borderId="16" xfId="1" applyFont="1" applyBorder="1" applyAlignment="1">
      <alignment vertical="center"/>
    </xf>
    <xf numFmtId="14" fontId="0" fillId="0" borderId="18" xfId="0" applyNumberFormat="1" applyBorder="1" applyAlignment="1">
      <alignment horizontal="center" vertical="center"/>
    </xf>
    <xf numFmtId="42" fontId="0" fillId="0" borderId="19" xfId="1" applyFont="1" applyBorder="1" applyAlignment="1">
      <alignment vertic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42" fontId="0" fillId="3" borderId="20" xfId="1" applyFont="1" applyFill="1" applyBorder="1" applyAlignment="1">
      <alignment vertical="center"/>
    </xf>
    <xf numFmtId="0" fontId="4" fillId="2" borderId="22" xfId="0" applyFont="1" applyFill="1" applyBorder="1" applyAlignment="1">
      <alignment horizontal="center" vertical="center"/>
    </xf>
    <xf numFmtId="42" fontId="4" fillId="2" borderId="23" xfId="1" applyFont="1" applyFill="1" applyBorder="1" applyAlignment="1">
      <alignment horizontal="center" vertical="center"/>
    </xf>
    <xf numFmtId="42" fontId="4" fillId="2" borderId="19" xfId="1" applyFont="1" applyFill="1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14" fontId="0" fillId="0" borderId="28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42" fontId="0" fillId="0" borderId="23" xfId="1" applyFont="1" applyBorder="1" applyAlignment="1">
      <alignment vertical="center"/>
    </xf>
    <xf numFmtId="42" fontId="0" fillId="0" borderId="27" xfId="1" applyFont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42" fontId="4" fillId="2" borderId="32" xfId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42" fontId="0" fillId="0" borderId="1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6" xfId="0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42" fontId="0" fillId="3" borderId="35" xfId="1" applyFont="1" applyFill="1" applyBorder="1" applyAlignment="1">
      <alignment vertical="center"/>
    </xf>
    <xf numFmtId="14" fontId="0" fillId="0" borderId="36" xfId="0" applyNumberFormat="1" applyBorder="1" applyAlignment="1">
      <alignment horizontal="center" vertical="center"/>
    </xf>
    <xf numFmtId="42" fontId="0" fillId="3" borderId="37" xfId="1" applyFont="1" applyFill="1" applyBorder="1" applyAlignment="1">
      <alignment vertical="center"/>
    </xf>
    <xf numFmtId="14" fontId="0" fillId="0" borderId="38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17" fontId="0" fillId="0" borderId="39" xfId="0" applyNumberFormat="1" applyBorder="1" applyAlignment="1">
      <alignment vertical="center"/>
    </xf>
    <xf numFmtId="42" fontId="0" fillId="3" borderId="41" xfId="1" applyFont="1" applyFill="1" applyBorder="1" applyAlignment="1">
      <alignment vertical="center"/>
    </xf>
    <xf numFmtId="14" fontId="0" fillId="0" borderId="43" xfId="0" applyNumberFormat="1" applyBorder="1" applyAlignment="1">
      <alignment horizontal="center" vertical="center"/>
    </xf>
    <xf numFmtId="42" fontId="0" fillId="3" borderId="44" xfId="1" applyFont="1" applyFill="1" applyBorder="1" applyAlignment="1">
      <alignment vertical="center"/>
    </xf>
    <xf numFmtId="42" fontId="4" fillId="2" borderId="0" xfId="1" applyFont="1" applyFill="1" applyAlignment="1">
      <alignment horizontal="center" vertical="center"/>
    </xf>
    <xf numFmtId="42" fontId="0" fillId="0" borderId="34" xfId="1" applyFont="1" applyBorder="1" applyAlignment="1">
      <alignment vertical="center"/>
    </xf>
    <xf numFmtId="42" fontId="0" fillId="0" borderId="40" xfId="1" applyFont="1" applyBorder="1" applyAlignment="1">
      <alignment vertical="center"/>
    </xf>
    <xf numFmtId="42" fontId="0" fillId="0" borderId="42" xfId="1" applyFont="1" applyBorder="1" applyAlignment="1">
      <alignment vertical="center"/>
    </xf>
    <xf numFmtId="42" fontId="0" fillId="0" borderId="6" xfId="1" applyFont="1" applyBorder="1" applyAlignment="1">
      <alignment vertical="center"/>
    </xf>
    <xf numFmtId="42" fontId="0" fillId="0" borderId="39" xfId="1" applyFont="1" applyBorder="1" applyAlignment="1">
      <alignment vertical="center"/>
    </xf>
    <xf numFmtId="42" fontId="0" fillId="0" borderId="7" xfId="1" applyFont="1" applyBorder="1" applyAlignment="1">
      <alignment vertical="center"/>
    </xf>
    <xf numFmtId="42" fontId="5" fillId="2" borderId="9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2" fontId="0" fillId="0" borderId="5" xfId="0" applyNumberFormat="1" applyBorder="1" applyAlignment="1">
      <alignment vertical="center"/>
    </xf>
    <xf numFmtId="42" fontId="0" fillId="0" borderId="6" xfId="0" applyNumberFormat="1" applyBorder="1" applyAlignment="1">
      <alignment vertical="center"/>
    </xf>
    <xf numFmtId="42" fontId="0" fillId="0" borderId="20" xfId="1" applyFont="1" applyBorder="1" applyAlignment="1">
      <alignment vertical="center"/>
    </xf>
    <xf numFmtId="42" fontId="0" fillId="0" borderId="26" xfId="0" applyNumberFormat="1" applyBorder="1" applyAlignment="1">
      <alignment vertical="center"/>
    </xf>
    <xf numFmtId="42" fontId="0" fillId="0" borderId="22" xfId="0" applyNumberFormat="1" applyBorder="1" applyAlignment="1">
      <alignment vertical="center"/>
    </xf>
    <xf numFmtId="42" fontId="0" fillId="0" borderId="16" xfId="1" applyFont="1" applyFill="1" applyBorder="1" applyAlignment="1">
      <alignment vertical="center"/>
    </xf>
    <xf numFmtId="14" fontId="0" fillId="0" borderId="45" xfId="0" applyNumberFormat="1" applyBorder="1" applyAlignment="1">
      <alignment horizontal="center" vertical="center"/>
    </xf>
    <xf numFmtId="42" fontId="0" fillId="0" borderId="46" xfId="1" applyFont="1" applyBorder="1" applyAlignment="1">
      <alignment vertical="center"/>
    </xf>
    <xf numFmtId="42" fontId="0" fillId="3" borderId="47" xfId="1" applyFont="1" applyFill="1" applyBorder="1" applyAlignment="1">
      <alignment vertical="center"/>
    </xf>
    <xf numFmtId="42" fontId="0" fillId="0" borderId="48" xfId="1" applyFont="1" applyBorder="1" applyAlignment="1">
      <alignment vertical="center"/>
    </xf>
    <xf numFmtId="42" fontId="0" fillId="0" borderId="12" xfId="1" applyFont="1" applyBorder="1" applyAlignment="1">
      <alignment vertical="center"/>
    </xf>
    <xf numFmtId="42" fontId="0" fillId="3" borderId="27" xfId="1" applyFont="1" applyFill="1" applyBorder="1" applyAlignment="1">
      <alignment vertical="center"/>
    </xf>
    <xf numFmtId="42" fontId="0" fillId="0" borderId="49" xfId="1" applyFont="1" applyBorder="1" applyAlignment="1">
      <alignment vertical="center"/>
    </xf>
    <xf numFmtId="42" fontId="0" fillId="3" borderId="23" xfId="1" applyFont="1" applyFill="1" applyBorder="1" applyAlignment="1">
      <alignment vertical="center"/>
    </xf>
    <xf numFmtId="0" fontId="0" fillId="4" borderId="34" xfId="0" applyFill="1" applyBorder="1" applyAlignment="1">
      <alignment vertical="center"/>
    </xf>
    <xf numFmtId="0" fontId="0" fillId="4" borderId="39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0" fontId="0" fillId="3" borderId="34" xfId="0" applyFill="1" applyBorder="1" applyAlignment="1">
      <alignment vertical="center"/>
    </xf>
    <xf numFmtId="0" fontId="0" fillId="3" borderId="39" xfId="0" applyFill="1" applyBorder="1" applyAlignment="1">
      <alignment vertical="center"/>
    </xf>
    <xf numFmtId="42" fontId="4" fillId="2" borderId="0" xfId="1" applyFont="1" applyFill="1" applyAlignment="1">
      <alignment horizontal="center" vertical="center" wrapText="1"/>
    </xf>
    <xf numFmtId="42" fontId="0" fillId="0" borderId="6" xfId="1" applyFont="1" applyBorder="1" applyAlignment="1">
      <alignment horizontal="center" vertical="center"/>
    </xf>
    <xf numFmtId="42" fontId="0" fillId="0" borderId="5" xfId="1" applyFont="1" applyBorder="1" applyAlignment="1">
      <alignment horizontal="center" vertical="center"/>
    </xf>
    <xf numFmtId="42" fontId="0" fillId="0" borderId="26" xfId="1" applyFont="1" applyBorder="1" applyAlignment="1">
      <alignment horizontal="center" vertical="center"/>
    </xf>
    <xf numFmtId="42" fontId="0" fillId="0" borderId="1" xfId="1" applyFont="1" applyBorder="1" applyAlignment="1">
      <alignment horizontal="center" vertical="center"/>
    </xf>
    <xf numFmtId="42" fontId="0" fillId="0" borderId="22" xfId="1" applyFont="1" applyBorder="1" applyAlignment="1">
      <alignment horizontal="center" vertical="center"/>
    </xf>
    <xf numFmtId="42" fontId="0" fillId="0" borderId="7" xfId="1" applyFont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42" fontId="0" fillId="0" borderId="7" xfId="1" applyFont="1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4" fontId="4" fillId="2" borderId="11" xfId="0" applyNumberFormat="1" applyFont="1" applyFill="1" applyBorder="1" applyAlignment="1">
      <alignment horizontal="center" vertical="center"/>
    </xf>
    <xf numFmtId="14" fontId="4" fillId="2" borderId="24" xfId="0" applyNumberFormat="1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14" fontId="5" fillId="2" borderId="8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4" fillId="2" borderId="2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Valencia" id="{DE27AD3F-04F4-46C5-B06F-23ECE8ABC471}" userId="c786fff28ee952f5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8" dT="2026-03-31T00:53:07.28" personId="{DE27AD3F-04F4-46C5-B06F-23ECE8ABC471}" id="{BB006C7E-AE28-4CC2-9598-EE40282BC93F}">
    <text>DINERO PENDIENTE DE DEVOLVER A LA EMPRESA (Fecha límite 15.12.26)</text>
  </threadedComment>
  <threadedComment ref="V8" dT="2026-03-31T00:53:29.34" personId="{DE27AD3F-04F4-46C5-B06F-23ECE8ABC471}" id="{850846B6-2C56-4F09-ACEC-FFD474E1B546}" parentId="{BB006C7E-AE28-4CC2-9598-EE40282BC93F}">
    <text>$18.500.000</text>
  </threadedComment>
  <threadedComment ref="V8" dT="2026-04-10T14:56:38.94" personId="{DE27AD3F-04F4-46C5-B06F-23ECE8ABC471}" id="{966A1F0F-36DC-42F9-B7E2-8F8041C06888}" parentId="{BB006C7E-AE28-4CC2-9598-EE40282BC93F}">
    <text>Abono $500.000</text>
  </threadedComment>
  <threadedComment ref="V8" dT="2026-05-13T13:25:07.72" personId="{DE27AD3F-04F4-46C5-B06F-23ECE8ABC471}" id="{38446F48-12E0-4633-8F18-C5C5E0E2E83D}" parentId="{BB006C7E-AE28-4CC2-9598-EE40282BC93F}">
    <text>$4.000.000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C60C-6EB5-4419-A8A5-7CA3B8AEE8EE}">
  <dimension ref="A1:Y69"/>
  <sheetViews>
    <sheetView showGridLines="0" tabSelected="1" topLeftCell="A29" zoomScaleNormal="100" workbookViewId="0">
      <selection activeCell="A18" sqref="A18"/>
    </sheetView>
  </sheetViews>
  <sheetFormatPr baseColWidth="10" defaultRowHeight="14.4" x14ac:dyDescent="0.3"/>
  <cols>
    <col min="1" max="1" width="11.5546875" style="1"/>
    <col min="2" max="2" width="6.109375" style="2" bestFit="1" customWidth="1"/>
    <col min="3" max="3" width="27.6640625" style="1" bestFit="1" customWidth="1"/>
    <col min="4" max="4" width="8" style="2" bestFit="1" customWidth="1"/>
    <col min="5" max="5" width="14.33203125" style="100" bestFit="1" customWidth="1"/>
    <col min="6" max="6" width="13" style="1" bestFit="1" customWidth="1"/>
    <col min="7" max="7" width="15.33203125" style="1" customWidth="1"/>
    <col min="8" max="8" width="13.44140625" style="11" bestFit="1" customWidth="1"/>
    <col min="9" max="9" width="7.6640625" style="1" customWidth="1"/>
    <col min="10" max="10" width="10.33203125" style="15" bestFit="1" customWidth="1"/>
    <col min="11" max="11" width="9" style="2" bestFit="1" customWidth="1"/>
    <col min="12" max="12" width="30.5546875" style="1" bestFit="1" customWidth="1"/>
    <col min="13" max="13" width="34.33203125" style="1" bestFit="1" customWidth="1"/>
    <col min="14" max="14" width="25.109375" style="1" bestFit="1" customWidth="1"/>
    <col min="15" max="15" width="10.77734375" style="11" bestFit="1" customWidth="1"/>
    <col min="16" max="16" width="10.109375" style="11" customWidth="1"/>
    <col min="17" max="17" width="13.44140625" style="11" bestFit="1" customWidth="1"/>
    <col min="18" max="18" width="5.6640625" style="1" customWidth="1"/>
    <col min="19" max="19" width="11.5546875" style="1"/>
    <col min="20" max="20" width="28.109375" style="1" customWidth="1"/>
    <col min="21" max="21" width="33.88671875" style="1" bestFit="1" customWidth="1"/>
    <col min="22" max="22" width="13.44140625" style="11" bestFit="1" customWidth="1"/>
    <col min="23" max="23" width="11.5546875" style="1"/>
    <col min="24" max="24" width="21.33203125" style="1" bestFit="1" customWidth="1"/>
    <col min="25" max="25" width="11.77734375" style="1" bestFit="1" customWidth="1"/>
    <col min="26" max="16384" width="11.5546875" style="1"/>
  </cols>
  <sheetData>
    <row r="1" spans="1:25" s="16" customFormat="1" ht="18" x14ac:dyDescent="0.3">
      <c r="A1" s="110" t="s">
        <v>38</v>
      </c>
      <c r="B1" s="112" t="s">
        <v>60</v>
      </c>
      <c r="C1" s="113"/>
      <c r="D1" s="113"/>
      <c r="E1" s="113"/>
      <c r="F1" s="113"/>
      <c r="G1" s="113"/>
      <c r="H1" s="114"/>
      <c r="J1" s="110" t="s">
        <v>38</v>
      </c>
      <c r="K1" s="104" t="s">
        <v>59</v>
      </c>
      <c r="L1" s="105"/>
      <c r="M1" s="105"/>
      <c r="N1" s="105"/>
      <c r="O1" s="105"/>
      <c r="P1" s="105"/>
      <c r="Q1" s="106"/>
      <c r="S1" s="110" t="s">
        <v>38</v>
      </c>
      <c r="T1" s="104" t="s">
        <v>63</v>
      </c>
      <c r="U1" s="105"/>
      <c r="V1" s="106"/>
    </row>
    <row r="2" spans="1:25" s="16" customFormat="1" ht="29.4" thickBot="1" x14ac:dyDescent="0.35">
      <c r="A2" s="111"/>
      <c r="B2" s="18" t="s">
        <v>39</v>
      </c>
      <c r="C2" s="18" t="s">
        <v>40</v>
      </c>
      <c r="D2" s="41" t="s">
        <v>41</v>
      </c>
      <c r="E2" s="93" t="s">
        <v>119</v>
      </c>
      <c r="F2" s="41" t="s">
        <v>90</v>
      </c>
      <c r="G2" s="41" t="s">
        <v>89</v>
      </c>
      <c r="H2" s="42" t="s">
        <v>55</v>
      </c>
      <c r="J2" s="111"/>
      <c r="K2" s="18" t="s">
        <v>39</v>
      </c>
      <c r="L2" s="18" t="s">
        <v>40</v>
      </c>
      <c r="M2" s="18" t="s">
        <v>41</v>
      </c>
      <c r="N2" s="18" t="s">
        <v>64</v>
      </c>
      <c r="O2" s="60" t="s">
        <v>90</v>
      </c>
      <c r="P2" s="60" t="s">
        <v>89</v>
      </c>
      <c r="Q2" s="32" t="s">
        <v>55</v>
      </c>
      <c r="S2" s="117"/>
      <c r="T2" s="30" t="s">
        <v>40</v>
      </c>
      <c r="U2" s="30" t="s">
        <v>41</v>
      </c>
      <c r="V2" s="31" t="s">
        <v>55</v>
      </c>
    </row>
    <row r="3" spans="1:25" x14ac:dyDescent="0.3">
      <c r="A3" s="33">
        <v>46097</v>
      </c>
      <c r="B3" s="34">
        <v>2</v>
      </c>
      <c r="C3" s="35" t="s">
        <v>61</v>
      </c>
      <c r="D3" s="34" t="s">
        <v>62</v>
      </c>
      <c r="E3" s="94"/>
      <c r="F3" s="44">
        <f>H3/1.19</f>
        <v>26028588.235294119</v>
      </c>
      <c r="G3" s="44">
        <f>H3-F3</f>
        <v>4945431.7647058815</v>
      </c>
      <c r="H3" s="40">
        <v>30974020</v>
      </c>
      <c r="J3" s="47">
        <f>'ENERO 26'!F2</f>
        <v>46034</v>
      </c>
      <c r="K3" s="48">
        <f>'ENERO 26'!E2</f>
        <v>4048987</v>
      </c>
      <c r="L3" s="49" t="str">
        <f>'ENERO 26'!D2</f>
        <v>SERVICIOS EQUIFAX CHILE LIMITADA</v>
      </c>
      <c r="M3" s="49" t="s">
        <v>42</v>
      </c>
      <c r="N3" s="91" t="s">
        <v>65</v>
      </c>
      <c r="O3" s="61">
        <f t="shared" ref="O3:O12" si="0">Q3/1.19</f>
        <v>23521.008403361346</v>
      </c>
      <c r="P3" s="61">
        <f t="shared" ref="P3:P12" si="1">Q3-O3</f>
        <v>4468.9915966386543</v>
      </c>
      <c r="Q3" s="50">
        <f>'ENERO 26'!N2</f>
        <v>27990</v>
      </c>
      <c r="S3" s="27">
        <v>46106</v>
      </c>
      <c r="T3" s="28" t="s">
        <v>69</v>
      </c>
      <c r="U3" s="28" t="s">
        <v>65</v>
      </c>
      <c r="V3" s="29">
        <v>34324</v>
      </c>
    </row>
    <row r="4" spans="1:25" ht="15" thickBot="1" x14ac:dyDescent="0.35">
      <c r="A4" s="25">
        <v>46097</v>
      </c>
      <c r="B4" s="68">
        <v>1</v>
      </c>
      <c r="C4" s="19" t="s">
        <v>86</v>
      </c>
      <c r="D4" s="68" t="s">
        <v>62</v>
      </c>
      <c r="E4" s="95"/>
      <c r="F4" s="69">
        <f>H4/1.19</f>
        <v>322687.39495798323</v>
      </c>
      <c r="G4" s="69">
        <f>H4-F4</f>
        <v>61310.605042016774</v>
      </c>
      <c r="H4" s="26">
        <v>383998</v>
      </c>
      <c r="J4" s="51">
        <f>'ENERO 26'!F3</f>
        <v>46029</v>
      </c>
      <c r="K4" s="5">
        <f>'ENERO 26'!E3</f>
        <v>5543387</v>
      </c>
      <c r="L4" s="6" t="str">
        <f>'ENERO 26'!D3</f>
        <v>FALABELLA RETAIL S.A.</v>
      </c>
      <c r="M4" s="6" t="s">
        <v>43</v>
      </c>
      <c r="N4" s="88" t="s">
        <v>65</v>
      </c>
      <c r="O4" s="10">
        <f t="shared" si="0"/>
        <v>462176.4705882353</v>
      </c>
      <c r="P4" s="10">
        <f t="shared" si="1"/>
        <v>87813.529411764699</v>
      </c>
      <c r="Q4" s="52">
        <f>'ENERO 26'!N3</f>
        <v>549990</v>
      </c>
      <c r="S4" s="22">
        <v>46106</v>
      </c>
      <c r="T4" s="6" t="s">
        <v>69</v>
      </c>
      <c r="U4" s="6" t="s">
        <v>65</v>
      </c>
      <c r="V4" s="23">
        <v>34324</v>
      </c>
    </row>
    <row r="5" spans="1:25" x14ac:dyDescent="0.3">
      <c r="A5" s="33">
        <v>46129</v>
      </c>
      <c r="B5" s="34">
        <v>8</v>
      </c>
      <c r="C5" s="35" t="s">
        <v>94</v>
      </c>
      <c r="D5" s="34" t="s">
        <v>93</v>
      </c>
      <c r="E5" s="96">
        <v>2693457121</v>
      </c>
      <c r="F5" s="72">
        <f t="shared" ref="F5:F11" si="2">H5/1.19</f>
        <v>20200931.092436977</v>
      </c>
      <c r="G5" s="72">
        <f t="shared" ref="G5:G11" si="3">H5-F5</f>
        <v>3838176.9075630233</v>
      </c>
      <c r="H5" s="40">
        <v>24039108</v>
      </c>
      <c r="J5" s="51">
        <f>'ENERO 26'!F4</f>
        <v>46034</v>
      </c>
      <c r="K5" s="5">
        <f>'ENERO 26'!E4</f>
        <v>4048985</v>
      </c>
      <c r="L5" s="6" t="str">
        <f>'ENERO 26'!D4</f>
        <v>SERVICIOS EQUIFAX CHILE LIMITADA</v>
      </c>
      <c r="M5" s="6" t="s">
        <v>42</v>
      </c>
      <c r="N5" s="88" t="s">
        <v>65</v>
      </c>
      <c r="O5" s="10">
        <f t="shared" si="0"/>
        <v>15117.64705882353</v>
      </c>
      <c r="P5" s="10">
        <f t="shared" si="1"/>
        <v>2872.3529411764703</v>
      </c>
      <c r="Q5" s="52">
        <f>'ENERO 26'!N4</f>
        <v>17990</v>
      </c>
      <c r="S5" s="22">
        <v>46107</v>
      </c>
      <c r="T5" s="6" t="s">
        <v>69</v>
      </c>
      <c r="U5" s="6" t="s">
        <v>65</v>
      </c>
      <c r="V5" s="23">
        <v>2820162</v>
      </c>
      <c r="W5" s="11"/>
      <c r="X5" s="17"/>
    </row>
    <row r="6" spans="1:25" ht="15" thickBot="1" x14ac:dyDescent="0.35">
      <c r="A6" s="22">
        <v>46129</v>
      </c>
      <c r="B6" s="46">
        <v>7</v>
      </c>
      <c r="C6" s="28" t="s">
        <v>95</v>
      </c>
      <c r="D6" s="46" t="s">
        <v>93</v>
      </c>
      <c r="E6" s="94"/>
      <c r="F6" s="70">
        <f t="shared" si="2"/>
        <v>87780.672268907569</v>
      </c>
      <c r="G6" s="70">
        <f t="shared" si="3"/>
        <v>16678.327731092431</v>
      </c>
      <c r="H6" s="71">
        <v>104459</v>
      </c>
      <c r="J6" s="53">
        <v>46049</v>
      </c>
      <c r="K6" s="54" t="s">
        <v>47</v>
      </c>
      <c r="L6" s="55" t="s">
        <v>51</v>
      </c>
      <c r="M6" s="56" t="s">
        <v>48</v>
      </c>
      <c r="N6" s="84" t="s">
        <v>66</v>
      </c>
      <c r="O6" s="62">
        <v>0</v>
      </c>
      <c r="P6" s="62">
        <v>0</v>
      </c>
      <c r="Q6" s="57">
        <f>(200000/30)*3</f>
        <v>20000</v>
      </c>
      <c r="S6" s="22">
        <v>46108</v>
      </c>
      <c r="T6" s="6" t="s">
        <v>70</v>
      </c>
      <c r="U6" s="6" t="s">
        <v>71</v>
      </c>
      <c r="V6" s="23">
        <v>3000000</v>
      </c>
    </row>
    <row r="7" spans="1:25" x14ac:dyDescent="0.3">
      <c r="A7" s="22">
        <v>46129</v>
      </c>
      <c r="B7" s="5">
        <v>6</v>
      </c>
      <c r="C7" s="6" t="s">
        <v>96</v>
      </c>
      <c r="D7" s="5" t="s">
        <v>93</v>
      </c>
      <c r="E7" s="97"/>
      <c r="F7" s="44">
        <f t="shared" si="2"/>
        <v>1276009.2436974791</v>
      </c>
      <c r="G7" s="44">
        <f t="shared" si="3"/>
        <v>242441.75630252087</v>
      </c>
      <c r="H7" s="24">
        <v>1518451</v>
      </c>
      <c r="J7" s="47">
        <v>46054</v>
      </c>
      <c r="K7" s="48" t="s">
        <v>47</v>
      </c>
      <c r="L7" s="49" t="s">
        <v>52</v>
      </c>
      <c r="M7" s="49" t="s">
        <v>49</v>
      </c>
      <c r="N7" s="83" t="s">
        <v>66</v>
      </c>
      <c r="O7" s="63">
        <v>0</v>
      </c>
      <c r="P7" s="63">
        <v>0</v>
      </c>
      <c r="Q7" s="50">
        <v>200000</v>
      </c>
      <c r="S7" s="22">
        <v>46111</v>
      </c>
      <c r="T7" s="6" t="s">
        <v>69</v>
      </c>
      <c r="U7" s="6" t="s">
        <v>65</v>
      </c>
      <c r="V7" s="23">
        <v>518750</v>
      </c>
      <c r="W7" s="1" t="s">
        <v>115</v>
      </c>
    </row>
    <row r="8" spans="1:25" ht="15" thickBot="1" x14ac:dyDescent="0.35">
      <c r="A8" s="36">
        <v>46129</v>
      </c>
      <c r="B8" s="37">
        <v>5</v>
      </c>
      <c r="C8" s="38" t="s">
        <v>97</v>
      </c>
      <c r="D8" s="37" t="s">
        <v>93</v>
      </c>
      <c r="E8" s="98"/>
      <c r="F8" s="73">
        <f t="shared" si="2"/>
        <v>79683.193277310929</v>
      </c>
      <c r="G8" s="73">
        <f t="shared" si="3"/>
        <v>15139.806722689071</v>
      </c>
      <c r="H8" s="39">
        <v>94823</v>
      </c>
      <c r="J8" s="51">
        <f>'FEBRERO 26'!F4</f>
        <v>46070</v>
      </c>
      <c r="K8" s="5">
        <f>'FEBRERO 26'!E4</f>
        <v>1167147</v>
      </c>
      <c r="L8" s="6" t="str">
        <f>'FEBRERO 26'!D4</f>
        <v>Artel S.A</v>
      </c>
      <c r="M8" s="6" t="s">
        <v>46</v>
      </c>
      <c r="N8" s="88" t="s">
        <v>65</v>
      </c>
      <c r="O8" s="10">
        <f>Q8/1.19</f>
        <v>58516.806722689078</v>
      </c>
      <c r="P8" s="10">
        <f>Q8-O8</f>
        <v>11118.193277310922</v>
      </c>
      <c r="Q8" s="52">
        <f>'FEBRERO 26'!N4</f>
        <v>69635</v>
      </c>
      <c r="S8" s="22">
        <v>46111</v>
      </c>
      <c r="T8" s="6" t="s">
        <v>85</v>
      </c>
      <c r="U8" s="6" t="s">
        <v>65</v>
      </c>
      <c r="V8" s="23">
        <v>7000000</v>
      </c>
      <c r="X8" s="1" t="s">
        <v>102</v>
      </c>
      <c r="Y8" s="17">
        <f>($V$8+$V$9+$V$10+$V$14)-$V$11</f>
        <v>22000000</v>
      </c>
    </row>
    <row r="9" spans="1:25" x14ac:dyDescent="0.3">
      <c r="A9" s="33">
        <v>46158</v>
      </c>
      <c r="B9" s="34">
        <v>9</v>
      </c>
      <c r="C9" s="35" t="s">
        <v>94</v>
      </c>
      <c r="D9" s="34" t="s">
        <v>118</v>
      </c>
      <c r="E9" s="96">
        <v>868665848</v>
      </c>
      <c r="F9" s="72">
        <f t="shared" si="2"/>
        <v>6514993.2773109246</v>
      </c>
      <c r="G9" s="72">
        <f t="shared" si="3"/>
        <v>1237848.7226890754</v>
      </c>
      <c r="H9" s="40">
        <v>7752842</v>
      </c>
      <c r="J9" s="51">
        <v>46080</v>
      </c>
      <c r="K9" s="5">
        <v>32714</v>
      </c>
      <c r="L9" s="6" t="s">
        <v>79</v>
      </c>
      <c r="M9" s="6" t="s">
        <v>81</v>
      </c>
      <c r="N9" s="88" t="s">
        <v>65</v>
      </c>
      <c r="O9" s="10">
        <f>Q9/1.19</f>
        <v>100815.12605042018</v>
      </c>
      <c r="P9" s="10">
        <f>Q9-O9</f>
        <v>19154.873949579822</v>
      </c>
      <c r="Q9" s="52">
        <v>119970</v>
      </c>
      <c r="S9" s="22">
        <v>46112</v>
      </c>
      <c r="T9" s="6" t="s">
        <v>85</v>
      </c>
      <c r="U9" s="6" t="s">
        <v>65</v>
      </c>
      <c r="V9" s="23">
        <v>7000000</v>
      </c>
    </row>
    <row r="10" spans="1:25" x14ac:dyDescent="0.3">
      <c r="A10" s="22">
        <v>46158</v>
      </c>
      <c r="B10" s="5">
        <v>10</v>
      </c>
      <c r="C10" s="28" t="s">
        <v>95</v>
      </c>
      <c r="D10" s="5" t="s">
        <v>118</v>
      </c>
      <c r="E10" s="97">
        <v>1163055255</v>
      </c>
      <c r="F10" s="44">
        <f t="shared" si="2"/>
        <v>466275.63025210088</v>
      </c>
      <c r="G10" s="44">
        <f t="shared" si="3"/>
        <v>88592.369747899123</v>
      </c>
      <c r="H10" s="24">
        <v>554868</v>
      </c>
      <c r="J10" s="27">
        <v>46081</v>
      </c>
      <c r="K10" s="46">
        <v>139727</v>
      </c>
      <c r="L10" s="28" t="s">
        <v>77</v>
      </c>
      <c r="M10" s="28" t="s">
        <v>80</v>
      </c>
      <c r="N10" s="87" t="s">
        <v>65</v>
      </c>
      <c r="O10" s="64">
        <f>Q10/1.19</f>
        <v>173436.97478991598</v>
      </c>
      <c r="P10" s="64">
        <f>Q10-O10</f>
        <v>32953.025210084015</v>
      </c>
      <c r="Q10" s="29">
        <v>206390</v>
      </c>
      <c r="S10" s="22">
        <v>46113</v>
      </c>
      <c r="T10" s="6" t="s">
        <v>85</v>
      </c>
      <c r="U10" s="6" t="s">
        <v>65</v>
      </c>
      <c r="V10" s="23">
        <v>4500000</v>
      </c>
    </row>
    <row r="11" spans="1:25" ht="15" thickBot="1" x14ac:dyDescent="0.35">
      <c r="A11" s="36">
        <v>46158</v>
      </c>
      <c r="B11" s="37">
        <v>11</v>
      </c>
      <c r="C11" s="38" t="s">
        <v>96</v>
      </c>
      <c r="D11" s="37" t="s">
        <v>118</v>
      </c>
      <c r="E11" s="98">
        <v>5378778285</v>
      </c>
      <c r="F11" s="73">
        <f t="shared" si="2"/>
        <v>2533498.3193277312</v>
      </c>
      <c r="G11" s="73">
        <f t="shared" si="3"/>
        <v>481364.68067226885</v>
      </c>
      <c r="H11" s="39">
        <v>3014863</v>
      </c>
      <c r="J11" s="58">
        <f>'FEBRERO 26'!F2</f>
        <v>46081</v>
      </c>
      <c r="K11" s="46">
        <f>'FEBRERO 26'!E2</f>
        <v>116797</v>
      </c>
      <c r="L11" s="28" t="str">
        <f>'FEBRERO 26'!D2</f>
        <v>Guante Y G</v>
      </c>
      <c r="M11" s="28" t="s">
        <v>44</v>
      </c>
      <c r="N11" s="87" t="s">
        <v>65</v>
      </c>
      <c r="O11" s="64">
        <f t="shared" si="0"/>
        <v>116781.51260504202</v>
      </c>
      <c r="P11" s="64">
        <f t="shared" si="1"/>
        <v>22188.487394957978</v>
      </c>
      <c r="Q11" s="59">
        <f>'FEBRERO 26'!N2</f>
        <v>138970</v>
      </c>
      <c r="R11" s="1" t="s">
        <v>115</v>
      </c>
      <c r="S11" s="22">
        <v>46122</v>
      </c>
      <c r="T11" s="6" t="s">
        <v>91</v>
      </c>
      <c r="U11" s="6" t="s">
        <v>92</v>
      </c>
      <c r="V11" s="23">
        <v>500000</v>
      </c>
    </row>
    <row r="12" spans="1:25" ht="15" thickBot="1" x14ac:dyDescent="0.35">
      <c r="A12" s="33">
        <v>46184</v>
      </c>
      <c r="B12" s="34">
        <v>12</v>
      </c>
      <c r="C12" s="35" t="s">
        <v>94</v>
      </c>
      <c r="D12" s="34" t="s">
        <v>125</v>
      </c>
      <c r="E12" s="96">
        <v>938046787</v>
      </c>
      <c r="F12" s="72">
        <f t="shared" ref="F12:F17" si="4">H12/1.19</f>
        <v>7035351.260504202</v>
      </c>
      <c r="G12" s="72">
        <f t="shared" ref="G12:G14" si="5">H12-F12</f>
        <v>1336716.739495798</v>
      </c>
      <c r="H12" s="40">
        <v>8372068</v>
      </c>
      <c r="J12" s="53">
        <f>'FEBRERO 26'!F3</f>
        <v>46081</v>
      </c>
      <c r="K12" s="54">
        <f>'FEBRERO 26'!E3</f>
        <v>25502774</v>
      </c>
      <c r="L12" s="55" t="str">
        <f>'FEBRERO 26'!D3</f>
        <v>CENCOSUD RETAIL S.A.</v>
      </c>
      <c r="M12" s="55" t="s">
        <v>45</v>
      </c>
      <c r="N12" s="92" t="s">
        <v>65</v>
      </c>
      <c r="O12" s="65">
        <f t="shared" si="0"/>
        <v>157109.24369747899</v>
      </c>
      <c r="P12" s="65">
        <f t="shared" si="1"/>
        <v>29850.756302521011</v>
      </c>
      <c r="Q12" s="57">
        <f>'FEBRERO 26'!N3</f>
        <v>186960</v>
      </c>
      <c r="R12" s="1" t="s">
        <v>115</v>
      </c>
      <c r="S12" s="22">
        <v>46139</v>
      </c>
      <c r="T12" s="6" t="s">
        <v>112</v>
      </c>
      <c r="U12" s="6" t="s">
        <v>65</v>
      </c>
      <c r="V12" s="23">
        <v>84990</v>
      </c>
    </row>
    <row r="13" spans="1:25" x14ac:dyDescent="0.3">
      <c r="A13" s="22">
        <v>46184</v>
      </c>
      <c r="B13" s="5">
        <v>13</v>
      </c>
      <c r="C13" s="28" t="s">
        <v>95</v>
      </c>
      <c r="D13" s="5" t="s">
        <v>125</v>
      </c>
      <c r="E13" s="97">
        <v>1867610132.3431013</v>
      </c>
      <c r="F13" s="44">
        <f t="shared" si="4"/>
        <v>822343.69747899158</v>
      </c>
      <c r="G13" s="44">
        <f t="shared" si="5"/>
        <v>156245.30252100842</v>
      </c>
      <c r="H13" s="24">
        <v>978589</v>
      </c>
      <c r="J13" s="47">
        <v>46082</v>
      </c>
      <c r="K13" s="48" t="s">
        <v>47</v>
      </c>
      <c r="L13" s="49" t="s">
        <v>52</v>
      </c>
      <c r="M13" s="49" t="s">
        <v>50</v>
      </c>
      <c r="N13" s="83" t="s">
        <v>66</v>
      </c>
      <c r="O13" s="63">
        <v>0</v>
      </c>
      <c r="P13" s="63">
        <v>0</v>
      </c>
      <c r="Q13" s="50">
        <v>200000</v>
      </c>
      <c r="S13" s="22">
        <v>46141</v>
      </c>
      <c r="T13" s="6" t="s">
        <v>70</v>
      </c>
      <c r="U13" s="6" t="s">
        <v>111</v>
      </c>
      <c r="V13" s="23">
        <v>3000000</v>
      </c>
    </row>
    <row r="14" spans="1:25" ht="15" thickBot="1" x14ac:dyDescent="0.35">
      <c r="A14" s="36">
        <v>46184</v>
      </c>
      <c r="B14" s="37">
        <v>14</v>
      </c>
      <c r="C14" s="38" t="s">
        <v>96</v>
      </c>
      <c r="D14" s="37" t="s">
        <v>125</v>
      </c>
      <c r="E14" s="98">
        <v>6183723511.0552015</v>
      </c>
      <c r="F14" s="73">
        <f t="shared" si="4"/>
        <v>3150059.6638655462</v>
      </c>
      <c r="G14" s="73">
        <f t="shared" si="5"/>
        <v>598511.33613445377</v>
      </c>
      <c r="H14" s="39">
        <v>3748571</v>
      </c>
      <c r="J14" s="51">
        <v>46095</v>
      </c>
      <c r="K14" s="5">
        <v>5854862</v>
      </c>
      <c r="L14" s="6" t="s">
        <v>56</v>
      </c>
      <c r="M14" s="6" t="s">
        <v>57</v>
      </c>
      <c r="N14" s="88" t="s">
        <v>67</v>
      </c>
      <c r="O14" s="10">
        <f>Q14/1.19</f>
        <v>1212563.8655462186</v>
      </c>
      <c r="P14" s="10">
        <f>Q14-O14</f>
        <v>230387.13445378141</v>
      </c>
      <c r="Q14" s="52">
        <v>1442951</v>
      </c>
      <c r="S14" s="22">
        <v>46155</v>
      </c>
      <c r="T14" s="6" t="s">
        <v>85</v>
      </c>
      <c r="U14" s="6" t="s">
        <v>65</v>
      </c>
      <c r="V14" s="23">
        <v>4000000</v>
      </c>
    </row>
    <row r="15" spans="1:25" x14ac:dyDescent="0.3">
      <c r="A15" s="33">
        <v>46223</v>
      </c>
      <c r="B15" s="34">
        <v>16</v>
      </c>
      <c r="C15" s="35" t="s">
        <v>94</v>
      </c>
      <c r="D15" s="34" t="s">
        <v>139</v>
      </c>
      <c r="E15" s="96">
        <v>459087265</v>
      </c>
      <c r="F15" s="72">
        <f t="shared" si="4"/>
        <v>3443153.781512605</v>
      </c>
      <c r="G15" s="72">
        <f t="shared" ref="G15:G17" si="6">H15-F15</f>
        <v>654199.21848739497</v>
      </c>
      <c r="H15" s="40">
        <v>4097353</v>
      </c>
      <c r="J15" s="51">
        <v>46099</v>
      </c>
      <c r="K15" s="5">
        <v>5603375</v>
      </c>
      <c r="L15" s="6" t="s">
        <v>30</v>
      </c>
      <c r="M15" s="6" t="s">
        <v>82</v>
      </c>
      <c r="N15" s="6" t="s">
        <v>65</v>
      </c>
      <c r="O15" s="10">
        <f>Q15/1.19</f>
        <v>134445.37815126052</v>
      </c>
      <c r="P15" s="10">
        <f>Q15-O15</f>
        <v>25544.62184873948</v>
      </c>
      <c r="Q15" s="52">
        <v>159990</v>
      </c>
      <c r="R15" s="1" t="s">
        <v>115</v>
      </c>
      <c r="S15" s="22">
        <v>46155</v>
      </c>
      <c r="T15" s="6" t="s">
        <v>110</v>
      </c>
      <c r="U15" s="6" t="s">
        <v>111</v>
      </c>
      <c r="V15" s="23">
        <v>125010</v>
      </c>
    </row>
    <row r="16" spans="1:25" x14ac:dyDescent="0.3">
      <c r="A16" s="22">
        <v>46223</v>
      </c>
      <c r="B16" s="5">
        <v>17</v>
      </c>
      <c r="C16" s="28" t="s">
        <v>95</v>
      </c>
      <c r="D16" s="5" t="s">
        <v>139</v>
      </c>
      <c r="E16" s="97">
        <v>2056452511</v>
      </c>
      <c r="F16" s="44">
        <f t="shared" si="4"/>
        <v>866701.68067226897</v>
      </c>
      <c r="G16" s="44">
        <f t="shared" si="6"/>
        <v>164673.31932773103</v>
      </c>
      <c r="H16" s="24">
        <v>1031375</v>
      </c>
      <c r="J16" s="51">
        <v>46099</v>
      </c>
      <c r="K16" s="5"/>
      <c r="L16" s="6" t="s">
        <v>30</v>
      </c>
      <c r="M16" s="6" t="s">
        <v>84</v>
      </c>
      <c r="N16" s="6" t="s">
        <v>65</v>
      </c>
      <c r="O16" s="66">
        <v>0</v>
      </c>
      <c r="P16" s="66">
        <v>0</v>
      </c>
      <c r="Q16" s="52">
        <v>32400</v>
      </c>
      <c r="R16" s="1" t="s">
        <v>115</v>
      </c>
      <c r="S16" s="22">
        <v>46139</v>
      </c>
      <c r="T16" s="6" t="s">
        <v>114</v>
      </c>
      <c r="U16" s="6" t="s">
        <v>65</v>
      </c>
      <c r="V16" s="23">
        <v>624682</v>
      </c>
      <c r="X16" s="17"/>
    </row>
    <row r="17" spans="1:24" ht="15" thickBot="1" x14ac:dyDescent="0.35">
      <c r="A17" s="36">
        <v>46223</v>
      </c>
      <c r="B17" s="37">
        <v>18</v>
      </c>
      <c r="C17" s="38" t="s">
        <v>96</v>
      </c>
      <c r="D17" s="37" t="s">
        <v>139</v>
      </c>
      <c r="E17" s="98">
        <v>6774003916</v>
      </c>
      <c r="F17" s="73">
        <f t="shared" si="4"/>
        <v>3330578.1512605045</v>
      </c>
      <c r="G17" s="73">
        <f t="shared" si="6"/>
        <v>632809.8487394955</v>
      </c>
      <c r="H17" s="39">
        <v>3963388</v>
      </c>
      <c r="J17" s="51">
        <v>46105</v>
      </c>
      <c r="K17" s="5"/>
      <c r="L17" s="6" t="s">
        <v>53</v>
      </c>
      <c r="M17" s="6" t="s">
        <v>54</v>
      </c>
      <c r="N17" s="85" t="s">
        <v>66</v>
      </c>
      <c r="O17" s="66">
        <v>0</v>
      </c>
      <c r="P17" s="66">
        <v>0</v>
      </c>
      <c r="Q17" s="52">
        <v>3000000</v>
      </c>
      <c r="S17" s="22">
        <v>46169</v>
      </c>
      <c r="T17" s="6" t="s">
        <v>110</v>
      </c>
      <c r="U17" s="6" t="s">
        <v>111</v>
      </c>
      <c r="V17" s="23">
        <v>155950</v>
      </c>
      <c r="X17" s="17"/>
    </row>
    <row r="18" spans="1:24" x14ac:dyDescent="0.3">
      <c r="A18" s="22"/>
      <c r="B18" s="5"/>
      <c r="C18" s="6"/>
      <c r="D18" s="5"/>
      <c r="E18" s="99"/>
      <c r="F18" s="43"/>
      <c r="G18" s="43"/>
      <c r="H18" s="24"/>
      <c r="J18" s="51">
        <v>46106</v>
      </c>
      <c r="K18" s="5">
        <v>5623730</v>
      </c>
      <c r="L18" s="6" t="s">
        <v>30</v>
      </c>
      <c r="M18" s="6" t="s">
        <v>68</v>
      </c>
      <c r="N18" s="85" t="s">
        <v>66</v>
      </c>
      <c r="O18" s="10">
        <f t="shared" ref="O18" si="7">Q18/1.19</f>
        <v>747882.3529411765</v>
      </c>
      <c r="P18" s="10">
        <f t="shared" ref="P18" si="8">Q18-O18</f>
        <v>142097.6470588235</v>
      </c>
      <c r="Q18" s="52">
        <v>889980</v>
      </c>
      <c r="S18" s="22">
        <v>46175</v>
      </c>
      <c r="T18" s="6" t="s">
        <v>123</v>
      </c>
      <c r="U18" s="6" t="s">
        <v>65</v>
      </c>
      <c r="V18" s="23">
        <v>359712</v>
      </c>
    </row>
    <row r="19" spans="1:24" ht="15" thickBot="1" x14ac:dyDescent="0.35">
      <c r="A19" s="22"/>
      <c r="B19" s="5"/>
      <c r="C19" s="6"/>
      <c r="D19" s="5"/>
      <c r="E19" s="99"/>
      <c r="F19" s="43"/>
      <c r="G19" s="43"/>
      <c r="H19" s="24"/>
      <c r="J19" s="75">
        <v>46106</v>
      </c>
      <c r="K19" s="68"/>
      <c r="L19" s="19" t="s">
        <v>30</v>
      </c>
      <c r="M19" s="19" t="s">
        <v>83</v>
      </c>
      <c r="N19" s="86" t="s">
        <v>66</v>
      </c>
      <c r="O19" s="76">
        <v>0</v>
      </c>
      <c r="P19" s="76">
        <v>0</v>
      </c>
      <c r="Q19" s="77">
        <v>195990</v>
      </c>
      <c r="S19" s="22">
        <v>46182</v>
      </c>
      <c r="T19" s="6" t="s">
        <v>130</v>
      </c>
      <c r="U19" s="6" t="s">
        <v>111</v>
      </c>
      <c r="V19" s="23">
        <v>44590</v>
      </c>
      <c r="X19" s="17"/>
    </row>
    <row r="20" spans="1:24" x14ac:dyDescent="0.3">
      <c r="A20" s="22"/>
      <c r="B20" s="5"/>
      <c r="C20" s="6"/>
      <c r="D20" s="5"/>
      <c r="E20" s="99"/>
      <c r="F20" s="43"/>
      <c r="G20" s="43"/>
      <c r="H20" s="24"/>
      <c r="J20" s="33">
        <v>46137</v>
      </c>
      <c r="K20" s="34"/>
      <c r="L20" s="35" t="s">
        <v>58</v>
      </c>
      <c r="M20" s="35"/>
      <c r="N20" s="90" t="s">
        <v>65</v>
      </c>
      <c r="O20" s="79"/>
      <c r="P20" s="79"/>
      <c r="Q20" s="80">
        <v>84990</v>
      </c>
      <c r="R20" s="1" t="s">
        <v>47</v>
      </c>
      <c r="S20" s="22">
        <v>46182</v>
      </c>
      <c r="T20" s="6" t="s">
        <v>131</v>
      </c>
      <c r="U20" s="6" t="s">
        <v>111</v>
      </c>
      <c r="V20" s="23">
        <v>50630</v>
      </c>
    </row>
    <row r="21" spans="1:24" x14ac:dyDescent="0.3">
      <c r="A21" s="22"/>
      <c r="B21" s="5"/>
      <c r="C21" s="6"/>
      <c r="D21" s="5"/>
      <c r="E21" s="99"/>
      <c r="F21" s="43"/>
      <c r="G21" s="43"/>
      <c r="H21" s="24"/>
      <c r="J21" s="22">
        <v>46122</v>
      </c>
      <c r="K21" s="5"/>
      <c r="L21" s="6" t="s">
        <v>87</v>
      </c>
      <c r="M21" s="6" t="s">
        <v>88</v>
      </c>
      <c r="N21" s="85" t="s">
        <v>66</v>
      </c>
      <c r="O21" s="66"/>
      <c r="P21" s="66"/>
      <c r="Q21" s="23">
        <v>805429</v>
      </c>
      <c r="S21" s="22"/>
      <c r="T21" s="6"/>
      <c r="U21" s="6"/>
      <c r="V21" s="24"/>
    </row>
    <row r="22" spans="1:24" x14ac:dyDescent="0.3">
      <c r="A22" s="22"/>
      <c r="B22" s="5"/>
      <c r="C22" s="6"/>
      <c r="D22" s="5"/>
      <c r="E22" s="99"/>
      <c r="F22" s="43"/>
      <c r="G22" s="43"/>
      <c r="H22" s="24"/>
      <c r="J22" s="22">
        <v>46122</v>
      </c>
      <c r="K22" s="5"/>
      <c r="L22" s="6" t="s">
        <v>98</v>
      </c>
      <c r="M22" s="6" t="s">
        <v>99</v>
      </c>
      <c r="N22" s="85" t="s">
        <v>66</v>
      </c>
      <c r="O22" s="66"/>
      <c r="P22" s="66"/>
      <c r="Q22" s="23">
        <v>4819453</v>
      </c>
      <c r="S22" s="22"/>
      <c r="T22" s="6"/>
      <c r="U22" s="6"/>
      <c r="V22" s="24"/>
      <c r="W22" s="17"/>
      <c r="X22" s="17"/>
    </row>
    <row r="23" spans="1:24" x14ac:dyDescent="0.3">
      <c r="A23" s="22"/>
      <c r="B23" s="5"/>
      <c r="C23" s="6"/>
      <c r="D23" s="5"/>
      <c r="E23" s="99"/>
      <c r="F23" s="43"/>
      <c r="G23" s="43"/>
      <c r="H23" s="24"/>
      <c r="J23" s="22">
        <v>46141</v>
      </c>
      <c r="K23" s="5"/>
      <c r="L23" s="6" t="s">
        <v>52</v>
      </c>
      <c r="M23" s="6" t="s">
        <v>100</v>
      </c>
      <c r="N23" s="85" t="s">
        <v>66</v>
      </c>
      <c r="O23" s="66"/>
      <c r="P23" s="66"/>
      <c r="Q23" s="23">
        <v>200000</v>
      </c>
      <c r="S23" s="22"/>
      <c r="T23" s="6"/>
      <c r="U23" s="6"/>
      <c r="V23" s="24"/>
    </row>
    <row r="24" spans="1:24" x14ac:dyDescent="0.3">
      <c r="A24" s="22"/>
      <c r="B24" s="5"/>
      <c r="C24" s="6"/>
      <c r="D24" s="5"/>
      <c r="E24" s="99"/>
      <c r="F24" s="43"/>
      <c r="G24" s="43"/>
      <c r="H24" s="24"/>
      <c r="J24" s="22">
        <v>46141</v>
      </c>
      <c r="K24" s="5"/>
      <c r="L24" s="6" t="s">
        <v>52</v>
      </c>
      <c r="M24" s="6" t="s">
        <v>101</v>
      </c>
      <c r="N24" s="85" t="s">
        <v>66</v>
      </c>
      <c r="O24" s="66"/>
      <c r="P24" s="66"/>
      <c r="Q24" s="23">
        <v>200000</v>
      </c>
      <c r="S24" s="22"/>
      <c r="T24" s="6"/>
      <c r="U24" s="6"/>
      <c r="V24" s="24"/>
    </row>
    <row r="25" spans="1:24" x14ac:dyDescent="0.3">
      <c r="A25" s="22"/>
      <c r="B25" s="5"/>
      <c r="C25" s="6"/>
      <c r="D25" s="5"/>
      <c r="E25" s="99"/>
      <c r="F25" s="43"/>
      <c r="G25" s="43"/>
      <c r="H25" s="24"/>
      <c r="J25" s="22">
        <v>46141</v>
      </c>
      <c r="K25" s="5"/>
      <c r="L25" s="6" t="s">
        <v>53</v>
      </c>
      <c r="M25" s="6" t="s">
        <v>54</v>
      </c>
      <c r="N25" s="85" t="s">
        <v>66</v>
      </c>
      <c r="O25" s="66">
        <v>0</v>
      </c>
      <c r="P25" s="66">
        <v>0</v>
      </c>
      <c r="Q25" s="23">
        <v>3000000</v>
      </c>
      <c r="S25" s="22"/>
      <c r="T25" s="6"/>
      <c r="U25" s="6"/>
      <c r="V25" s="24"/>
    </row>
    <row r="26" spans="1:24" x14ac:dyDescent="0.3">
      <c r="A26" s="22"/>
      <c r="B26" s="5"/>
      <c r="C26" s="6"/>
      <c r="D26" s="5"/>
      <c r="E26" s="99"/>
      <c r="F26" s="43"/>
      <c r="G26" s="43"/>
      <c r="H26" s="24"/>
      <c r="J26" s="22">
        <v>46138</v>
      </c>
      <c r="K26" s="5">
        <v>140313</v>
      </c>
      <c r="L26" s="28" t="s">
        <v>77</v>
      </c>
      <c r="M26" s="28" t="s">
        <v>80</v>
      </c>
      <c r="N26" s="85" t="s">
        <v>66</v>
      </c>
      <c r="O26" s="10">
        <f t="shared" ref="O26:O27" si="9">Q26/1.19</f>
        <v>80470.588235294126</v>
      </c>
      <c r="P26" s="10">
        <f t="shared" ref="P26:P28" si="10">Q26-O26</f>
        <v>15289.411764705874</v>
      </c>
      <c r="Q26" s="23">
        <v>95760</v>
      </c>
      <c r="S26" s="22"/>
      <c r="T26" s="6"/>
      <c r="U26" s="6"/>
      <c r="V26" s="24"/>
    </row>
    <row r="27" spans="1:24" x14ac:dyDescent="0.3">
      <c r="A27" s="22"/>
      <c r="B27" s="5"/>
      <c r="C27" s="6"/>
      <c r="D27" s="5"/>
      <c r="E27" s="99"/>
      <c r="F27" s="43"/>
      <c r="G27" s="43"/>
      <c r="H27" s="24"/>
      <c r="J27" s="22">
        <v>46138</v>
      </c>
      <c r="K27" s="5">
        <v>5646665</v>
      </c>
      <c r="L27" s="6" t="s">
        <v>30</v>
      </c>
      <c r="M27" s="6" t="s">
        <v>45</v>
      </c>
      <c r="N27" s="85" t="s">
        <v>66</v>
      </c>
      <c r="O27" s="10">
        <f t="shared" si="9"/>
        <v>47210.08403361345</v>
      </c>
      <c r="P27" s="10">
        <f t="shared" si="10"/>
        <v>8969.9159663865503</v>
      </c>
      <c r="Q27" s="23">
        <v>56180</v>
      </c>
      <c r="S27" s="22"/>
      <c r="T27" s="6"/>
      <c r="U27" s="6"/>
      <c r="V27" s="24"/>
    </row>
    <row r="28" spans="1:24" x14ac:dyDescent="0.3">
      <c r="A28" s="22"/>
      <c r="B28" s="5"/>
      <c r="C28" s="6"/>
      <c r="D28" s="5"/>
      <c r="E28" s="99"/>
      <c r="F28" s="43"/>
      <c r="G28" s="43"/>
      <c r="H28" s="24"/>
      <c r="J28" s="22">
        <v>46131</v>
      </c>
      <c r="K28" s="5"/>
      <c r="L28" s="6" t="s">
        <v>113</v>
      </c>
      <c r="M28" s="6" t="s">
        <v>105</v>
      </c>
      <c r="N28" s="6" t="s">
        <v>65</v>
      </c>
      <c r="O28" s="10">
        <f t="shared" ref="O28" si="11">Q28/1.19</f>
        <v>155701.68067226891</v>
      </c>
      <c r="P28" s="10">
        <f t="shared" si="10"/>
        <v>29583.319327731093</v>
      </c>
      <c r="Q28" s="23">
        <v>185285</v>
      </c>
      <c r="S28" s="22"/>
      <c r="T28" s="6"/>
      <c r="U28" s="6"/>
      <c r="V28" s="24"/>
    </row>
    <row r="29" spans="1:24" x14ac:dyDescent="0.3">
      <c r="A29" s="22"/>
      <c r="B29" s="5"/>
      <c r="C29" s="6"/>
      <c r="D29" s="5"/>
      <c r="E29" s="99"/>
      <c r="F29" s="43"/>
      <c r="G29" s="43"/>
      <c r="H29" s="24"/>
      <c r="J29" s="22">
        <v>46131</v>
      </c>
      <c r="K29" s="5"/>
      <c r="L29" s="6" t="s">
        <v>104</v>
      </c>
      <c r="M29" s="6" t="s">
        <v>105</v>
      </c>
      <c r="N29" s="88" t="s">
        <v>65</v>
      </c>
      <c r="O29" s="66"/>
      <c r="P29" s="66"/>
      <c r="Q29" s="23">
        <v>313038</v>
      </c>
      <c r="S29" s="22"/>
      <c r="T29" s="6"/>
      <c r="U29" s="6"/>
      <c r="V29" s="24"/>
    </row>
    <row r="30" spans="1:24" ht="15" thickBot="1" x14ac:dyDescent="0.35">
      <c r="A30" s="22"/>
      <c r="B30" s="5"/>
      <c r="C30" s="6"/>
      <c r="D30" s="5"/>
      <c r="E30" s="99"/>
      <c r="F30" s="43"/>
      <c r="G30" s="43"/>
      <c r="H30" s="24"/>
      <c r="J30" s="36">
        <v>46131</v>
      </c>
      <c r="K30" s="37"/>
      <c r="L30" s="38" t="s">
        <v>104</v>
      </c>
      <c r="M30" s="38" t="s">
        <v>105</v>
      </c>
      <c r="N30" s="89" t="s">
        <v>65</v>
      </c>
      <c r="O30" s="81"/>
      <c r="P30" s="81"/>
      <c r="Q30" s="82">
        <v>126359</v>
      </c>
      <c r="S30" s="22"/>
      <c r="T30" s="6"/>
      <c r="U30" s="6"/>
      <c r="V30" s="24"/>
    </row>
    <row r="31" spans="1:24" x14ac:dyDescent="0.3">
      <c r="A31" s="22"/>
      <c r="B31" s="5"/>
      <c r="C31" s="6"/>
      <c r="D31" s="5"/>
      <c r="E31" s="99"/>
      <c r="F31" s="43"/>
      <c r="G31" s="43"/>
      <c r="H31" s="24"/>
      <c r="J31" s="33">
        <v>46149</v>
      </c>
      <c r="K31" s="34"/>
      <c r="L31" s="35" t="s">
        <v>108</v>
      </c>
      <c r="M31" s="35" t="s">
        <v>109</v>
      </c>
      <c r="N31" s="102" t="s">
        <v>66</v>
      </c>
      <c r="O31" s="79"/>
      <c r="P31" s="79"/>
      <c r="Q31" s="80">
        <v>5982</v>
      </c>
      <c r="S31" s="22"/>
      <c r="T31" s="6"/>
      <c r="U31" s="6"/>
      <c r="V31" s="24"/>
    </row>
    <row r="32" spans="1:24" x14ac:dyDescent="0.3">
      <c r="A32" s="22"/>
      <c r="B32" s="5"/>
      <c r="C32" s="6"/>
      <c r="D32" s="5"/>
      <c r="E32" s="99"/>
      <c r="F32" s="43"/>
      <c r="G32" s="43"/>
      <c r="H32" s="24"/>
      <c r="J32" s="22">
        <v>46154</v>
      </c>
      <c r="K32" s="5"/>
      <c r="L32" s="6" t="s">
        <v>87</v>
      </c>
      <c r="M32" s="6" t="s">
        <v>88</v>
      </c>
      <c r="N32" s="85" t="s">
        <v>66</v>
      </c>
      <c r="O32" s="66"/>
      <c r="P32" s="66"/>
      <c r="Q32" s="23">
        <v>808015</v>
      </c>
      <c r="S32" s="22"/>
      <c r="T32" s="6"/>
      <c r="U32" s="6"/>
      <c r="V32" s="24"/>
    </row>
    <row r="33" spans="1:22" x14ac:dyDescent="0.3">
      <c r="A33" s="22"/>
      <c r="B33" s="5"/>
      <c r="C33" s="6"/>
      <c r="D33" s="5"/>
      <c r="E33" s="99"/>
      <c r="F33" s="43"/>
      <c r="G33" s="43"/>
      <c r="H33" s="24"/>
      <c r="J33" s="27">
        <v>46154</v>
      </c>
      <c r="K33" s="46">
        <v>37928726</v>
      </c>
      <c r="L33" s="28" t="s">
        <v>106</v>
      </c>
      <c r="M33" s="28" t="s">
        <v>107</v>
      </c>
      <c r="N33" s="87" t="s">
        <v>111</v>
      </c>
      <c r="O33" s="78"/>
      <c r="P33" s="78"/>
      <c r="Q33" s="29">
        <v>125010</v>
      </c>
      <c r="S33" s="22"/>
      <c r="T33" s="6"/>
      <c r="U33" s="6"/>
      <c r="V33" s="24"/>
    </row>
    <row r="34" spans="1:22" x14ac:dyDescent="0.3">
      <c r="A34" s="22"/>
      <c r="B34" s="5"/>
      <c r="C34" s="6"/>
      <c r="D34" s="5"/>
      <c r="E34" s="99"/>
      <c r="F34" s="43"/>
      <c r="G34" s="43"/>
      <c r="H34" s="24"/>
      <c r="J34" s="22">
        <v>46157</v>
      </c>
      <c r="K34" s="5">
        <v>10048</v>
      </c>
      <c r="L34" s="6" t="s">
        <v>132</v>
      </c>
      <c r="M34" s="6" t="s">
        <v>133</v>
      </c>
      <c r="N34" s="28"/>
      <c r="O34" s="101">
        <f>Q34/1.19</f>
        <v>120400.84033613445</v>
      </c>
      <c r="P34" s="101">
        <f>Q34-O34</f>
        <v>22876.159663865546</v>
      </c>
      <c r="Q34" s="74">
        <v>143277</v>
      </c>
      <c r="S34" s="22"/>
      <c r="T34" s="6"/>
      <c r="U34" s="6"/>
      <c r="V34" s="24"/>
    </row>
    <row r="35" spans="1:22" x14ac:dyDescent="0.3">
      <c r="A35" s="22"/>
      <c r="B35" s="5"/>
      <c r="C35" s="6"/>
      <c r="D35" s="5"/>
      <c r="E35" s="99"/>
      <c r="F35" s="43"/>
      <c r="G35" s="43"/>
      <c r="H35" s="24"/>
      <c r="J35" s="22"/>
      <c r="K35" s="5"/>
      <c r="L35" s="6" t="s">
        <v>116</v>
      </c>
      <c r="M35" s="6" t="s">
        <v>117</v>
      </c>
      <c r="N35" s="85" t="s">
        <v>66</v>
      </c>
      <c r="O35" s="66"/>
      <c r="P35" s="66"/>
      <c r="Q35" s="23">
        <v>142235</v>
      </c>
      <c r="S35" s="22"/>
      <c r="T35" s="6"/>
      <c r="U35" s="6"/>
      <c r="V35" s="24"/>
    </row>
    <row r="36" spans="1:22" x14ac:dyDescent="0.3">
      <c r="A36" s="22"/>
      <c r="B36" s="5"/>
      <c r="C36" s="6"/>
      <c r="D36" s="5"/>
      <c r="E36" s="99"/>
      <c r="F36" s="43"/>
      <c r="G36" s="43"/>
      <c r="H36" s="24"/>
      <c r="J36" s="22">
        <v>46162</v>
      </c>
      <c r="K36" s="5">
        <v>38250266</v>
      </c>
      <c r="L36" s="6" t="s">
        <v>106</v>
      </c>
      <c r="M36" s="6" t="s">
        <v>120</v>
      </c>
      <c r="N36" s="87" t="s">
        <v>111</v>
      </c>
      <c r="O36" s="10">
        <f t="shared" ref="O36" si="12">Q36/1.19</f>
        <v>131050.42016806723</v>
      </c>
      <c r="P36" s="10">
        <f t="shared" ref="P36" si="13">Q36-O36</f>
        <v>24899.579831932773</v>
      </c>
      <c r="Q36" s="23">
        <v>155950</v>
      </c>
      <c r="S36" s="22"/>
      <c r="T36" s="6"/>
      <c r="U36" s="6"/>
      <c r="V36" s="24"/>
    </row>
    <row r="37" spans="1:22" ht="15" thickBot="1" x14ac:dyDescent="0.35">
      <c r="A37" s="22"/>
      <c r="B37" s="5"/>
      <c r="C37" s="6"/>
      <c r="D37" s="5"/>
      <c r="E37" s="99"/>
      <c r="F37" s="43"/>
      <c r="G37" s="43"/>
      <c r="H37" s="24"/>
      <c r="J37" s="36">
        <v>46168</v>
      </c>
      <c r="K37" s="37"/>
      <c r="L37" s="38" t="s">
        <v>53</v>
      </c>
      <c r="M37" s="38" t="s">
        <v>54</v>
      </c>
      <c r="N37" s="103" t="s">
        <v>66</v>
      </c>
      <c r="O37" s="81">
        <v>0</v>
      </c>
      <c r="P37" s="81">
        <v>0</v>
      </c>
      <c r="Q37" s="82">
        <v>3000000</v>
      </c>
      <c r="S37" s="22"/>
      <c r="T37" s="6"/>
      <c r="U37" s="6"/>
      <c r="V37" s="24"/>
    </row>
    <row r="38" spans="1:22" x14ac:dyDescent="0.3">
      <c r="A38" s="22"/>
      <c r="B38" s="5"/>
      <c r="C38" s="6"/>
      <c r="D38" s="5"/>
      <c r="E38" s="99"/>
      <c r="F38" s="43"/>
      <c r="G38" s="43"/>
      <c r="H38" s="24"/>
      <c r="J38" s="27">
        <v>46175</v>
      </c>
      <c r="K38" s="46"/>
      <c r="L38" s="28" t="s">
        <v>121</v>
      </c>
      <c r="M38" s="28" t="s">
        <v>122</v>
      </c>
      <c r="N38" s="87" t="s">
        <v>65</v>
      </c>
      <c r="O38" s="64">
        <f t="shared" ref="O38" si="14">Q38/1.19</f>
        <v>302278.99159663869</v>
      </c>
      <c r="P38" s="64">
        <f t="shared" ref="P38" si="15">Q38-O38</f>
        <v>57433.008403361309</v>
      </c>
      <c r="Q38" s="29">
        <v>359712</v>
      </c>
      <c r="S38" s="22"/>
      <c r="T38" s="6"/>
      <c r="U38" s="6"/>
      <c r="V38" s="24"/>
    </row>
    <row r="39" spans="1:22" x14ac:dyDescent="0.3">
      <c r="A39" s="22"/>
      <c r="B39" s="5"/>
      <c r="C39" s="6"/>
      <c r="D39" s="5"/>
      <c r="E39" s="99"/>
      <c r="F39" s="43"/>
      <c r="G39" s="43"/>
      <c r="H39" s="24"/>
      <c r="J39" s="22">
        <v>46175</v>
      </c>
      <c r="K39" s="5"/>
      <c r="L39" s="6" t="s">
        <v>52</v>
      </c>
      <c r="M39" s="6" t="s">
        <v>124</v>
      </c>
      <c r="N39" s="85" t="s">
        <v>66</v>
      </c>
      <c r="O39" s="66"/>
      <c r="P39" s="66"/>
      <c r="Q39" s="23">
        <v>200000</v>
      </c>
      <c r="S39" s="22"/>
      <c r="T39" s="6"/>
      <c r="U39" s="6"/>
      <c r="V39" s="24"/>
    </row>
    <row r="40" spans="1:22" x14ac:dyDescent="0.3">
      <c r="A40" s="22"/>
      <c r="B40" s="5"/>
      <c r="C40" s="6"/>
      <c r="D40" s="5"/>
      <c r="E40" s="99"/>
      <c r="F40" s="43"/>
      <c r="G40" s="43"/>
      <c r="H40" s="24"/>
      <c r="J40" s="22"/>
      <c r="K40" s="5"/>
      <c r="L40" s="6" t="s">
        <v>126</v>
      </c>
      <c r="M40" s="6" t="s">
        <v>127</v>
      </c>
      <c r="N40" s="87" t="s">
        <v>111</v>
      </c>
      <c r="O40" s="10">
        <f t="shared" ref="O40:O41" si="16">Q40/1.19</f>
        <v>37470.588235294119</v>
      </c>
      <c r="P40" s="10">
        <f t="shared" ref="P40:P41" si="17">Q40-O40</f>
        <v>7119.4117647058811</v>
      </c>
      <c r="Q40" s="23">
        <v>44590</v>
      </c>
      <c r="S40" s="22"/>
      <c r="T40" s="6"/>
      <c r="U40" s="6"/>
      <c r="V40" s="24"/>
    </row>
    <row r="41" spans="1:22" x14ac:dyDescent="0.3">
      <c r="A41" s="22"/>
      <c r="B41" s="5"/>
      <c r="C41" s="6"/>
      <c r="D41" s="5"/>
      <c r="E41" s="99"/>
      <c r="F41" s="43"/>
      <c r="G41" s="43"/>
      <c r="H41" s="24"/>
      <c r="J41" s="22"/>
      <c r="K41" s="5"/>
      <c r="L41" s="6" t="s">
        <v>128</v>
      </c>
      <c r="M41" s="6" t="s">
        <v>129</v>
      </c>
      <c r="N41" s="87" t="s">
        <v>111</v>
      </c>
      <c r="O41" s="10">
        <f t="shared" si="16"/>
        <v>42546.218487394959</v>
      </c>
      <c r="P41" s="10">
        <f t="shared" si="17"/>
        <v>8083.7815126050409</v>
      </c>
      <c r="Q41" s="23">
        <v>50630</v>
      </c>
      <c r="S41" s="22"/>
      <c r="T41" s="6"/>
      <c r="U41" s="6"/>
      <c r="V41" s="24"/>
    </row>
    <row r="42" spans="1:22" x14ac:dyDescent="0.3">
      <c r="A42" s="22"/>
      <c r="B42" s="5"/>
      <c r="C42" s="6"/>
      <c r="D42" s="5"/>
      <c r="E42" s="99"/>
      <c r="F42" s="43"/>
      <c r="G42" s="43"/>
      <c r="H42" s="24"/>
      <c r="J42" s="22">
        <v>46195</v>
      </c>
      <c r="K42" s="5"/>
      <c r="L42" s="6" t="s">
        <v>53</v>
      </c>
      <c r="M42" s="6" t="s">
        <v>54</v>
      </c>
      <c r="N42" s="85" t="s">
        <v>66</v>
      </c>
      <c r="O42" s="66">
        <v>0</v>
      </c>
      <c r="P42" s="66">
        <v>0</v>
      </c>
      <c r="Q42" s="23">
        <v>3000000</v>
      </c>
      <c r="S42" s="22"/>
      <c r="T42" s="6"/>
      <c r="U42" s="6"/>
      <c r="V42" s="24"/>
    </row>
    <row r="43" spans="1:22" x14ac:dyDescent="0.3">
      <c r="A43" s="22"/>
      <c r="B43" s="5"/>
      <c r="C43" s="6"/>
      <c r="D43" s="5"/>
      <c r="E43" s="99"/>
      <c r="F43" s="43"/>
      <c r="G43" s="43"/>
      <c r="H43" s="24"/>
      <c r="J43" s="22">
        <v>46195</v>
      </c>
      <c r="K43" s="5">
        <v>2</v>
      </c>
      <c r="L43" s="6" t="s">
        <v>137</v>
      </c>
      <c r="M43" s="6" t="s">
        <v>138</v>
      </c>
      <c r="N43" s="85" t="s">
        <v>66</v>
      </c>
      <c r="O43" s="66">
        <v>0</v>
      </c>
      <c r="P43" s="66">
        <v>0</v>
      </c>
      <c r="Q43" s="23">
        <v>3000000</v>
      </c>
      <c r="S43" s="22"/>
      <c r="T43" s="6"/>
      <c r="U43" s="6"/>
      <c r="V43" s="24"/>
    </row>
    <row r="44" spans="1:22" x14ac:dyDescent="0.3">
      <c r="A44" s="22"/>
      <c r="B44" s="5"/>
      <c r="C44" s="6"/>
      <c r="D44" s="5"/>
      <c r="E44" s="99"/>
      <c r="F44" s="43"/>
      <c r="G44" s="43"/>
      <c r="H44" s="24"/>
      <c r="J44" s="22">
        <v>46215</v>
      </c>
      <c r="K44" s="5"/>
      <c r="L44" s="6" t="s">
        <v>87</v>
      </c>
      <c r="M44" s="6" t="s">
        <v>88</v>
      </c>
      <c r="N44" s="85" t="s">
        <v>66</v>
      </c>
      <c r="O44" s="101"/>
      <c r="P44" s="101"/>
      <c r="Q44" s="23">
        <v>809456</v>
      </c>
      <c r="S44" s="22"/>
      <c r="T44" s="6"/>
      <c r="U44" s="6"/>
      <c r="V44" s="24"/>
    </row>
    <row r="45" spans="1:22" x14ac:dyDescent="0.3">
      <c r="A45" s="22"/>
      <c r="B45" s="5"/>
      <c r="C45" s="6"/>
      <c r="D45" s="5"/>
      <c r="E45" s="99"/>
      <c r="F45" s="43"/>
      <c r="G45" s="43"/>
      <c r="H45" s="24"/>
      <c r="J45" s="22">
        <v>46223</v>
      </c>
      <c r="K45" s="5"/>
      <c r="L45" s="6" t="s">
        <v>53</v>
      </c>
      <c r="M45" s="6" t="s">
        <v>54</v>
      </c>
      <c r="N45" s="85" t="s">
        <v>66</v>
      </c>
      <c r="O45" s="66">
        <v>0</v>
      </c>
      <c r="P45" s="66">
        <v>0</v>
      </c>
      <c r="Q45" s="23">
        <v>3000000</v>
      </c>
      <c r="S45" s="22"/>
      <c r="T45" s="6"/>
      <c r="U45" s="6"/>
      <c r="V45" s="24"/>
    </row>
    <row r="46" spans="1:22" x14ac:dyDescent="0.3">
      <c r="A46" s="22"/>
      <c r="B46" s="5"/>
      <c r="C46" s="6"/>
      <c r="D46" s="5"/>
      <c r="E46" s="99"/>
      <c r="F46" s="43"/>
      <c r="G46" s="43"/>
      <c r="H46" s="24"/>
      <c r="J46" s="22">
        <v>46223</v>
      </c>
      <c r="K46" s="5">
        <v>3</v>
      </c>
      <c r="L46" s="6" t="s">
        <v>137</v>
      </c>
      <c r="M46" s="6" t="s">
        <v>138</v>
      </c>
      <c r="N46" s="85" t="s">
        <v>66</v>
      </c>
      <c r="O46" s="66">
        <v>0</v>
      </c>
      <c r="P46" s="66">
        <v>0</v>
      </c>
      <c r="Q46" s="23">
        <v>3000000</v>
      </c>
      <c r="S46" s="22"/>
      <c r="T46" s="6"/>
      <c r="U46" s="6"/>
      <c r="V46" s="24"/>
    </row>
    <row r="47" spans="1:22" x14ac:dyDescent="0.3">
      <c r="A47" s="22"/>
      <c r="B47" s="5"/>
      <c r="C47" s="6"/>
      <c r="D47" s="5"/>
      <c r="E47" s="99"/>
      <c r="F47" s="43"/>
      <c r="G47" s="43"/>
      <c r="H47" s="24"/>
      <c r="J47" s="22">
        <v>46223</v>
      </c>
      <c r="K47" s="5"/>
      <c r="L47" s="6" t="s">
        <v>98</v>
      </c>
      <c r="M47" s="6" t="s">
        <v>140</v>
      </c>
      <c r="N47" s="85" t="s">
        <v>66</v>
      </c>
      <c r="O47" s="66">
        <v>0</v>
      </c>
      <c r="P47" s="66">
        <v>0</v>
      </c>
      <c r="Q47" s="23">
        <v>2668670</v>
      </c>
      <c r="S47" s="22"/>
      <c r="T47" s="6"/>
      <c r="U47" s="6"/>
      <c r="V47" s="24"/>
    </row>
    <row r="48" spans="1:22" x14ac:dyDescent="0.3">
      <c r="A48" s="22"/>
      <c r="B48" s="5"/>
      <c r="C48" s="6"/>
      <c r="D48" s="5"/>
      <c r="E48" s="99"/>
      <c r="F48" s="43"/>
      <c r="G48" s="43"/>
      <c r="H48" s="24"/>
      <c r="J48" s="22"/>
      <c r="K48" s="5"/>
      <c r="L48" s="6"/>
      <c r="M48" s="6"/>
      <c r="N48" s="28"/>
      <c r="O48" s="101"/>
      <c r="P48" s="101"/>
      <c r="Q48" s="74"/>
      <c r="S48" s="22"/>
      <c r="T48" s="6"/>
      <c r="U48" s="6"/>
      <c r="V48" s="24"/>
    </row>
    <row r="49" spans="1:22" x14ac:dyDescent="0.3">
      <c r="A49" s="22"/>
      <c r="B49" s="5"/>
      <c r="C49" s="6"/>
      <c r="D49" s="5"/>
      <c r="E49" s="99"/>
      <c r="F49" s="43"/>
      <c r="G49" s="43"/>
      <c r="H49" s="24"/>
      <c r="J49" s="22"/>
      <c r="K49" s="5"/>
      <c r="L49" s="6"/>
      <c r="M49" s="6"/>
      <c r="N49" s="28"/>
      <c r="O49" s="101"/>
      <c r="P49" s="101"/>
      <c r="Q49" s="74"/>
      <c r="S49" s="22"/>
      <c r="T49" s="6"/>
      <c r="U49" s="6"/>
      <c r="V49" s="24"/>
    </row>
    <row r="50" spans="1:22" x14ac:dyDescent="0.3">
      <c r="A50" s="22"/>
      <c r="B50" s="5"/>
      <c r="C50" s="6"/>
      <c r="D50" s="5"/>
      <c r="E50" s="99"/>
      <c r="F50" s="43"/>
      <c r="G50" s="43"/>
      <c r="H50" s="24"/>
      <c r="J50" s="22"/>
      <c r="K50" s="5"/>
      <c r="L50" s="6"/>
      <c r="M50" s="6"/>
      <c r="N50" s="28"/>
      <c r="O50" s="101"/>
      <c r="P50" s="101"/>
      <c r="Q50" s="74"/>
      <c r="S50" s="22"/>
      <c r="T50" s="6"/>
      <c r="U50" s="6"/>
      <c r="V50" s="24"/>
    </row>
    <row r="51" spans="1:22" x14ac:dyDescent="0.3">
      <c r="A51" s="22"/>
      <c r="B51" s="5"/>
      <c r="C51" s="6"/>
      <c r="D51" s="5"/>
      <c r="E51" s="99"/>
      <c r="F51" s="43"/>
      <c r="G51" s="43"/>
      <c r="H51" s="24"/>
      <c r="J51" s="22"/>
      <c r="K51" s="5"/>
      <c r="L51" s="6"/>
      <c r="M51" s="6"/>
      <c r="N51" s="28"/>
      <c r="O51" s="101"/>
      <c r="P51" s="101"/>
      <c r="Q51" s="74"/>
      <c r="S51" s="22"/>
      <c r="T51" s="6"/>
      <c r="U51" s="6"/>
      <c r="V51" s="24"/>
    </row>
    <row r="52" spans="1:22" x14ac:dyDescent="0.3">
      <c r="A52" s="22"/>
      <c r="B52" s="5"/>
      <c r="C52" s="6"/>
      <c r="D52" s="5"/>
      <c r="E52" s="99"/>
      <c r="F52" s="43"/>
      <c r="G52" s="43"/>
      <c r="H52" s="24"/>
      <c r="J52" s="22"/>
      <c r="K52" s="5"/>
      <c r="L52" s="6"/>
      <c r="M52" s="6"/>
      <c r="N52" s="28"/>
      <c r="O52" s="101"/>
      <c r="P52" s="101"/>
      <c r="Q52" s="74"/>
      <c r="S52" s="22"/>
      <c r="T52" s="6"/>
      <c r="U52" s="6"/>
      <c r="V52" s="24"/>
    </row>
    <row r="53" spans="1:22" x14ac:dyDescent="0.3">
      <c r="A53" s="22"/>
      <c r="B53" s="5"/>
      <c r="C53" s="6"/>
      <c r="D53" s="5"/>
      <c r="E53" s="99"/>
      <c r="F53" s="43"/>
      <c r="G53" s="43"/>
      <c r="H53" s="24"/>
      <c r="J53" s="22"/>
      <c r="K53" s="5"/>
      <c r="L53" s="6"/>
      <c r="M53" s="6"/>
      <c r="N53" s="28"/>
      <c r="O53" s="101"/>
      <c r="P53" s="101"/>
      <c r="Q53" s="74"/>
      <c r="S53" s="22"/>
      <c r="T53" s="6"/>
      <c r="U53" s="6"/>
      <c r="V53" s="24"/>
    </row>
    <row r="54" spans="1:22" x14ac:dyDescent="0.3">
      <c r="A54" s="22"/>
      <c r="B54" s="5"/>
      <c r="C54" s="6"/>
      <c r="D54" s="5"/>
      <c r="E54" s="99"/>
      <c r="F54" s="43"/>
      <c r="G54" s="43"/>
      <c r="H54" s="24"/>
      <c r="J54" s="22"/>
      <c r="K54" s="5"/>
      <c r="L54" s="6"/>
      <c r="M54" s="6"/>
      <c r="N54" s="28"/>
      <c r="O54" s="101"/>
      <c r="P54" s="101"/>
      <c r="Q54" s="74"/>
      <c r="S54" s="22"/>
      <c r="T54" s="6"/>
      <c r="U54" s="6"/>
      <c r="V54" s="24"/>
    </row>
    <row r="55" spans="1:22" x14ac:dyDescent="0.3">
      <c r="A55" s="22"/>
      <c r="B55" s="5"/>
      <c r="C55" s="6"/>
      <c r="D55" s="5"/>
      <c r="E55" s="99"/>
      <c r="F55" s="43"/>
      <c r="G55" s="43"/>
      <c r="H55" s="24"/>
      <c r="J55" s="22"/>
      <c r="K55" s="5"/>
      <c r="L55" s="6"/>
      <c r="M55" s="6"/>
      <c r="N55" s="28"/>
      <c r="O55" s="101"/>
      <c r="P55" s="101"/>
      <c r="Q55" s="74"/>
      <c r="S55" s="22"/>
      <c r="T55" s="6"/>
      <c r="U55" s="6"/>
      <c r="V55" s="24"/>
    </row>
    <row r="56" spans="1:22" x14ac:dyDescent="0.3">
      <c r="A56" s="22"/>
      <c r="B56" s="5"/>
      <c r="C56" s="6"/>
      <c r="D56" s="5"/>
      <c r="E56" s="99"/>
      <c r="F56" s="43"/>
      <c r="G56" s="43"/>
      <c r="H56" s="24"/>
      <c r="J56" s="22"/>
      <c r="K56" s="5"/>
      <c r="L56" s="6"/>
      <c r="M56" s="6"/>
      <c r="N56" s="28"/>
      <c r="O56" s="101"/>
      <c r="P56" s="101"/>
      <c r="Q56" s="74"/>
      <c r="S56" s="22"/>
      <c r="T56" s="6"/>
      <c r="U56" s="6"/>
      <c r="V56" s="24"/>
    </row>
    <row r="57" spans="1:22" x14ac:dyDescent="0.3">
      <c r="A57" s="22"/>
      <c r="B57" s="5"/>
      <c r="C57" s="6"/>
      <c r="D57" s="5"/>
      <c r="E57" s="99"/>
      <c r="F57" s="43"/>
      <c r="G57" s="43"/>
      <c r="H57" s="24"/>
      <c r="J57" s="22"/>
      <c r="K57" s="5"/>
      <c r="L57" s="6"/>
      <c r="M57" s="6"/>
      <c r="N57" s="28"/>
      <c r="O57" s="101"/>
      <c r="P57" s="101"/>
      <c r="Q57" s="74"/>
      <c r="S57" s="22"/>
      <c r="T57" s="6"/>
      <c r="U57" s="6"/>
      <c r="V57" s="24"/>
    </row>
    <row r="58" spans="1:22" x14ac:dyDescent="0.3">
      <c r="A58" s="22"/>
      <c r="B58" s="5"/>
      <c r="C58" s="6"/>
      <c r="D58" s="5"/>
      <c r="E58" s="99"/>
      <c r="F58" s="43"/>
      <c r="G58" s="43"/>
      <c r="H58" s="24"/>
      <c r="J58" s="22"/>
      <c r="K58" s="5"/>
      <c r="L58" s="6"/>
      <c r="M58" s="6"/>
      <c r="N58" s="28"/>
      <c r="O58" s="101"/>
      <c r="P58" s="101"/>
      <c r="Q58" s="74"/>
      <c r="S58" s="22"/>
      <c r="T58" s="6"/>
      <c r="U58" s="6"/>
      <c r="V58" s="24"/>
    </row>
    <row r="59" spans="1:22" x14ac:dyDescent="0.3">
      <c r="A59" s="22"/>
      <c r="B59" s="5"/>
      <c r="C59" s="6"/>
      <c r="D59" s="5"/>
      <c r="E59" s="99"/>
      <c r="F59" s="43"/>
      <c r="G59" s="43"/>
      <c r="H59" s="24"/>
      <c r="J59" s="22"/>
      <c r="K59" s="5"/>
      <c r="L59" s="6"/>
      <c r="M59" s="6"/>
      <c r="N59" s="28"/>
      <c r="O59" s="101"/>
      <c r="P59" s="101"/>
      <c r="Q59" s="74"/>
      <c r="S59" s="22"/>
      <c r="T59" s="6"/>
      <c r="U59" s="6"/>
      <c r="V59" s="24"/>
    </row>
    <row r="60" spans="1:22" ht="15" thickBot="1" x14ac:dyDescent="0.35">
      <c r="A60" s="22"/>
      <c r="B60" s="5"/>
      <c r="C60" s="6"/>
      <c r="D60" s="5"/>
      <c r="E60" s="99"/>
      <c r="F60" s="43"/>
      <c r="G60" s="43"/>
      <c r="H60" s="24"/>
      <c r="J60" s="22"/>
      <c r="K60" s="5"/>
      <c r="L60" s="6"/>
      <c r="M60" s="6"/>
      <c r="N60" s="6"/>
      <c r="O60" s="66"/>
      <c r="P60" s="66"/>
      <c r="Q60" s="74"/>
      <c r="S60" s="22"/>
      <c r="T60" s="6"/>
      <c r="U60" s="6"/>
      <c r="V60" s="24"/>
    </row>
    <row r="61" spans="1:22" ht="16.2" thickBot="1" x14ac:dyDescent="0.35">
      <c r="A61" s="115"/>
      <c r="B61" s="116"/>
      <c r="C61" s="116"/>
      <c r="D61" s="116"/>
      <c r="E61" s="67"/>
      <c r="F61" s="21">
        <f>SUM(F3:F24)</f>
        <v>76158635.294117659</v>
      </c>
      <c r="G61" s="21">
        <f>SUM(G3:G24)</f>
        <v>14470140.70588235</v>
      </c>
      <c r="H61" s="21">
        <f>SUM(H3:H24)</f>
        <v>90628776</v>
      </c>
      <c r="J61" s="115"/>
      <c r="K61" s="116"/>
      <c r="L61" s="116"/>
      <c r="M61" s="116"/>
      <c r="N61" s="20"/>
      <c r="O61" s="67"/>
      <c r="P61" s="67"/>
      <c r="Q61" s="21">
        <f>SUM(Q3:Q60)</f>
        <v>37859227</v>
      </c>
      <c r="S61" s="107"/>
      <c r="T61" s="108"/>
      <c r="U61" s="109"/>
      <c r="V61" s="21">
        <f>SUM(V3:V60)</f>
        <v>33853124</v>
      </c>
    </row>
    <row r="66" spans="7:21" x14ac:dyDescent="0.3">
      <c r="U66" s="45"/>
    </row>
    <row r="68" spans="7:21" x14ac:dyDescent="0.3">
      <c r="G68" s="11"/>
    </row>
    <row r="69" spans="7:21" x14ac:dyDescent="0.3">
      <c r="G69" s="17"/>
    </row>
  </sheetData>
  <autoFilter ref="J2:Q32" xr:uid="{2822C60C-6EB5-4419-A8A5-7CA3B8AEE8EE}"/>
  <sortState xmlns:xlrd2="http://schemas.microsoft.com/office/spreadsheetml/2017/richdata2" ref="S4:V15">
    <sortCondition ref="S3:S15"/>
  </sortState>
  <mergeCells count="9">
    <mergeCell ref="T1:V1"/>
    <mergeCell ref="S61:U61"/>
    <mergeCell ref="J1:J2"/>
    <mergeCell ref="K1:Q1"/>
    <mergeCell ref="A1:A2"/>
    <mergeCell ref="B1:H1"/>
    <mergeCell ref="A61:D61"/>
    <mergeCell ref="J61:M61"/>
    <mergeCell ref="S1:S2"/>
  </mergeCells>
  <phoneticPr fontId="7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0A44-80CE-4DF6-8BE0-C6BD96E3B795}">
  <dimension ref="A1:Z20"/>
  <sheetViews>
    <sheetView showGridLines="0" workbookViewId="0">
      <selection activeCell="D14" sqref="D14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1.88671875" style="11" bestFit="1" customWidth="1"/>
    <col min="11" max="11" width="11.5546875" style="1"/>
    <col min="12" max="12" width="11.5546875" style="11"/>
    <col min="13" max="13" width="11.5546875" style="1"/>
    <col min="14" max="14" width="11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26</v>
      </c>
      <c r="C2" s="6" t="s">
        <v>27</v>
      </c>
      <c r="D2" s="6" t="s">
        <v>28</v>
      </c>
      <c r="E2" s="6">
        <v>4048987</v>
      </c>
      <c r="F2" s="7">
        <v>46034</v>
      </c>
      <c r="G2" s="8">
        <v>46034.649212962962</v>
      </c>
      <c r="H2" s="6"/>
      <c r="I2" s="6">
        <v>0</v>
      </c>
      <c r="J2" s="10">
        <v>23521</v>
      </c>
      <c r="K2" s="6"/>
      <c r="L2" s="10">
        <v>4469</v>
      </c>
      <c r="M2" s="6">
        <v>9</v>
      </c>
      <c r="N2" s="10">
        <v>27990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26</v>
      </c>
      <c r="C3" s="6" t="s">
        <v>29</v>
      </c>
      <c r="D3" s="6" t="s">
        <v>30</v>
      </c>
      <c r="E3" s="6">
        <v>5543387</v>
      </c>
      <c r="F3" s="7">
        <v>46029</v>
      </c>
      <c r="G3" s="8">
        <v>46029.816446759258</v>
      </c>
      <c r="H3" s="6"/>
      <c r="I3" s="6">
        <v>0</v>
      </c>
      <c r="J3" s="10">
        <v>462176</v>
      </c>
      <c r="K3" s="6"/>
      <c r="L3" s="10">
        <v>87814</v>
      </c>
      <c r="M3" s="6">
        <v>9</v>
      </c>
      <c r="N3" s="10">
        <v>549990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26</v>
      </c>
      <c r="C4" s="6" t="s">
        <v>27</v>
      </c>
      <c r="D4" s="6" t="s">
        <v>28</v>
      </c>
      <c r="E4" s="6">
        <v>4048985</v>
      </c>
      <c r="F4" s="7">
        <v>46034</v>
      </c>
      <c r="G4" s="8">
        <v>46034.649201388886</v>
      </c>
      <c r="H4" s="6"/>
      <c r="I4" s="6">
        <v>0</v>
      </c>
      <c r="J4" s="10">
        <v>15118</v>
      </c>
      <c r="K4" s="6"/>
      <c r="L4" s="10">
        <v>2872</v>
      </c>
      <c r="M4" s="6">
        <v>9</v>
      </c>
      <c r="N4" s="10">
        <v>17990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19" spans="1:14" ht="15" thickBot="1" x14ac:dyDescent="0.35"/>
    <row r="20" spans="1:14" s="12" customFormat="1" ht="18.600000000000001" thickBot="1" x14ac:dyDescent="0.35">
      <c r="A20" s="118" t="s">
        <v>31</v>
      </c>
      <c r="B20" s="119"/>
      <c r="C20" s="119"/>
      <c r="D20" s="119"/>
      <c r="E20" s="119"/>
      <c r="F20" s="119"/>
      <c r="G20" s="119"/>
      <c r="H20" s="119"/>
      <c r="I20" s="119"/>
      <c r="J20" s="13">
        <f>SUM(J2:J19)</f>
        <v>500815</v>
      </c>
      <c r="K20" s="13">
        <f>SUM(K2:K19)</f>
        <v>0</v>
      </c>
      <c r="L20" s="13">
        <f>SUM(L2:L19)</f>
        <v>95155</v>
      </c>
      <c r="M20" s="13"/>
      <c r="N20" s="14">
        <f>SUM(N2:N19)</f>
        <v>595970</v>
      </c>
    </row>
  </sheetData>
  <mergeCells count="1">
    <mergeCell ref="A20:I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94D-BE67-4D79-97B5-3CC7D12B1C38}">
  <dimension ref="A1:Z20"/>
  <sheetViews>
    <sheetView showGridLines="0" workbookViewId="0">
      <selection activeCell="J13" sqref="J13:K13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1.88671875" style="11" bestFit="1" customWidth="1"/>
    <col min="11" max="11" width="11.5546875" style="1"/>
    <col min="12" max="12" width="11.5546875" style="11"/>
    <col min="13" max="13" width="11.5546875" style="1"/>
    <col min="14" max="14" width="11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26</v>
      </c>
      <c r="C2" s="6" t="s">
        <v>36</v>
      </c>
      <c r="D2" s="6" t="s">
        <v>37</v>
      </c>
      <c r="E2" s="6">
        <v>116797</v>
      </c>
      <c r="F2" s="7">
        <v>46081</v>
      </c>
      <c r="G2" s="8">
        <v>46081.552465277775</v>
      </c>
      <c r="H2" s="6"/>
      <c r="I2" s="6">
        <v>0</v>
      </c>
      <c r="J2" s="10">
        <v>116782</v>
      </c>
      <c r="K2" s="6"/>
      <c r="L2" s="10">
        <v>22188</v>
      </c>
      <c r="M2" s="6">
        <v>9</v>
      </c>
      <c r="N2" s="10">
        <v>138970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26</v>
      </c>
      <c r="C3" s="6" t="s">
        <v>34</v>
      </c>
      <c r="D3" s="6" t="s">
        <v>35</v>
      </c>
      <c r="E3" s="6">
        <v>25502774</v>
      </c>
      <c r="F3" s="7">
        <v>46081</v>
      </c>
      <c r="G3" s="8">
        <v>46081.52447916667</v>
      </c>
      <c r="H3" s="6"/>
      <c r="I3" s="6">
        <v>0</v>
      </c>
      <c r="J3" s="10">
        <v>157109</v>
      </c>
      <c r="K3" s="6"/>
      <c r="L3" s="10">
        <v>29851</v>
      </c>
      <c r="M3" s="6">
        <v>9</v>
      </c>
      <c r="N3" s="10">
        <v>186960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26</v>
      </c>
      <c r="C4" s="6" t="s">
        <v>32</v>
      </c>
      <c r="D4" s="6" t="s">
        <v>33</v>
      </c>
      <c r="E4" s="6">
        <v>1167147</v>
      </c>
      <c r="F4" s="7">
        <v>46070</v>
      </c>
      <c r="G4" s="8">
        <v>46070.832905092589</v>
      </c>
      <c r="H4" s="6"/>
      <c r="I4" s="6">
        <v>0</v>
      </c>
      <c r="J4" s="10">
        <v>58517</v>
      </c>
      <c r="K4" s="6"/>
      <c r="L4" s="10">
        <v>11118</v>
      </c>
      <c r="M4" s="6">
        <v>9</v>
      </c>
      <c r="N4" s="10">
        <v>69635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19" spans="1:14" ht="15" thickBot="1" x14ac:dyDescent="0.35"/>
    <row r="20" spans="1:14" s="12" customFormat="1" ht="18.600000000000001" thickBot="1" x14ac:dyDescent="0.35">
      <c r="A20" s="118" t="s">
        <v>31</v>
      </c>
      <c r="B20" s="119"/>
      <c r="C20" s="119"/>
      <c r="D20" s="119"/>
      <c r="E20" s="119"/>
      <c r="F20" s="119"/>
      <c r="G20" s="119"/>
      <c r="H20" s="119"/>
      <c r="I20" s="119"/>
      <c r="J20" s="13">
        <f>SUM(J2:J19)</f>
        <v>332408</v>
      </c>
      <c r="K20" s="13">
        <f>SUM(K2:K19)</f>
        <v>0</v>
      </c>
      <c r="L20" s="13">
        <f>SUM(L2:L19)</f>
        <v>63157</v>
      </c>
      <c r="M20" s="13"/>
      <c r="N20" s="14">
        <f>SUM(N2:N19)</f>
        <v>395565</v>
      </c>
    </row>
  </sheetData>
  <mergeCells count="1">
    <mergeCell ref="A20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5F7-057B-49BC-B59E-AC17BCB48FD4}">
  <dimension ref="A1:Z20"/>
  <sheetViews>
    <sheetView showGridLines="0" workbookViewId="0">
      <selection activeCell="F25" sqref="A24:F25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29</v>
      </c>
      <c r="D2" s="6" t="s">
        <v>30</v>
      </c>
      <c r="E2" s="6">
        <v>5603375</v>
      </c>
      <c r="F2" s="7">
        <v>46099</v>
      </c>
      <c r="G2" s="8">
        <v>46099.613078703704</v>
      </c>
      <c r="H2" s="6"/>
      <c r="I2" s="6">
        <v>0</v>
      </c>
      <c r="J2" s="10">
        <v>134445</v>
      </c>
      <c r="K2" s="6">
        <v>25545</v>
      </c>
      <c r="L2" s="10"/>
      <c r="M2" s="6"/>
      <c r="N2" s="10">
        <v>159990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73</v>
      </c>
      <c r="C3" s="6" t="s">
        <v>74</v>
      </c>
      <c r="D3" s="6" t="s">
        <v>75</v>
      </c>
      <c r="E3" s="6">
        <v>5854862</v>
      </c>
      <c r="F3" s="7">
        <v>46095</v>
      </c>
      <c r="G3" s="8">
        <v>46095.826886574076</v>
      </c>
      <c r="H3" s="6"/>
      <c r="I3" s="6">
        <v>0</v>
      </c>
      <c r="J3" s="10">
        <v>1212564</v>
      </c>
      <c r="K3" s="6">
        <v>230387</v>
      </c>
      <c r="L3" s="10"/>
      <c r="M3" s="6"/>
      <c r="N3" s="10">
        <v>1442951</v>
      </c>
      <c r="O3" s="6">
        <v>1212564</v>
      </c>
      <c r="P3" s="6">
        <v>230387</v>
      </c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72</v>
      </c>
      <c r="C4" s="6" t="s">
        <v>76</v>
      </c>
      <c r="D4" s="6" t="s">
        <v>77</v>
      </c>
      <c r="E4" s="6">
        <v>139727</v>
      </c>
      <c r="F4" s="7">
        <v>46081</v>
      </c>
      <c r="G4" s="8">
        <v>46081.569722222222</v>
      </c>
      <c r="H4" s="6"/>
      <c r="I4" s="6">
        <v>0</v>
      </c>
      <c r="J4" s="10">
        <v>173437</v>
      </c>
      <c r="K4" s="6">
        <v>32953</v>
      </c>
      <c r="L4" s="10"/>
      <c r="M4" s="6"/>
      <c r="N4" s="10">
        <v>206390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5" spans="1:26" x14ac:dyDescent="0.3">
      <c r="A5" s="5">
        <v>4</v>
      </c>
      <c r="B5" s="6" t="s">
        <v>72</v>
      </c>
      <c r="C5" s="6" t="s">
        <v>78</v>
      </c>
      <c r="D5" s="6" t="s">
        <v>79</v>
      </c>
      <c r="E5" s="6">
        <v>32714</v>
      </c>
      <c r="F5" s="7">
        <v>46080</v>
      </c>
      <c r="G5" s="8">
        <v>46080.827476851853</v>
      </c>
      <c r="H5" s="6"/>
      <c r="I5" s="6">
        <v>0</v>
      </c>
      <c r="J5" s="10">
        <v>100815</v>
      </c>
      <c r="K5" s="6">
        <v>19155</v>
      </c>
      <c r="L5" s="10"/>
      <c r="M5" s="6"/>
      <c r="N5" s="10">
        <v>119970</v>
      </c>
      <c r="O5" s="6"/>
      <c r="P5" s="6"/>
      <c r="Q5" s="6"/>
      <c r="R5" s="6"/>
      <c r="S5" s="6">
        <v>0</v>
      </c>
      <c r="T5" s="6"/>
      <c r="U5" s="6"/>
      <c r="V5" s="6"/>
      <c r="W5" s="6">
        <v>0</v>
      </c>
      <c r="X5" s="6"/>
      <c r="Y5" s="6"/>
      <c r="Z5" s="6"/>
    </row>
    <row r="6" spans="1:26" x14ac:dyDescent="0.3">
      <c r="A6" s="5"/>
      <c r="B6" s="6"/>
      <c r="C6" s="6"/>
      <c r="D6" s="6"/>
      <c r="E6" s="6"/>
      <c r="F6" s="7"/>
      <c r="G6" s="8"/>
      <c r="H6" s="6"/>
      <c r="I6" s="6"/>
      <c r="J6" s="10"/>
      <c r="K6" s="6"/>
      <c r="L6" s="10"/>
      <c r="M6" s="6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5"/>
      <c r="B7" s="6"/>
      <c r="C7" s="6"/>
      <c r="D7" s="6"/>
      <c r="E7" s="6"/>
      <c r="F7" s="7"/>
      <c r="G7" s="8"/>
      <c r="H7" s="6"/>
      <c r="I7" s="6"/>
      <c r="J7" s="10"/>
      <c r="K7" s="6"/>
      <c r="L7" s="10"/>
      <c r="M7" s="6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18" t="s">
        <v>31</v>
      </c>
      <c r="B20" s="119"/>
      <c r="C20" s="119"/>
      <c r="D20" s="119"/>
      <c r="E20" s="119"/>
      <c r="F20" s="119"/>
      <c r="G20" s="119"/>
      <c r="H20" s="119"/>
      <c r="I20" s="119"/>
      <c r="J20" s="13">
        <f>SUM(J2:J19)</f>
        <v>1621261</v>
      </c>
      <c r="K20" s="13">
        <f>SUM(K2:K19)</f>
        <v>308040</v>
      </c>
      <c r="L20" s="13">
        <f>SUM(L2:L19)</f>
        <v>0</v>
      </c>
      <c r="M20" s="13"/>
      <c r="N20" s="14">
        <f>SUM(N2:N19)</f>
        <v>1929301</v>
      </c>
    </row>
  </sheetData>
  <mergeCells count="1">
    <mergeCell ref="A20:I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8518-0583-4B07-B75F-1FB799A1C07D}">
  <dimension ref="A1:Z20"/>
  <sheetViews>
    <sheetView showGridLines="0" topLeftCell="B1" workbookViewId="0">
      <selection activeCell="A20" sqref="A20:XFD20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103</v>
      </c>
      <c r="D2" s="6" t="s">
        <v>104</v>
      </c>
      <c r="E2" s="6">
        <v>7260665</v>
      </c>
      <c r="F2" s="7">
        <v>46131</v>
      </c>
      <c r="G2" s="8">
        <v>46131.912824074076</v>
      </c>
      <c r="H2" s="6"/>
      <c r="I2" s="6">
        <v>313038</v>
      </c>
      <c r="J2" s="10">
        <v>0</v>
      </c>
      <c r="K2" s="6">
        <v>0</v>
      </c>
      <c r="L2" s="10"/>
      <c r="M2" s="6"/>
      <c r="N2" s="10">
        <v>313038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72</v>
      </c>
      <c r="C3" s="6" t="s">
        <v>103</v>
      </c>
      <c r="D3" s="6" t="s">
        <v>104</v>
      </c>
      <c r="E3" s="6">
        <v>7260715</v>
      </c>
      <c r="F3" s="7">
        <v>46131</v>
      </c>
      <c r="G3" s="8">
        <v>46131.938981481479</v>
      </c>
      <c r="H3" s="6"/>
      <c r="I3" s="6">
        <v>126359</v>
      </c>
      <c r="J3" s="10">
        <v>0</v>
      </c>
      <c r="K3" s="6">
        <v>0</v>
      </c>
      <c r="L3" s="10"/>
      <c r="M3" s="6"/>
      <c r="N3" s="10">
        <v>126359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/>
      <c r="B4" s="6"/>
      <c r="C4" s="6"/>
      <c r="D4" s="6"/>
      <c r="E4" s="6"/>
      <c r="F4" s="7"/>
      <c r="G4" s="8"/>
      <c r="H4" s="6"/>
      <c r="I4" s="6"/>
      <c r="J4" s="10"/>
      <c r="K4" s="6"/>
      <c r="L4" s="10"/>
      <c r="M4" s="6"/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5"/>
      <c r="B5" s="6"/>
      <c r="C5" s="6"/>
      <c r="D5" s="6"/>
      <c r="E5" s="6"/>
      <c r="F5" s="7"/>
      <c r="G5" s="8"/>
      <c r="H5" s="6"/>
      <c r="I5" s="6"/>
      <c r="J5" s="10"/>
      <c r="K5" s="6"/>
      <c r="L5" s="10"/>
      <c r="M5" s="6"/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5"/>
      <c r="B6" s="6"/>
      <c r="C6" s="6"/>
      <c r="D6" s="6"/>
      <c r="E6" s="6"/>
      <c r="F6" s="7"/>
      <c r="G6" s="8"/>
      <c r="H6" s="6"/>
      <c r="I6" s="6"/>
      <c r="J6" s="10"/>
      <c r="K6" s="6"/>
      <c r="L6" s="10"/>
      <c r="M6" s="6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5"/>
      <c r="B7" s="6"/>
      <c r="C7" s="6"/>
      <c r="D7" s="6"/>
      <c r="E7" s="6"/>
      <c r="F7" s="7"/>
      <c r="G7" s="8"/>
      <c r="H7" s="6"/>
      <c r="I7" s="6"/>
      <c r="J7" s="10"/>
      <c r="K7" s="6"/>
      <c r="L7" s="10"/>
      <c r="M7" s="6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18" t="s">
        <v>31</v>
      </c>
      <c r="B20" s="119"/>
      <c r="C20" s="119"/>
      <c r="D20" s="119"/>
      <c r="E20" s="119"/>
      <c r="F20" s="119"/>
      <c r="G20" s="119"/>
      <c r="H20" s="119"/>
      <c r="I20" s="119"/>
      <c r="J20" s="13">
        <f>SUM(J2:J19)</f>
        <v>0</v>
      </c>
      <c r="K20" s="13">
        <f>SUM(K2:K19)</f>
        <v>0</v>
      </c>
      <c r="L20" s="13">
        <f>SUM(L2:L19)</f>
        <v>0</v>
      </c>
      <c r="M20" s="13"/>
      <c r="N20" s="14">
        <f>SUM(N2:N19)</f>
        <v>439397</v>
      </c>
    </row>
  </sheetData>
  <mergeCells count="1">
    <mergeCell ref="A20:I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37330-EE54-488E-B14E-2DFBCD8CFF0D}">
  <dimension ref="A1:Z20"/>
  <sheetViews>
    <sheetView workbookViewId="0">
      <selection activeCell="J20" sqref="J20"/>
    </sheetView>
  </sheetViews>
  <sheetFormatPr baseColWidth="10" defaultRowHeight="14.4" x14ac:dyDescent="0.3"/>
  <cols>
    <col min="1" max="1" width="4" style="2" bestFit="1" customWidth="1"/>
    <col min="2" max="2" width="16.6640625" style="1" bestFit="1" customWidth="1"/>
    <col min="3" max="3" width="11.5546875" style="1"/>
    <col min="4" max="4" width="30.5546875" style="1" bestFit="1" customWidth="1"/>
    <col min="5" max="6" width="11.5546875" style="1"/>
    <col min="7" max="7" width="15.21875" style="1" bestFit="1" customWidth="1"/>
    <col min="8" max="9" width="11.5546875" style="1"/>
    <col min="10" max="10" width="13.88671875" style="11" bestFit="1" customWidth="1"/>
    <col min="11" max="11" width="11.88671875" style="1" bestFit="1" customWidth="1"/>
    <col min="12" max="12" width="11.5546875" style="11"/>
    <col min="13" max="13" width="11.5546875" style="1"/>
    <col min="14" max="14" width="13.88671875" style="11" bestFit="1" customWidth="1"/>
    <col min="15" max="16384" width="11.5546875" style="1"/>
  </cols>
  <sheetData>
    <row r="1" spans="1:26" s="3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9" t="s">
        <v>9</v>
      </c>
      <c r="K1" s="4" t="s">
        <v>10</v>
      </c>
      <c r="L1" s="9" t="s">
        <v>11</v>
      </c>
      <c r="M1" s="4" t="s">
        <v>12</v>
      </c>
      <c r="N1" s="9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3">
      <c r="A2" s="5">
        <v>1</v>
      </c>
      <c r="B2" s="6" t="s">
        <v>72</v>
      </c>
      <c r="C2" s="6" t="s">
        <v>29</v>
      </c>
      <c r="D2" s="6" t="s">
        <v>30</v>
      </c>
      <c r="E2" s="6">
        <v>5646665</v>
      </c>
      <c r="F2" s="7">
        <v>46138</v>
      </c>
      <c r="G2" s="8">
        <v>46138.768541666665</v>
      </c>
      <c r="H2" s="6"/>
      <c r="I2" s="6">
        <v>0</v>
      </c>
      <c r="J2" s="10">
        <v>47210</v>
      </c>
      <c r="K2" s="6">
        <v>8970</v>
      </c>
      <c r="L2" s="10"/>
      <c r="M2" s="6"/>
      <c r="N2" s="10">
        <v>56180</v>
      </c>
      <c r="O2" s="6"/>
      <c r="P2" s="6"/>
      <c r="Q2" s="6"/>
      <c r="R2" s="6"/>
      <c r="S2" s="6">
        <v>0</v>
      </c>
      <c r="T2" s="6"/>
      <c r="U2" s="6"/>
      <c r="V2" s="6"/>
      <c r="W2" s="6">
        <v>0</v>
      </c>
      <c r="X2" s="6"/>
      <c r="Y2" s="6"/>
      <c r="Z2" s="6"/>
    </row>
    <row r="3" spans="1:26" x14ac:dyDescent="0.3">
      <c r="A3" s="5">
        <v>2</v>
      </c>
      <c r="B3" s="6" t="s">
        <v>72</v>
      </c>
      <c r="C3" s="6" t="s">
        <v>76</v>
      </c>
      <c r="D3" s="6" t="s">
        <v>77</v>
      </c>
      <c r="E3" s="6">
        <v>140313</v>
      </c>
      <c r="F3" s="7">
        <v>46138</v>
      </c>
      <c r="G3" s="8">
        <v>46138.788530092592</v>
      </c>
      <c r="H3" s="6"/>
      <c r="I3" s="6">
        <v>0</v>
      </c>
      <c r="J3" s="10">
        <v>80471</v>
      </c>
      <c r="K3" s="6">
        <v>15289</v>
      </c>
      <c r="L3" s="10"/>
      <c r="M3" s="6"/>
      <c r="N3" s="10">
        <v>95760</v>
      </c>
      <c r="O3" s="6"/>
      <c r="P3" s="6"/>
      <c r="Q3" s="6"/>
      <c r="R3" s="6"/>
      <c r="S3" s="6">
        <v>0</v>
      </c>
      <c r="T3" s="6"/>
      <c r="U3" s="6"/>
      <c r="V3" s="6"/>
      <c r="W3" s="6">
        <v>0</v>
      </c>
      <c r="X3" s="6"/>
      <c r="Y3" s="6"/>
      <c r="Z3" s="6"/>
    </row>
    <row r="4" spans="1:26" x14ac:dyDescent="0.3">
      <c r="A4" s="5">
        <v>3</v>
      </c>
      <c r="B4" s="6" t="s">
        <v>72</v>
      </c>
      <c r="C4" s="6" t="s">
        <v>134</v>
      </c>
      <c r="D4" s="6" t="s">
        <v>108</v>
      </c>
      <c r="E4" s="6">
        <v>30023425</v>
      </c>
      <c r="F4" s="7">
        <v>46149</v>
      </c>
      <c r="G4" s="8">
        <v>46150.771886574075</v>
      </c>
      <c r="H4" s="6"/>
      <c r="I4" s="6">
        <v>0</v>
      </c>
      <c r="J4" s="10">
        <v>5027</v>
      </c>
      <c r="K4" s="6">
        <v>955</v>
      </c>
      <c r="L4" s="10"/>
      <c r="M4" s="6"/>
      <c r="N4" s="10">
        <v>5982</v>
      </c>
      <c r="O4" s="6"/>
      <c r="P4" s="6"/>
      <c r="Q4" s="6"/>
      <c r="R4" s="6"/>
      <c r="S4" s="6">
        <v>0</v>
      </c>
      <c r="T4" s="6"/>
      <c r="U4" s="6"/>
      <c r="V4" s="6"/>
      <c r="W4" s="6">
        <v>0</v>
      </c>
      <c r="X4" s="6"/>
      <c r="Y4" s="6"/>
      <c r="Z4" s="6"/>
    </row>
    <row r="5" spans="1:26" x14ac:dyDescent="0.3">
      <c r="A5" s="5">
        <v>4</v>
      </c>
      <c r="B5" s="6" t="s">
        <v>72</v>
      </c>
      <c r="C5" s="6" t="s">
        <v>135</v>
      </c>
      <c r="D5" s="6" t="s">
        <v>106</v>
      </c>
      <c r="E5" s="6">
        <v>37928726</v>
      </c>
      <c r="F5" s="7">
        <v>46154</v>
      </c>
      <c r="G5" s="8">
        <v>46154.770555555559</v>
      </c>
      <c r="H5" s="6"/>
      <c r="I5" s="6">
        <v>0</v>
      </c>
      <c r="J5" s="10">
        <v>105051</v>
      </c>
      <c r="K5" s="6">
        <v>19959</v>
      </c>
      <c r="L5" s="10"/>
      <c r="M5" s="6"/>
      <c r="N5" s="10">
        <v>125010</v>
      </c>
      <c r="O5" s="6"/>
      <c r="P5" s="6"/>
      <c r="Q5" s="6"/>
      <c r="R5" s="6"/>
      <c r="S5" s="6">
        <v>0</v>
      </c>
      <c r="T5" s="6"/>
      <c r="U5" s="6"/>
      <c r="V5" s="6"/>
      <c r="W5" s="6">
        <v>0</v>
      </c>
      <c r="X5" s="6"/>
      <c r="Y5" s="6"/>
      <c r="Z5" s="6"/>
    </row>
    <row r="6" spans="1:26" x14ac:dyDescent="0.3">
      <c r="A6" s="5">
        <v>5</v>
      </c>
      <c r="B6" s="6" t="s">
        <v>72</v>
      </c>
      <c r="C6" s="6" t="s">
        <v>136</v>
      </c>
      <c r="D6" s="6" t="s">
        <v>132</v>
      </c>
      <c r="E6" s="6">
        <v>10048</v>
      </c>
      <c r="F6" s="7">
        <v>45792</v>
      </c>
      <c r="G6" s="8">
        <v>46157.463437500002</v>
      </c>
      <c r="H6" s="6"/>
      <c r="I6" s="6">
        <v>0</v>
      </c>
      <c r="J6" s="10">
        <v>120401</v>
      </c>
      <c r="K6" s="6">
        <v>22876</v>
      </c>
      <c r="L6" s="10"/>
      <c r="M6" s="6"/>
      <c r="N6" s="10">
        <v>143277</v>
      </c>
      <c r="O6" s="6"/>
      <c r="P6" s="6"/>
      <c r="Q6" s="6"/>
      <c r="R6" s="6"/>
      <c r="S6" s="6">
        <v>0</v>
      </c>
      <c r="T6" s="6"/>
      <c r="U6" s="6"/>
      <c r="V6" s="6"/>
      <c r="W6" s="6">
        <v>0</v>
      </c>
      <c r="X6" s="6"/>
      <c r="Y6" s="6"/>
      <c r="Z6" s="6"/>
    </row>
    <row r="7" spans="1:26" x14ac:dyDescent="0.3">
      <c r="A7" s="5">
        <v>6</v>
      </c>
      <c r="B7" s="6" t="s">
        <v>72</v>
      </c>
      <c r="C7" s="6" t="s">
        <v>135</v>
      </c>
      <c r="D7" s="6" t="s">
        <v>106</v>
      </c>
      <c r="E7" s="6">
        <v>38250266</v>
      </c>
      <c r="F7" s="7">
        <v>46161</v>
      </c>
      <c r="G7" s="8">
        <v>46161.584062499998</v>
      </c>
      <c r="H7" s="6"/>
      <c r="I7" s="6">
        <v>0</v>
      </c>
      <c r="J7" s="10">
        <v>131050</v>
      </c>
      <c r="K7" s="6">
        <v>24900</v>
      </c>
      <c r="L7" s="10"/>
      <c r="M7" s="6"/>
      <c r="N7" s="10">
        <v>155950</v>
      </c>
      <c r="O7" s="6"/>
      <c r="P7" s="6"/>
      <c r="Q7" s="6"/>
      <c r="R7" s="6"/>
      <c r="S7" s="6">
        <v>0</v>
      </c>
      <c r="T7" s="6"/>
      <c r="U7" s="6"/>
      <c r="V7" s="6"/>
      <c r="W7" s="6">
        <v>0</v>
      </c>
      <c r="X7" s="6"/>
      <c r="Y7" s="6"/>
      <c r="Z7" s="6"/>
    </row>
    <row r="8" spans="1:26" x14ac:dyDescent="0.3">
      <c r="A8" s="5"/>
      <c r="B8" s="6"/>
      <c r="C8" s="6"/>
      <c r="D8" s="6"/>
      <c r="E8" s="6"/>
      <c r="F8" s="7"/>
      <c r="G8" s="8"/>
      <c r="H8" s="6"/>
      <c r="I8" s="6"/>
      <c r="J8" s="10"/>
      <c r="K8" s="6"/>
      <c r="L8" s="10"/>
      <c r="M8" s="6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5"/>
      <c r="B9" s="6"/>
      <c r="C9" s="6"/>
      <c r="D9" s="6"/>
      <c r="E9" s="6"/>
      <c r="F9" s="7"/>
      <c r="G9" s="8"/>
      <c r="H9" s="6"/>
      <c r="I9" s="6"/>
      <c r="J9" s="10"/>
      <c r="K9" s="6"/>
      <c r="L9" s="10"/>
      <c r="M9" s="6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5"/>
      <c r="B10" s="6"/>
      <c r="C10" s="6"/>
      <c r="D10" s="6"/>
      <c r="E10" s="6"/>
      <c r="F10" s="7"/>
      <c r="G10" s="8"/>
      <c r="H10" s="6"/>
      <c r="I10" s="6"/>
      <c r="J10" s="10"/>
      <c r="K10" s="6"/>
      <c r="L10" s="10"/>
      <c r="M10" s="6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5"/>
      <c r="B11" s="6"/>
      <c r="C11" s="6"/>
      <c r="D11" s="6"/>
      <c r="E11" s="6"/>
      <c r="F11" s="7"/>
      <c r="G11" s="8"/>
      <c r="H11" s="6"/>
      <c r="I11" s="6"/>
      <c r="J11" s="10"/>
      <c r="K11" s="6"/>
      <c r="L11" s="10"/>
      <c r="M11" s="6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5"/>
      <c r="B12" s="6"/>
      <c r="C12" s="6"/>
      <c r="D12" s="6"/>
      <c r="E12" s="6"/>
      <c r="F12" s="7"/>
      <c r="G12" s="8"/>
      <c r="H12" s="6"/>
      <c r="I12" s="6"/>
      <c r="J12" s="10"/>
      <c r="K12" s="6"/>
      <c r="L12" s="10"/>
      <c r="M12" s="6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5"/>
      <c r="B13" s="6"/>
      <c r="C13" s="6"/>
      <c r="D13" s="6"/>
      <c r="E13" s="6"/>
      <c r="F13" s="7"/>
      <c r="G13" s="8"/>
      <c r="H13" s="6"/>
      <c r="I13" s="6"/>
      <c r="J13" s="10"/>
      <c r="K13" s="6"/>
      <c r="L13" s="10"/>
      <c r="M13" s="6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5"/>
      <c r="B14" s="6"/>
      <c r="C14" s="6"/>
      <c r="D14" s="6"/>
      <c r="E14" s="6"/>
      <c r="F14" s="7"/>
      <c r="G14" s="8"/>
      <c r="H14" s="6"/>
      <c r="I14" s="6"/>
      <c r="J14" s="10"/>
      <c r="K14" s="6"/>
      <c r="L14" s="10"/>
      <c r="M14" s="6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9" spans="1:14" ht="15" thickBot="1" x14ac:dyDescent="0.35"/>
    <row r="20" spans="1:14" s="12" customFormat="1" ht="18.600000000000001" thickBot="1" x14ac:dyDescent="0.35">
      <c r="A20" s="118" t="s">
        <v>31</v>
      </c>
      <c r="B20" s="119"/>
      <c r="C20" s="119"/>
      <c r="D20" s="119"/>
      <c r="E20" s="119"/>
      <c r="F20" s="119"/>
      <c r="G20" s="119"/>
      <c r="H20" s="119"/>
      <c r="I20" s="119"/>
      <c r="J20" s="13">
        <f>SUM(J2:J19)</f>
        <v>489210</v>
      </c>
      <c r="K20" s="13">
        <f>SUM(K2:K19)</f>
        <v>92949</v>
      </c>
      <c r="L20" s="13">
        <f>SUM(L2:L19)</f>
        <v>0</v>
      </c>
      <c r="M20" s="13"/>
      <c r="N20" s="14">
        <f>SUM(N2:N19)</f>
        <v>582159</v>
      </c>
    </row>
  </sheetData>
  <mergeCells count="1">
    <mergeCell ref="A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DETALLE 26</vt:lpstr>
      <vt:lpstr>ENERO 26</vt:lpstr>
      <vt:lpstr>FEBRERO 26</vt:lpstr>
      <vt:lpstr>MARZO 26</vt:lpstr>
      <vt:lpstr>ABRIL 26</vt:lpstr>
      <vt:lpstr>MAYO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Valencia Aguila</dc:creator>
  <cp:lastModifiedBy>Francisco Valencia</cp:lastModifiedBy>
  <dcterms:created xsi:type="dcterms:W3CDTF">2026-03-10T14:52:51Z</dcterms:created>
  <dcterms:modified xsi:type="dcterms:W3CDTF">2026-07-21T20:25:16Z</dcterms:modified>
</cp:coreProperties>
</file>