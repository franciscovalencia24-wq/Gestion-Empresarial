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f0372474b3f8e4/Documentos/PROYECTOS/BD SENIOR/"/>
    </mc:Choice>
  </mc:AlternateContent>
  <xr:revisionPtr revIDLastSave="2" documentId="8_{A0C36801-8E5E-44FC-B467-CA7EE83F2A02}" xr6:coauthVersionLast="47" xr6:coauthVersionMax="47" xr10:uidLastSave="{623F553E-492F-4E29-A879-51D787181F8B}"/>
  <bookViews>
    <workbookView xWindow="-108" yWindow="-108" windowWidth="23256" windowHeight="13896" activeTab="3" xr2:uid="{1CBAE30D-BC8D-46BE-A6F2-D7A7C3EB6EBD}"/>
  </bookViews>
  <sheets>
    <sheet name="RESUMEN" sheetId="6" r:id="rId1"/>
    <sheet name="FEBRERO 26" sheetId="1" r:id="rId2"/>
    <sheet name="MARZO 26" sheetId="2" r:id="rId3"/>
    <sheet name="ABRIL 26" sheetId="5" r:id="rId4"/>
    <sheet name="Hoja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J21" i="2"/>
  <c r="E21" i="2"/>
  <c r="F27" i="4"/>
  <c r="J27" i="4" s="1"/>
  <c r="N10" i="6"/>
  <c r="M10" i="6"/>
  <c r="L10" i="6"/>
  <c r="K10" i="6"/>
  <c r="J10" i="6"/>
  <c r="I10" i="6"/>
  <c r="H10" i="6"/>
  <c r="G10" i="6"/>
  <c r="F10" i="6"/>
  <c r="E10" i="6"/>
  <c r="D10" i="6"/>
  <c r="C10" i="6"/>
  <c r="N13" i="6"/>
  <c r="M13" i="6"/>
  <c r="L13" i="6"/>
  <c r="K13" i="6"/>
  <c r="J13" i="6"/>
  <c r="I13" i="6"/>
  <c r="H13" i="6"/>
  <c r="G13" i="6"/>
  <c r="F13" i="6"/>
  <c r="E13" i="6"/>
  <c r="C13" i="6"/>
  <c r="D13" i="6"/>
  <c r="O18" i="6" l="1"/>
  <c r="N18" i="6"/>
  <c r="M18" i="6"/>
  <c r="L18" i="6"/>
  <c r="K18" i="6"/>
  <c r="J18" i="6"/>
  <c r="I18" i="6"/>
  <c r="H18" i="6"/>
  <c r="G18" i="6"/>
  <c r="F18" i="6"/>
  <c r="E18" i="6"/>
  <c r="D18" i="6"/>
  <c r="O17" i="6"/>
  <c r="O19" i="6" s="1"/>
  <c r="N17" i="6"/>
  <c r="N19" i="6" s="1"/>
  <c r="M17" i="6"/>
  <c r="M19" i="6" s="1"/>
  <c r="L17" i="6"/>
  <c r="L19" i="6" s="1"/>
  <c r="K17" i="6"/>
  <c r="J17" i="6"/>
  <c r="I17" i="6"/>
  <c r="I19" i="6" s="1"/>
  <c r="H17" i="6"/>
  <c r="H19" i="6" s="1"/>
  <c r="G17" i="6"/>
  <c r="F17" i="6"/>
  <c r="E17" i="6"/>
  <c r="D17" i="6"/>
  <c r="D19" i="6" s="1"/>
  <c r="C18" i="6"/>
  <c r="C19" i="6" s="1"/>
  <c r="C17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D11" i="6"/>
  <c r="E11" i="6"/>
  <c r="F11" i="6"/>
  <c r="G11" i="6"/>
  <c r="H11" i="6"/>
  <c r="I11" i="6"/>
  <c r="J11" i="6"/>
  <c r="K11" i="6"/>
  <c r="L11" i="6"/>
  <c r="M11" i="6"/>
  <c r="N11" i="6"/>
  <c r="O11" i="6"/>
  <c r="C11" i="6"/>
  <c r="E14" i="5"/>
  <c r="E15" i="5"/>
  <c r="E16" i="5"/>
  <c r="E17" i="5"/>
  <c r="E18" i="5"/>
  <c r="E13" i="5"/>
  <c r="J11" i="5"/>
  <c r="J12" i="5"/>
  <c r="E11" i="5"/>
  <c r="E12" i="5"/>
  <c r="E19" i="6" l="1"/>
  <c r="F19" i="6"/>
  <c r="J19" i="6"/>
  <c r="G19" i="6"/>
  <c r="K19" i="6"/>
  <c r="E7" i="5" l="1"/>
  <c r="E6" i="5"/>
  <c r="J7" i="5"/>
  <c r="J5" i="5"/>
  <c r="E5" i="5"/>
  <c r="J10" i="5"/>
  <c r="E10" i="5"/>
  <c r="J9" i="5"/>
  <c r="E9" i="5"/>
  <c r="J8" i="5"/>
  <c r="D8" i="5"/>
  <c r="E8" i="5" s="1"/>
  <c r="J19" i="5"/>
  <c r="E19" i="5"/>
  <c r="C36" i="2"/>
  <c r="J11" i="2" l="1"/>
  <c r="C5" i="6"/>
  <c r="G5" i="6"/>
  <c r="H5" i="6"/>
  <c r="I5" i="6"/>
  <c r="J5" i="6"/>
  <c r="K5" i="6"/>
  <c r="L5" i="6"/>
  <c r="M5" i="6"/>
  <c r="N5" i="6"/>
  <c r="D4" i="6"/>
  <c r="D5" i="6" s="1"/>
  <c r="D3" i="6"/>
  <c r="C58" i="5"/>
  <c r="E57" i="5"/>
  <c r="D57" i="5"/>
  <c r="E56" i="5"/>
  <c r="D56" i="5"/>
  <c r="E55" i="5"/>
  <c r="D55" i="5"/>
  <c r="F55" i="5" s="1"/>
  <c r="E54" i="5"/>
  <c r="D54" i="5"/>
  <c r="E53" i="5"/>
  <c r="D53" i="5"/>
  <c r="D52" i="5"/>
  <c r="D51" i="5"/>
  <c r="D50" i="5"/>
  <c r="C40" i="5"/>
  <c r="E52" i="5" s="1"/>
  <c r="C39" i="5"/>
  <c r="E51" i="5" s="1"/>
  <c r="C38" i="5"/>
  <c r="C46" i="5" s="1"/>
  <c r="G28" i="5"/>
  <c r="E33" i="5" s="1"/>
  <c r="F4" i="6" s="1"/>
  <c r="D28" i="5"/>
  <c r="E32" i="5" s="1"/>
  <c r="F3" i="6" s="1"/>
  <c r="F5" i="6" s="1"/>
  <c r="J6" i="5"/>
  <c r="J20" i="2"/>
  <c r="J19" i="2"/>
  <c r="E17" i="2"/>
  <c r="E16" i="2"/>
  <c r="F51" i="5" l="1"/>
  <c r="J28" i="5"/>
  <c r="F33" i="5" s="1"/>
  <c r="J33" i="5" s="1"/>
  <c r="F56" i="5"/>
  <c r="F53" i="5"/>
  <c r="F52" i="5"/>
  <c r="E34" i="5"/>
  <c r="F54" i="5"/>
  <c r="E50" i="5"/>
  <c r="E58" i="5" s="1"/>
  <c r="D58" i="5"/>
  <c r="F57" i="5"/>
  <c r="E28" i="5"/>
  <c r="F32" i="5" s="1"/>
  <c r="J32" i="5" s="1"/>
  <c r="J34" i="5" s="1"/>
  <c r="J38" i="5" s="1"/>
  <c r="F34" i="5" l="1"/>
  <c r="F50" i="5"/>
  <c r="F58" i="5"/>
  <c r="C55" i="2"/>
  <c r="E54" i="2"/>
  <c r="D54" i="2"/>
  <c r="E53" i="2"/>
  <c r="D53" i="2"/>
  <c r="E52" i="2"/>
  <c r="D52" i="2"/>
  <c r="E51" i="2"/>
  <c r="D51" i="2"/>
  <c r="E50" i="2"/>
  <c r="D50" i="2"/>
  <c r="D49" i="2"/>
  <c r="D48" i="2"/>
  <c r="D47" i="2"/>
  <c r="C37" i="2"/>
  <c r="E49" i="2" s="1"/>
  <c r="E48" i="2"/>
  <c r="G25" i="2"/>
  <c r="E30" i="2" s="1"/>
  <c r="E4" i="6" s="1"/>
  <c r="E14" i="2"/>
  <c r="E13" i="2"/>
  <c r="E12" i="2"/>
  <c r="E11" i="2"/>
  <c r="E10" i="2"/>
  <c r="E9" i="2"/>
  <c r="E8" i="2"/>
  <c r="E7" i="2"/>
  <c r="E15" i="2"/>
  <c r="E6" i="2"/>
  <c r="J18" i="2"/>
  <c r="J5" i="2"/>
  <c r="E5" i="2"/>
  <c r="E49" i="1"/>
  <c r="D49" i="1"/>
  <c r="C49" i="1"/>
  <c r="D48" i="1"/>
  <c r="D47" i="1"/>
  <c r="D46" i="1"/>
  <c r="D44" i="1"/>
  <c r="D43" i="1"/>
  <c r="D42" i="1"/>
  <c r="D41" i="1"/>
  <c r="C37" i="1"/>
  <c r="C29" i="1"/>
  <c r="G25" i="1"/>
  <c r="F25" i="1"/>
  <c r="E25" i="1"/>
  <c r="G24" i="1"/>
  <c r="F24" i="1"/>
  <c r="E24" i="1"/>
  <c r="G23" i="1"/>
  <c r="F23" i="1"/>
  <c r="E23" i="1"/>
  <c r="J18" i="1"/>
  <c r="G18" i="1"/>
  <c r="E18" i="1"/>
  <c r="D18" i="1"/>
  <c r="J17" i="1"/>
  <c r="E17" i="1"/>
  <c r="J16" i="1"/>
  <c r="E16" i="1"/>
  <c r="J15" i="1"/>
  <c r="E15" i="1"/>
  <c r="J14" i="1"/>
  <c r="E14" i="1"/>
  <c r="J13" i="1"/>
  <c r="E13" i="1"/>
  <c r="J12" i="1"/>
  <c r="E12" i="1"/>
  <c r="J11" i="1"/>
  <c r="E11" i="1"/>
  <c r="J10" i="1"/>
  <c r="E10" i="1"/>
  <c r="J9" i="1"/>
  <c r="E9" i="1"/>
  <c r="J8" i="1"/>
  <c r="E8" i="1"/>
  <c r="J7" i="1"/>
  <c r="E7" i="1"/>
  <c r="J6" i="1"/>
  <c r="E6" i="1"/>
  <c r="J5" i="1"/>
  <c r="E5" i="1"/>
  <c r="F54" i="2" l="1"/>
  <c r="F50" i="2"/>
  <c r="O4" i="6"/>
  <c r="F51" i="2"/>
  <c r="F53" i="2"/>
  <c r="F49" i="2"/>
  <c r="F52" i="2"/>
  <c r="J25" i="2"/>
  <c r="F30" i="2" s="1"/>
  <c r="J30" i="2" s="1"/>
  <c r="D55" i="2"/>
  <c r="E25" i="2"/>
  <c r="F29" i="2" s="1"/>
  <c r="J29" i="2" s="1"/>
  <c r="D25" i="2"/>
  <c r="F48" i="2"/>
  <c r="E29" i="2" l="1"/>
  <c r="E3" i="6" s="1"/>
  <c r="C35" i="2"/>
  <c r="J31" i="2"/>
  <c r="G33" i="5"/>
  <c r="G30" i="2"/>
  <c r="E31" i="2"/>
  <c r="F31" i="2"/>
  <c r="E47" i="2" l="1"/>
  <c r="C43" i="2"/>
  <c r="O3" i="6"/>
  <c r="E5" i="6"/>
  <c r="G29" i="2" l="1"/>
  <c r="G31" i="2" s="1"/>
  <c r="G32" i="5"/>
  <c r="G34" i="5" s="1"/>
  <c r="O5" i="6"/>
  <c r="E55" i="2"/>
  <c r="F55" i="2" s="1"/>
  <c r="F47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<sst xmlns="http://schemas.openxmlformats.org/spreadsheetml/2006/main" count="486" uniqueCount="185">
  <si>
    <t>RUT</t>
  </si>
  <si>
    <t>NOMBRE</t>
  </si>
  <si>
    <t>RG</t>
  </si>
  <si>
    <t>PREVISIONAL</t>
  </si>
  <si>
    <t>FECHA</t>
  </si>
  <si>
    <t>FFMM</t>
  </si>
  <si>
    <t>UP FRONT</t>
  </si>
  <si>
    <t>APV-B</t>
  </si>
  <si>
    <t>APV-A</t>
  </si>
  <si>
    <t>DC</t>
  </si>
  <si>
    <t>9448035-3</t>
  </si>
  <si>
    <t>Maria Soledad Palleres Ulloa</t>
  </si>
  <si>
    <t>8789145-3</t>
  </si>
  <si>
    <t>Erick Alejandro Madrid Izquierdo</t>
  </si>
  <si>
    <t>9697981-9</t>
  </si>
  <si>
    <t>Loreto Grossi Galeb</t>
  </si>
  <si>
    <t>11400557-6</t>
  </si>
  <si>
    <t>Claudia Patricia Enriquez Garcia</t>
  </si>
  <si>
    <t>19837527-6</t>
  </si>
  <si>
    <t>Luis David Troncoso Enriquez</t>
  </si>
  <si>
    <t>76107236-6</t>
  </si>
  <si>
    <t>Inversiones Canto Del Agua Ltda.</t>
  </si>
  <si>
    <t>14283516-9</t>
  </si>
  <si>
    <t>Luis Javier Escobar Andrade</t>
  </si>
  <si>
    <t>10123952-7</t>
  </si>
  <si>
    <t>Eric Hugo Mancilla Reygadas</t>
  </si>
  <si>
    <t>8904562-2</t>
  </si>
  <si>
    <t>Maria Del Pilar Iduya Ortiz De Luzuriaga</t>
  </si>
  <si>
    <t>21515724-5</t>
  </si>
  <si>
    <t>Nicolás Alejandro Troncoso Enriquez</t>
  </si>
  <si>
    <t xml:space="preserve"> FEBRERO 2026</t>
  </si>
  <si>
    <t>REGIMEN</t>
  </si>
  <si>
    <t>TOTAL AUM</t>
  </si>
  <si>
    <t>TRAILER FEE</t>
  </si>
  <si>
    <t>TOTAL</t>
  </si>
  <si>
    <t>Mes</t>
  </si>
  <si>
    <t>Hasta</t>
  </si>
  <si>
    <t>% Trailer Retail</t>
  </si>
  <si>
    <t>% Trailer APV</t>
  </si>
  <si>
    <t>1 al 24</t>
  </si>
  <si>
    <t>40%*</t>
  </si>
  <si>
    <t>25 &gt;</t>
  </si>
  <si>
    <t>40.000 &gt;</t>
  </si>
  <si>
    <t>76717295-8</t>
  </si>
  <si>
    <t>INVERSIONES PILIDUX SPA</t>
  </si>
  <si>
    <t>7012917-5</t>
  </si>
  <si>
    <t>Gonzalo Alberto Bremer Gomez</t>
  </si>
  <si>
    <t>7798092-K</t>
  </si>
  <si>
    <t>Luciana Patricia Martínez Fernández</t>
  </si>
  <si>
    <t>77818160-6</t>
  </si>
  <si>
    <t>Afg Servicios Spa</t>
  </si>
  <si>
    <t>20107864-4</t>
  </si>
  <si>
    <t>Bastián Andrés Troncoso Enriquez</t>
  </si>
  <si>
    <t>10675057-2</t>
  </si>
  <si>
    <t>Mauricio Alejandro Aguilera Pasten</t>
  </si>
  <si>
    <t>9632135-K</t>
  </si>
  <si>
    <t>Oscar Marcelo Begliomini Saintloup</t>
  </si>
  <si>
    <t>76451622-2</t>
  </si>
  <si>
    <t>Xpertime Ingenieria Spa</t>
  </si>
  <si>
    <t>6560742-5</t>
  </si>
  <si>
    <t>Carlos Alberto Bostelmann Muñoz</t>
  </si>
  <si>
    <t>8350143-K</t>
  </si>
  <si>
    <t>Mauricio Enrique Méndez Mardones</t>
  </si>
  <si>
    <t>8757376-1</t>
  </si>
  <si>
    <t>Juan Carlos Lucero Larenas</t>
  </si>
  <si>
    <t>76352809-K</t>
  </si>
  <si>
    <t>Asesorías Intraholding Anduril SPA</t>
  </si>
  <si>
    <t>6298500-3</t>
  </si>
  <si>
    <t>Nelson Orlando Moraga Benavides</t>
  </si>
  <si>
    <t>Revisión de estrategias y apoyo para el Pipeline que puedas necesitar, estrategias a desarrollar y eventos u otros que quieras organizar para apoyarte.</t>
  </si>
  <si>
    <t>CIERRE MES:</t>
  </si>
  <si>
    <t>REGIMEN GENERAL:</t>
  </si>
  <si>
    <t>REGIMEN PREVISIONAL:</t>
  </si>
  <si>
    <t>NUEVOS CLIENTES:</t>
  </si>
  <si>
    <t>ALLFUNDS:</t>
  </si>
  <si>
    <t>STONEX</t>
  </si>
  <si>
    <t>F.I.</t>
  </si>
  <si>
    <t>ACUMULADO TRIMESTRE:</t>
  </si>
  <si>
    <t>PIPELINE POR PRODUCTO</t>
  </si>
  <si>
    <t>$</t>
  </si>
  <si>
    <t>CANT. CLIENTES</t>
  </si>
  <si>
    <t>SEGUROS (RG):</t>
  </si>
  <si>
    <t>SEGUROS (PREVISIONAL):</t>
  </si>
  <si>
    <t>ENERO</t>
  </si>
  <si>
    <t>FEBRERO</t>
  </si>
  <si>
    <t>MARZO</t>
  </si>
  <si>
    <t xml:space="preserve"> MARZO 2026</t>
  </si>
  <si>
    <t>T1 2026</t>
  </si>
  <si>
    <t>Marcelo Alejandro Martinez Proboste</t>
  </si>
  <si>
    <t>7330058-4</t>
  </si>
  <si>
    <t xml:space="preserve"> ABRIL 2026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</si>
  <si>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</si>
  <si>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</si>
  <si>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</si>
  <si>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</si>
  <si>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</si>
  <si>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</si>
  <si>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</si>
  <si>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</si>
  <si>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</si>
  <si>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SIN FORMULA</t>
  </si>
  <si>
    <t>TOTAL NETO</t>
  </si>
  <si>
    <t>8398104-0</t>
  </si>
  <si>
    <t>Rosendo Antenor Tirado Arcos</t>
  </si>
  <si>
    <t>6111512-9</t>
  </si>
  <si>
    <t>Lilian Del Carmen Urrutia Romero</t>
  </si>
  <si>
    <t>76698211-5</t>
  </si>
  <si>
    <t>Ceg Spa</t>
  </si>
  <si>
    <t>FACTURACIÓN</t>
  </si>
  <si>
    <t>NETO</t>
  </si>
  <si>
    <t>IVA</t>
  </si>
  <si>
    <t>BRUTO</t>
  </si>
  <si>
    <t>7299521-K</t>
  </si>
  <si>
    <t>Alfredo Antonio Fuentes Hernández</t>
  </si>
  <si>
    <t>INVERSIONES CANTO DEL AGUA LTDA</t>
  </si>
  <si>
    <t>adcmineria@gmail.com</t>
  </si>
  <si>
    <t>FM</t>
  </si>
  <si>
    <t>Perfil Muy Arriesgado</t>
  </si>
  <si>
    <t>27/03/2026, 05:18</t>
  </si>
  <si>
    <t>LORETO VIVIANA GROSSI</t>
  </si>
  <si>
    <t>loretogrossi@gmail.com</t>
  </si>
  <si>
    <t>APV, FM, ULAPV, ULIP</t>
  </si>
  <si>
    <t>Perfil Balanceado</t>
  </si>
  <si>
    <t>High Affluent</t>
  </si>
  <si>
    <t>27/03/2026, 05:17</t>
  </si>
  <si>
    <t>MARIA DEL PILAR IDUYA</t>
  </si>
  <si>
    <t>pilar.iduya@gmail.com</t>
  </si>
  <si>
    <t>Perfil Arriesgado</t>
  </si>
  <si>
    <t>Vacío</t>
  </si>
  <si>
    <t>27/03/2026, 05:23</t>
  </si>
  <si>
    <t>NELSON ORLANDO MORAGA</t>
  </si>
  <si>
    <t>nmoraga@userena.cl</t>
  </si>
  <si>
    <t>APV, FM</t>
  </si>
  <si>
    <t>Sin Segmento</t>
  </si>
  <si>
    <t>27/03/2026, 09:13</t>
  </si>
  <si>
    <t>8350143-k</t>
  </si>
  <si>
    <t>MAURICIO ENRIQUE MENDEZ</t>
  </si>
  <si>
    <t>mauricio.mendez.m@gmail.com</t>
  </si>
  <si>
    <t>APV, FM, ULIP</t>
  </si>
  <si>
    <t>Mass Affluent</t>
  </si>
  <si>
    <t>27/03/2026, 05:22</t>
  </si>
  <si>
    <t>LUIS JAVIER ESCOBAR</t>
  </si>
  <si>
    <t>javiere712@gmail.com</t>
  </si>
  <si>
    <t>Affluent</t>
  </si>
  <si>
    <t>27/03/2026, 05:21</t>
  </si>
  <si>
    <t>ERIC MANCILLA</t>
  </si>
  <si>
    <t>emancilla.r@gmail.com</t>
  </si>
  <si>
    <t>CCV, CAV, FM, APV</t>
  </si>
  <si>
    <t>27/03/2026, 09:22</t>
  </si>
  <si>
    <t>MAURICIO ALEJANDRO AGUILERA</t>
  </si>
  <si>
    <t>mauricio0069@gmail.com</t>
  </si>
  <si>
    <t>27/03/2026, 05:25</t>
  </si>
  <si>
    <t>ASESORÍAS INTRAHOLDING ANDURIL SPA</t>
  </si>
  <si>
    <t>alejandro.molina@luval.cl</t>
  </si>
  <si>
    <t>27/03/2026, 05:19</t>
  </si>
  <si>
    <t>ERICK ALEJANDRO MADRID</t>
  </si>
  <si>
    <t>erickalejandromi@gmail.com</t>
  </si>
  <si>
    <t>Emerging Affluent</t>
  </si>
  <si>
    <t>27/03/2026, 09:23</t>
  </si>
  <si>
    <t>CARLOS ALBERTO BOSTELMANN</t>
  </si>
  <si>
    <t>carlosbostelm@gmail.com</t>
  </si>
  <si>
    <t>APV, FM, UL</t>
  </si>
  <si>
    <t>MARIA SOLEDAD PALLERES</t>
  </si>
  <si>
    <t>OSCAR MARCELO BEGLIOMINI</t>
  </si>
  <si>
    <t>mbegly@outlook.cl</t>
  </si>
  <si>
    <t>CLAUDIA PATRICIA ENRIQUEZ</t>
  </si>
  <si>
    <t>cenriquezg@gmail.com</t>
  </si>
  <si>
    <t>JUAN CARLOS LUCERO</t>
  </si>
  <si>
    <t>juanclucero@dyg.cl</t>
  </si>
  <si>
    <t>APV</t>
  </si>
  <si>
    <t>BASTIAN ANDRES TRONCOSO</t>
  </si>
  <si>
    <t>03lubani@gmail.com</t>
  </si>
  <si>
    <t>Perfil Conservador</t>
  </si>
  <si>
    <t>NICOLAS ALEJANDRO TRONCOSO</t>
  </si>
  <si>
    <t>Nuevo-Cliente</t>
  </si>
  <si>
    <t>LUIS DAVID TRONCOSO</t>
  </si>
  <si>
    <t>15884242-4</t>
  </si>
  <si>
    <t>FRANCISCO JAVIER VALENCIA</t>
  </si>
  <si>
    <t>francisco.valencia24@gmail.com</t>
  </si>
  <si>
    <t>GONZALO BREMER</t>
  </si>
  <si>
    <t>gbremer@aybconsultores.net</t>
  </si>
  <si>
    <t>6430735-5</t>
  </si>
  <si>
    <t>Marco Antonio Campomanes Monserrat</t>
  </si>
  <si>
    <t>10034620-6</t>
  </si>
  <si>
    <t>Paola Riveri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</si>
</sst>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 &quot;$&quot;* #,##0_ ;_ &quot;$&quot;* \-#,##0_ ;_ &quot;$&quot;* &quot;-&quot;??_ ;_ @_ 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sz val="11"/>
      <name val="Aptos Narrow"/>
      <family val="2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</font>
    <font>
      <b/>
      <sz val="12"/>
      <color theme="0"/>
      <name val="Aptos Narrow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181818"/>
      <name val="Segoe UI"/>
      <family val="2"/>
    </font>
    <font>
      <sz val="7"/>
      <color rgb="FF444444"/>
      <name val="Segoe U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C9C9C9"/>
      </top>
      <bottom/>
      <diagonal/>
    </border>
    <border>
      <left/>
      <right/>
      <top style="medium">
        <color rgb="FFC9C9C9"/>
      </top>
      <bottom style="medium">
        <color rgb="FFC9C9C9"/>
      </bottom>
      <diagonal/>
    </border>
    <border>
      <left/>
      <right/>
      <top/>
      <bottom style="medium">
        <color rgb="FFC9C9C9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02">
    <xf numFmtId="0" fontId="0" fillId="0" borderId="0" xfId="0"/>
    <xf numFmtId="0" fontId="4" fillId="2" borderId="10" xfId="0" applyFont="1" applyFill="1" applyBorder="1" applyAlignment="1">
      <alignment horizontal="center" vertical="center"/>
    </xf>
    <xf numFmtId="10" fontId="4" fillId="2" borderId="16" xfId="0" applyNumberFormat="1" applyFont="1" applyFill="1" applyBorder="1" applyAlignment="1">
      <alignment horizontal="center" vertical="center"/>
    </xf>
    <xf numFmtId="42" fontId="4" fillId="2" borderId="17" xfId="1" applyFont="1" applyFill="1" applyBorder="1" applyAlignment="1">
      <alignment horizontal="center" vertical="center"/>
    </xf>
    <xf numFmtId="10" fontId="4" fillId="2" borderId="16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4" fontId="0" fillId="3" borderId="1" xfId="1" applyNumberFormat="1" applyFont="1" applyFill="1" applyBorder="1" applyAlignment="1">
      <alignment horizontal="center" vertical="center"/>
    </xf>
    <xf numFmtId="42" fontId="0" fillId="3" borderId="18" xfId="1" applyFont="1" applyFill="1" applyBorder="1" applyAlignment="1">
      <alignment vertical="center"/>
    </xf>
    <xf numFmtId="42" fontId="0" fillId="0" borderId="18" xfId="1" applyFont="1" applyBorder="1" applyAlignment="1">
      <alignment vertical="center"/>
    </xf>
    <xf numFmtId="42" fontId="0" fillId="3" borderId="19" xfId="1" applyFont="1" applyFill="1" applyBorder="1" applyAlignment="1">
      <alignment vertical="center"/>
    </xf>
    <xf numFmtId="14" fontId="0" fillId="0" borderId="1" xfId="1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14" fontId="0" fillId="3" borderId="6" xfId="1" applyNumberFormat="1" applyFont="1" applyFill="1" applyBorder="1" applyAlignment="1">
      <alignment horizontal="center" vertical="center"/>
    </xf>
    <xf numFmtId="42" fontId="0" fillId="3" borderId="11" xfId="1" applyFont="1" applyFill="1" applyBorder="1" applyAlignment="1">
      <alignment vertical="center"/>
    </xf>
    <xf numFmtId="42" fontId="0" fillId="0" borderId="11" xfId="1" applyFont="1" applyBorder="1" applyAlignment="1">
      <alignment vertical="center"/>
    </xf>
    <xf numFmtId="42" fontId="0" fillId="3" borderId="10" xfId="1" applyFont="1" applyFill="1" applyBorder="1" applyAlignment="1">
      <alignment vertical="center"/>
    </xf>
    <xf numFmtId="14" fontId="0" fillId="0" borderId="6" xfId="1" applyNumberFormat="1" applyFont="1" applyBorder="1" applyAlignment="1">
      <alignment horizontal="center" vertical="center"/>
    </xf>
    <xf numFmtId="42" fontId="0" fillId="0" borderId="11" xfId="1" applyFont="1" applyFill="1" applyBorder="1" applyAlignment="1">
      <alignment vertical="center"/>
    </xf>
    <xf numFmtId="42" fontId="0" fillId="0" borderId="10" xfId="1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14" fontId="0" fillId="0" borderId="6" xfId="1" applyNumberFormat="1" applyFont="1" applyFill="1" applyBorder="1" applyAlignment="1">
      <alignment horizontal="center" vertical="center"/>
    </xf>
    <xf numFmtId="42" fontId="0" fillId="0" borderId="10" xfId="1" applyFont="1" applyFill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14" fontId="0" fillId="3" borderId="12" xfId="1" applyNumberFormat="1" applyFont="1" applyFill="1" applyBorder="1" applyAlignment="1">
      <alignment horizontal="center" vertical="center"/>
    </xf>
    <xf numFmtId="42" fontId="0" fillId="3" borderId="17" xfId="1" applyFont="1" applyFill="1" applyBorder="1" applyAlignment="1">
      <alignment vertical="center"/>
    </xf>
    <xf numFmtId="42" fontId="0" fillId="0" borderId="17" xfId="1" applyFont="1" applyBorder="1" applyAlignment="1">
      <alignment vertical="center"/>
    </xf>
    <xf numFmtId="42" fontId="0" fillId="3" borderId="16" xfId="1" applyFont="1" applyFill="1" applyBorder="1" applyAlignment="1">
      <alignment vertical="center"/>
    </xf>
    <xf numFmtId="14" fontId="0" fillId="0" borderId="12" xfId="1" applyNumberFormat="1" applyFont="1" applyBorder="1" applyAlignment="1">
      <alignment horizontal="center" vertical="center"/>
    </xf>
    <xf numFmtId="42" fontId="0" fillId="0" borderId="16" xfId="1" applyFont="1" applyBorder="1" applyAlignment="1">
      <alignment vertical="center"/>
    </xf>
    <xf numFmtId="42" fontId="4" fillId="2" borderId="11" xfId="1" applyFont="1" applyFill="1" applyBorder="1" applyAlignment="1">
      <alignment horizontal="center" vertical="center"/>
    </xf>
    <xf numFmtId="10" fontId="4" fillId="2" borderId="11" xfId="0" applyNumberFormat="1" applyFont="1" applyFill="1" applyBorder="1" applyAlignment="1">
      <alignment horizontal="center" vertical="center"/>
    </xf>
    <xf numFmtId="42" fontId="7" fillId="0" borderId="11" xfId="1" applyFont="1" applyBorder="1" applyAlignment="1">
      <alignment vertical="center"/>
    </xf>
    <xf numFmtId="42" fontId="0" fillId="0" borderId="11" xfId="0" applyNumberFormat="1" applyBorder="1" applyAlignment="1">
      <alignment vertical="center"/>
    </xf>
    <xf numFmtId="164" fontId="0" fillId="0" borderId="11" xfId="0" applyNumberFormat="1" applyBorder="1" applyAlignment="1">
      <alignment vertical="center"/>
    </xf>
    <xf numFmtId="42" fontId="8" fillId="2" borderId="11" xfId="1" applyFont="1" applyFill="1" applyBorder="1" applyAlignment="1">
      <alignment vertical="center"/>
    </xf>
    <xf numFmtId="0" fontId="7" fillId="0" borderId="23" xfId="0" applyFont="1" applyBorder="1" applyAlignment="1">
      <alignment horizontal="right" vertical="center"/>
    </xf>
    <xf numFmtId="0" fontId="9" fillId="2" borderId="11" xfId="0" applyFont="1" applyFill="1" applyBorder="1" applyAlignment="1">
      <alignment horizontal="center" vertical="center" wrapText="1"/>
    </xf>
    <xf numFmtId="3" fontId="10" fillId="0" borderId="11" xfId="0" applyNumberFormat="1" applyFont="1" applyBorder="1" applyAlignment="1">
      <alignment horizontal="center" vertical="center" wrapText="1"/>
    </xf>
    <xf numFmtId="9" fontId="10" fillId="0" borderId="11" xfId="0" applyNumberFormat="1" applyFont="1" applyBorder="1" applyAlignment="1">
      <alignment horizontal="center" vertical="center" wrapText="1"/>
    </xf>
    <xf numFmtId="3" fontId="10" fillId="3" borderId="11" xfId="0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24" xfId="0" applyFont="1" applyBorder="1" applyAlignment="1">
      <alignment vertical="center"/>
    </xf>
    <xf numFmtId="42" fontId="3" fillId="0" borderId="24" xfId="0" applyNumberFormat="1" applyFont="1" applyBorder="1" applyAlignment="1">
      <alignment vertical="center"/>
    </xf>
    <xf numFmtId="42" fontId="3" fillId="0" borderId="25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26" xfId="0" applyFont="1" applyBorder="1" applyAlignment="1">
      <alignment horizontal="right" vertical="center"/>
    </xf>
    <xf numFmtId="0" fontId="5" fillId="0" borderId="27" xfId="0" applyFont="1" applyBorder="1" applyAlignment="1">
      <alignment vertical="center"/>
    </xf>
    <xf numFmtId="14" fontId="0" fillId="3" borderId="26" xfId="1" applyNumberFormat="1" applyFont="1" applyFill="1" applyBorder="1" applyAlignment="1">
      <alignment horizontal="center" vertical="center"/>
    </xf>
    <xf numFmtId="42" fontId="0" fillId="3" borderId="21" xfId="1" applyFont="1" applyFill="1" applyBorder="1" applyAlignment="1">
      <alignment vertical="center"/>
    </xf>
    <xf numFmtId="42" fontId="0" fillId="0" borderId="21" xfId="1" applyFont="1" applyBorder="1" applyAlignment="1">
      <alignment vertical="center"/>
    </xf>
    <xf numFmtId="42" fontId="0" fillId="0" borderId="28" xfId="1" applyFont="1" applyFill="1" applyBorder="1" applyAlignment="1">
      <alignment vertical="center"/>
    </xf>
    <xf numFmtId="14" fontId="0" fillId="0" borderId="26" xfId="1" applyNumberFormat="1" applyFont="1" applyBorder="1" applyAlignment="1">
      <alignment horizontal="center" vertical="center"/>
    </xf>
    <xf numFmtId="42" fontId="0" fillId="0" borderId="28" xfId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0" xfId="1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0" xfId="0" applyBorder="1" applyAlignment="1">
      <alignment vertical="center"/>
    </xf>
    <xf numFmtId="0" fontId="2" fillId="2" borderId="22" xfId="0" applyFont="1" applyFill="1" applyBorder="1" applyAlignment="1">
      <alignment horizontal="center" vertical="center"/>
    </xf>
    <xf numFmtId="42" fontId="0" fillId="0" borderId="34" xfId="0" applyNumberFormat="1" applyBorder="1" applyAlignment="1">
      <alignment vertical="center"/>
    </xf>
    <xf numFmtId="42" fontId="0" fillId="0" borderId="34" xfId="1" applyFont="1" applyBorder="1" applyAlignment="1">
      <alignment vertical="center"/>
    </xf>
    <xf numFmtId="42" fontId="0" fillId="0" borderId="35" xfId="1" applyFont="1" applyBorder="1" applyAlignment="1">
      <alignment vertical="center"/>
    </xf>
    <xf numFmtId="42" fontId="2" fillId="2" borderId="22" xfId="0" applyNumberFormat="1" applyFont="1" applyFill="1" applyBorder="1" applyAlignment="1">
      <alignment horizontal="center" vertical="center"/>
    </xf>
    <xf numFmtId="42" fontId="0" fillId="0" borderId="30" xfId="0" applyNumberForma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42" fontId="0" fillId="3" borderId="28" xfId="1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42" fontId="0" fillId="0" borderId="0" xfId="1" applyFont="1" applyAlignment="1">
      <alignment vertical="center"/>
    </xf>
    <xf numFmtId="0" fontId="2" fillId="2" borderId="11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2" fontId="4" fillId="2" borderId="19" xfId="1" applyFont="1" applyFill="1" applyBorder="1" applyAlignment="1">
      <alignment horizontal="center" vertical="center"/>
    </xf>
    <xf numFmtId="10" fontId="4" fillId="2" borderId="10" xfId="0" applyNumberFormat="1" applyFont="1" applyFill="1" applyBorder="1" applyAlignment="1">
      <alignment horizontal="center" vertical="center"/>
    </xf>
    <xf numFmtId="42" fontId="7" fillId="0" borderId="6" xfId="1" applyFon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42" fontId="8" fillId="2" borderId="12" xfId="1" applyFont="1" applyFill="1" applyBorder="1" applyAlignment="1">
      <alignment vertical="center"/>
    </xf>
    <xf numFmtId="42" fontId="8" fillId="2" borderId="17" xfId="1" applyFont="1" applyFill="1" applyBorder="1" applyAlignment="1">
      <alignment vertical="center"/>
    </xf>
    <xf numFmtId="42" fontId="8" fillId="2" borderId="16" xfId="1" applyFont="1" applyFill="1" applyBorder="1" applyAlignment="1">
      <alignment vertical="center"/>
    </xf>
    <xf numFmtId="164" fontId="0" fillId="0" borderId="6" xfId="0" applyNumberFormat="1" applyBorder="1" applyAlignment="1">
      <alignment vertical="center"/>
    </xf>
    <xf numFmtId="42" fontId="3" fillId="0" borderId="0" xfId="1" applyFont="1" applyAlignment="1">
      <alignment vertical="center"/>
    </xf>
    <xf numFmtId="0" fontId="2" fillId="2" borderId="7" xfId="0" applyFont="1" applyFill="1" applyBorder="1" applyAlignment="1">
      <alignment vertical="center"/>
    </xf>
    <xf numFmtId="42" fontId="0" fillId="0" borderId="9" xfId="1" applyFont="1" applyBorder="1" applyAlignment="1">
      <alignment vertical="center"/>
    </xf>
    <xf numFmtId="42" fontId="3" fillId="0" borderId="23" xfId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42" fontId="3" fillId="0" borderId="38" xfId="0" applyNumberFormat="1" applyFont="1" applyBorder="1" applyAlignment="1">
      <alignment vertical="center"/>
    </xf>
    <xf numFmtId="42" fontId="3" fillId="0" borderId="39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2" fontId="0" fillId="0" borderId="7" xfId="1" applyFont="1" applyBorder="1" applyAlignment="1">
      <alignment vertical="center"/>
    </xf>
    <xf numFmtId="0" fontId="2" fillId="2" borderId="41" xfId="0" applyFont="1" applyFill="1" applyBorder="1" applyAlignment="1">
      <alignment horizontal="center" vertical="center"/>
    </xf>
    <xf numFmtId="42" fontId="0" fillId="0" borderId="42" xfId="1" applyFont="1" applyBorder="1" applyAlignment="1">
      <alignment vertical="center"/>
    </xf>
    <xf numFmtId="42" fontId="0" fillId="0" borderId="43" xfId="1" applyFont="1" applyBorder="1" applyAlignment="1">
      <alignment vertical="center"/>
    </xf>
    <xf numFmtId="42" fontId="3" fillId="0" borderId="22" xfId="0" applyNumberFormat="1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vertical="center"/>
    </xf>
    <xf numFmtId="0" fontId="2" fillId="2" borderId="45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42" fontId="0" fillId="0" borderId="6" xfId="1" applyFont="1" applyBorder="1" applyAlignment="1">
      <alignment vertical="center"/>
    </xf>
    <xf numFmtId="42" fontId="0" fillId="0" borderId="12" xfId="1" applyFont="1" applyBorder="1" applyAlignment="1">
      <alignment vertical="center"/>
    </xf>
    <xf numFmtId="42" fontId="3" fillId="0" borderId="23" xfId="0" applyNumberFormat="1" applyFont="1" applyBorder="1" applyAlignment="1">
      <alignment vertical="center"/>
    </xf>
    <xf numFmtId="42" fontId="3" fillId="0" borderId="38" xfId="1" applyFont="1" applyBorder="1" applyAlignment="1">
      <alignment vertical="center"/>
    </xf>
    <xf numFmtId="42" fontId="13" fillId="0" borderId="11" xfId="1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2" borderId="7" xfId="0" applyFont="1" applyFill="1" applyBorder="1" applyAlignment="1">
      <alignment vertical="center"/>
    </xf>
    <xf numFmtId="42" fontId="13" fillId="0" borderId="1" xfId="1" applyFont="1" applyBorder="1" applyAlignment="1">
      <alignment vertical="center"/>
    </xf>
    <xf numFmtId="42" fontId="13" fillId="0" borderId="18" xfId="1" applyFont="1" applyBorder="1" applyAlignment="1">
      <alignment vertical="center"/>
    </xf>
    <xf numFmtId="42" fontId="13" fillId="0" borderId="6" xfId="1" applyFont="1" applyBorder="1" applyAlignment="1">
      <alignment vertical="center"/>
    </xf>
    <xf numFmtId="42" fontId="13" fillId="0" borderId="12" xfId="1" applyFont="1" applyBorder="1" applyAlignment="1">
      <alignment vertical="center"/>
    </xf>
    <xf numFmtId="42" fontId="13" fillId="0" borderId="17" xfId="1" applyFont="1" applyBorder="1" applyAlignment="1">
      <alignment vertical="center"/>
    </xf>
    <xf numFmtId="42" fontId="13" fillId="0" borderId="2" xfId="1" applyFont="1" applyBorder="1" applyAlignment="1">
      <alignment vertical="center"/>
    </xf>
    <xf numFmtId="42" fontId="13" fillId="0" borderId="7" xfId="1" applyFont="1" applyBorder="1" applyAlignment="1">
      <alignment vertical="center"/>
    </xf>
    <xf numFmtId="42" fontId="13" fillId="0" borderId="13" xfId="1" applyFont="1" applyBorder="1" applyAlignment="1">
      <alignment vertical="center"/>
    </xf>
    <xf numFmtId="42" fontId="13" fillId="0" borderId="41" xfId="1" applyFont="1" applyBorder="1" applyAlignment="1">
      <alignment vertical="center"/>
    </xf>
    <xf numFmtId="42" fontId="13" fillId="0" borderId="42" xfId="1" applyFont="1" applyBorder="1" applyAlignment="1">
      <alignment vertical="center"/>
    </xf>
    <xf numFmtId="42" fontId="13" fillId="0" borderId="43" xfId="1" applyFont="1" applyBorder="1" applyAlignment="1">
      <alignment vertical="center"/>
    </xf>
    <xf numFmtId="42" fontId="0" fillId="0" borderId="46" xfId="1" applyFont="1" applyBorder="1" applyAlignment="1">
      <alignment vertical="center"/>
    </xf>
    <xf numFmtId="42" fontId="3" fillId="0" borderId="40" xfId="1" applyFont="1" applyBorder="1" applyAlignment="1">
      <alignment vertical="center"/>
    </xf>
    <xf numFmtId="42" fontId="0" fillId="0" borderId="27" xfId="1" applyFont="1" applyBorder="1" applyAlignment="1">
      <alignment vertical="center"/>
    </xf>
    <xf numFmtId="42" fontId="3" fillId="0" borderId="22" xfId="1" applyFont="1" applyBorder="1" applyAlignment="1">
      <alignment vertical="center"/>
    </xf>
    <xf numFmtId="42" fontId="3" fillId="0" borderId="42" xfId="1" applyFont="1" applyBorder="1" applyAlignment="1">
      <alignment vertical="center"/>
    </xf>
    <xf numFmtId="42" fontId="3" fillId="0" borderId="47" xfId="1" applyFont="1" applyBorder="1" applyAlignment="1">
      <alignment vertical="center"/>
    </xf>
    <xf numFmtId="42" fontId="3" fillId="0" borderId="48" xfId="1" applyFont="1" applyBorder="1" applyAlignment="1">
      <alignment vertical="center"/>
    </xf>
    <xf numFmtId="0" fontId="14" fillId="4" borderId="0" xfId="0" applyFont="1" applyFill="1" applyAlignment="1">
      <alignment horizontal="left" vertical="center"/>
    </xf>
    <xf numFmtId="0" fontId="16" fillId="4" borderId="0" xfId="2" applyFill="1" applyAlignment="1">
      <alignment horizontal="left" vertical="center"/>
    </xf>
    <xf numFmtId="0" fontId="14" fillId="4" borderId="49" xfId="0" applyFont="1" applyFill="1" applyBorder="1" applyAlignment="1">
      <alignment horizontal="left" vertical="center"/>
    </xf>
    <xf numFmtId="0" fontId="15" fillId="4" borderId="49" xfId="0" applyFont="1" applyFill="1" applyBorder="1" applyAlignment="1">
      <alignment horizontal="left" vertical="center"/>
    </xf>
    <xf numFmtId="0" fontId="16" fillId="4" borderId="49" xfId="2" applyFill="1" applyBorder="1" applyAlignment="1">
      <alignment horizontal="left" vertical="center"/>
    </xf>
    <xf numFmtId="0" fontId="14" fillId="5" borderId="49" xfId="0" applyFont="1" applyFill="1" applyBorder="1" applyAlignment="1">
      <alignment horizontal="left" vertical="center"/>
    </xf>
    <xf numFmtId="0" fontId="15" fillId="5" borderId="49" xfId="0" applyFont="1" applyFill="1" applyBorder="1" applyAlignment="1">
      <alignment horizontal="left" vertical="center"/>
    </xf>
    <xf numFmtId="0" fontId="16" fillId="5" borderId="49" xfId="2" applyFill="1" applyBorder="1" applyAlignment="1">
      <alignment horizontal="left" vertical="center"/>
    </xf>
    <xf numFmtId="0" fontId="15" fillId="4" borderId="50" xfId="0" applyFont="1" applyFill="1" applyBorder="1" applyAlignment="1">
      <alignment horizontal="left" vertical="center"/>
    </xf>
    <xf numFmtId="0" fontId="14" fillId="4" borderId="50" xfId="0" applyFont="1" applyFill="1" applyBorder="1" applyAlignment="1">
      <alignment horizontal="left" vertical="center"/>
    </xf>
    <xf numFmtId="0" fontId="16" fillId="4" borderId="50" xfId="2" applyFill="1" applyBorder="1" applyAlignment="1">
      <alignment horizontal="left" vertical="center"/>
    </xf>
    <xf numFmtId="0" fontId="0" fillId="4" borderId="51" xfId="0" applyFill="1" applyBorder="1"/>
    <xf numFmtId="42" fontId="14" fillId="4" borderId="0" xfId="1" applyFont="1" applyFill="1" applyAlignment="1">
      <alignment horizontal="left" vertical="center"/>
    </xf>
    <xf numFmtId="42" fontId="14" fillId="4" borderId="49" xfId="1" applyFont="1" applyFill="1" applyBorder="1" applyAlignment="1">
      <alignment horizontal="left" vertical="center"/>
    </xf>
    <xf numFmtId="42" fontId="14" fillId="5" borderId="49" xfId="1" applyFont="1" applyFill="1" applyBorder="1" applyAlignment="1">
      <alignment horizontal="left" vertical="center"/>
    </xf>
    <xf numFmtId="42" fontId="14" fillId="4" borderId="50" xfId="1" applyFont="1" applyFill="1" applyBorder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6" fillId="4" borderId="0" xfId="2" applyFill="1" applyBorder="1" applyAlignment="1">
      <alignment horizontal="left" vertical="center"/>
    </xf>
    <xf numFmtId="42" fontId="14" fillId="4" borderId="0" xfId="1" applyFont="1" applyFill="1" applyBorder="1" applyAlignment="1">
      <alignment horizontal="left" vertical="center"/>
    </xf>
    <xf numFmtId="0" fontId="0" fillId="4" borderId="0" xfId="0" applyFill="1"/>
    <xf numFmtId="164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2" fontId="0" fillId="0" borderId="0" xfId="0" applyNumberFormat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4" fontId="4" fillId="2" borderId="8" xfId="1" applyNumberFormat="1" applyFont="1" applyFill="1" applyBorder="1" applyAlignment="1">
      <alignment horizontal="center" vertical="center"/>
    </xf>
    <xf numFmtId="14" fontId="4" fillId="2" borderId="14" xfId="1" applyNumberFormat="1" applyFont="1" applyFill="1" applyBorder="1" applyAlignment="1">
      <alignment horizontal="center" vertical="center"/>
    </xf>
    <xf numFmtId="42" fontId="4" fillId="2" borderId="9" xfId="1" applyFont="1" applyFill="1" applyBorder="1" applyAlignment="1">
      <alignment horizontal="center" vertical="center"/>
    </xf>
    <xf numFmtId="42" fontId="4" fillId="2" borderId="15" xfId="1" applyFont="1" applyFill="1" applyBorder="1" applyAlignment="1">
      <alignment horizontal="center" vertical="center"/>
    </xf>
    <xf numFmtId="42" fontId="4" fillId="2" borderId="11" xfId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42" fontId="4" fillId="2" borderId="21" xfId="1" applyFont="1" applyFill="1" applyBorder="1" applyAlignment="1">
      <alignment horizontal="center" vertical="center"/>
    </xf>
    <xf numFmtId="42" fontId="3" fillId="0" borderId="24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42" fontId="4" fillId="2" borderId="3" xfId="1" applyFont="1" applyFill="1" applyBorder="1" applyAlignment="1">
      <alignment horizontal="center" vertical="center"/>
    </xf>
    <xf numFmtId="42" fontId="4" fillId="2" borderId="4" xfId="1" applyFont="1" applyFill="1" applyBorder="1" applyAlignment="1">
      <alignment horizontal="center" vertical="center"/>
    </xf>
    <xf numFmtId="42" fontId="4" fillId="2" borderId="5" xfId="1" applyFont="1" applyFill="1" applyBorder="1" applyAlignment="1">
      <alignment horizontal="center" vertical="center"/>
    </xf>
    <xf numFmtId="0" fontId="7" fillId="0" borderId="33" xfId="0" applyFont="1" applyBorder="1" applyAlignment="1">
      <alignment horizontal="right" vertical="center"/>
    </xf>
    <xf numFmtId="0" fontId="7" fillId="0" borderId="24" xfId="0" applyFont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42" fontId="4" fillId="2" borderId="37" xfId="1" applyFont="1" applyFill="1" applyBorder="1" applyAlignment="1">
      <alignment horizontal="center" vertical="center"/>
    </xf>
    <xf numFmtId="42" fontId="4" fillId="2" borderId="26" xfId="1" applyFont="1" applyFill="1" applyBorder="1" applyAlignment="1">
      <alignment horizontal="center" vertical="center"/>
    </xf>
    <xf numFmtId="42" fontId="4" fillId="2" borderId="18" xfId="1" applyFont="1" applyFill="1" applyBorder="1" applyAlignment="1">
      <alignment horizontal="center" vertical="center"/>
    </xf>
    <xf numFmtId="42" fontId="4" fillId="2" borderId="1" xfId="1" applyFont="1" applyFill="1" applyBorder="1" applyAlignment="1">
      <alignment horizontal="center" vertical="center"/>
    </xf>
    <xf numFmtId="42" fontId="4" fillId="2" borderId="6" xfId="1" applyFont="1" applyFill="1" applyBorder="1" applyAlignment="1">
      <alignment horizontal="center" vertical="center"/>
    </xf>
    <xf numFmtId="42" fontId="4" fillId="2" borderId="19" xfId="1" applyFont="1" applyFill="1" applyBorder="1" applyAlignment="1">
      <alignment horizontal="center" vertical="center"/>
    </xf>
    <xf numFmtId="42" fontId="4" fillId="2" borderId="10" xfId="1" applyFont="1" applyFill="1" applyBorder="1" applyAlignment="1">
      <alignment horizontal="center" vertic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green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pfgcl.lightning.force.com/lightning/r/0011N00001qHjz6QAC/view" TargetMode="External"/><Relationship Id="rId18" Type="http://schemas.openxmlformats.org/officeDocument/2006/relationships/hyperlink" Target="mailto:alejandro.molina@luval.cl" TargetMode="External"/><Relationship Id="rId26" Type="http://schemas.openxmlformats.org/officeDocument/2006/relationships/hyperlink" Target="mailto:mbegly@outlook.cl" TargetMode="External"/><Relationship Id="rId39" Type="http://schemas.openxmlformats.org/officeDocument/2006/relationships/hyperlink" Target="https://pfgcl.lightning.force.com/lightning/r/0012G00001lIx5cQAC/view" TargetMode="External"/><Relationship Id="rId21" Type="http://schemas.openxmlformats.org/officeDocument/2006/relationships/hyperlink" Target="https://pfgcl.lightning.force.com/lightning/r/0011N00001qKmYaQAK/view" TargetMode="External"/><Relationship Id="rId34" Type="http://schemas.openxmlformats.org/officeDocument/2006/relationships/hyperlink" Target="mailto:03lubani@gmail.com" TargetMode="External"/><Relationship Id="rId7" Type="http://schemas.openxmlformats.org/officeDocument/2006/relationships/hyperlink" Target="https://pfgcl.lightning.force.com/lightning/r/001Pr00000fYVjLIAW/view" TargetMode="External"/><Relationship Id="rId12" Type="http://schemas.openxmlformats.org/officeDocument/2006/relationships/hyperlink" Target="mailto:javiere712@gmail.com" TargetMode="External"/><Relationship Id="rId17" Type="http://schemas.openxmlformats.org/officeDocument/2006/relationships/hyperlink" Target="https://pfgcl.lightning.force.com/lightning/r/001Pr00000fZ3ElIAK/view" TargetMode="External"/><Relationship Id="rId25" Type="http://schemas.openxmlformats.org/officeDocument/2006/relationships/hyperlink" Target="https://pfgcl.lightning.force.com/lightning/r/0012G00001n4aC8QAI/view" TargetMode="External"/><Relationship Id="rId33" Type="http://schemas.openxmlformats.org/officeDocument/2006/relationships/hyperlink" Target="https://pfgcl.lightning.force.com/lightning/r/001Pr00000fYUNTIA4/view" TargetMode="External"/><Relationship Id="rId38" Type="http://schemas.openxmlformats.org/officeDocument/2006/relationships/hyperlink" Target="mailto:francisco.valencia24@gmail.com" TargetMode="External"/><Relationship Id="rId2" Type="http://schemas.openxmlformats.org/officeDocument/2006/relationships/hyperlink" Target="mailto:adcmineria@gmail.com" TargetMode="External"/><Relationship Id="rId16" Type="http://schemas.openxmlformats.org/officeDocument/2006/relationships/hyperlink" Target="mailto:mauricio0069@gmail.com" TargetMode="External"/><Relationship Id="rId20" Type="http://schemas.openxmlformats.org/officeDocument/2006/relationships/hyperlink" Target="mailto:erickalejandromi@gmail.com" TargetMode="External"/><Relationship Id="rId29" Type="http://schemas.openxmlformats.org/officeDocument/2006/relationships/hyperlink" Target="https://pfgcl.lightning.force.com/lightning/r/0011N00001qIH37QAG/view" TargetMode="External"/><Relationship Id="rId1" Type="http://schemas.openxmlformats.org/officeDocument/2006/relationships/hyperlink" Target="https://pfgcl.lightning.force.com/lightning/r/001Pr00000eGwtpIAC/view" TargetMode="External"/><Relationship Id="rId6" Type="http://schemas.openxmlformats.org/officeDocument/2006/relationships/hyperlink" Target="mailto:pilar.iduya@gmail.com" TargetMode="External"/><Relationship Id="rId11" Type="http://schemas.openxmlformats.org/officeDocument/2006/relationships/hyperlink" Target="https://pfgcl.lightning.force.com/lightning/r/001Pr00000ei2wlIAA/view" TargetMode="External"/><Relationship Id="rId24" Type="http://schemas.openxmlformats.org/officeDocument/2006/relationships/hyperlink" Target="mailto:erickalejandromi@gmail.com" TargetMode="External"/><Relationship Id="rId32" Type="http://schemas.openxmlformats.org/officeDocument/2006/relationships/hyperlink" Target="mailto:03lubani@gmail.com" TargetMode="External"/><Relationship Id="rId37" Type="http://schemas.openxmlformats.org/officeDocument/2006/relationships/hyperlink" Target="https://pfgcl.lightning.force.com/lightning/r/001Pr00000e792jIAA/view" TargetMode="External"/><Relationship Id="rId40" Type="http://schemas.openxmlformats.org/officeDocument/2006/relationships/hyperlink" Target="mailto:gbremer@aybconsultores.net" TargetMode="External"/><Relationship Id="rId5" Type="http://schemas.openxmlformats.org/officeDocument/2006/relationships/hyperlink" Target="https://pfgcl.lightning.force.com/lightning/r/001Pr00000fYQYMIA4/view" TargetMode="External"/><Relationship Id="rId15" Type="http://schemas.openxmlformats.org/officeDocument/2006/relationships/hyperlink" Target="https://pfgcl.lightning.force.com/lightning/r/001Pr00000eyaXxIAI/view" TargetMode="External"/><Relationship Id="rId23" Type="http://schemas.openxmlformats.org/officeDocument/2006/relationships/hyperlink" Target="https://pfgcl.lightning.force.com/lightning/r/001Pr00000eY8liIAC/view" TargetMode="External"/><Relationship Id="rId28" Type="http://schemas.openxmlformats.org/officeDocument/2006/relationships/hyperlink" Target="mailto:cenriquezg@gmail.com" TargetMode="External"/><Relationship Id="rId36" Type="http://schemas.openxmlformats.org/officeDocument/2006/relationships/hyperlink" Target="mailto:03lubani@gmail.com" TargetMode="External"/><Relationship Id="rId10" Type="http://schemas.openxmlformats.org/officeDocument/2006/relationships/hyperlink" Target="mailto:mauricio.mendez.m@gmail.com" TargetMode="External"/><Relationship Id="rId19" Type="http://schemas.openxmlformats.org/officeDocument/2006/relationships/hyperlink" Target="https://pfgcl.lightning.force.com/lightning/r/001Pr00000eXj2bIAC/view" TargetMode="External"/><Relationship Id="rId31" Type="http://schemas.openxmlformats.org/officeDocument/2006/relationships/hyperlink" Target="https://pfgcl.lightning.force.com/lightning/r/001Pr00000fZKlsIAG/view" TargetMode="External"/><Relationship Id="rId4" Type="http://schemas.openxmlformats.org/officeDocument/2006/relationships/hyperlink" Target="mailto:loretogrossi@gmail.com" TargetMode="External"/><Relationship Id="rId9" Type="http://schemas.openxmlformats.org/officeDocument/2006/relationships/hyperlink" Target="https://pfgcl.lightning.force.com/lightning/r/0011N00001qKgdJQAS/view" TargetMode="External"/><Relationship Id="rId14" Type="http://schemas.openxmlformats.org/officeDocument/2006/relationships/hyperlink" Target="mailto:emancilla.r@gmail.com" TargetMode="External"/><Relationship Id="rId22" Type="http://schemas.openxmlformats.org/officeDocument/2006/relationships/hyperlink" Target="mailto:carlosbostelm@gmail.com" TargetMode="External"/><Relationship Id="rId27" Type="http://schemas.openxmlformats.org/officeDocument/2006/relationships/hyperlink" Target="https://pfgcl.lightning.force.com/lightning/r/001Pr00000eZcpoIAC/view" TargetMode="External"/><Relationship Id="rId30" Type="http://schemas.openxmlformats.org/officeDocument/2006/relationships/hyperlink" Target="mailto:juanclucero@dyg.cl" TargetMode="External"/><Relationship Id="rId35" Type="http://schemas.openxmlformats.org/officeDocument/2006/relationships/hyperlink" Target="https://pfgcl.lightning.force.com/lightning/r/001Pr00000eelFkIAI/view" TargetMode="External"/><Relationship Id="rId8" Type="http://schemas.openxmlformats.org/officeDocument/2006/relationships/hyperlink" Target="mailto:nmoraga@userena.cl" TargetMode="External"/><Relationship Id="rId3" Type="http://schemas.openxmlformats.org/officeDocument/2006/relationships/hyperlink" Target="https://pfgcl.lightning.force.com/lightning/r/0011N00001qLPpzQAG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7657-6345-42F6-9D2B-AC32C89ED40A}">
  <dimension ref="A1:O19"/>
  <sheetViews>
    <sheetView showGridLines="0" workbookViewId="0">
      <selection activeCell="E5" sqref="D5:E5"/>
    </sheetView>
  </sheetViews>
  <sheetFormatPr baseColWidth="10" defaultRowHeight="14.4" x14ac:dyDescent="0.3"/>
  <cols>
    <col min="1" max="1" width="8.5546875" style="44" customWidth="1"/>
    <col min="2" max="2" width="12.21875" style="48" bestFit="1" customWidth="1"/>
    <col min="3" max="3" width="11.6640625" style="44" bestFit="1" customWidth="1"/>
    <col min="4" max="5" width="14.44140625" style="44" bestFit="1" customWidth="1"/>
    <col min="6" max="6" width="14.33203125" style="44" bestFit="1" customWidth="1"/>
    <col min="7" max="14" width="11.5546875" style="44"/>
    <col min="15" max="15" width="14.33203125" style="44" bestFit="1" customWidth="1"/>
    <col min="16" max="16384" width="11.5546875" style="44"/>
  </cols>
  <sheetData>
    <row r="1" spans="1:15" ht="15" thickBot="1" x14ac:dyDescent="0.35"/>
    <row r="2" spans="1:15" s="57" customFormat="1" ht="22.8" customHeight="1" x14ac:dyDescent="0.3">
      <c r="B2" s="104">
        <v>2026</v>
      </c>
      <c r="C2" s="92" t="s">
        <v>83</v>
      </c>
      <c r="D2" s="93" t="s">
        <v>84</v>
      </c>
      <c r="E2" s="93" t="s">
        <v>85</v>
      </c>
      <c r="F2" s="93" t="s">
        <v>91</v>
      </c>
      <c r="G2" s="93" t="s">
        <v>92</v>
      </c>
      <c r="H2" s="93" t="s">
        <v>93</v>
      </c>
      <c r="I2" s="93" t="s">
        <v>94</v>
      </c>
      <c r="J2" s="93" t="s">
        <v>95</v>
      </c>
      <c r="K2" s="93" t="s">
        <v>96</v>
      </c>
      <c r="L2" s="93" t="s">
        <v>97</v>
      </c>
      <c r="M2" s="93" t="s">
        <v>98</v>
      </c>
      <c r="N2" s="94" t="s">
        <v>99</v>
      </c>
      <c r="O2" s="100" t="s">
        <v>34</v>
      </c>
    </row>
    <row r="3" spans="1:15" ht="22.8" customHeight="1" x14ac:dyDescent="0.3">
      <c r="B3" s="105" t="s">
        <v>2</v>
      </c>
      <c r="C3" s="108">
        <v>0</v>
      </c>
      <c r="D3" s="16">
        <f>'FEBRERO 26'!$E$23</f>
        <v>3965423270</v>
      </c>
      <c r="E3" s="16">
        <f>'MARZO 26'!$E$29</f>
        <v>1220948602</v>
      </c>
      <c r="F3" s="16">
        <f>'ABRIL 26'!$E$32</f>
        <v>1227000000</v>
      </c>
      <c r="G3" s="16"/>
      <c r="H3" s="16"/>
      <c r="I3" s="16"/>
      <c r="J3" s="16"/>
      <c r="K3" s="16"/>
      <c r="L3" s="16"/>
      <c r="M3" s="16"/>
      <c r="N3" s="20"/>
      <c r="O3" s="101">
        <f>SUM(C3:N3)</f>
        <v>6413371872</v>
      </c>
    </row>
    <row r="4" spans="1:15" ht="22.8" customHeight="1" thickBot="1" x14ac:dyDescent="0.35">
      <c r="B4" s="106" t="s">
        <v>3</v>
      </c>
      <c r="C4" s="109">
        <v>0</v>
      </c>
      <c r="D4" s="28">
        <f>'FEBRERO 26'!$E$24</f>
        <v>0</v>
      </c>
      <c r="E4" s="28">
        <f>'MARZO 26'!$E$30</f>
        <v>986498517</v>
      </c>
      <c r="F4" s="28">
        <f>'ABRIL 26'!$E$33</f>
        <v>790000000</v>
      </c>
      <c r="G4" s="28"/>
      <c r="H4" s="28"/>
      <c r="I4" s="28"/>
      <c r="J4" s="28"/>
      <c r="K4" s="28"/>
      <c r="L4" s="28"/>
      <c r="M4" s="28"/>
      <c r="N4" s="31"/>
      <c r="O4" s="102">
        <f>SUM(C4:N4)</f>
        <v>1776498517</v>
      </c>
    </row>
    <row r="5" spans="1:15" ht="22.8" customHeight="1" thickBot="1" x14ac:dyDescent="0.35">
      <c r="B5" s="107" t="s">
        <v>34</v>
      </c>
      <c r="C5" s="110">
        <f t="shared" ref="C5:N5" si="0">SUM(C3:C4)</f>
        <v>0</v>
      </c>
      <c r="D5" s="96">
        <f t="shared" si="0"/>
        <v>3965423270</v>
      </c>
      <c r="E5" s="96">
        <f t="shared" si="0"/>
        <v>2207447119</v>
      </c>
      <c r="F5" s="96">
        <f t="shared" si="0"/>
        <v>2017000000</v>
      </c>
      <c r="G5" s="96">
        <f t="shared" si="0"/>
        <v>0</v>
      </c>
      <c r="H5" s="96">
        <f t="shared" si="0"/>
        <v>0</v>
      </c>
      <c r="I5" s="96">
        <f t="shared" si="0"/>
        <v>0</v>
      </c>
      <c r="J5" s="96">
        <f t="shared" si="0"/>
        <v>0</v>
      </c>
      <c r="K5" s="96">
        <f t="shared" si="0"/>
        <v>0</v>
      </c>
      <c r="L5" s="96">
        <f t="shared" si="0"/>
        <v>0</v>
      </c>
      <c r="M5" s="96">
        <f t="shared" si="0"/>
        <v>0</v>
      </c>
      <c r="N5" s="97">
        <f t="shared" si="0"/>
        <v>0</v>
      </c>
      <c r="O5" s="103">
        <f>SUM(O3:O4)</f>
        <v>8189870389</v>
      </c>
    </row>
    <row r="7" spans="1:15" ht="15" thickBot="1" x14ac:dyDescent="0.35"/>
    <row r="8" spans="1:15" x14ac:dyDescent="0.3">
      <c r="A8" s="192" t="s">
        <v>108</v>
      </c>
      <c r="B8" s="193"/>
      <c r="C8" s="93" t="s">
        <v>83</v>
      </c>
      <c r="D8" s="93" t="s">
        <v>84</v>
      </c>
      <c r="E8" s="93" t="s">
        <v>85</v>
      </c>
      <c r="F8" s="93" t="s">
        <v>91</v>
      </c>
      <c r="G8" s="93" t="s">
        <v>92</v>
      </c>
      <c r="H8" s="93" t="s">
        <v>93</v>
      </c>
      <c r="I8" s="93" t="s">
        <v>94</v>
      </c>
      <c r="J8" s="93" t="s">
        <v>95</v>
      </c>
      <c r="K8" s="93" t="s">
        <v>96</v>
      </c>
      <c r="L8" s="93" t="s">
        <v>97</v>
      </c>
      <c r="M8" s="93" t="s">
        <v>98</v>
      </c>
      <c r="N8" s="98" t="s">
        <v>99</v>
      </c>
      <c r="O8" s="100" t="s">
        <v>34</v>
      </c>
    </row>
    <row r="9" spans="1:15" ht="22.2" customHeight="1" x14ac:dyDescent="0.3">
      <c r="A9" s="190" t="s">
        <v>6</v>
      </c>
      <c r="B9" s="77" t="s">
        <v>109</v>
      </c>
      <c r="C9" s="16">
        <v>0</v>
      </c>
      <c r="D9" s="16">
        <v>26028588</v>
      </c>
      <c r="E9" s="16"/>
      <c r="F9" s="16"/>
      <c r="G9" s="16"/>
      <c r="H9" s="16"/>
      <c r="I9" s="16"/>
      <c r="J9" s="16"/>
      <c r="K9" s="16"/>
      <c r="L9" s="16"/>
      <c r="M9" s="16"/>
      <c r="N9" s="99"/>
      <c r="O9" s="130"/>
    </row>
    <row r="10" spans="1:15" ht="22.2" customHeight="1" thickBot="1" x14ac:dyDescent="0.35">
      <c r="A10" s="190"/>
      <c r="B10" s="77" t="s">
        <v>110</v>
      </c>
      <c r="C10" s="90">
        <f t="shared" ref="C10" si="1">C9*0.19</f>
        <v>0</v>
      </c>
      <c r="D10" s="90">
        <f>D9*0.19</f>
        <v>4945431.72</v>
      </c>
      <c r="E10" s="90">
        <f t="shared" ref="E10" si="2">E9*0.19</f>
        <v>0</v>
      </c>
      <c r="F10" s="90">
        <f t="shared" ref="F10" si="3">F9*0.19</f>
        <v>0</v>
      </c>
      <c r="G10" s="90">
        <f t="shared" ref="G10" si="4">G9*0.19</f>
        <v>0</v>
      </c>
      <c r="H10" s="90">
        <f t="shared" ref="H10" si="5">H9*0.19</f>
        <v>0</v>
      </c>
      <c r="I10" s="90">
        <f t="shared" ref="I10" si="6">I9*0.19</f>
        <v>0</v>
      </c>
      <c r="J10" s="90">
        <f t="shared" ref="J10" si="7">J9*0.19</f>
        <v>0</v>
      </c>
      <c r="K10" s="90">
        <f t="shared" ref="K10" si="8">K9*0.19</f>
        <v>0</v>
      </c>
      <c r="L10" s="90">
        <f t="shared" ref="L10" si="9">L9*0.19</f>
        <v>0</v>
      </c>
      <c r="M10" s="90">
        <f t="shared" ref="M10" si="10">M9*0.19</f>
        <v>0</v>
      </c>
      <c r="N10" s="126">
        <f t="shared" ref="N10" si="11">N9*0.19</f>
        <v>0</v>
      </c>
      <c r="O10" s="131"/>
    </row>
    <row r="11" spans="1:15" s="48" customFormat="1" ht="22.2" customHeight="1" thickBot="1" x14ac:dyDescent="0.35">
      <c r="A11" s="190"/>
      <c r="B11" s="89" t="s">
        <v>111</v>
      </c>
      <c r="C11" s="91">
        <f>SUM(C9:C10)</f>
        <v>0</v>
      </c>
      <c r="D11" s="111">
        <f t="shared" ref="D11:O11" si="12">SUM(D9:D10)</f>
        <v>30974019.719999999</v>
      </c>
      <c r="E11" s="111">
        <f t="shared" si="12"/>
        <v>0</v>
      </c>
      <c r="F11" s="111">
        <f t="shared" si="12"/>
        <v>0</v>
      </c>
      <c r="G11" s="111">
        <f t="shared" si="12"/>
        <v>0</v>
      </c>
      <c r="H11" s="111">
        <f t="shared" si="12"/>
        <v>0</v>
      </c>
      <c r="I11" s="111">
        <f t="shared" si="12"/>
        <v>0</v>
      </c>
      <c r="J11" s="111">
        <f t="shared" si="12"/>
        <v>0</v>
      </c>
      <c r="K11" s="111">
        <f t="shared" si="12"/>
        <v>0</v>
      </c>
      <c r="L11" s="111">
        <f t="shared" si="12"/>
        <v>0</v>
      </c>
      <c r="M11" s="111">
        <f t="shared" si="12"/>
        <v>0</v>
      </c>
      <c r="N11" s="127">
        <f t="shared" si="12"/>
        <v>0</v>
      </c>
      <c r="O11" s="129">
        <f t="shared" si="12"/>
        <v>0</v>
      </c>
    </row>
    <row r="12" spans="1:15" ht="22.2" customHeight="1" x14ac:dyDescent="0.3">
      <c r="A12" s="190" t="s">
        <v>33</v>
      </c>
      <c r="B12" s="77" t="s">
        <v>109</v>
      </c>
      <c r="C12" s="53">
        <v>0</v>
      </c>
      <c r="D12" s="53">
        <v>322687</v>
      </c>
      <c r="E12" s="53"/>
      <c r="F12" s="53"/>
      <c r="G12" s="53"/>
      <c r="H12" s="53"/>
      <c r="I12" s="53"/>
      <c r="J12" s="53"/>
      <c r="K12" s="53"/>
      <c r="L12" s="53"/>
      <c r="M12" s="53"/>
      <c r="N12" s="128"/>
      <c r="O12" s="132"/>
    </row>
    <row r="13" spans="1:15" ht="22.2" customHeight="1" thickBot="1" x14ac:dyDescent="0.35">
      <c r="A13" s="190"/>
      <c r="B13" s="77" t="s">
        <v>110</v>
      </c>
      <c r="C13" s="90">
        <f t="shared" ref="C13" si="13">C12*0.19</f>
        <v>0</v>
      </c>
      <c r="D13" s="90">
        <f>D12*0.19</f>
        <v>61310.53</v>
      </c>
      <c r="E13" s="90">
        <f t="shared" ref="E13:N13" si="14">E12*0.19</f>
        <v>0</v>
      </c>
      <c r="F13" s="90">
        <f t="shared" si="14"/>
        <v>0</v>
      </c>
      <c r="G13" s="90">
        <f t="shared" si="14"/>
        <v>0</v>
      </c>
      <c r="H13" s="90">
        <f t="shared" si="14"/>
        <v>0</v>
      </c>
      <c r="I13" s="90">
        <f t="shared" si="14"/>
        <v>0</v>
      </c>
      <c r="J13" s="90">
        <f t="shared" si="14"/>
        <v>0</v>
      </c>
      <c r="K13" s="90">
        <f t="shared" si="14"/>
        <v>0</v>
      </c>
      <c r="L13" s="90">
        <f t="shared" si="14"/>
        <v>0</v>
      </c>
      <c r="M13" s="90">
        <f t="shared" si="14"/>
        <v>0</v>
      </c>
      <c r="N13" s="126">
        <f t="shared" si="14"/>
        <v>0</v>
      </c>
      <c r="O13" s="131"/>
    </row>
    <row r="14" spans="1:15" s="48" customFormat="1" ht="22.2" customHeight="1" thickBot="1" x14ac:dyDescent="0.35">
      <c r="A14" s="191"/>
      <c r="B14" s="95" t="s">
        <v>111</v>
      </c>
      <c r="C14" s="91">
        <f>SUM(C12:C13)</f>
        <v>0</v>
      </c>
      <c r="D14" s="111">
        <f t="shared" ref="D14" si="15">SUM(D12:D13)</f>
        <v>383997.53</v>
      </c>
      <c r="E14" s="111">
        <f t="shared" ref="E14" si="16">SUM(E12:E13)</f>
        <v>0</v>
      </c>
      <c r="F14" s="111">
        <f t="shared" ref="F14" si="17">SUM(F12:F13)</f>
        <v>0</v>
      </c>
      <c r="G14" s="111">
        <f t="shared" ref="G14" si="18">SUM(G12:G13)</f>
        <v>0</v>
      </c>
      <c r="H14" s="111">
        <f t="shared" ref="H14" si="19">SUM(H12:H13)</f>
        <v>0</v>
      </c>
      <c r="I14" s="111">
        <f t="shared" ref="I14" si="20">SUM(I12:I13)</f>
        <v>0</v>
      </c>
      <c r="J14" s="111">
        <f t="shared" ref="J14" si="21">SUM(J12:J13)</f>
        <v>0</v>
      </c>
      <c r="K14" s="111">
        <f t="shared" ref="K14" si="22">SUM(K12:K13)</f>
        <v>0</v>
      </c>
      <c r="L14" s="111">
        <f t="shared" ref="L14" si="23">SUM(L12:L13)</f>
        <v>0</v>
      </c>
      <c r="M14" s="111">
        <f t="shared" ref="M14" si="24">SUM(M12:M13)</f>
        <v>0</v>
      </c>
      <c r="N14" s="127">
        <f t="shared" ref="N14" si="25">SUM(N12:N13)</f>
        <v>0</v>
      </c>
      <c r="O14" s="129">
        <f t="shared" ref="O14" si="26">SUM(O12:O13)</f>
        <v>0</v>
      </c>
    </row>
    <row r="16" spans="1:15" ht="15" thickBot="1" x14ac:dyDescent="0.35"/>
    <row r="17" spans="1:15" s="113" customFormat="1" ht="22.2" customHeight="1" x14ac:dyDescent="0.3">
      <c r="A17" s="194" t="s">
        <v>34</v>
      </c>
      <c r="B17" s="114" t="s">
        <v>109</v>
      </c>
      <c r="C17" s="115">
        <f>+C9+C12</f>
        <v>0</v>
      </c>
      <c r="D17" s="116">
        <f t="shared" ref="D17:O17" si="27">+D9+D12</f>
        <v>26351275</v>
      </c>
      <c r="E17" s="116">
        <f t="shared" si="27"/>
        <v>0</v>
      </c>
      <c r="F17" s="116">
        <f t="shared" si="27"/>
        <v>0</v>
      </c>
      <c r="G17" s="116">
        <f t="shared" si="27"/>
        <v>0</v>
      </c>
      <c r="H17" s="116">
        <f t="shared" si="27"/>
        <v>0</v>
      </c>
      <c r="I17" s="116">
        <f t="shared" si="27"/>
        <v>0</v>
      </c>
      <c r="J17" s="116">
        <f t="shared" si="27"/>
        <v>0</v>
      </c>
      <c r="K17" s="116">
        <f t="shared" si="27"/>
        <v>0</v>
      </c>
      <c r="L17" s="116">
        <f t="shared" si="27"/>
        <v>0</v>
      </c>
      <c r="M17" s="116">
        <f t="shared" si="27"/>
        <v>0</v>
      </c>
      <c r="N17" s="120">
        <f t="shared" si="27"/>
        <v>0</v>
      </c>
      <c r="O17" s="123">
        <f t="shared" si="27"/>
        <v>0</v>
      </c>
    </row>
    <row r="18" spans="1:15" s="113" customFormat="1" ht="22.2" customHeight="1" x14ac:dyDescent="0.3">
      <c r="A18" s="194"/>
      <c r="B18" s="114" t="s">
        <v>110</v>
      </c>
      <c r="C18" s="117">
        <f>+C10+C13</f>
        <v>0</v>
      </c>
      <c r="D18" s="112">
        <f t="shared" ref="D18:O18" si="28">+D10+D13</f>
        <v>5006742.25</v>
      </c>
      <c r="E18" s="112">
        <f t="shared" si="28"/>
        <v>0</v>
      </c>
      <c r="F18" s="112">
        <f t="shared" si="28"/>
        <v>0</v>
      </c>
      <c r="G18" s="112">
        <f t="shared" si="28"/>
        <v>0</v>
      </c>
      <c r="H18" s="112">
        <f t="shared" si="28"/>
        <v>0</v>
      </c>
      <c r="I18" s="112">
        <f t="shared" si="28"/>
        <v>0</v>
      </c>
      <c r="J18" s="112">
        <f t="shared" si="28"/>
        <v>0</v>
      </c>
      <c r="K18" s="112">
        <f t="shared" si="28"/>
        <v>0</v>
      </c>
      <c r="L18" s="112">
        <f t="shared" si="28"/>
        <v>0</v>
      </c>
      <c r="M18" s="112">
        <f t="shared" si="28"/>
        <v>0</v>
      </c>
      <c r="N18" s="121">
        <f t="shared" si="28"/>
        <v>0</v>
      </c>
      <c r="O18" s="124">
        <f t="shared" si="28"/>
        <v>0</v>
      </c>
    </row>
    <row r="19" spans="1:15" s="113" customFormat="1" ht="22.2" customHeight="1" thickBot="1" x14ac:dyDescent="0.35">
      <c r="A19" s="194"/>
      <c r="B19" s="114" t="s">
        <v>111</v>
      </c>
      <c r="C19" s="118">
        <f>+C17+C18</f>
        <v>0</v>
      </c>
      <c r="D19" s="119">
        <f t="shared" ref="D19:O19" si="29">+D17+D18</f>
        <v>31358017.25</v>
      </c>
      <c r="E19" s="119">
        <f t="shared" si="29"/>
        <v>0</v>
      </c>
      <c r="F19" s="119">
        <f t="shared" si="29"/>
        <v>0</v>
      </c>
      <c r="G19" s="119">
        <f t="shared" si="29"/>
        <v>0</v>
      </c>
      <c r="H19" s="119">
        <f t="shared" si="29"/>
        <v>0</v>
      </c>
      <c r="I19" s="119">
        <f t="shared" si="29"/>
        <v>0</v>
      </c>
      <c r="J19" s="119">
        <f t="shared" si="29"/>
        <v>0</v>
      </c>
      <c r="K19" s="119">
        <f t="shared" si="29"/>
        <v>0</v>
      </c>
      <c r="L19" s="119">
        <f t="shared" si="29"/>
        <v>0</v>
      </c>
      <c r="M19" s="119">
        <f t="shared" si="29"/>
        <v>0</v>
      </c>
      <c r="N19" s="122">
        <f t="shared" si="29"/>
        <v>0</v>
      </c>
      <c r="O19" s="125">
        <f t="shared" si="29"/>
        <v>0</v>
      </c>
    </row>
  </sheetData>
  <mergeCells count="4">
    <mergeCell ref="A9:A11"/>
    <mergeCell ref="A12:A14"/>
    <mergeCell ref="A8:B8"/>
    <mergeCell ref="A17:A19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CF0-72DF-4EA6-97B9-59B9A2E1A487}">
  <dimension ref="A1:O65"/>
  <sheetViews>
    <sheetView showGridLines="0" topLeftCell="A5" workbookViewId="0">
      <selection activeCell="G23" sqref="G23"/>
    </sheetView>
  </sheetViews>
  <sheetFormatPr baseColWidth="10" defaultRowHeight="14.4" x14ac:dyDescent="0.3"/>
  <cols>
    <col min="1" max="1" width="11.5546875" style="44"/>
    <col min="2" max="2" width="32.21875" style="44" bestFit="1" customWidth="1"/>
    <col min="3" max="4" width="14.33203125" style="44" bestFit="1" customWidth="1"/>
    <col min="5" max="5" width="15.77734375" style="44" bestFit="1" customWidth="1"/>
    <col min="6" max="6" width="13" style="44" bestFit="1" customWidth="1"/>
    <col min="7" max="7" width="11.88671875" style="44" bestFit="1" customWidth="1"/>
    <col min="8" max="8" width="12.77734375" style="44" bestFit="1" customWidth="1"/>
    <col min="9" max="16384" width="11.5546875" style="44"/>
  </cols>
  <sheetData>
    <row r="1" spans="1:15" ht="31.8" thickBot="1" x14ac:dyDescent="0.35">
      <c r="A1" s="157" t="s">
        <v>30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39" t="s">
        <v>35</v>
      </c>
      <c r="M1" s="39" t="s">
        <v>36</v>
      </c>
      <c r="N1" s="39" t="s">
        <v>37</v>
      </c>
      <c r="O1" s="39" t="s">
        <v>38</v>
      </c>
    </row>
    <row r="2" spans="1:15" ht="15" x14ac:dyDescent="0.3">
      <c r="A2" s="158" t="s">
        <v>0</v>
      </c>
      <c r="B2" s="161" t="s">
        <v>1</v>
      </c>
      <c r="C2" s="185" t="s">
        <v>2</v>
      </c>
      <c r="D2" s="186"/>
      <c r="E2" s="187"/>
      <c r="F2" s="185" t="s">
        <v>3</v>
      </c>
      <c r="G2" s="186"/>
      <c r="H2" s="186"/>
      <c r="I2" s="186"/>
      <c r="J2" s="187"/>
      <c r="L2" s="169" t="s">
        <v>39</v>
      </c>
      <c r="M2" s="40">
        <v>2099</v>
      </c>
      <c r="N2" s="41">
        <v>0.25</v>
      </c>
      <c r="O2" s="41">
        <v>0.25</v>
      </c>
    </row>
    <row r="3" spans="1:15" ht="15" x14ac:dyDescent="0.3">
      <c r="A3" s="159"/>
      <c r="B3" s="162"/>
      <c r="C3" s="164" t="s">
        <v>4</v>
      </c>
      <c r="D3" s="166" t="s">
        <v>5</v>
      </c>
      <c r="E3" s="1" t="s">
        <v>6</v>
      </c>
      <c r="F3" s="164" t="s">
        <v>4</v>
      </c>
      <c r="G3" s="168" t="s">
        <v>5</v>
      </c>
      <c r="H3" s="168"/>
      <c r="I3" s="168"/>
      <c r="J3" s="1" t="s">
        <v>6</v>
      </c>
      <c r="L3" s="169"/>
      <c r="M3" s="42">
        <v>4999</v>
      </c>
      <c r="N3" s="41">
        <v>0.38</v>
      </c>
      <c r="O3" s="41">
        <v>0.38</v>
      </c>
    </row>
    <row r="4" spans="1:15" ht="15.6" thickBot="1" x14ac:dyDescent="0.35">
      <c r="A4" s="160"/>
      <c r="B4" s="163"/>
      <c r="C4" s="165"/>
      <c r="D4" s="167"/>
      <c r="E4" s="2">
        <v>7.4999999999999997E-3</v>
      </c>
      <c r="F4" s="165"/>
      <c r="G4" s="3" t="s">
        <v>7</v>
      </c>
      <c r="H4" s="3" t="s">
        <v>8</v>
      </c>
      <c r="I4" s="3" t="s">
        <v>9</v>
      </c>
      <c r="J4" s="4">
        <v>3.8E-3</v>
      </c>
      <c r="L4" s="169"/>
      <c r="M4" s="40">
        <v>19999</v>
      </c>
      <c r="N4" s="43" t="s">
        <v>40</v>
      </c>
      <c r="O4" s="43" t="s">
        <v>40</v>
      </c>
    </row>
    <row r="5" spans="1:15" ht="15" x14ac:dyDescent="0.3">
      <c r="A5" s="5" t="s">
        <v>10</v>
      </c>
      <c r="B5" s="6" t="s">
        <v>11</v>
      </c>
      <c r="C5" s="7">
        <v>46071</v>
      </c>
      <c r="D5" s="8">
        <v>30000000</v>
      </c>
      <c r="E5" s="10">
        <f t="shared" ref="E5:E17" si="0">D5*$E$4</f>
        <v>225000</v>
      </c>
      <c r="F5" s="11"/>
      <c r="G5" s="9"/>
      <c r="H5" s="9"/>
      <c r="I5" s="9"/>
      <c r="J5" s="20">
        <f t="shared" ref="J5:J17" si="1">(G5+H5+I5)*$J$4</f>
        <v>0</v>
      </c>
      <c r="L5" s="169" t="s">
        <v>41</v>
      </c>
      <c r="M5" s="40">
        <v>29999</v>
      </c>
      <c r="N5" s="41">
        <v>0.45</v>
      </c>
      <c r="O5" s="41">
        <v>0.45</v>
      </c>
    </row>
    <row r="6" spans="1:15" ht="15" x14ac:dyDescent="0.3">
      <c r="A6" s="12" t="s">
        <v>12</v>
      </c>
      <c r="B6" s="13" t="s">
        <v>13</v>
      </c>
      <c r="C6" s="14">
        <v>46071</v>
      </c>
      <c r="D6" s="15">
        <v>70000000</v>
      </c>
      <c r="E6" s="17">
        <f t="shared" si="0"/>
        <v>525000</v>
      </c>
      <c r="F6" s="18"/>
      <c r="G6" s="19"/>
      <c r="H6" s="19"/>
      <c r="I6" s="19"/>
      <c r="J6" s="20">
        <f t="shared" si="1"/>
        <v>0</v>
      </c>
      <c r="L6" s="169"/>
      <c r="M6" s="40">
        <v>39999</v>
      </c>
      <c r="N6" s="41">
        <v>0.5</v>
      </c>
      <c r="O6" s="41">
        <v>0.45</v>
      </c>
    </row>
    <row r="7" spans="1:15" ht="15" x14ac:dyDescent="0.3">
      <c r="A7" s="12" t="s">
        <v>14</v>
      </c>
      <c r="B7" s="13" t="s">
        <v>15</v>
      </c>
      <c r="C7" s="14">
        <v>46070</v>
      </c>
      <c r="D7" s="15">
        <v>458689258</v>
      </c>
      <c r="E7" s="17">
        <f t="shared" si="0"/>
        <v>3440169.4350000001</v>
      </c>
      <c r="F7" s="18"/>
      <c r="G7" s="19"/>
      <c r="H7" s="19"/>
      <c r="I7" s="19"/>
      <c r="J7" s="20">
        <f t="shared" si="1"/>
        <v>0</v>
      </c>
      <c r="L7" s="169"/>
      <c r="M7" s="43" t="s">
        <v>42</v>
      </c>
      <c r="N7" s="41">
        <v>0.55000000000000004</v>
      </c>
      <c r="O7" s="41">
        <v>0.45</v>
      </c>
    </row>
    <row r="8" spans="1:15" x14ac:dyDescent="0.3">
      <c r="A8" s="12" t="s">
        <v>14</v>
      </c>
      <c r="B8" s="13" t="s">
        <v>15</v>
      </c>
      <c r="C8" s="14">
        <v>46078</v>
      </c>
      <c r="D8" s="15">
        <v>70000000</v>
      </c>
      <c r="E8" s="17">
        <f t="shared" si="0"/>
        <v>525000</v>
      </c>
      <c r="F8" s="18"/>
      <c r="G8" s="16"/>
      <c r="H8" s="16"/>
      <c r="I8" s="16"/>
      <c r="J8" s="20">
        <f t="shared" si="1"/>
        <v>0</v>
      </c>
    </row>
    <row r="9" spans="1:15" x14ac:dyDescent="0.3">
      <c r="A9" s="21" t="s">
        <v>16</v>
      </c>
      <c r="B9" s="13" t="s">
        <v>17</v>
      </c>
      <c r="C9" s="14">
        <v>46058</v>
      </c>
      <c r="D9" s="15">
        <v>20000000</v>
      </c>
      <c r="E9" s="17">
        <f t="shared" si="0"/>
        <v>150000</v>
      </c>
      <c r="F9" s="22"/>
      <c r="G9" s="16"/>
      <c r="H9" s="16"/>
      <c r="I9" s="16"/>
      <c r="J9" s="20">
        <f t="shared" si="1"/>
        <v>0</v>
      </c>
    </row>
    <row r="10" spans="1:15" x14ac:dyDescent="0.3">
      <c r="A10" s="12" t="s">
        <v>18</v>
      </c>
      <c r="B10" s="13" t="s">
        <v>19</v>
      </c>
      <c r="C10" s="14">
        <v>46058</v>
      </c>
      <c r="D10" s="15">
        <v>5000000</v>
      </c>
      <c r="E10" s="17">
        <f t="shared" si="0"/>
        <v>37500</v>
      </c>
      <c r="F10" s="18"/>
      <c r="G10" s="16"/>
      <c r="H10" s="16"/>
      <c r="I10" s="16"/>
      <c r="J10" s="20">
        <f t="shared" si="1"/>
        <v>0</v>
      </c>
    </row>
    <row r="11" spans="1:15" x14ac:dyDescent="0.3">
      <c r="A11" s="12" t="s">
        <v>20</v>
      </c>
      <c r="B11" s="13" t="s">
        <v>21</v>
      </c>
      <c r="C11" s="14">
        <v>46070</v>
      </c>
      <c r="D11" s="15">
        <v>2301734012</v>
      </c>
      <c r="E11" s="17">
        <f t="shared" si="0"/>
        <v>17263005.09</v>
      </c>
      <c r="F11" s="18"/>
      <c r="G11" s="16"/>
      <c r="H11" s="16"/>
      <c r="I11" s="16"/>
      <c r="J11" s="20">
        <f t="shared" si="1"/>
        <v>0</v>
      </c>
    </row>
    <row r="12" spans="1:15" x14ac:dyDescent="0.3">
      <c r="A12" s="12" t="s">
        <v>22</v>
      </c>
      <c r="B12" s="13" t="s">
        <v>23</v>
      </c>
      <c r="C12" s="14">
        <v>46070</v>
      </c>
      <c r="D12" s="15">
        <v>350000000</v>
      </c>
      <c r="E12" s="17">
        <f t="shared" si="0"/>
        <v>2625000</v>
      </c>
      <c r="F12" s="18"/>
      <c r="G12" s="16"/>
      <c r="H12" s="16"/>
      <c r="I12" s="16"/>
      <c r="J12" s="20">
        <f t="shared" si="1"/>
        <v>0</v>
      </c>
    </row>
    <row r="13" spans="1:15" x14ac:dyDescent="0.3">
      <c r="A13" s="12" t="s">
        <v>24</v>
      </c>
      <c r="B13" s="13" t="s">
        <v>25</v>
      </c>
      <c r="C13" s="14">
        <v>46076</v>
      </c>
      <c r="D13" s="15">
        <v>165000000</v>
      </c>
      <c r="E13" s="17">
        <f t="shared" si="0"/>
        <v>1237500</v>
      </c>
      <c r="F13" s="18"/>
      <c r="G13" s="16"/>
      <c r="H13" s="16"/>
      <c r="I13" s="16"/>
      <c r="J13" s="20">
        <f t="shared" si="1"/>
        <v>0</v>
      </c>
    </row>
    <row r="14" spans="1:15" x14ac:dyDescent="0.3">
      <c r="A14" s="12" t="s">
        <v>26</v>
      </c>
      <c r="B14" s="13" t="s">
        <v>27</v>
      </c>
      <c r="C14" s="14">
        <v>46078</v>
      </c>
      <c r="D14" s="15">
        <v>192000000</v>
      </c>
      <c r="E14" s="17">
        <f t="shared" si="0"/>
        <v>1440000</v>
      </c>
      <c r="F14" s="18"/>
      <c r="G14" s="16"/>
      <c r="H14" s="16"/>
      <c r="I14" s="16"/>
      <c r="J14" s="20">
        <f t="shared" si="1"/>
        <v>0</v>
      </c>
    </row>
    <row r="15" spans="1:15" x14ac:dyDescent="0.3">
      <c r="A15" s="12" t="s">
        <v>26</v>
      </c>
      <c r="B15" s="13" t="s">
        <v>27</v>
      </c>
      <c r="C15" s="14">
        <v>46079</v>
      </c>
      <c r="D15" s="15">
        <v>58000000</v>
      </c>
      <c r="E15" s="17">
        <f t="shared" si="0"/>
        <v>435000</v>
      </c>
      <c r="F15" s="18"/>
      <c r="G15" s="16"/>
      <c r="H15" s="16"/>
      <c r="I15" s="16"/>
      <c r="J15" s="20">
        <f t="shared" si="1"/>
        <v>0</v>
      </c>
    </row>
    <row r="16" spans="1:15" x14ac:dyDescent="0.3">
      <c r="A16" s="12" t="s">
        <v>26</v>
      </c>
      <c r="B16" s="13" t="s">
        <v>27</v>
      </c>
      <c r="C16" s="14">
        <v>46080</v>
      </c>
      <c r="D16" s="15">
        <v>240000000</v>
      </c>
      <c r="E16" s="17">
        <f t="shared" si="0"/>
        <v>1800000</v>
      </c>
      <c r="F16" s="18"/>
      <c r="G16" s="16"/>
      <c r="H16" s="16"/>
      <c r="I16" s="16"/>
      <c r="J16" s="20">
        <f t="shared" si="1"/>
        <v>0</v>
      </c>
    </row>
    <row r="17" spans="1:10" ht="15" thickBot="1" x14ac:dyDescent="0.35">
      <c r="A17" s="24" t="s">
        <v>28</v>
      </c>
      <c r="B17" s="25" t="s">
        <v>29</v>
      </c>
      <c r="C17" s="26">
        <v>46080</v>
      </c>
      <c r="D17" s="27">
        <v>5000000</v>
      </c>
      <c r="E17" s="29">
        <f t="shared" si="0"/>
        <v>37500</v>
      </c>
      <c r="F17" s="30"/>
      <c r="G17" s="28"/>
      <c r="H17" s="28"/>
      <c r="I17" s="28"/>
      <c r="J17" s="31">
        <f t="shared" si="1"/>
        <v>0</v>
      </c>
    </row>
    <row r="18" spans="1:10" s="48" customFormat="1" ht="15" thickBot="1" x14ac:dyDescent="0.35">
      <c r="A18" s="38" t="s">
        <v>34</v>
      </c>
      <c r="B18" s="45"/>
      <c r="C18" s="45"/>
      <c r="D18" s="46">
        <f>SUM(D5:D17)</f>
        <v>3965423270</v>
      </c>
      <c r="E18" s="46">
        <f>SUM(E5:E17)</f>
        <v>29740674.524999999</v>
      </c>
      <c r="F18" s="45"/>
      <c r="G18" s="171">
        <f>SUM(G5:I17)</f>
        <v>0</v>
      </c>
      <c r="H18" s="171"/>
      <c r="I18" s="171"/>
      <c r="J18" s="47">
        <f>SUM(J5:J17)</f>
        <v>0</v>
      </c>
    </row>
    <row r="21" spans="1:10" x14ac:dyDescent="0.3">
      <c r="D21" s="166" t="s">
        <v>31</v>
      </c>
      <c r="E21" s="168" t="s">
        <v>32</v>
      </c>
      <c r="F21" s="168" t="s">
        <v>6</v>
      </c>
      <c r="G21" s="32" t="s">
        <v>33</v>
      </c>
    </row>
    <row r="22" spans="1:10" x14ac:dyDescent="0.3">
      <c r="D22" s="170"/>
      <c r="E22" s="168"/>
      <c r="F22" s="168"/>
      <c r="G22" s="33">
        <v>1.2E-2</v>
      </c>
    </row>
    <row r="23" spans="1:10" ht="23.4" customHeight="1" x14ac:dyDescent="0.3">
      <c r="D23" s="34" t="s">
        <v>2</v>
      </c>
      <c r="E23" s="16">
        <f>$D$18</f>
        <v>3965423270</v>
      </c>
      <c r="F23" s="35">
        <f>$E$18</f>
        <v>29740674.524999999</v>
      </c>
      <c r="G23" s="36">
        <f>((E23*(($G$22/12)*0.38)))</f>
        <v>1506860.8426000001</v>
      </c>
    </row>
    <row r="24" spans="1:10" ht="23.4" customHeight="1" x14ac:dyDescent="0.3">
      <c r="D24" s="34" t="s">
        <v>3</v>
      </c>
      <c r="E24" s="16">
        <f>$G$18</f>
        <v>0</v>
      </c>
      <c r="F24" s="35">
        <f>$J$18</f>
        <v>0</v>
      </c>
      <c r="G24" s="36">
        <f>((E24*(($G$22/12)*0.38)))</f>
        <v>0</v>
      </c>
    </row>
    <row r="25" spans="1:10" ht="23.4" customHeight="1" x14ac:dyDescent="0.3">
      <c r="D25" s="37" t="s">
        <v>34</v>
      </c>
      <c r="E25" s="37">
        <f>+E23+E24</f>
        <v>3965423270</v>
      </c>
      <c r="F25" s="37">
        <f>+F23+F24</f>
        <v>29740674.524999999</v>
      </c>
      <c r="G25" s="37">
        <f>+G23+G24</f>
        <v>1506860.8426000001</v>
      </c>
    </row>
    <row r="27" spans="1:10" ht="15" thickBot="1" x14ac:dyDescent="0.35"/>
    <row r="28" spans="1:10" s="57" customFormat="1" ht="15" thickBot="1" x14ac:dyDescent="0.35">
      <c r="A28" s="174" t="s">
        <v>70</v>
      </c>
      <c r="B28" s="178"/>
      <c r="C28" s="65" t="s">
        <v>79</v>
      </c>
      <c r="D28" s="62" t="s">
        <v>80</v>
      </c>
    </row>
    <row r="29" spans="1:10" x14ac:dyDescent="0.3">
      <c r="A29" s="172" t="s">
        <v>71</v>
      </c>
      <c r="B29" s="173"/>
      <c r="C29" s="67">
        <f>$E$23</f>
        <v>3965423270</v>
      </c>
      <c r="D29" s="78">
        <v>10</v>
      </c>
    </row>
    <row r="30" spans="1:10" x14ac:dyDescent="0.3">
      <c r="A30" s="172" t="s">
        <v>72</v>
      </c>
      <c r="B30" s="173"/>
      <c r="C30" s="67">
        <v>0</v>
      </c>
      <c r="D30" s="78">
        <v>0</v>
      </c>
    </row>
    <row r="31" spans="1:10" x14ac:dyDescent="0.3">
      <c r="A31" s="172" t="s">
        <v>81</v>
      </c>
      <c r="B31" s="173"/>
      <c r="C31" s="67">
        <v>0</v>
      </c>
      <c r="D31" s="78">
        <v>0</v>
      </c>
    </row>
    <row r="32" spans="1:10" x14ac:dyDescent="0.3">
      <c r="A32" s="172" t="s">
        <v>82</v>
      </c>
      <c r="B32" s="173"/>
      <c r="C32" s="67">
        <v>0</v>
      </c>
      <c r="D32" s="78">
        <v>0</v>
      </c>
    </row>
    <row r="33" spans="1:5" x14ac:dyDescent="0.3">
      <c r="A33" s="172" t="s">
        <v>73</v>
      </c>
      <c r="B33" s="173"/>
      <c r="C33" s="67">
        <v>0</v>
      </c>
      <c r="D33" s="78">
        <v>5</v>
      </c>
    </row>
    <row r="34" spans="1:5" x14ac:dyDescent="0.3">
      <c r="A34" s="172" t="s">
        <v>74</v>
      </c>
      <c r="B34" s="173"/>
      <c r="C34" s="67">
        <v>0</v>
      </c>
      <c r="D34" s="78">
        <v>0</v>
      </c>
    </row>
    <row r="35" spans="1:5" x14ac:dyDescent="0.3">
      <c r="A35" s="172" t="s">
        <v>75</v>
      </c>
      <c r="B35" s="173"/>
      <c r="C35" s="67">
        <v>0</v>
      </c>
      <c r="D35" s="78">
        <v>0</v>
      </c>
    </row>
    <row r="36" spans="1:5" ht="15" thickBot="1" x14ac:dyDescent="0.35">
      <c r="A36" s="176" t="s">
        <v>76</v>
      </c>
      <c r="B36" s="177"/>
      <c r="C36" s="68">
        <v>0</v>
      </c>
      <c r="D36" s="79">
        <v>0</v>
      </c>
    </row>
    <row r="37" spans="1:5" ht="15" thickBot="1" x14ac:dyDescent="0.35">
      <c r="A37" s="174" t="s">
        <v>34</v>
      </c>
      <c r="B37" s="178"/>
      <c r="C37" s="69">
        <f>SUM(C29:C36)</f>
        <v>3965423270</v>
      </c>
      <c r="D37" s="62"/>
    </row>
    <row r="38" spans="1:5" x14ac:dyDescent="0.3">
      <c r="A38" s="63"/>
      <c r="B38" s="63"/>
      <c r="C38" s="59"/>
      <c r="D38" s="58"/>
    </row>
    <row r="39" spans="1:5" ht="15" thickBot="1" x14ac:dyDescent="0.35">
      <c r="D39" s="58"/>
    </row>
    <row r="40" spans="1:5" s="57" customFormat="1" ht="15" thickBot="1" x14ac:dyDescent="0.35">
      <c r="A40" s="174" t="s">
        <v>77</v>
      </c>
      <c r="B40" s="178"/>
      <c r="C40" s="65" t="s">
        <v>83</v>
      </c>
      <c r="D40" s="65" t="s">
        <v>84</v>
      </c>
      <c r="E40" s="62" t="s">
        <v>85</v>
      </c>
    </row>
    <row r="41" spans="1:5" x14ac:dyDescent="0.3">
      <c r="A41" s="172" t="s">
        <v>71</v>
      </c>
      <c r="B41" s="173"/>
      <c r="C41" s="67">
        <v>0</v>
      </c>
      <c r="D41" s="66">
        <f>C29</f>
        <v>3965423270</v>
      </c>
      <c r="E41" s="64"/>
    </row>
    <row r="42" spans="1:5" x14ac:dyDescent="0.3">
      <c r="A42" s="172" t="s">
        <v>72</v>
      </c>
      <c r="B42" s="173"/>
      <c r="C42" s="67">
        <v>0</v>
      </c>
      <c r="D42" s="66">
        <f t="shared" ref="D42:D48" si="2">C30</f>
        <v>0</v>
      </c>
      <c r="E42" s="64"/>
    </row>
    <row r="43" spans="1:5" x14ac:dyDescent="0.3">
      <c r="A43" s="172" t="s">
        <v>81</v>
      </c>
      <c r="B43" s="173"/>
      <c r="C43" s="67">
        <v>0</v>
      </c>
      <c r="D43" s="66">
        <f t="shared" si="2"/>
        <v>0</v>
      </c>
      <c r="E43" s="64"/>
    </row>
    <row r="44" spans="1:5" x14ac:dyDescent="0.3">
      <c r="A44" s="172" t="s">
        <v>82</v>
      </c>
      <c r="B44" s="173"/>
      <c r="C44" s="67">
        <v>0</v>
      </c>
      <c r="D44" s="66">
        <f t="shared" si="2"/>
        <v>0</v>
      </c>
      <c r="E44" s="64"/>
    </row>
    <row r="45" spans="1:5" x14ac:dyDescent="0.3">
      <c r="A45" s="172" t="s">
        <v>73</v>
      </c>
      <c r="B45" s="173"/>
      <c r="C45" s="67">
        <v>0</v>
      </c>
      <c r="D45" s="71">
        <v>10</v>
      </c>
      <c r="E45" s="64"/>
    </row>
    <row r="46" spans="1:5" x14ac:dyDescent="0.3">
      <c r="A46" s="172" t="s">
        <v>74</v>
      </c>
      <c r="B46" s="173"/>
      <c r="C46" s="67">
        <v>0</v>
      </c>
      <c r="D46" s="66">
        <f t="shared" si="2"/>
        <v>0</v>
      </c>
      <c r="E46" s="64"/>
    </row>
    <row r="47" spans="1:5" x14ac:dyDescent="0.3">
      <c r="A47" s="172" t="s">
        <v>75</v>
      </c>
      <c r="B47" s="173"/>
      <c r="C47" s="67">
        <v>0</v>
      </c>
      <c r="D47" s="66">
        <f t="shared" si="2"/>
        <v>0</v>
      </c>
      <c r="E47" s="64"/>
    </row>
    <row r="48" spans="1:5" ht="15" thickBot="1" x14ac:dyDescent="0.35">
      <c r="A48" s="172" t="s">
        <v>76</v>
      </c>
      <c r="B48" s="173"/>
      <c r="C48" s="67">
        <v>0</v>
      </c>
      <c r="D48" s="66">
        <f t="shared" si="2"/>
        <v>0</v>
      </c>
      <c r="E48" s="64"/>
    </row>
    <row r="49" spans="1:5" ht="15" thickBot="1" x14ac:dyDescent="0.35">
      <c r="A49" s="174" t="s">
        <v>34</v>
      </c>
      <c r="B49" s="178"/>
      <c r="C49" s="69">
        <f>SUM(C41:C48)</f>
        <v>0</v>
      </c>
      <c r="D49" s="69">
        <f>SUM(D41:D48)</f>
        <v>3965423280</v>
      </c>
      <c r="E49" s="69">
        <f>SUM(E41:E48)</f>
        <v>0</v>
      </c>
    </row>
    <row r="51" spans="1:5" ht="15" thickBot="1" x14ac:dyDescent="0.35"/>
    <row r="52" spans="1:5" ht="15" thickBot="1" x14ac:dyDescent="0.35">
      <c r="A52" s="174" t="s">
        <v>78</v>
      </c>
      <c r="B52" s="178"/>
      <c r="C52" s="65" t="s">
        <v>79</v>
      </c>
      <c r="D52" s="62" t="s">
        <v>80</v>
      </c>
    </row>
    <row r="53" spans="1:5" x14ac:dyDescent="0.3">
      <c r="A53" s="172" t="s">
        <v>71</v>
      </c>
      <c r="B53" s="173"/>
      <c r="C53" s="67"/>
      <c r="D53" s="60"/>
    </row>
    <row r="54" spans="1:5" x14ac:dyDescent="0.3">
      <c r="A54" s="172" t="s">
        <v>72</v>
      </c>
      <c r="B54" s="173"/>
      <c r="C54" s="67"/>
      <c r="D54" s="60"/>
    </row>
    <row r="55" spans="1:5" x14ac:dyDescent="0.3">
      <c r="A55" s="172" t="s">
        <v>81</v>
      </c>
      <c r="B55" s="173"/>
      <c r="C55" s="67"/>
      <c r="D55" s="60"/>
    </row>
    <row r="56" spans="1:5" x14ac:dyDescent="0.3">
      <c r="A56" s="172" t="s">
        <v>82</v>
      </c>
      <c r="B56" s="173"/>
      <c r="C56" s="67"/>
      <c r="D56" s="60"/>
    </row>
    <row r="57" spans="1:5" x14ac:dyDescent="0.3">
      <c r="A57" s="172" t="s">
        <v>73</v>
      </c>
      <c r="B57" s="173"/>
      <c r="C57" s="67"/>
      <c r="D57" s="60"/>
    </row>
    <row r="58" spans="1:5" x14ac:dyDescent="0.3">
      <c r="A58" s="172" t="s">
        <v>74</v>
      </c>
      <c r="B58" s="173"/>
      <c r="C58" s="67"/>
      <c r="D58" s="60"/>
    </row>
    <row r="59" spans="1:5" x14ac:dyDescent="0.3">
      <c r="A59" s="172" t="s">
        <v>75</v>
      </c>
      <c r="B59" s="173"/>
      <c r="C59" s="67"/>
      <c r="D59" s="60"/>
    </row>
    <row r="60" spans="1:5" ht="15" thickBot="1" x14ac:dyDescent="0.35">
      <c r="A60" s="176" t="s">
        <v>76</v>
      </c>
      <c r="B60" s="177"/>
      <c r="C60" s="68"/>
      <c r="D60" s="61"/>
    </row>
    <row r="61" spans="1:5" ht="15" thickBot="1" x14ac:dyDescent="0.35">
      <c r="A61" s="174" t="s">
        <v>34</v>
      </c>
      <c r="B61" s="178"/>
      <c r="C61" s="69"/>
      <c r="D61" s="62"/>
    </row>
    <row r="64" spans="1:5" ht="15" thickBot="1" x14ac:dyDescent="0.35"/>
    <row r="65" spans="1:5" ht="39" customHeight="1" thickBot="1" x14ac:dyDescent="0.35">
      <c r="A65" s="179" t="s">
        <v>69</v>
      </c>
      <c r="B65" s="180"/>
      <c r="C65" s="180"/>
      <c r="D65" s="180"/>
      <c r="E65" s="181"/>
    </row>
  </sheetData>
  <mergeCells count="46">
    <mergeCell ref="A61:B61"/>
    <mergeCell ref="A52:B52"/>
    <mergeCell ref="A65:E65"/>
    <mergeCell ref="C2:E2"/>
    <mergeCell ref="F2:J2"/>
    <mergeCell ref="A55:B55"/>
    <mergeCell ref="A56:B56"/>
    <mergeCell ref="A57:B57"/>
    <mergeCell ref="A58:B58"/>
    <mergeCell ref="A59:B59"/>
    <mergeCell ref="A60:B60"/>
    <mergeCell ref="A48:B48"/>
    <mergeCell ref="A49:B49"/>
    <mergeCell ref="A41:B41"/>
    <mergeCell ref="A40:B40"/>
    <mergeCell ref="A53:B53"/>
    <mergeCell ref="A54:B54"/>
    <mergeCell ref="A42:B42"/>
    <mergeCell ref="A43:B43"/>
    <mergeCell ref="A44:B44"/>
    <mergeCell ref="A45:B45"/>
    <mergeCell ref="A46:B46"/>
    <mergeCell ref="A47:B47"/>
    <mergeCell ref="A35:B35"/>
    <mergeCell ref="A36:B36"/>
    <mergeCell ref="A37:B37"/>
    <mergeCell ref="A32:B32"/>
    <mergeCell ref="A28:B28"/>
    <mergeCell ref="A29:B29"/>
    <mergeCell ref="A30:B30"/>
    <mergeCell ref="A31:B31"/>
    <mergeCell ref="A33:B33"/>
    <mergeCell ref="A34:B34"/>
    <mergeCell ref="A1:K1"/>
    <mergeCell ref="D21:D22"/>
    <mergeCell ref="E21:E22"/>
    <mergeCell ref="F21:F22"/>
    <mergeCell ref="G18:I18"/>
    <mergeCell ref="L2:L4"/>
    <mergeCell ref="L5:L7"/>
    <mergeCell ref="A2:A4"/>
    <mergeCell ref="B2:B4"/>
    <mergeCell ref="C3:C4"/>
    <mergeCell ref="D3:D4"/>
    <mergeCell ref="F3:F4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4F08-06B7-4A7C-9C35-17DA7504AE93}">
  <dimension ref="A1:O71"/>
  <sheetViews>
    <sheetView showGridLines="0" topLeftCell="A5" workbookViewId="0">
      <selection activeCell="E11" sqref="E11"/>
    </sheetView>
  </sheetViews>
  <sheetFormatPr baseColWidth="10" defaultRowHeight="14.4" x14ac:dyDescent="0.3"/>
  <cols>
    <col min="1" max="1" width="11.5546875" style="44"/>
    <col min="2" max="2" width="32.21875" style="44" bestFit="1" customWidth="1"/>
    <col min="3" max="4" width="14.33203125" style="44" bestFit="1" customWidth="1"/>
    <col min="5" max="5" width="15.77734375" style="44" bestFit="1" customWidth="1"/>
    <col min="6" max="6" width="14.33203125" style="44" bestFit="1" customWidth="1"/>
    <col min="7" max="8" width="12.77734375" style="44" bestFit="1" customWidth="1"/>
    <col min="9" max="9" width="13.77734375" style="44" customWidth="1"/>
    <col min="10" max="10" width="13" style="44" bestFit="1" customWidth="1"/>
    <col min="11" max="11" width="4.21875" style="44" customWidth="1"/>
    <col min="12" max="12" width="8.77734375" style="44" customWidth="1"/>
    <col min="13" max="16384" width="11.5546875" style="44"/>
  </cols>
  <sheetData>
    <row r="1" spans="1:15" ht="31.8" thickBot="1" x14ac:dyDescent="0.35">
      <c r="A1" s="157" t="s">
        <v>86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39" t="s">
        <v>35</v>
      </c>
      <c r="M1" s="39" t="s">
        <v>36</v>
      </c>
      <c r="N1" s="39" t="s">
        <v>37</v>
      </c>
      <c r="O1" s="39" t="s">
        <v>38</v>
      </c>
    </row>
    <row r="2" spans="1:15" ht="15" x14ac:dyDescent="0.3">
      <c r="A2" s="158" t="s">
        <v>0</v>
      </c>
      <c r="B2" s="161" t="s">
        <v>1</v>
      </c>
      <c r="C2" s="185" t="s">
        <v>2</v>
      </c>
      <c r="D2" s="186"/>
      <c r="E2" s="187"/>
      <c r="F2" s="185" t="s">
        <v>3</v>
      </c>
      <c r="G2" s="186"/>
      <c r="H2" s="186"/>
      <c r="I2" s="186"/>
      <c r="J2" s="187"/>
      <c r="L2" s="182" t="s">
        <v>39</v>
      </c>
      <c r="M2" s="40">
        <v>2099</v>
      </c>
      <c r="N2" s="41">
        <v>0.25</v>
      </c>
      <c r="O2" s="41">
        <v>0.25</v>
      </c>
    </row>
    <row r="3" spans="1:15" ht="15" x14ac:dyDescent="0.3">
      <c r="A3" s="159"/>
      <c r="B3" s="162"/>
      <c r="C3" s="164" t="s">
        <v>4</v>
      </c>
      <c r="D3" s="166" t="s">
        <v>5</v>
      </c>
      <c r="E3" s="1" t="s">
        <v>6</v>
      </c>
      <c r="F3" s="164" t="s">
        <v>4</v>
      </c>
      <c r="G3" s="168" t="s">
        <v>5</v>
      </c>
      <c r="H3" s="168"/>
      <c r="I3" s="168"/>
      <c r="J3" s="1" t="s">
        <v>6</v>
      </c>
      <c r="L3" s="183"/>
      <c r="M3" s="42">
        <v>4999</v>
      </c>
      <c r="N3" s="41">
        <v>0.38</v>
      </c>
      <c r="O3" s="41">
        <v>0.38</v>
      </c>
    </row>
    <row r="4" spans="1:15" ht="15.6" thickBot="1" x14ac:dyDescent="0.35">
      <c r="A4" s="160"/>
      <c r="B4" s="163"/>
      <c r="C4" s="165"/>
      <c r="D4" s="167"/>
      <c r="E4" s="2">
        <v>7.4999999999999997E-3</v>
      </c>
      <c r="F4" s="165"/>
      <c r="G4" s="3" t="s">
        <v>7</v>
      </c>
      <c r="H4" s="3" t="s">
        <v>8</v>
      </c>
      <c r="I4" s="3" t="s">
        <v>9</v>
      </c>
      <c r="J4" s="4">
        <v>3.8E-3</v>
      </c>
      <c r="L4" s="184"/>
      <c r="M4" s="40">
        <v>19999</v>
      </c>
      <c r="N4" s="43" t="s">
        <v>40</v>
      </c>
      <c r="O4" s="43" t="s">
        <v>40</v>
      </c>
    </row>
    <row r="5" spans="1:15" ht="15" x14ac:dyDescent="0.3">
      <c r="A5" s="49" t="s">
        <v>26</v>
      </c>
      <c r="B5" s="50" t="s">
        <v>27</v>
      </c>
      <c r="C5" s="51">
        <v>46083</v>
      </c>
      <c r="D5" s="52">
        <v>70000000</v>
      </c>
      <c r="E5" s="74">
        <f t="shared" ref="E5:E17" si="0">D5*$E$4</f>
        <v>525000</v>
      </c>
      <c r="F5" s="55"/>
      <c r="G5" s="53"/>
      <c r="H5" s="53"/>
      <c r="I5" s="53"/>
      <c r="J5" s="56">
        <f t="shared" ref="J5" si="1">(G5+H5+I5)*$J$4</f>
        <v>0</v>
      </c>
      <c r="L5" s="169" t="s">
        <v>41</v>
      </c>
      <c r="M5" s="40">
        <v>29999</v>
      </c>
      <c r="N5" s="41">
        <v>0.45</v>
      </c>
      <c r="O5" s="41">
        <v>0.45</v>
      </c>
    </row>
    <row r="6" spans="1:15" ht="15" x14ac:dyDescent="0.3">
      <c r="A6" s="12" t="s">
        <v>53</v>
      </c>
      <c r="B6" s="75" t="s">
        <v>54</v>
      </c>
      <c r="C6" s="14">
        <v>46086</v>
      </c>
      <c r="D6" s="15">
        <v>200000000</v>
      </c>
      <c r="E6" s="74">
        <f t="shared" si="0"/>
        <v>1500000</v>
      </c>
      <c r="F6" s="18"/>
      <c r="G6" s="16"/>
      <c r="H6" s="16"/>
      <c r="I6" s="16"/>
      <c r="J6" s="56"/>
      <c r="L6" s="169"/>
      <c r="M6" s="40">
        <v>39999</v>
      </c>
      <c r="N6" s="41">
        <v>0.5</v>
      </c>
      <c r="O6" s="41">
        <v>0.45</v>
      </c>
    </row>
    <row r="7" spans="1:15" ht="15" x14ac:dyDescent="0.3">
      <c r="A7" s="12" t="s">
        <v>55</v>
      </c>
      <c r="B7" s="13" t="s">
        <v>56</v>
      </c>
      <c r="C7" s="14">
        <v>46086</v>
      </c>
      <c r="D7" s="15">
        <v>1524946</v>
      </c>
      <c r="E7" s="74">
        <f t="shared" si="0"/>
        <v>11437.094999999999</v>
      </c>
      <c r="F7" s="18"/>
      <c r="G7" s="16"/>
      <c r="H7" s="16"/>
      <c r="I7" s="16"/>
      <c r="J7" s="56"/>
      <c r="L7" s="169"/>
      <c r="M7" s="43" t="s">
        <v>42</v>
      </c>
      <c r="N7" s="41">
        <v>0.55000000000000004</v>
      </c>
      <c r="O7" s="41">
        <v>0.45</v>
      </c>
    </row>
    <row r="8" spans="1:15" x14ac:dyDescent="0.3">
      <c r="A8" s="12" t="s">
        <v>55</v>
      </c>
      <c r="B8" s="13" t="s">
        <v>56</v>
      </c>
      <c r="C8" s="14">
        <v>46086</v>
      </c>
      <c r="D8" s="15">
        <v>1763117</v>
      </c>
      <c r="E8" s="74">
        <f t="shared" si="0"/>
        <v>13223.377499999999</v>
      </c>
      <c r="F8" s="18"/>
      <c r="G8" s="16"/>
      <c r="H8" s="16"/>
      <c r="I8" s="16"/>
      <c r="J8" s="56"/>
    </row>
    <row r="9" spans="1:15" x14ac:dyDescent="0.3">
      <c r="A9" s="12" t="s">
        <v>55</v>
      </c>
      <c r="B9" s="13" t="s">
        <v>56</v>
      </c>
      <c r="C9" s="14">
        <v>46086</v>
      </c>
      <c r="D9" s="15">
        <v>1659079</v>
      </c>
      <c r="E9" s="74">
        <f t="shared" si="0"/>
        <v>12443.092499999999</v>
      </c>
      <c r="F9" s="18"/>
      <c r="G9" s="16"/>
      <c r="H9" s="16"/>
      <c r="I9" s="16"/>
      <c r="J9" s="56"/>
    </row>
    <row r="10" spans="1:15" x14ac:dyDescent="0.3">
      <c r="A10" s="12" t="s">
        <v>55</v>
      </c>
      <c r="B10" s="13" t="s">
        <v>56</v>
      </c>
      <c r="C10" s="14">
        <v>46086</v>
      </c>
      <c r="D10" s="15">
        <v>20900000</v>
      </c>
      <c r="E10" s="74">
        <f t="shared" si="0"/>
        <v>156750</v>
      </c>
      <c r="F10" s="18"/>
      <c r="G10" s="16"/>
      <c r="H10" s="16"/>
      <c r="I10" s="16"/>
      <c r="J10" s="56"/>
    </row>
    <row r="11" spans="1:15" x14ac:dyDescent="0.3">
      <c r="A11" s="12" t="s">
        <v>67</v>
      </c>
      <c r="B11" s="75" t="s">
        <v>68</v>
      </c>
      <c r="C11" s="14">
        <v>46087</v>
      </c>
      <c r="D11" s="15">
        <v>115000000</v>
      </c>
      <c r="E11" s="74">
        <f t="shared" si="0"/>
        <v>862500</v>
      </c>
      <c r="F11" s="14">
        <v>46108</v>
      </c>
      <c r="G11" s="15">
        <v>318618396</v>
      </c>
      <c r="H11" s="16"/>
      <c r="I11" s="16"/>
      <c r="J11" s="74">
        <f>(G11+H11+I11)*$J$4</f>
        <v>1210749.9047999999</v>
      </c>
    </row>
    <row r="12" spans="1:15" x14ac:dyDescent="0.3">
      <c r="A12" s="12" t="s">
        <v>65</v>
      </c>
      <c r="B12" s="75" t="s">
        <v>66</v>
      </c>
      <c r="C12" s="14">
        <v>46091</v>
      </c>
      <c r="D12" s="15">
        <v>150000000</v>
      </c>
      <c r="E12" s="74">
        <f t="shared" si="0"/>
        <v>1125000</v>
      </c>
      <c r="F12" s="18"/>
      <c r="G12" s="16"/>
      <c r="H12" s="16"/>
      <c r="I12" s="16"/>
      <c r="J12" s="56"/>
    </row>
    <row r="13" spans="1:15" x14ac:dyDescent="0.3">
      <c r="A13" s="12" t="s">
        <v>59</v>
      </c>
      <c r="B13" s="13" t="s">
        <v>60</v>
      </c>
      <c r="C13" s="14">
        <v>46091</v>
      </c>
      <c r="D13" s="15">
        <v>139000000</v>
      </c>
      <c r="E13" s="74">
        <f t="shared" si="0"/>
        <v>1042500</v>
      </c>
      <c r="F13" s="18"/>
      <c r="G13" s="16"/>
      <c r="H13" s="16"/>
      <c r="I13" s="16"/>
      <c r="J13" s="56"/>
    </row>
    <row r="14" spans="1:15" x14ac:dyDescent="0.3">
      <c r="A14" s="12" t="s">
        <v>51</v>
      </c>
      <c r="B14" s="13" t="s">
        <v>52</v>
      </c>
      <c r="C14" s="14">
        <v>46092</v>
      </c>
      <c r="D14" s="15">
        <v>5000000</v>
      </c>
      <c r="E14" s="74">
        <f t="shared" si="0"/>
        <v>37500</v>
      </c>
      <c r="F14" s="18"/>
      <c r="G14" s="16"/>
      <c r="H14" s="16"/>
      <c r="I14" s="16"/>
      <c r="J14" s="56"/>
    </row>
    <row r="15" spans="1:15" x14ac:dyDescent="0.3">
      <c r="A15" s="12" t="s">
        <v>57</v>
      </c>
      <c r="B15" s="13" t="s">
        <v>58</v>
      </c>
      <c r="C15" s="14">
        <v>46098</v>
      </c>
      <c r="D15" s="15">
        <v>45000000</v>
      </c>
      <c r="E15" s="74">
        <f t="shared" si="0"/>
        <v>337500</v>
      </c>
      <c r="F15" s="18"/>
      <c r="G15" s="16"/>
      <c r="H15" s="16"/>
      <c r="I15" s="16"/>
      <c r="J15" s="56"/>
    </row>
    <row r="16" spans="1:15" x14ac:dyDescent="0.3">
      <c r="A16" s="12" t="s">
        <v>55</v>
      </c>
      <c r="B16" s="13" t="s">
        <v>56</v>
      </c>
      <c r="C16" s="14">
        <v>46101</v>
      </c>
      <c r="D16" s="15">
        <v>1000000</v>
      </c>
      <c r="E16" s="74">
        <f t="shared" si="0"/>
        <v>7500</v>
      </c>
      <c r="F16" s="18"/>
      <c r="G16" s="16"/>
      <c r="H16" s="16"/>
      <c r="I16" s="16"/>
      <c r="J16" s="56"/>
    </row>
    <row r="17" spans="1:10" x14ac:dyDescent="0.3">
      <c r="A17" s="12" t="s">
        <v>55</v>
      </c>
      <c r="B17" s="13" t="s">
        <v>56</v>
      </c>
      <c r="C17" s="14">
        <v>46101</v>
      </c>
      <c r="D17" s="15">
        <v>101460</v>
      </c>
      <c r="E17" s="74">
        <f t="shared" si="0"/>
        <v>760.94999999999993</v>
      </c>
      <c r="F17" s="18"/>
      <c r="G17" s="16"/>
      <c r="H17" s="16"/>
      <c r="I17" s="16"/>
      <c r="J17" s="56"/>
    </row>
    <row r="18" spans="1:10" x14ac:dyDescent="0.3">
      <c r="A18" s="12" t="s">
        <v>14</v>
      </c>
      <c r="B18" s="13" t="s">
        <v>15</v>
      </c>
      <c r="C18" s="22"/>
      <c r="D18" s="19"/>
      <c r="E18" s="23"/>
      <c r="F18" s="14">
        <v>46105</v>
      </c>
      <c r="G18" s="15">
        <v>76188746</v>
      </c>
      <c r="H18" s="15">
        <v>6467959</v>
      </c>
      <c r="I18" s="16"/>
      <c r="J18" s="17">
        <f>(G18+H18+I18)*$J$4</f>
        <v>314095.47899999999</v>
      </c>
    </row>
    <row r="19" spans="1:10" x14ac:dyDescent="0.3">
      <c r="A19" s="12" t="s">
        <v>12</v>
      </c>
      <c r="B19" s="75" t="s">
        <v>13</v>
      </c>
      <c r="C19" s="22"/>
      <c r="D19" s="19"/>
      <c r="E19" s="23"/>
      <c r="F19" s="14">
        <v>46108</v>
      </c>
      <c r="G19" s="15">
        <v>24286543</v>
      </c>
      <c r="H19" s="19"/>
      <c r="I19" s="15">
        <v>51312536</v>
      </c>
      <c r="J19" s="17">
        <f>(G19+H19+I19)*$J$4</f>
        <v>287276.50020000001</v>
      </c>
    </row>
    <row r="20" spans="1:10" s="48" customFormat="1" x14ac:dyDescent="0.3">
      <c r="A20" s="12" t="s">
        <v>24</v>
      </c>
      <c r="B20" s="13" t="s">
        <v>25</v>
      </c>
      <c r="C20" s="22"/>
      <c r="D20" s="19"/>
      <c r="E20" s="54"/>
      <c r="F20" s="14">
        <v>46108</v>
      </c>
      <c r="G20" s="15">
        <v>59136790</v>
      </c>
      <c r="H20" s="19"/>
      <c r="I20" s="15">
        <v>23079926</v>
      </c>
      <c r="J20" s="17">
        <f>(G20+H20+I20)*$J$4</f>
        <v>312423.5208</v>
      </c>
    </row>
    <row r="21" spans="1:10" s="48" customFormat="1" x14ac:dyDescent="0.3">
      <c r="A21" s="12" t="s">
        <v>61</v>
      </c>
      <c r="B21" s="75" t="s">
        <v>62</v>
      </c>
      <c r="C21" s="14">
        <v>46108</v>
      </c>
      <c r="D21" s="15">
        <v>400000000</v>
      </c>
      <c r="E21" s="74">
        <f t="shared" ref="E21" si="2">D21*$E$4</f>
        <v>3000000</v>
      </c>
      <c r="F21" s="14">
        <v>46099</v>
      </c>
      <c r="G21" s="15">
        <v>427407621</v>
      </c>
      <c r="H21" s="16"/>
      <c r="I21" s="16"/>
      <c r="J21" s="74">
        <f t="shared" ref="J21" si="3">(G21+H21+I21)*$J$4</f>
        <v>1624148.9598000001</v>
      </c>
    </row>
    <row r="22" spans="1:10" s="48" customFormat="1" x14ac:dyDescent="0.3">
      <c r="A22" s="12" t="s">
        <v>53</v>
      </c>
      <c r="B22" s="13" t="s">
        <v>54</v>
      </c>
      <c r="C22" s="14">
        <v>46108</v>
      </c>
      <c r="D22" s="15">
        <v>70000000</v>
      </c>
      <c r="E22" s="74">
        <f>D22*$E$4</f>
        <v>525000</v>
      </c>
      <c r="F22" s="22"/>
      <c r="G22" s="19"/>
      <c r="H22" s="19"/>
      <c r="I22" s="19"/>
      <c r="J22" s="54"/>
    </row>
    <row r="23" spans="1:10" s="48" customFormat="1" x14ac:dyDescent="0.3">
      <c r="A23" s="12"/>
      <c r="B23" s="13"/>
      <c r="C23" s="22"/>
      <c r="D23" s="19"/>
      <c r="E23" s="54"/>
      <c r="F23" s="22"/>
      <c r="G23" s="19"/>
      <c r="H23" s="19"/>
      <c r="I23" s="19"/>
      <c r="J23" s="54"/>
    </row>
    <row r="24" spans="1:10" ht="15" thickBot="1" x14ac:dyDescent="0.35">
      <c r="A24" s="12"/>
      <c r="B24" s="13"/>
      <c r="C24" s="22"/>
      <c r="D24" s="19"/>
      <c r="E24" s="54"/>
      <c r="F24" s="22"/>
      <c r="G24" s="19"/>
      <c r="H24" s="19"/>
      <c r="I24" s="19"/>
      <c r="J24" s="54"/>
    </row>
    <row r="25" spans="1:10" ht="15" thickBot="1" x14ac:dyDescent="0.35">
      <c r="A25" s="188" t="s">
        <v>34</v>
      </c>
      <c r="B25" s="189"/>
      <c r="C25" s="73"/>
      <c r="D25" s="46">
        <f>SUM(D5:D24)</f>
        <v>1220948602</v>
      </c>
      <c r="E25" s="47">
        <f>SUM(E5:E24)</f>
        <v>9157114.5150000006</v>
      </c>
      <c r="F25" s="45"/>
      <c r="G25" s="171">
        <f>SUM(G5:I24)</f>
        <v>986498517</v>
      </c>
      <c r="H25" s="171"/>
      <c r="I25" s="171"/>
      <c r="J25" s="47">
        <f>SUM(J5:J24)</f>
        <v>3748694.3646</v>
      </c>
    </row>
    <row r="26" spans="1:10" s="57" customFormat="1" x14ac:dyDescent="0.3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x14ac:dyDescent="0.3">
      <c r="D27" s="166" t="s">
        <v>31</v>
      </c>
      <c r="E27" s="168" t="s">
        <v>32</v>
      </c>
      <c r="F27" s="168" t="s">
        <v>6</v>
      </c>
      <c r="G27" s="32" t="s">
        <v>33</v>
      </c>
      <c r="I27" s="168" t="s">
        <v>100</v>
      </c>
      <c r="J27" s="168" t="s">
        <v>101</v>
      </c>
    </row>
    <row r="28" spans="1:10" x14ac:dyDescent="0.3">
      <c r="D28" s="170"/>
      <c r="E28" s="168"/>
      <c r="F28" s="168"/>
      <c r="G28" s="33">
        <v>1.2E-2</v>
      </c>
      <c r="I28" s="168"/>
      <c r="J28" s="168"/>
    </row>
    <row r="29" spans="1:10" x14ac:dyDescent="0.3">
      <c r="D29" s="34" t="s">
        <v>2</v>
      </c>
      <c r="E29" s="16">
        <f>$D$25</f>
        <v>1220948602</v>
      </c>
      <c r="F29" s="35">
        <f>$E$25</f>
        <v>9157114.5150000006</v>
      </c>
      <c r="G29" s="36">
        <f>((RESUMEN!$O$3*($G$28/12))*(N3))</f>
        <v>2437081.3113600002</v>
      </c>
      <c r="I29" s="36">
        <v>1944221.3113600002</v>
      </c>
      <c r="J29" s="36">
        <f>+F29+I29</f>
        <v>11101335.82636</v>
      </c>
    </row>
    <row r="30" spans="1:10" x14ac:dyDescent="0.3">
      <c r="D30" s="34" t="s">
        <v>3</v>
      </c>
      <c r="E30" s="16">
        <f>$G$25</f>
        <v>986498517</v>
      </c>
      <c r="F30" s="35">
        <f>$J$25</f>
        <v>3748694.3646</v>
      </c>
      <c r="G30" s="36">
        <f>(RESUMEN!$O$4*('MARZO 26'!$G$28/12)*'MARZO 26'!$N$3)</f>
        <v>675069.43646</v>
      </c>
      <c r="I30" s="36">
        <v>394432.91983999999</v>
      </c>
      <c r="J30" s="36">
        <f>+F30+I30</f>
        <v>4143127.2844400001</v>
      </c>
    </row>
    <row r="31" spans="1:10" ht="15.6" x14ac:dyDescent="0.3">
      <c r="D31" s="37" t="s">
        <v>34</v>
      </c>
      <c r="E31" s="37">
        <f>+E29+E30</f>
        <v>2207447119</v>
      </c>
      <c r="F31" s="37">
        <f>+F29+F30</f>
        <v>12905808.8796</v>
      </c>
      <c r="G31" s="37">
        <f>+G29+G30</f>
        <v>3112150.7478200002</v>
      </c>
      <c r="I31" s="37">
        <v>2338654.2312000003</v>
      </c>
      <c r="J31" s="37">
        <f>SUM(J29:J30)</f>
        <v>15244463.1108</v>
      </c>
    </row>
    <row r="33" spans="1:10" ht="15" thickBot="1" x14ac:dyDescent="0.35"/>
    <row r="34" spans="1:10" ht="15" thickBot="1" x14ac:dyDescent="0.35">
      <c r="A34" s="174" t="s">
        <v>70</v>
      </c>
      <c r="B34" s="175"/>
      <c r="C34" s="65" t="s">
        <v>79</v>
      </c>
      <c r="D34" s="62" t="s">
        <v>80</v>
      </c>
      <c r="E34" s="57"/>
      <c r="F34" s="57"/>
      <c r="G34" s="57"/>
      <c r="H34" s="57"/>
      <c r="I34" s="57"/>
      <c r="J34" s="57"/>
    </row>
    <row r="35" spans="1:10" x14ac:dyDescent="0.3">
      <c r="A35" s="172" t="s">
        <v>71</v>
      </c>
      <c r="B35" s="173"/>
      <c r="C35" s="67">
        <f>$D$25-D24</f>
        <v>1220948602</v>
      </c>
      <c r="D35" s="78">
        <v>8</v>
      </c>
    </row>
    <row r="36" spans="1:10" x14ac:dyDescent="0.3">
      <c r="A36" s="172" t="s">
        <v>72</v>
      </c>
      <c r="B36" s="173"/>
      <c r="C36" s="67">
        <f>+G18+H18+G24</f>
        <v>82656705</v>
      </c>
      <c r="D36" s="78">
        <v>3</v>
      </c>
    </row>
    <row r="37" spans="1:10" x14ac:dyDescent="0.3">
      <c r="A37" s="172" t="s">
        <v>81</v>
      </c>
      <c r="B37" s="173"/>
      <c r="C37" s="67">
        <f>D24</f>
        <v>0</v>
      </c>
      <c r="D37" s="78">
        <v>1</v>
      </c>
    </row>
    <row r="38" spans="1:10" s="57" customFormat="1" x14ac:dyDescent="0.3">
      <c r="A38" s="172" t="s">
        <v>82</v>
      </c>
      <c r="B38" s="173"/>
      <c r="C38" s="67">
        <v>0</v>
      </c>
      <c r="D38" s="78">
        <v>0</v>
      </c>
      <c r="E38" s="44"/>
      <c r="F38" s="44"/>
      <c r="G38" s="44"/>
      <c r="H38" s="44"/>
      <c r="I38" s="44"/>
      <c r="J38" s="44"/>
    </row>
    <row r="39" spans="1:10" x14ac:dyDescent="0.3">
      <c r="A39" s="172" t="s">
        <v>73</v>
      </c>
      <c r="B39" s="173"/>
      <c r="C39" s="67"/>
      <c r="D39" s="78">
        <v>5</v>
      </c>
    </row>
    <row r="40" spans="1:10" x14ac:dyDescent="0.3">
      <c r="A40" s="172" t="s">
        <v>74</v>
      </c>
      <c r="B40" s="173"/>
      <c r="C40" s="67">
        <v>0</v>
      </c>
      <c r="D40" s="78">
        <v>0</v>
      </c>
    </row>
    <row r="41" spans="1:10" x14ac:dyDescent="0.3">
      <c r="A41" s="172" t="s">
        <v>75</v>
      </c>
      <c r="B41" s="173"/>
      <c r="C41" s="67">
        <v>0</v>
      </c>
      <c r="D41" s="78">
        <v>0</v>
      </c>
    </row>
    <row r="42" spans="1:10" ht="15" thickBot="1" x14ac:dyDescent="0.35">
      <c r="A42" s="176" t="s">
        <v>76</v>
      </c>
      <c r="B42" s="177"/>
      <c r="C42" s="68">
        <v>0</v>
      </c>
      <c r="D42" s="79">
        <v>0</v>
      </c>
    </row>
    <row r="43" spans="1:10" ht="15" thickBot="1" x14ac:dyDescent="0.35">
      <c r="A43" s="174" t="s">
        <v>34</v>
      </c>
      <c r="B43" s="178"/>
      <c r="C43" s="69">
        <f>SUM(C35:C42)</f>
        <v>1303605307</v>
      </c>
      <c r="D43" s="62"/>
    </row>
    <row r="44" spans="1:10" x14ac:dyDescent="0.3">
      <c r="A44" s="63"/>
      <c r="B44" s="63"/>
      <c r="C44" s="59"/>
      <c r="D44" s="58"/>
    </row>
    <row r="45" spans="1:10" ht="15" thickBot="1" x14ac:dyDescent="0.35">
      <c r="D45" s="58"/>
    </row>
    <row r="46" spans="1:10" ht="15" thickBot="1" x14ac:dyDescent="0.35">
      <c r="A46" s="174" t="s">
        <v>77</v>
      </c>
      <c r="B46" s="178"/>
      <c r="C46" s="65" t="s">
        <v>83</v>
      </c>
      <c r="D46" s="65" t="s">
        <v>84</v>
      </c>
      <c r="E46" s="62" t="s">
        <v>85</v>
      </c>
      <c r="F46" s="62" t="s">
        <v>87</v>
      </c>
      <c r="G46" s="57"/>
      <c r="H46" s="57"/>
      <c r="I46" s="57"/>
      <c r="J46" s="57"/>
    </row>
    <row r="47" spans="1:10" x14ac:dyDescent="0.3">
      <c r="A47" s="172" t="s">
        <v>71</v>
      </c>
      <c r="B47" s="173"/>
      <c r="C47" s="67">
        <v>0</v>
      </c>
      <c r="D47" s="66">
        <f>'FEBRERO 26'!$D41</f>
        <v>3965423270</v>
      </c>
      <c r="E47" s="70">
        <f>$C$35</f>
        <v>1220948602</v>
      </c>
      <c r="F47" s="70">
        <f>SUM(C47:E47)</f>
        <v>5186371872</v>
      </c>
    </row>
    <row r="48" spans="1:10" x14ac:dyDescent="0.3">
      <c r="A48" s="172" t="s">
        <v>72</v>
      </c>
      <c r="B48" s="173"/>
      <c r="C48" s="67">
        <v>0</v>
      </c>
      <c r="D48" s="66">
        <f>'FEBRERO 26'!$D42</f>
        <v>0</v>
      </c>
      <c r="E48" s="70">
        <f>$C$36</f>
        <v>82656705</v>
      </c>
      <c r="F48" s="70">
        <f t="shared" ref="F48:F55" si="4">SUM(C48:E48)</f>
        <v>82656705</v>
      </c>
    </row>
    <row r="49" spans="1:6" x14ac:dyDescent="0.3">
      <c r="A49" s="172" t="s">
        <v>81</v>
      </c>
      <c r="B49" s="173"/>
      <c r="C49" s="67">
        <v>0</v>
      </c>
      <c r="D49" s="66">
        <f>'FEBRERO 26'!$D43</f>
        <v>0</v>
      </c>
      <c r="E49" s="70">
        <f>$C$37</f>
        <v>0</v>
      </c>
      <c r="F49" s="70">
        <f t="shared" si="4"/>
        <v>0</v>
      </c>
    </row>
    <row r="50" spans="1:6" x14ac:dyDescent="0.3">
      <c r="A50" s="172" t="s">
        <v>82</v>
      </c>
      <c r="B50" s="173"/>
      <c r="C50" s="67">
        <v>0</v>
      </c>
      <c r="D50" s="66">
        <f>'FEBRERO 26'!$D44</f>
        <v>0</v>
      </c>
      <c r="E50" s="70">
        <f>$C$38</f>
        <v>0</v>
      </c>
      <c r="F50" s="70">
        <f t="shared" si="4"/>
        <v>0</v>
      </c>
    </row>
    <row r="51" spans="1:6" x14ac:dyDescent="0.3">
      <c r="A51" s="172" t="s">
        <v>73</v>
      </c>
      <c r="B51" s="173"/>
      <c r="C51" s="72">
        <v>0</v>
      </c>
      <c r="D51" s="60">
        <f>'FEBRERO 26'!D45</f>
        <v>10</v>
      </c>
      <c r="E51" s="60">
        <f>$D$39</f>
        <v>5</v>
      </c>
      <c r="F51" s="70">
        <f t="shared" si="4"/>
        <v>15</v>
      </c>
    </row>
    <row r="52" spans="1:6" x14ac:dyDescent="0.3">
      <c r="A52" s="172" t="s">
        <v>74</v>
      </c>
      <c r="B52" s="173"/>
      <c r="C52" s="67">
        <v>0</v>
      </c>
      <c r="D52" s="66">
        <f>'FEBRERO 26'!$D46</f>
        <v>0</v>
      </c>
      <c r="E52" s="70">
        <f>$C$40</f>
        <v>0</v>
      </c>
      <c r="F52" s="70">
        <f t="shared" si="4"/>
        <v>0</v>
      </c>
    </row>
    <row r="53" spans="1:6" x14ac:dyDescent="0.3">
      <c r="A53" s="172" t="s">
        <v>75</v>
      </c>
      <c r="B53" s="173"/>
      <c r="C53" s="67">
        <v>0</v>
      </c>
      <c r="D53" s="66">
        <f>'FEBRERO 26'!$D47</f>
        <v>0</v>
      </c>
      <c r="E53" s="70">
        <f>$C$41</f>
        <v>0</v>
      </c>
      <c r="F53" s="70">
        <f t="shared" si="4"/>
        <v>0</v>
      </c>
    </row>
    <row r="54" spans="1:6" ht="15" thickBot="1" x14ac:dyDescent="0.35">
      <c r="A54" s="172" t="s">
        <v>76</v>
      </c>
      <c r="B54" s="173"/>
      <c r="C54" s="67">
        <v>0</v>
      </c>
      <c r="D54" s="66">
        <f>'FEBRERO 26'!$D48</f>
        <v>0</v>
      </c>
      <c r="E54" s="70">
        <f>$C$42</f>
        <v>0</v>
      </c>
      <c r="F54" s="70">
        <f t="shared" si="4"/>
        <v>0</v>
      </c>
    </row>
    <row r="55" spans="1:6" ht="15" thickBot="1" x14ac:dyDescent="0.35">
      <c r="A55" s="174" t="s">
        <v>34</v>
      </c>
      <c r="B55" s="178"/>
      <c r="C55" s="69">
        <f>SUM(C47:C54)</f>
        <v>0</v>
      </c>
      <c r="D55" s="69">
        <f>SUM(D47:D54)</f>
        <v>3965423280</v>
      </c>
      <c r="E55" s="69">
        <f>SUM(E47:E54)</f>
        <v>1303605312</v>
      </c>
      <c r="F55" s="69">
        <f t="shared" si="4"/>
        <v>5269028592</v>
      </c>
    </row>
    <row r="57" spans="1:6" ht="15" thickBot="1" x14ac:dyDescent="0.35"/>
    <row r="58" spans="1:6" ht="15" thickBot="1" x14ac:dyDescent="0.35">
      <c r="A58" s="174" t="s">
        <v>78</v>
      </c>
      <c r="B58" s="178"/>
      <c r="C58" s="65" t="s">
        <v>79</v>
      </c>
      <c r="D58" s="62" t="s">
        <v>80</v>
      </c>
    </row>
    <row r="59" spans="1:6" x14ac:dyDescent="0.3">
      <c r="A59" s="172" t="s">
        <v>71</v>
      </c>
      <c r="B59" s="173"/>
      <c r="C59" s="67"/>
      <c r="D59" s="60"/>
    </row>
    <row r="60" spans="1:6" x14ac:dyDescent="0.3">
      <c r="A60" s="172" t="s">
        <v>72</v>
      </c>
      <c r="B60" s="173"/>
      <c r="C60" s="67"/>
      <c r="D60" s="60"/>
    </row>
    <row r="61" spans="1:6" x14ac:dyDescent="0.3">
      <c r="A61" s="172" t="s">
        <v>81</v>
      </c>
      <c r="B61" s="173"/>
      <c r="C61" s="67"/>
      <c r="D61" s="60"/>
    </row>
    <row r="62" spans="1:6" x14ac:dyDescent="0.3">
      <c r="A62" s="172" t="s">
        <v>82</v>
      </c>
      <c r="B62" s="173"/>
      <c r="C62" s="67"/>
      <c r="D62" s="60"/>
    </row>
    <row r="63" spans="1:6" ht="39" customHeight="1" x14ac:dyDescent="0.3">
      <c r="A63" s="172" t="s">
        <v>73</v>
      </c>
      <c r="B63" s="173"/>
      <c r="C63" s="67"/>
      <c r="D63" s="60"/>
    </row>
    <row r="64" spans="1:6" x14ac:dyDescent="0.3">
      <c r="A64" s="172" t="s">
        <v>74</v>
      </c>
      <c r="B64" s="173"/>
      <c r="C64" s="67"/>
      <c r="D64" s="60"/>
    </row>
    <row r="65" spans="1:5" x14ac:dyDescent="0.3">
      <c r="A65" s="172" t="s">
        <v>75</v>
      </c>
      <c r="B65" s="173"/>
      <c r="C65" s="67"/>
      <c r="D65" s="60"/>
    </row>
    <row r="66" spans="1:5" ht="15" thickBot="1" x14ac:dyDescent="0.35">
      <c r="A66" s="176" t="s">
        <v>76</v>
      </c>
      <c r="B66" s="177"/>
      <c r="C66" s="68"/>
      <c r="D66" s="61"/>
    </row>
    <row r="67" spans="1:5" ht="15" thickBot="1" x14ac:dyDescent="0.35">
      <c r="A67" s="174" t="s">
        <v>34</v>
      </c>
      <c r="B67" s="178"/>
      <c r="C67" s="69"/>
      <c r="D67" s="62"/>
    </row>
    <row r="70" spans="1:5" ht="15" thickBot="1" x14ac:dyDescent="0.35"/>
    <row r="71" spans="1:5" ht="15" thickBot="1" x14ac:dyDescent="0.35">
      <c r="A71" s="179" t="s">
        <v>69</v>
      </c>
      <c r="B71" s="180"/>
      <c r="C71" s="180"/>
      <c r="D71" s="180"/>
      <c r="E71" s="181"/>
    </row>
  </sheetData>
  <mergeCells count="49">
    <mergeCell ref="A71:E71"/>
    <mergeCell ref="L2:L4"/>
    <mergeCell ref="C2:E2"/>
    <mergeCell ref="F2:J2"/>
    <mergeCell ref="A25:B25"/>
    <mergeCell ref="A62:B62"/>
    <mergeCell ref="A63:B63"/>
    <mergeCell ref="A64:B64"/>
    <mergeCell ref="A65:B65"/>
    <mergeCell ref="A66:B66"/>
    <mergeCell ref="A67:B67"/>
    <mergeCell ref="A54:B54"/>
    <mergeCell ref="A55:B55"/>
    <mergeCell ref="A58:B58"/>
    <mergeCell ref="A59:B59"/>
    <mergeCell ref="A60:B60"/>
    <mergeCell ref="A61:B61"/>
    <mergeCell ref="A48:B48"/>
    <mergeCell ref="A49:B49"/>
    <mergeCell ref="A50:B50"/>
    <mergeCell ref="A51:B51"/>
    <mergeCell ref="A52:B52"/>
    <mergeCell ref="A53:B53"/>
    <mergeCell ref="A47:B47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6:B46"/>
    <mergeCell ref="L5:L7"/>
    <mergeCell ref="D27:D28"/>
    <mergeCell ref="E27:E28"/>
    <mergeCell ref="F27:F28"/>
    <mergeCell ref="G25:I25"/>
    <mergeCell ref="I27:I28"/>
    <mergeCell ref="J27:J28"/>
    <mergeCell ref="A1:K1"/>
    <mergeCell ref="A2:A4"/>
    <mergeCell ref="B2:B4"/>
    <mergeCell ref="C3:C4"/>
    <mergeCell ref="D3:D4"/>
    <mergeCell ref="F3:F4"/>
    <mergeCell ref="G3:I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AD84-3AAC-4CBF-9B3E-4DBBC2A024D5}">
  <dimension ref="A1:O86"/>
  <sheetViews>
    <sheetView showGridLines="0" tabSelected="1" workbookViewId="0">
      <selection activeCell="G13" sqref="G13"/>
    </sheetView>
  </sheetViews>
  <sheetFormatPr baseColWidth="10" defaultRowHeight="14.4" x14ac:dyDescent="0.3"/>
  <cols>
    <col min="1" max="1" width="11.5546875" style="44"/>
    <col min="2" max="2" width="32.21875" style="44" bestFit="1" customWidth="1"/>
    <col min="3" max="4" width="14.33203125" style="44" bestFit="1" customWidth="1"/>
    <col min="5" max="5" width="15.77734375" style="44" bestFit="1" customWidth="1"/>
    <col min="6" max="6" width="14.33203125" style="44" bestFit="1" customWidth="1"/>
    <col min="7" max="8" width="12.77734375" style="44" bestFit="1" customWidth="1"/>
    <col min="9" max="9" width="12.44140625" style="44" customWidth="1"/>
    <col min="10" max="10" width="13" style="44" bestFit="1" customWidth="1"/>
    <col min="11" max="16384" width="11.5546875" style="44"/>
  </cols>
  <sheetData>
    <row r="1" spans="1:15" ht="31.8" thickBot="1" x14ac:dyDescent="0.35">
      <c r="A1" s="157" t="s">
        <v>90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39" t="s">
        <v>35</v>
      </c>
      <c r="M1" s="39" t="s">
        <v>36</v>
      </c>
      <c r="N1" s="39" t="s">
        <v>37</v>
      </c>
      <c r="O1" s="39" t="s">
        <v>38</v>
      </c>
    </row>
    <row r="2" spans="1:15" ht="15" x14ac:dyDescent="0.3">
      <c r="A2" s="158" t="s">
        <v>0</v>
      </c>
      <c r="B2" s="161" t="s">
        <v>1</v>
      </c>
      <c r="C2" s="185" t="s">
        <v>2</v>
      </c>
      <c r="D2" s="186"/>
      <c r="E2" s="187"/>
      <c r="F2" s="185" t="s">
        <v>3</v>
      </c>
      <c r="G2" s="186"/>
      <c r="H2" s="186"/>
      <c r="I2" s="186"/>
      <c r="J2" s="187"/>
      <c r="L2" s="182" t="s">
        <v>39</v>
      </c>
      <c r="M2" s="40">
        <v>2099</v>
      </c>
      <c r="N2" s="41">
        <v>0.25</v>
      </c>
      <c r="O2" s="41">
        <v>0.25</v>
      </c>
    </row>
    <row r="3" spans="1:15" ht="15" x14ac:dyDescent="0.3">
      <c r="A3" s="159"/>
      <c r="B3" s="162"/>
      <c r="C3" s="164" t="s">
        <v>4</v>
      </c>
      <c r="D3" s="166" t="s">
        <v>5</v>
      </c>
      <c r="E3" s="1" t="s">
        <v>6</v>
      </c>
      <c r="F3" s="164" t="s">
        <v>4</v>
      </c>
      <c r="G3" s="168" t="s">
        <v>5</v>
      </c>
      <c r="H3" s="168"/>
      <c r="I3" s="168"/>
      <c r="J3" s="1" t="s">
        <v>6</v>
      </c>
      <c r="L3" s="183"/>
      <c r="M3" s="42">
        <v>4999</v>
      </c>
      <c r="N3" s="41">
        <v>0.38</v>
      </c>
      <c r="O3" s="41">
        <v>0.38</v>
      </c>
    </row>
    <row r="4" spans="1:15" ht="15.6" thickBot="1" x14ac:dyDescent="0.35">
      <c r="A4" s="160"/>
      <c r="B4" s="163"/>
      <c r="C4" s="165"/>
      <c r="D4" s="167"/>
      <c r="E4" s="2">
        <v>7.4999999999999997E-3</v>
      </c>
      <c r="F4" s="165"/>
      <c r="G4" s="3" t="s">
        <v>7</v>
      </c>
      <c r="H4" s="3" t="s">
        <v>8</v>
      </c>
      <c r="I4" s="3" t="s">
        <v>9</v>
      </c>
      <c r="J4" s="4">
        <v>3.8E-3</v>
      </c>
      <c r="L4" s="184"/>
      <c r="M4" s="40">
        <v>19999</v>
      </c>
      <c r="N4" s="43" t="s">
        <v>40</v>
      </c>
      <c r="O4" s="43" t="s">
        <v>40</v>
      </c>
    </row>
    <row r="5" spans="1:15" ht="15" x14ac:dyDescent="0.3">
      <c r="A5" s="12" t="s">
        <v>63</v>
      </c>
      <c r="B5" s="13" t="s">
        <v>64</v>
      </c>
      <c r="C5" s="18"/>
      <c r="D5" s="16"/>
      <c r="E5" s="54">
        <f t="shared" ref="E5:E7" si="0">D5*$E$4</f>
        <v>0</v>
      </c>
      <c r="F5" s="18"/>
      <c r="G5" s="15">
        <v>295000000</v>
      </c>
      <c r="H5" s="16"/>
      <c r="I5" s="16"/>
      <c r="J5" s="56">
        <f t="shared" ref="J5:J7" si="1">(G5+H5+I5)*$J$4</f>
        <v>1121000</v>
      </c>
      <c r="L5" s="169" t="s">
        <v>41</v>
      </c>
      <c r="M5" s="40">
        <v>29999</v>
      </c>
      <c r="N5" s="41">
        <v>0.45</v>
      </c>
      <c r="O5" s="41">
        <v>0.45</v>
      </c>
    </row>
    <row r="6" spans="1:15" ht="15" x14ac:dyDescent="0.3">
      <c r="A6" s="12" t="s">
        <v>53</v>
      </c>
      <c r="B6" s="13" t="s">
        <v>54</v>
      </c>
      <c r="C6" s="22"/>
      <c r="D6" s="19"/>
      <c r="E6" s="54">
        <f>D6*$E$4</f>
        <v>0</v>
      </c>
      <c r="F6" s="18"/>
      <c r="G6" s="15">
        <v>40000000</v>
      </c>
      <c r="H6" s="16"/>
      <c r="I6" s="16"/>
      <c r="J6" s="56">
        <f>(G6+H6+I6)*$J$4</f>
        <v>152000</v>
      </c>
      <c r="L6" s="169"/>
      <c r="M6" s="40">
        <v>39999</v>
      </c>
      <c r="N6" s="41">
        <v>0.5</v>
      </c>
      <c r="O6" s="41">
        <v>0.45</v>
      </c>
    </row>
    <row r="7" spans="1:15" ht="15" x14ac:dyDescent="0.3">
      <c r="A7" s="12" t="s">
        <v>89</v>
      </c>
      <c r="B7" s="13" t="s">
        <v>88</v>
      </c>
      <c r="C7" s="18"/>
      <c r="D7" s="16"/>
      <c r="E7" s="54">
        <f t="shared" si="0"/>
        <v>0</v>
      </c>
      <c r="F7" s="18"/>
      <c r="G7" s="19">
        <v>295000000</v>
      </c>
      <c r="H7" s="16"/>
      <c r="I7" s="16"/>
      <c r="J7" s="56">
        <f t="shared" si="1"/>
        <v>1121000</v>
      </c>
      <c r="L7" s="169"/>
      <c r="M7" s="43" t="s">
        <v>42</v>
      </c>
      <c r="N7" s="41">
        <v>0.55000000000000004</v>
      </c>
      <c r="O7" s="41">
        <v>0.45</v>
      </c>
    </row>
    <row r="8" spans="1:15" x14ac:dyDescent="0.3">
      <c r="A8" s="12" t="s">
        <v>45</v>
      </c>
      <c r="B8" s="13" t="s">
        <v>46</v>
      </c>
      <c r="C8" s="18"/>
      <c r="D8" s="16">
        <f>108000000+180000000</f>
        <v>288000000</v>
      </c>
      <c r="E8" s="54">
        <f t="shared" ref="E8:E18" si="2">D8*$E$4</f>
        <v>2160000</v>
      </c>
      <c r="F8" s="18"/>
      <c r="G8" s="16"/>
      <c r="H8" s="16"/>
      <c r="I8" s="16"/>
      <c r="J8" s="56">
        <f t="shared" ref="J8:J12" si="3">(G8+H8+I8)*$J$4</f>
        <v>0</v>
      </c>
    </row>
    <row r="9" spans="1:15" x14ac:dyDescent="0.3">
      <c r="A9" s="12" t="s">
        <v>47</v>
      </c>
      <c r="B9" s="13" t="s">
        <v>48</v>
      </c>
      <c r="C9" s="18"/>
      <c r="D9" s="16">
        <v>140000000</v>
      </c>
      <c r="E9" s="54">
        <f t="shared" si="2"/>
        <v>1050000</v>
      </c>
      <c r="F9" s="18"/>
      <c r="G9" s="16"/>
      <c r="H9" s="16"/>
      <c r="I9" s="16"/>
      <c r="J9" s="56">
        <f t="shared" si="3"/>
        <v>0</v>
      </c>
    </row>
    <row r="10" spans="1:15" x14ac:dyDescent="0.3">
      <c r="A10" s="12" t="s">
        <v>49</v>
      </c>
      <c r="B10" s="13" t="s">
        <v>50</v>
      </c>
      <c r="C10" s="18"/>
      <c r="D10" s="16">
        <v>90000000</v>
      </c>
      <c r="E10" s="54">
        <f t="shared" si="2"/>
        <v>675000</v>
      </c>
      <c r="F10" s="18"/>
      <c r="G10" s="16"/>
      <c r="H10" s="16"/>
      <c r="I10" s="16"/>
      <c r="J10" s="56">
        <f t="shared" si="3"/>
        <v>0</v>
      </c>
    </row>
    <row r="11" spans="1:15" x14ac:dyDescent="0.3">
      <c r="A11" s="12" t="s">
        <v>20</v>
      </c>
      <c r="B11" s="13" t="s">
        <v>21</v>
      </c>
      <c r="C11" s="22"/>
      <c r="D11" s="19"/>
      <c r="E11" s="54">
        <f t="shared" si="2"/>
        <v>0</v>
      </c>
      <c r="F11" s="22"/>
      <c r="G11" s="19"/>
      <c r="H11" s="19"/>
      <c r="I11" s="19"/>
      <c r="J11" s="56">
        <f t="shared" si="3"/>
        <v>0</v>
      </c>
    </row>
    <row r="12" spans="1:15" x14ac:dyDescent="0.3">
      <c r="A12" s="12" t="s">
        <v>102</v>
      </c>
      <c r="B12" s="13" t="s">
        <v>103</v>
      </c>
      <c r="C12" s="22"/>
      <c r="D12" s="19">
        <v>125000000</v>
      </c>
      <c r="E12" s="54">
        <f t="shared" si="2"/>
        <v>937500</v>
      </c>
      <c r="F12" s="22"/>
      <c r="G12" s="19">
        <v>160000000</v>
      </c>
      <c r="H12" s="19"/>
      <c r="I12" s="19"/>
      <c r="J12" s="56">
        <f t="shared" si="3"/>
        <v>608000</v>
      </c>
    </row>
    <row r="13" spans="1:15" x14ac:dyDescent="0.3">
      <c r="A13" s="12" t="s">
        <v>104</v>
      </c>
      <c r="B13" s="13" t="s">
        <v>105</v>
      </c>
      <c r="C13" s="18"/>
      <c r="D13" s="16">
        <v>175000000</v>
      </c>
      <c r="E13" s="54">
        <f t="shared" si="2"/>
        <v>1312500</v>
      </c>
      <c r="F13" s="18"/>
      <c r="G13" s="16"/>
      <c r="H13" s="16"/>
      <c r="I13" s="16"/>
      <c r="J13" s="56"/>
    </row>
    <row r="14" spans="1:15" x14ac:dyDescent="0.3">
      <c r="A14" s="12" t="s">
        <v>106</v>
      </c>
      <c r="B14" s="13" t="s">
        <v>107</v>
      </c>
      <c r="C14" s="18"/>
      <c r="D14" s="16">
        <v>200000000</v>
      </c>
      <c r="E14" s="54">
        <f t="shared" si="2"/>
        <v>1500000</v>
      </c>
      <c r="F14" s="18"/>
      <c r="G14" s="16"/>
      <c r="H14" s="16"/>
      <c r="I14" s="16"/>
      <c r="J14" s="56"/>
    </row>
    <row r="15" spans="1:15" x14ac:dyDescent="0.3">
      <c r="A15" s="12" t="s">
        <v>16</v>
      </c>
      <c r="B15" s="13" t="s">
        <v>17</v>
      </c>
      <c r="C15" s="18"/>
      <c r="D15" s="16">
        <v>95000000</v>
      </c>
      <c r="E15" s="54">
        <f t="shared" si="2"/>
        <v>712500</v>
      </c>
      <c r="F15" s="18"/>
      <c r="G15" s="16"/>
      <c r="H15" s="16"/>
      <c r="I15" s="16"/>
      <c r="J15" s="56"/>
    </row>
    <row r="16" spans="1:15" x14ac:dyDescent="0.3">
      <c r="A16" s="12" t="s">
        <v>28</v>
      </c>
      <c r="B16" s="13" t="s">
        <v>29</v>
      </c>
      <c r="C16" s="18"/>
      <c r="D16" s="16">
        <v>38000000</v>
      </c>
      <c r="E16" s="54">
        <f t="shared" si="2"/>
        <v>285000</v>
      </c>
      <c r="F16" s="18"/>
      <c r="G16" s="16"/>
      <c r="H16" s="16"/>
      <c r="I16" s="16"/>
      <c r="J16" s="56"/>
    </row>
    <row r="17" spans="1:10" x14ac:dyDescent="0.3">
      <c r="A17" s="12" t="s">
        <v>18</v>
      </c>
      <c r="B17" s="13" t="s">
        <v>19</v>
      </c>
      <c r="C17" s="18"/>
      <c r="D17" s="16">
        <v>38000000</v>
      </c>
      <c r="E17" s="54">
        <f t="shared" si="2"/>
        <v>285000</v>
      </c>
      <c r="F17" s="18"/>
      <c r="G17" s="16"/>
      <c r="H17" s="16"/>
      <c r="I17" s="16"/>
      <c r="J17" s="56"/>
    </row>
    <row r="18" spans="1:10" x14ac:dyDescent="0.3">
      <c r="A18" s="12" t="s">
        <v>51</v>
      </c>
      <c r="B18" s="13" t="s">
        <v>52</v>
      </c>
      <c r="C18" s="18"/>
      <c r="D18" s="16">
        <v>38000000</v>
      </c>
      <c r="E18" s="54">
        <f t="shared" si="2"/>
        <v>285000</v>
      </c>
      <c r="F18" s="18"/>
      <c r="G18" s="16"/>
      <c r="H18" s="16"/>
      <c r="I18" s="16"/>
      <c r="J18" s="56"/>
    </row>
    <row r="19" spans="1:10" x14ac:dyDescent="0.3">
      <c r="A19" s="12" t="s">
        <v>43</v>
      </c>
      <c r="B19" s="13" t="s">
        <v>44</v>
      </c>
      <c r="C19" s="22"/>
      <c r="D19" s="16"/>
      <c r="E19" s="54">
        <f>D19*$E$4</f>
        <v>0</v>
      </c>
      <c r="F19" s="18"/>
      <c r="G19" s="16"/>
      <c r="H19" s="16"/>
      <c r="I19" s="16"/>
      <c r="J19" s="56">
        <f>(G19+H19+I19)*$J$4</f>
        <v>0</v>
      </c>
    </row>
    <row r="20" spans="1:10" x14ac:dyDescent="0.3">
      <c r="A20" s="12" t="s">
        <v>112</v>
      </c>
      <c r="B20" s="13" t="s">
        <v>113</v>
      </c>
      <c r="C20" s="18"/>
      <c r="D20" s="16"/>
      <c r="E20" s="54"/>
      <c r="F20" s="18"/>
      <c r="G20" s="16"/>
      <c r="H20" s="16"/>
      <c r="I20" s="16"/>
      <c r="J20" s="56"/>
    </row>
    <row r="21" spans="1:10" x14ac:dyDescent="0.3">
      <c r="A21" s="12" t="s">
        <v>181</v>
      </c>
      <c r="B21" s="13" t="s">
        <v>182</v>
      </c>
      <c r="C21" s="18"/>
      <c r="D21" s="16"/>
      <c r="E21" s="54"/>
      <c r="F21" s="18"/>
      <c r="G21" s="16"/>
      <c r="H21" s="16"/>
      <c r="I21" s="16"/>
      <c r="J21" s="56"/>
    </row>
    <row r="22" spans="1:10" x14ac:dyDescent="0.3">
      <c r="A22" s="12" t="s">
        <v>183</v>
      </c>
      <c r="B22" s="13" t="s">
        <v>184</v>
      </c>
      <c r="C22" s="18"/>
      <c r="D22" s="16"/>
      <c r="E22" s="54"/>
      <c r="F22" s="18"/>
      <c r="G22" s="16"/>
      <c r="H22" s="16"/>
      <c r="I22" s="16"/>
      <c r="J22" s="56"/>
    </row>
    <row r="23" spans="1:10" x14ac:dyDescent="0.3">
      <c r="A23" s="12"/>
      <c r="B23" s="13"/>
      <c r="C23" s="18"/>
      <c r="D23" s="16"/>
      <c r="E23" s="54"/>
      <c r="F23" s="18"/>
      <c r="G23" s="16"/>
      <c r="H23" s="16"/>
      <c r="I23" s="16"/>
      <c r="J23" s="56"/>
    </row>
    <row r="24" spans="1:10" x14ac:dyDescent="0.3">
      <c r="A24" s="12"/>
      <c r="B24" s="13"/>
      <c r="C24" s="18"/>
      <c r="D24" s="16"/>
      <c r="E24" s="54"/>
      <c r="F24" s="18"/>
      <c r="G24" s="16"/>
      <c r="H24" s="16"/>
      <c r="I24" s="16"/>
      <c r="J24" s="56"/>
    </row>
    <row r="25" spans="1:10" x14ac:dyDescent="0.3">
      <c r="A25" s="12"/>
      <c r="B25" s="13"/>
      <c r="C25" s="18"/>
      <c r="D25" s="16"/>
      <c r="E25" s="54"/>
      <c r="F25" s="18"/>
      <c r="G25" s="16"/>
      <c r="H25" s="16"/>
      <c r="I25" s="16"/>
      <c r="J25" s="56"/>
    </row>
    <row r="26" spans="1:10" x14ac:dyDescent="0.3">
      <c r="A26" s="12"/>
      <c r="B26" s="13"/>
      <c r="C26" s="18"/>
      <c r="D26" s="16"/>
      <c r="E26" s="54"/>
      <c r="F26" s="18"/>
      <c r="G26" s="16"/>
      <c r="H26" s="16"/>
      <c r="I26" s="16"/>
      <c r="J26" s="56"/>
    </row>
    <row r="27" spans="1:10" ht="15" thickBot="1" x14ac:dyDescent="0.35">
      <c r="A27" s="12"/>
      <c r="B27" s="13"/>
      <c r="C27" s="18"/>
      <c r="D27" s="16"/>
      <c r="E27" s="54"/>
      <c r="F27" s="18"/>
      <c r="G27" s="16"/>
      <c r="H27" s="16"/>
      <c r="I27" s="16"/>
      <c r="J27" s="56"/>
    </row>
    <row r="28" spans="1:10" ht="15" thickBot="1" x14ac:dyDescent="0.35">
      <c r="A28" s="188" t="s">
        <v>34</v>
      </c>
      <c r="B28" s="189"/>
      <c r="C28" s="73"/>
      <c r="D28" s="46">
        <f>SUM(D5:D27)</f>
        <v>1227000000</v>
      </c>
      <c r="E28" s="47">
        <f>SUM(E5:E27)</f>
        <v>9202500</v>
      </c>
      <c r="F28" s="45"/>
      <c r="G28" s="171">
        <f>SUM(G5:I27)</f>
        <v>790000000</v>
      </c>
      <c r="H28" s="171"/>
      <c r="I28" s="171"/>
      <c r="J28" s="47">
        <f>SUM(J5:J27)</f>
        <v>3002000</v>
      </c>
    </row>
    <row r="29" spans="1:10" s="48" customFormat="1" ht="15" thickBot="1" x14ac:dyDescent="0.3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x14ac:dyDescent="0.3">
      <c r="D30" s="195" t="s">
        <v>31</v>
      </c>
      <c r="E30" s="197" t="s">
        <v>32</v>
      </c>
      <c r="F30" s="197" t="s">
        <v>6</v>
      </c>
      <c r="G30" s="80" t="s">
        <v>33</v>
      </c>
      <c r="I30" s="198" t="s">
        <v>100</v>
      </c>
      <c r="J30" s="200" t="s">
        <v>101</v>
      </c>
    </row>
    <row r="31" spans="1:10" x14ac:dyDescent="0.3">
      <c r="D31" s="196"/>
      <c r="E31" s="168"/>
      <c r="F31" s="168"/>
      <c r="G31" s="81">
        <v>1.2E-2</v>
      </c>
      <c r="I31" s="199"/>
      <c r="J31" s="201"/>
    </row>
    <row r="32" spans="1:10" ht="19.8" customHeight="1" x14ac:dyDescent="0.3">
      <c r="D32" s="82" t="s">
        <v>2</v>
      </c>
      <c r="E32" s="16">
        <f>$D$28</f>
        <v>1227000000</v>
      </c>
      <c r="F32" s="35">
        <f>$E$28</f>
        <v>9202500</v>
      </c>
      <c r="G32" s="83">
        <f>((RESUMEN!$O$3*($G$31/12))*($N$3))</f>
        <v>2437081.3113600002</v>
      </c>
      <c r="I32" s="87">
        <v>1944221.3113600002</v>
      </c>
      <c r="J32" s="83">
        <f>+F32+I32</f>
        <v>11146721.31136</v>
      </c>
    </row>
    <row r="33" spans="1:10" ht="19.8" customHeight="1" x14ac:dyDescent="0.3">
      <c r="D33" s="82" t="s">
        <v>3</v>
      </c>
      <c r="E33" s="16">
        <f>$G$28</f>
        <v>790000000</v>
      </c>
      <c r="F33" s="35">
        <f>$J$28</f>
        <v>3002000</v>
      </c>
      <c r="G33" s="83">
        <f>(RESUMEN!$O$4*($G$31/12)*$N$3)</f>
        <v>675069.43646</v>
      </c>
      <c r="I33" s="87">
        <v>394432.91983999999</v>
      </c>
      <c r="J33" s="83">
        <f>+F33+I33</f>
        <v>3396432.9198400001</v>
      </c>
    </row>
    <row r="34" spans="1:10" ht="19.8" customHeight="1" thickBot="1" x14ac:dyDescent="0.35">
      <c r="D34" s="84" t="s">
        <v>34</v>
      </c>
      <c r="E34" s="85">
        <f>+E32+E33</f>
        <v>2017000000</v>
      </c>
      <c r="F34" s="85">
        <f>+F32+F33</f>
        <v>12204500</v>
      </c>
      <c r="G34" s="86">
        <f>+G32+G33</f>
        <v>3112150.7478200002</v>
      </c>
      <c r="I34" s="84">
        <v>2338654.2312000003</v>
      </c>
      <c r="J34" s="86">
        <f>SUM(J32:J33)</f>
        <v>14543154.2312</v>
      </c>
    </row>
    <row r="36" spans="1:10" ht="15" thickBot="1" x14ac:dyDescent="0.35"/>
    <row r="37" spans="1:10" ht="15" thickBot="1" x14ac:dyDescent="0.35">
      <c r="A37" s="174" t="s">
        <v>70</v>
      </c>
      <c r="B37" s="175"/>
      <c r="C37" s="65" t="s">
        <v>79</v>
      </c>
      <c r="D37" s="62" t="s">
        <v>80</v>
      </c>
      <c r="E37" s="57"/>
      <c r="F37" s="57"/>
      <c r="G37" s="57"/>
      <c r="H37" s="57"/>
      <c r="I37" s="57"/>
      <c r="J37" s="57"/>
    </row>
    <row r="38" spans="1:10" x14ac:dyDescent="0.3">
      <c r="A38" s="172" t="s">
        <v>71</v>
      </c>
      <c r="B38" s="173"/>
      <c r="C38" s="67" t="e">
        <f>+#REF!</f>
        <v>#REF!</v>
      </c>
      <c r="D38" s="60">
        <v>1</v>
      </c>
      <c r="J38" s="156">
        <f>J34*0.19</f>
        <v>2763199.3039279999</v>
      </c>
    </row>
    <row r="39" spans="1:10" x14ac:dyDescent="0.3">
      <c r="A39" s="172" t="s">
        <v>72</v>
      </c>
      <c r="B39" s="173"/>
      <c r="C39" s="67" t="e">
        <f>+G5+I5+#REF!+#REF!+#REF!</f>
        <v>#REF!</v>
      </c>
      <c r="D39" s="60">
        <v>3</v>
      </c>
    </row>
    <row r="40" spans="1:10" x14ac:dyDescent="0.3">
      <c r="A40" s="172" t="s">
        <v>81</v>
      </c>
      <c r="B40" s="173"/>
      <c r="C40" s="67" t="e">
        <f>#REF!</f>
        <v>#REF!</v>
      </c>
      <c r="D40" s="60">
        <v>0</v>
      </c>
    </row>
    <row r="41" spans="1:10" ht="23.4" customHeight="1" x14ac:dyDescent="0.3">
      <c r="A41" s="172" t="s">
        <v>82</v>
      </c>
      <c r="B41" s="173"/>
      <c r="C41" s="67">
        <v>0</v>
      </c>
      <c r="D41" s="60">
        <v>0</v>
      </c>
    </row>
    <row r="42" spans="1:10" ht="23.4" customHeight="1" x14ac:dyDescent="0.3">
      <c r="A42" s="172" t="s">
        <v>73</v>
      </c>
      <c r="B42" s="173"/>
      <c r="C42" s="67"/>
      <c r="D42" s="60">
        <v>4</v>
      </c>
    </row>
    <row r="43" spans="1:10" ht="23.4" customHeight="1" x14ac:dyDescent="0.3">
      <c r="A43" s="172" t="s">
        <v>74</v>
      </c>
      <c r="B43" s="173"/>
      <c r="C43" s="67">
        <v>0</v>
      </c>
      <c r="D43" s="60">
        <v>0</v>
      </c>
    </row>
    <row r="44" spans="1:10" ht="16.2" customHeight="1" x14ac:dyDescent="0.3">
      <c r="A44" s="172" t="s">
        <v>75</v>
      </c>
      <c r="B44" s="173"/>
      <c r="C44" s="67">
        <v>0</v>
      </c>
      <c r="D44" s="60">
        <v>0</v>
      </c>
    </row>
    <row r="45" spans="1:10" ht="16.2" customHeight="1" thickBot="1" x14ac:dyDescent="0.35">
      <c r="A45" s="176" t="s">
        <v>76</v>
      </c>
      <c r="B45" s="177"/>
      <c r="C45" s="68">
        <v>0</v>
      </c>
      <c r="D45" s="61">
        <v>0</v>
      </c>
    </row>
    <row r="46" spans="1:10" ht="15" thickBot="1" x14ac:dyDescent="0.35">
      <c r="A46" s="174" t="s">
        <v>34</v>
      </c>
      <c r="B46" s="178"/>
      <c r="C46" s="69" t="e">
        <f>SUM(C38:C45)</f>
        <v>#REF!</v>
      </c>
      <c r="D46" s="62"/>
    </row>
    <row r="47" spans="1:10" x14ac:dyDescent="0.3">
      <c r="A47" s="63"/>
      <c r="B47" s="63"/>
      <c r="C47" s="59"/>
      <c r="D47" s="58"/>
    </row>
    <row r="48" spans="1:10" ht="15" thickBot="1" x14ac:dyDescent="0.35">
      <c r="D48" s="58"/>
    </row>
    <row r="49" spans="1:10" s="57" customFormat="1" ht="15" thickBot="1" x14ac:dyDescent="0.35">
      <c r="A49" s="174" t="s">
        <v>77</v>
      </c>
      <c r="B49" s="178"/>
      <c r="C49" s="65" t="s">
        <v>83</v>
      </c>
      <c r="D49" s="65" t="s">
        <v>84</v>
      </c>
      <c r="E49" s="62" t="s">
        <v>85</v>
      </c>
      <c r="F49" s="62" t="s">
        <v>87</v>
      </c>
    </row>
    <row r="50" spans="1:10" x14ac:dyDescent="0.3">
      <c r="A50" s="172" t="s">
        <v>71</v>
      </c>
      <c r="B50" s="173"/>
      <c r="C50" s="67">
        <v>0</v>
      </c>
      <c r="D50" s="66">
        <f>'FEBRERO 26'!$D41</f>
        <v>3965423270</v>
      </c>
      <c r="E50" s="70" t="e">
        <f>$C$38</f>
        <v>#REF!</v>
      </c>
      <c r="F50" s="70" t="e">
        <f>SUM(C50:E50)</f>
        <v>#REF!</v>
      </c>
    </row>
    <row r="51" spans="1:10" x14ac:dyDescent="0.3">
      <c r="A51" s="172" t="s">
        <v>72</v>
      </c>
      <c r="B51" s="173"/>
      <c r="C51" s="67">
        <v>0</v>
      </c>
      <c r="D51" s="66">
        <f>'FEBRERO 26'!$D42</f>
        <v>0</v>
      </c>
      <c r="E51" s="70" t="e">
        <f>$C$39</f>
        <v>#REF!</v>
      </c>
      <c r="F51" s="70" t="e">
        <f t="shared" ref="F51:F58" si="4">SUM(C51:E51)</f>
        <v>#REF!</v>
      </c>
    </row>
    <row r="52" spans="1:10" x14ac:dyDescent="0.3">
      <c r="A52" s="172" t="s">
        <v>81</v>
      </c>
      <c r="B52" s="173"/>
      <c r="C52" s="67">
        <v>0</v>
      </c>
      <c r="D52" s="66">
        <f>'FEBRERO 26'!$D43</f>
        <v>0</v>
      </c>
      <c r="E52" s="70" t="e">
        <f>$C$40</f>
        <v>#REF!</v>
      </c>
      <c r="F52" s="70" t="e">
        <f t="shared" si="4"/>
        <v>#REF!</v>
      </c>
    </row>
    <row r="53" spans="1:10" x14ac:dyDescent="0.3">
      <c r="A53" s="172" t="s">
        <v>82</v>
      </c>
      <c r="B53" s="173"/>
      <c r="C53" s="67">
        <v>0</v>
      </c>
      <c r="D53" s="66">
        <f>'FEBRERO 26'!$D44</f>
        <v>0</v>
      </c>
      <c r="E53" s="70">
        <f>$C$41</f>
        <v>0</v>
      </c>
      <c r="F53" s="70">
        <f t="shared" si="4"/>
        <v>0</v>
      </c>
    </row>
    <row r="54" spans="1:10" x14ac:dyDescent="0.3">
      <c r="A54" s="172" t="s">
        <v>73</v>
      </c>
      <c r="B54" s="173"/>
      <c r="C54" s="72">
        <v>0</v>
      </c>
      <c r="D54" s="60">
        <f>'FEBRERO 26'!D45</f>
        <v>10</v>
      </c>
      <c r="E54" s="60">
        <f>$D$42</f>
        <v>4</v>
      </c>
      <c r="F54" s="70">
        <f t="shared" si="4"/>
        <v>14</v>
      </c>
    </row>
    <row r="55" spans="1:10" x14ac:dyDescent="0.3">
      <c r="A55" s="172" t="s">
        <v>74</v>
      </c>
      <c r="B55" s="173"/>
      <c r="C55" s="67">
        <v>0</v>
      </c>
      <c r="D55" s="66">
        <f>'FEBRERO 26'!$D46</f>
        <v>0</v>
      </c>
      <c r="E55" s="70">
        <f>$C$43</f>
        <v>0</v>
      </c>
      <c r="F55" s="70">
        <f t="shared" si="4"/>
        <v>0</v>
      </c>
    </row>
    <row r="56" spans="1:10" x14ac:dyDescent="0.3">
      <c r="A56" s="172" t="s">
        <v>75</v>
      </c>
      <c r="B56" s="173"/>
      <c r="C56" s="67">
        <v>0</v>
      </c>
      <c r="D56" s="66">
        <f>'FEBRERO 26'!$D47</f>
        <v>0</v>
      </c>
      <c r="E56" s="70">
        <f>$C$44</f>
        <v>0</v>
      </c>
      <c r="F56" s="70">
        <f t="shared" si="4"/>
        <v>0</v>
      </c>
    </row>
    <row r="57" spans="1:10" ht="15" thickBot="1" x14ac:dyDescent="0.35">
      <c r="A57" s="172" t="s">
        <v>76</v>
      </c>
      <c r="B57" s="173"/>
      <c r="C57" s="67">
        <v>0</v>
      </c>
      <c r="D57" s="66">
        <f>'FEBRERO 26'!$D48</f>
        <v>0</v>
      </c>
      <c r="E57" s="70">
        <f>$C$45</f>
        <v>0</v>
      </c>
      <c r="F57" s="70">
        <f t="shared" si="4"/>
        <v>0</v>
      </c>
    </row>
    <row r="58" spans="1:10" ht="15" thickBot="1" x14ac:dyDescent="0.35">
      <c r="A58" s="174" t="s">
        <v>34</v>
      </c>
      <c r="B58" s="178"/>
      <c r="C58" s="69">
        <f>SUM(C50:C57)</f>
        <v>0</v>
      </c>
      <c r="D58" s="69">
        <f>SUM(D50:D57)</f>
        <v>3965423280</v>
      </c>
      <c r="E58" s="69" t="e">
        <f>SUM(E50:E57)</f>
        <v>#REF!</v>
      </c>
      <c r="F58" s="69" t="e">
        <f t="shared" si="4"/>
        <v>#REF!</v>
      </c>
    </row>
    <row r="60" spans="1:10" ht="15" thickBot="1" x14ac:dyDescent="0.35"/>
    <row r="61" spans="1:10" s="57" customFormat="1" ht="15" thickBot="1" x14ac:dyDescent="0.35">
      <c r="A61" s="174" t="s">
        <v>78</v>
      </c>
      <c r="B61" s="178"/>
      <c r="C61" s="65" t="s">
        <v>79</v>
      </c>
      <c r="D61" s="62" t="s">
        <v>80</v>
      </c>
      <c r="E61" s="44"/>
      <c r="F61" s="44"/>
      <c r="G61" s="44"/>
      <c r="H61" s="44"/>
      <c r="I61" s="44"/>
      <c r="J61" s="44"/>
    </row>
    <row r="62" spans="1:10" x14ac:dyDescent="0.3">
      <c r="A62" s="172" t="s">
        <v>71</v>
      </c>
      <c r="B62" s="173"/>
      <c r="C62" s="67"/>
      <c r="D62" s="60"/>
    </row>
    <row r="63" spans="1:10" x14ac:dyDescent="0.3">
      <c r="A63" s="172" t="s">
        <v>72</v>
      </c>
      <c r="B63" s="173"/>
      <c r="C63" s="67"/>
      <c r="D63" s="60"/>
    </row>
    <row r="64" spans="1:10" x14ac:dyDescent="0.3">
      <c r="A64" s="172" t="s">
        <v>81</v>
      </c>
      <c r="B64" s="173"/>
      <c r="C64" s="67"/>
      <c r="D64" s="60"/>
    </row>
    <row r="65" spans="1:5" x14ac:dyDescent="0.3">
      <c r="A65" s="172" t="s">
        <v>82</v>
      </c>
      <c r="B65" s="173"/>
      <c r="C65" s="67"/>
      <c r="D65" s="60"/>
    </row>
    <row r="66" spans="1:5" x14ac:dyDescent="0.3">
      <c r="A66" s="172" t="s">
        <v>73</v>
      </c>
      <c r="B66" s="173"/>
      <c r="C66" s="67"/>
      <c r="D66" s="60"/>
    </row>
    <row r="67" spans="1:5" x14ac:dyDescent="0.3">
      <c r="A67" s="172" t="s">
        <v>74</v>
      </c>
      <c r="B67" s="173"/>
      <c r="C67" s="67"/>
      <c r="D67" s="60"/>
    </row>
    <row r="68" spans="1:5" x14ac:dyDescent="0.3">
      <c r="A68" s="172" t="s">
        <v>75</v>
      </c>
      <c r="B68" s="173"/>
      <c r="C68" s="67"/>
      <c r="D68" s="60"/>
    </row>
    <row r="69" spans="1:5" ht="15" thickBot="1" x14ac:dyDescent="0.35">
      <c r="A69" s="176" t="s">
        <v>76</v>
      </c>
      <c r="B69" s="177"/>
      <c r="C69" s="68"/>
      <c r="D69" s="61"/>
    </row>
    <row r="70" spans="1:5" ht="15" thickBot="1" x14ac:dyDescent="0.35">
      <c r="A70" s="174" t="s">
        <v>34</v>
      </c>
      <c r="B70" s="178"/>
      <c r="C70" s="69"/>
      <c r="D70" s="62"/>
    </row>
    <row r="73" spans="1:5" ht="15" thickBot="1" x14ac:dyDescent="0.35"/>
    <row r="74" spans="1:5" ht="15" thickBot="1" x14ac:dyDescent="0.35">
      <c r="A74" s="179" t="s">
        <v>69</v>
      </c>
      <c r="B74" s="180"/>
      <c r="C74" s="180"/>
      <c r="D74" s="180"/>
      <c r="E74" s="181"/>
    </row>
    <row r="86" ht="39" customHeight="1" x14ac:dyDescent="0.3"/>
  </sheetData>
  <mergeCells count="49">
    <mergeCell ref="L2:L4"/>
    <mergeCell ref="C3:C4"/>
    <mergeCell ref="D3:D4"/>
    <mergeCell ref="F3:F4"/>
    <mergeCell ref="G3:I3"/>
    <mergeCell ref="A1:K1"/>
    <mergeCell ref="A2:A4"/>
    <mergeCell ref="B2:B4"/>
    <mergeCell ref="C2:E2"/>
    <mergeCell ref="F2:J2"/>
    <mergeCell ref="L5:L7"/>
    <mergeCell ref="A28:B28"/>
    <mergeCell ref="G28:I28"/>
    <mergeCell ref="D30:D31"/>
    <mergeCell ref="E30:E31"/>
    <mergeCell ref="F30:F31"/>
    <mergeCell ref="I30:I31"/>
    <mergeCell ref="J30:J31"/>
    <mergeCell ref="A50:B50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9:B49"/>
    <mergeCell ref="A64:B64"/>
    <mergeCell ref="A51:B51"/>
    <mergeCell ref="A52:B52"/>
    <mergeCell ref="A53:B53"/>
    <mergeCell ref="A54:B54"/>
    <mergeCell ref="A55:B55"/>
    <mergeCell ref="A56:B56"/>
    <mergeCell ref="A57:B57"/>
    <mergeCell ref="A58:B58"/>
    <mergeCell ref="A61:B61"/>
    <mergeCell ref="A62:B62"/>
    <mergeCell ref="A63:B63"/>
    <mergeCell ref="A74:E74"/>
    <mergeCell ref="A65:B65"/>
    <mergeCell ref="A66:B66"/>
    <mergeCell ref="A67:B67"/>
    <mergeCell ref="A68:B68"/>
    <mergeCell ref="A69:B69"/>
    <mergeCell ref="A70:B7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C673-F440-468B-B986-628C5C5A46F5}">
  <dimension ref="A1:L27"/>
  <sheetViews>
    <sheetView showGridLines="0" workbookViewId="0">
      <selection activeCell="G27" sqref="G27"/>
    </sheetView>
  </sheetViews>
  <sheetFormatPr baseColWidth="10" defaultRowHeight="14.4" x14ac:dyDescent="0.3"/>
  <cols>
    <col min="1" max="1" width="10.6640625" style="44" bestFit="1" customWidth="1"/>
    <col min="2" max="2" width="29.6640625" style="44" bestFit="1" customWidth="1"/>
    <col min="3" max="3" width="10.33203125" style="44" bestFit="1" customWidth="1"/>
    <col min="4" max="5" width="14.88671875" style="44" customWidth="1"/>
    <col min="6" max="6" width="14.33203125" style="76" bestFit="1" customWidth="1"/>
    <col min="7" max="16384" width="11.5546875" style="44"/>
  </cols>
  <sheetData>
    <row r="1" spans="1:12" ht="15" thickBot="1" x14ac:dyDescent="0.35">
      <c r="B1" s="133" t="s">
        <v>20</v>
      </c>
      <c r="C1" s="134" t="s">
        <v>114</v>
      </c>
      <c r="D1" s="133"/>
      <c r="E1" s="134" t="s">
        <v>115</v>
      </c>
      <c r="F1" s="145">
        <v>2295795869</v>
      </c>
      <c r="G1" s="133" t="s">
        <v>116</v>
      </c>
      <c r="H1" s="133" t="s">
        <v>117</v>
      </c>
      <c r="I1" s="133" t="e" vm="1">
        <v>#VALUE!</v>
      </c>
      <c r="J1" s="133"/>
      <c r="K1" s="133" t="s">
        <v>118</v>
      </c>
    </row>
    <row r="2" spans="1:12" ht="15" thickBot="1" x14ac:dyDescent="0.35">
      <c r="A2" s="136"/>
      <c r="B2" s="135" t="s">
        <v>14</v>
      </c>
      <c r="C2" s="137" t="s">
        <v>119</v>
      </c>
      <c r="D2" s="135"/>
      <c r="E2" s="137" t="s">
        <v>120</v>
      </c>
      <c r="F2" s="146">
        <v>599501603</v>
      </c>
      <c r="G2" s="135" t="s">
        <v>121</v>
      </c>
      <c r="H2" s="135" t="s">
        <v>122</v>
      </c>
      <c r="I2" s="135" t="e" vm="1">
        <v>#VALUE!</v>
      </c>
      <c r="J2" s="135" t="s">
        <v>123</v>
      </c>
      <c r="K2" s="135" t="s">
        <v>124</v>
      </c>
      <c r="L2" s="135"/>
    </row>
    <row r="3" spans="1:12" ht="15" thickBot="1" x14ac:dyDescent="0.35">
      <c r="A3" s="136"/>
      <c r="B3" s="135" t="s">
        <v>26</v>
      </c>
      <c r="C3" s="137" t="s">
        <v>125</v>
      </c>
      <c r="D3" s="135"/>
      <c r="E3" s="137" t="s">
        <v>126</v>
      </c>
      <c r="F3" s="146">
        <v>552771251</v>
      </c>
      <c r="G3" s="135" t="s">
        <v>116</v>
      </c>
      <c r="H3" s="135" t="s">
        <v>127</v>
      </c>
      <c r="I3" s="135" t="e" vm="1">
        <v>#VALUE!</v>
      </c>
      <c r="J3" s="135" t="s">
        <v>128</v>
      </c>
      <c r="K3" s="135" t="s">
        <v>129</v>
      </c>
      <c r="L3" s="135"/>
    </row>
    <row r="4" spans="1:12" ht="15" thickBot="1" x14ac:dyDescent="0.35">
      <c r="A4" s="136"/>
      <c r="B4" s="135" t="s">
        <v>67</v>
      </c>
      <c r="C4" s="137" t="s">
        <v>130</v>
      </c>
      <c r="D4" s="135"/>
      <c r="E4" s="137" t="s">
        <v>131</v>
      </c>
      <c r="F4" s="146">
        <v>432506499</v>
      </c>
      <c r="G4" s="135" t="s">
        <v>132</v>
      </c>
      <c r="H4" s="135" t="s">
        <v>127</v>
      </c>
      <c r="I4" s="135" t="e" vm="1">
        <v>#VALUE!</v>
      </c>
      <c r="J4" s="135" t="s">
        <v>133</v>
      </c>
      <c r="K4" s="135" t="s">
        <v>134</v>
      </c>
      <c r="L4" s="135"/>
    </row>
    <row r="5" spans="1:12" ht="15" thickBot="1" x14ac:dyDescent="0.35">
      <c r="A5" s="136"/>
      <c r="B5" s="135" t="s">
        <v>135</v>
      </c>
      <c r="C5" s="137" t="s">
        <v>136</v>
      </c>
      <c r="D5" s="135"/>
      <c r="E5" s="137" t="s">
        <v>137</v>
      </c>
      <c r="F5" s="146">
        <v>424773180</v>
      </c>
      <c r="G5" s="135" t="s">
        <v>138</v>
      </c>
      <c r="H5" s="135" t="s">
        <v>127</v>
      </c>
      <c r="I5" s="135" t="e" vm="1">
        <v>#VALUE!</v>
      </c>
      <c r="J5" s="135" t="s">
        <v>139</v>
      </c>
      <c r="K5" s="135" t="s">
        <v>140</v>
      </c>
      <c r="L5" s="135"/>
    </row>
    <row r="6" spans="1:12" ht="15" thickBot="1" x14ac:dyDescent="0.35">
      <c r="A6" s="136"/>
      <c r="B6" s="135"/>
      <c r="C6" s="137"/>
      <c r="D6" s="135"/>
      <c r="E6" s="137"/>
      <c r="F6" s="146">
        <v>400000000</v>
      </c>
      <c r="G6" s="135"/>
      <c r="H6" s="135"/>
      <c r="I6" s="135"/>
      <c r="J6" s="135"/>
      <c r="K6" s="135"/>
      <c r="L6" s="135"/>
    </row>
    <row r="7" spans="1:12" ht="15" thickBot="1" x14ac:dyDescent="0.35">
      <c r="A7" s="136"/>
      <c r="B7" s="135" t="s">
        <v>22</v>
      </c>
      <c r="C7" s="137" t="s">
        <v>141</v>
      </c>
      <c r="D7" s="135"/>
      <c r="E7" s="137" t="s">
        <v>142</v>
      </c>
      <c r="F7" s="146">
        <v>349631333</v>
      </c>
      <c r="G7" s="135" t="s">
        <v>116</v>
      </c>
      <c r="H7" s="135" t="s">
        <v>127</v>
      </c>
      <c r="I7" s="135" t="e" vm="1">
        <v>#VALUE!</v>
      </c>
      <c r="J7" s="135" t="s">
        <v>143</v>
      </c>
      <c r="K7" s="135" t="s">
        <v>144</v>
      </c>
      <c r="L7" s="135"/>
    </row>
    <row r="8" spans="1:12" ht="15" thickBot="1" x14ac:dyDescent="0.35">
      <c r="A8" s="136"/>
      <c r="B8" s="135" t="s">
        <v>24</v>
      </c>
      <c r="C8" s="137" t="s">
        <v>145</v>
      </c>
      <c r="D8" s="135"/>
      <c r="E8" s="137" t="s">
        <v>146</v>
      </c>
      <c r="F8" s="146">
        <v>246296571</v>
      </c>
      <c r="G8" s="135" t="s">
        <v>147</v>
      </c>
      <c r="H8" s="135" t="s">
        <v>117</v>
      </c>
      <c r="I8" s="135" t="e" vm="1">
        <v>#VALUE!</v>
      </c>
      <c r="J8" s="135" t="s">
        <v>143</v>
      </c>
      <c r="K8" s="135" t="s">
        <v>148</v>
      </c>
      <c r="L8" s="135"/>
    </row>
    <row r="9" spans="1:12" ht="15" thickBot="1" x14ac:dyDescent="0.35">
      <c r="A9" s="136"/>
      <c r="B9" s="135" t="s">
        <v>53</v>
      </c>
      <c r="C9" s="137" t="s">
        <v>149</v>
      </c>
      <c r="D9" s="135"/>
      <c r="E9" s="137" t="s">
        <v>150</v>
      </c>
      <c r="F9" s="146">
        <v>195665713</v>
      </c>
      <c r="G9" s="135" t="s">
        <v>116</v>
      </c>
      <c r="H9" s="135" t="s">
        <v>127</v>
      </c>
      <c r="I9" s="135" t="e" vm="1">
        <v>#VALUE!</v>
      </c>
      <c r="J9" s="135" t="s">
        <v>133</v>
      </c>
      <c r="K9" s="135" t="s">
        <v>151</v>
      </c>
      <c r="L9" s="135"/>
    </row>
    <row r="10" spans="1:12" ht="15" thickBot="1" x14ac:dyDescent="0.35">
      <c r="A10" s="136"/>
      <c r="B10" s="135" t="s">
        <v>65</v>
      </c>
      <c r="C10" s="137" t="s">
        <v>152</v>
      </c>
      <c r="D10" s="135"/>
      <c r="E10" s="137" t="s">
        <v>153</v>
      </c>
      <c r="F10" s="146">
        <v>149439086</v>
      </c>
      <c r="G10" s="135" t="s">
        <v>116</v>
      </c>
      <c r="H10" s="135" t="s">
        <v>117</v>
      </c>
      <c r="I10" s="135" t="e" vm="1">
        <v>#VALUE!</v>
      </c>
      <c r="J10" s="135"/>
      <c r="K10" s="135" t="s">
        <v>154</v>
      </c>
      <c r="L10" s="135"/>
    </row>
    <row r="11" spans="1:12" ht="15" thickBot="1" x14ac:dyDescent="0.35">
      <c r="A11" s="136"/>
      <c r="B11" s="135" t="s">
        <v>12</v>
      </c>
      <c r="C11" s="137" t="s">
        <v>155</v>
      </c>
      <c r="D11" s="135"/>
      <c r="E11" s="137" t="s">
        <v>156</v>
      </c>
      <c r="F11" s="146">
        <v>144525013</v>
      </c>
      <c r="G11" s="135" t="s">
        <v>147</v>
      </c>
      <c r="H11" s="135" t="s">
        <v>127</v>
      </c>
      <c r="I11" s="135" t="e" vm="1">
        <v>#VALUE!</v>
      </c>
      <c r="J11" s="135" t="s">
        <v>157</v>
      </c>
      <c r="K11" s="135" t="s">
        <v>158</v>
      </c>
      <c r="L11" s="135"/>
    </row>
    <row r="12" spans="1:12" ht="15" thickBot="1" x14ac:dyDescent="0.35">
      <c r="A12" s="136"/>
      <c r="B12" s="135" t="s">
        <v>59</v>
      </c>
      <c r="C12" s="137" t="s">
        <v>159</v>
      </c>
      <c r="D12" s="135"/>
      <c r="E12" s="137" t="s">
        <v>160</v>
      </c>
      <c r="F12" s="146">
        <v>138081675</v>
      </c>
      <c r="G12" s="135" t="s">
        <v>161</v>
      </c>
      <c r="H12" s="135" t="s">
        <v>127</v>
      </c>
      <c r="I12" s="135" t="e" vm="1">
        <v>#VALUE!</v>
      </c>
      <c r="J12" s="135" t="s">
        <v>139</v>
      </c>
      <c r="K12" s="135" t="s">
        <v>154</v>
      </c>
      <c r="L12" s="135"/>
    </row>
    <row r="13" spans="1:12" ht="15" thickBot="1" x14ac:dyDescent="0.35">
      <c r="A13" s="136"/>
      <c r="B13" s="135" t="s">
        <v>10</v>
      </c>
      <c r="C13" s="137" t="s">
        <v>162</v>
      </c>
      <c r="D13" s="135"/>
      <c r="E13" s="137" t="s">
        <v>156</v>
      </c>
      <c r="F13" s="146">
        <v>29757666</v>
      </c>
      <c r="G13" s="135" t="s">
        <v>116</v>
      </c>
      <c r="H13" s="135" t="s">
        <v>122</v>
      </c>
      <c r="I13" s="135" t="e" vm="1">
        <v>#VALUE!</v>
      </c>
      <c r="J13" s="135" t="s">
        <v>139</v>
      </c>
      <c r="K13" s="135" t="s">
        <v>144</v>
      </c>
      <c r="L13" s="135"/>
    </row>
    <row r="14" spans="1:12" ht="15" thickBot="1" x14ac:dyDescent="0.35">
      <c r="A14" s="136"/>
      <c r="B14" s="135" t="s">
        <v>55</v>
      </c>
      <c r="C14" s="137" t="s">
        <v>163</v>
      </c>
      <c r="D14" s="135"/>
      <c r="E14" s="137" t="s">
        <v>164</v>
      </c>
      <c r="F14" s="146">
        <v>26516761</v>
      </c>
      <c r="G14" s="135" t="s">
        <v>132</v>
      </c>
      <c r="H14" s="135" t="s">
        <v>127</v>
      </c>
      <c r="I14" s="135" t="e" vm="1">
        <v>#VALUE!</v>
      </c>
      <c r="J14" s="135"/>
      <c r="K14" s="135" t="s">
        <v>154</v>
      </c>
      <c r="L14" s="135"/>
    </row>
    <row r="15" spans="1:12" ht="15" thickBot="1" x14ac:dyDescent="0.35">
      <c r="A15" s="136"/>
      <c r="B15" s="135" t="s">
        <v>16</v>
      </c>
      <c r="C15" s="137" t="s">
        <v>165</v>
      </c>
      <c r="D15" s="135"/>
      <c r="E15" s="137" t="s">
        <v>166</v>
      </c>
      <c r="F15" s="146">
        <v>19892456</v>
      </c>
      <c r="G15" s="135" t="s">
        <v>116</v>
      </c>
      <c r="H15" s="135" t="s">
        <v>127</v>
      </c>
      <c r="I15" s="135" t="e" vm="1">
        <v>#VALUE!</v>
      </c>
      <c r="J15" s="135" t="s">
        <v>139</v>
      </c>
      <c r="K15" s="135" t="s">
        <v>124</v>
      </c>
      <c r="L15" s="135"/>
    </row>
    <row r="16" spans="1:12" ht="15" thickBot="1" x14ac:dyDescent="0.35">
      <c r="A16" s="136"/>
      <c r="B16" s="135" t="s">
        <v>63</v>
      </c>
      <c r="C16" s="137" t="s">
        <v>167</v>
      </c>
      <c r="D16" s="135"/>
      <c r="E16" s="137" t="s">
        <v>168</v>
      </c>
      <c r="F16" s="146">
        <v>7358840</v>
      </c>
      <c r="G16" s="135" t="s">
        <v>169</v>
      </c>
      <c r="H16" s="135" t="s">
        <v>117</v>
      </c>
      <c r="I16" s="135" t="e" vm="1">
        <v>#VALUE!</v>
      </c>
      <c r="J16" s="135" t="s">
        <v>139</v>
      </c>
      <c r="K16" s="135" t="s">
        <v>144</v>
      </c>
      <c r="L16" s="135"/>
    </row>
    <row r="17" spans="1:12" ht="15" thickBot="1" x14ac:dyDescent="0.35">
      <c r="A17" s="139"/>
      <c r="B17" s="138" t="s">
        <v>51</v>
      </c>
      <c r="C17" s="140" t="s">
        <v>170</v>
      </c>
      <c r="D17" s="138"/>
      <c r="E17" s="140" t="s">
        <v>171</v>
      </c>
      <c r="F17" s="147">
        <v>4980145</v>
      </c>
      <c r="G17" s="138" t="s">
        <v>116</v>
      </c>
      <c r="H17" s="138" t="s">
        <v>172</v>
      </c>
      <c r="I17" s="138" t="e" vm="1">
        <v>#VALUE!</v>
      </c>
      <c r="J17" s="138" t="s">
        <v>133</v>
      </c>
      <c r="K17" s="138" t="s">
        <v>154</v>
      </c>
      <c r="L17" s="138"/>
    </row>
    <row r="18" spans="1:12" ht="15" thickBot="1" x14ac:dyDescent="0.35">
      <c r="A18" s="136"/>
      <c r="B18" s="135" t="s">
        <v>28</v>
      </c>
      <c r="C18" s="137" t="s">
        <v>173</v>
      </c>
      <c r="D18" s="135"/>
      <c r="E18" s="137" t="s">
        <v>171</v>
      </c>
      <c r="F18" s="146">
        <v>4974733</v>
      </c>
      <c r="G18" s="135" t="s">
        <v>116</v>
      </c>
      <c r="H18" s="135" t="s">
        <v>172</v>
      </c>
      <c r="I18" s="135" t="e" vm="1">
        <v>#VALUE!</v>
      </c>
      <c r="J18" s="135" t="s">
        <v>174</v>
      </c>
      <c r="K18" s="135" t="s">
        <v>129</v>
      </c>
      <c r="L18" s="135"/>
    </row>
    <row r="19" spans="1:12" ht="15" thickBot="1" x14ac:dyDescent="0.35">
      <c r="A19" s="136"/>
      <c r="B19" s="135" t="s">
        <v>18</v>
      </c>
      <c r="C19" s="137" t="s">
        <v>175</v>
      </c>
      <c r="D19" s="135"/>
      <c r="E19" s="137" t="s">
        <v>171</v>
      </c>
      <c r="F19" s="146">
        <v>4969811</v>
      </c>
      <c r="G19" s="135" t="s">
        <v>116</v>
      </c>
      <c r="H19" s="135" t="s">
        <v>122</v>
      </c>
      <c r="I19" s="135" t="e" vm="1">
        <v>#VALUE!</v>
      </c>
      <c r="J19" s="135" t="s">
        <v>157</v>
      </c>
      <c r="K19" s="135" t="s">
        <v>140</v>
      </c>
      <c r="L19" s="135"/>
    </row>
    <row r="20" spans="1:12" ht="15" thickBot="1" x14ac:dyDescent="0.35">
      <c r="A20" s="136"/>
      <c r="B20" s="135" t="s">
        <v>176</v>
      </c>
      <c r="C20" s="137" t="s">
        <v>177</v>
      </c>
      <c r="D20" s="135"/>
      <c r="E20" s="137" t="s">
        <v>178</v>
      </c>
      <c r="F20" s="146">
        <v>49408</v>
      </c>
      <c r="G20" s="135" t="s">
        <v>116</v>
      </c>
      <c r="H20" s="135" t="s">
        <v>117</v>
      </c>
      <c r="I20" s="135" t="e" vm="1">
        <v>#VALUE!</v>
      </c>
      <c r="J20" s="135" t="s">
        <v>139</v>
      </c>
      <c r="K20" s="135" t="s">
        <v>154</v>
      </c>
      <c r="L20" s="135"/>
    </row>
    <row r="21" spans="1:12" ht="15" thickBot="1" x14ac:dyDescent="0.35">
      <c r="A21" s="141"/>
      <c r="B21" s="142" t="s">
        <v>45</v>
      </c>
      <c r="C21" s="143" t="s">
        <v>179</v>
      </c>
      <c r="D21" s="142"/>
      <c r="E21" s="143" t="s">
        <v>180</v>
      </c>
      <c r="F21" s="148">
        <v>9846</v>
      </c>
      <c r="G21" s="144"/>
      <c r="H21" s="144"/>
      <c r="I21" s="144"/>
      <c r="J21" s="144"/>
      <c r="K21" s="144"/>
      <c r="L21" s="144"/>
    </row>
    <row r="22" spans="1:12" x14ac:dyDescent="0.3">
      <c r="A22" s="149"/>
      <c r="B22" s="133"/>
      <c r="C22" s="150"/>
      <c r="D22" s="133"/>
      <c r="E22" s="150"/>
      <c r="F22" s="151"/>
      <c r="G22" s="152"/>
      <c r="H22" s="152"/>
      <c r="I22" s="152"/>
      <c r="J22" s="152"/>
      <c r="K22" s="152"/>
      <c r="L22" s="152"/>
    </row>
    <row r="23" spans="1:12" x14ac:dyDescent="0.3">
      <c r="A23" s="149"/>
      <c r="B23" s="133"/>
      <c r="C23" s="150"/>
      <c r="D23" s="133"/>
      <c r="E23" s="150"/>
      <c r="F23" s="151"/>
      <c r="G23" s="152"/>
      <c r="H23" s="152"/>
      <c r="I23" s="152"/>
      <c r="J23" s="152"/>
      <c r="K23" s="152"/>
      <c r="L23" s="152"/>
    </row>
    <row r="24" spans="1:12" x14ac:dyDescent="0.3">
      <c r="A24" s="149"/>
      <c r="B24" s="133"/>
      <c r="C24" s="150"/>
      <c r="D24" s="133"/>
      <c r="E24" s="150"/>
      <c r="F24" s="151"/>
      <c r="G24" s="152"/>
      <c r="H24" s="152"/>
      <c r="I24" s="152"/>
      <c r="J24" s="152"/>
      <c r="K24" s="152"/>
      <c r="L24" s="152"/>
    </row>
    <row r="25" spans="1:12" x14ac:dyDescent="0.3">
      <c r="A25" s="149"/>
      <c r="B25" s="133"/>
      <c r="C25" s="150"/>
      <c r="D25" s="133"/>
      <c r="E25" s="150"/>
      <c r="F25" s="151"/>
      <c r="G25" s="152"/>
      <c r="H25" s="152"/>
      <c r="I25" s="152"/>
      <c r="J25" s="152"/>
      <c r="K25" s="152"/>
      <c r="L25" s="152"/>
    </row>
    <row r="26" spans="1:12" x14ac:dyDescent="0.3">
      <c r="A26" s="149"/>
      <c r="B26" s="133"/>
      <c r="C26" s="150"/>
      <c r="D26" s="133"/>
      <c r="E26" s="150"/>
      <c r="F26" s="151"/>
      <c r="G26" s="152"/>
      <c r="H26" s="152"/>
      <c r="I26" s="152"/>
      <c r="J26" s="152"/>
      <c r="K26" s="152"/>
      <c r="L26" s="152"/>
    </row>
    <row r="27" spans="1:12" s="48" customFormat="1" x14ac:dyDescent="0.3">
      <c r="F27" s="88">
        <f>SUM(F1:F21)</f>
        <v>6027497459</v>
      </c>
      <c r="G27" s="154">
        <v>1.2E-2</v>
      </c>
      <c r="H27" s="57">
        <v>12</v>
      </c>
      <c r="I27" s="155">
        <v>0.38</v>
      </c>
      <c r="J27" s="153">
        <f>(F27*((G27/H27)*I27))</f>
        <v>2290449.0344199999</v>
      </c>
    </row>
  </sheetData>
  <hyperlinks>
    <hyperlink ref="C1" r:id="rId1" tooltip="INVERSIONES CANTO DEL AGUA LTDA" display="https://pfgcl.lightning.force.com/lightning/r/001Pr00000eGwtpIAC/view" xr:uid="{C2E10A64-E952-4A2D-ABB5-B861AF603927}"/>
    <hyperlink ref="E1" r:id="rId2" display="mailto:adcmineria@gmail.com" xr:uid="{E63D6ACE-54E0-4D98-B5E8-1642E1B2C486}"/>
    <hyperlink ref="C2" r:id="rId3" tooltip="LORETO VIVIANA GROSSI" display="https://pfgcl.lightning.force.com/lightning/r/0011N00001qLPpzQAG/view" xr:uid="{CC0274C3-DDD8-498D-B556-3688AF76C646}"/>
    <hyperlink ref="E2" r:id="rId4" display="mailto:loretogrossi@gmail.com" xr:uid="{53E5D52A-16DE-4CE5-8C56-7E3BE780F079}"/>
    <hyperlink ref="C3" r:id="rId5" tooltip="MARIA DEL PILAR IDUYA" display="https://pfgcl.lightning.force.com/lightning/r/001Pr00000fYQYMIA4/view" xr:uid="{D63EA950-D79A-4919-8B75-C043059361CC}"/>
    <hyperlink ref="E3" r:id="rId6" display="mailto:pilar.iduya@gmail.com" xr:uid="{1A3694B1-E568-49AF-BC23-EB1B670F5116}"/>
    <hyperlink ref="C4" r:id="rId7" tooltip="NELSON ORLANDO MORAGA" display="https://pfgcl.lightning.force.com/lightning/r/001Pr00000fYVjLIAW/view" xr:uid="{51FA75EB-A61C-40EF-9641-A6DE4B3BE72B}"/>
    <hyperlink ref="E4" r:id="rId8" display="mailto:nmoraga@userena.cl" xr:uid="{21C55441-0D97-496C-AB87-1894E4ADF92A}"/>
    <hyperlink ref="C5" r:id="rId9" tooltip="MAURICIO ENRIQUE MENDEZ" display="https://pfgcl.lightning.force.com/lightning/r/0011N00001qKgdJQAS/view" xr:uid="{150583F0-BB71-40F1-8F47-ED843D3BBCF2}"/>
    <hyperlink ref="E5" r:id="rId10" display="mailto:mauricio.mendez.m@gmail.com" xr:uid="{BCE643F4-EEF9-4FF3-B835-7C61744EC079}"/>
    <hyperlink ref="C7" r:id="rId11" tooltip="LUIS JAVIER ESCOBAR" display="https://pfgcl.lightning.force.com/lightning/r/001Pr00000ei2wlIAA/view" xr:uid="{72AD26D4-9629-4DAC-B5F6-354B8888ED2A}"/>
    <hyperlink ref="E7" r:id="rId12" display="mailto:javiere712@gmail.com" xr:uid="{702ECD25-D9E1-4416-9B98-8171C7BF7F69}"/>
    <hyperlink ref="C8" r:id="rId13" tooltip="ERIC MANCILLA" display="https://pfgcl.lightning.force.com/lightning/r/0011N00001qHjz6QAC/view" xr:uid="{FBD48E38-B1BE-42AB-B3E9-2E0DEC8C05D7}"/>
    <hyperlink ref="E8" r:id="rId14" display="mailto:emancilla.r@gmail.com" xr:uid="{9641FFA1-60C4-482A-855A-0EABA162B192}"/>
    <hyperlink ref="C9" r:id="rId15" tooltip="MAURICIO ALEJANDRO AGUILERA" display="https://pfgcl.lightning.force.com/lightning/r/001Pr00000eyaXxIAI/view" xr:uid="{E21F7409-0E7B-4625-A0F9-4A73A7623AD7}"/>
    <hyperlink ref="E9" r:id="rId16" display="mailto:mauricio0069@gmail.com" xr:uid="{29977AE4-93B2-4091-982E-8C3B436399DF}"/>
    <hyperlink ref="C10" r:id="rId17" tooltip="ASESORÍAS INTRAHOLDING ANDURIL SPA" display="https://pfgcl.lightning.force.com/lightning/r/001Pr00000fZ3ElIAK/view" xr:uid="{F4FD75F3-0452-4881-9B82-9B909B031BD5}"/>
    <hyperlink ref="E10" r:id="rId18" display="mailto:alejandro.molina@luval.cl" xr:uid="{4F110873-9288-47A7-82F5-9A023BDF582E}"/>
    <hyperlink ref="C11" r:id="rId19" tooltip="ERICK ALEJANDRO MADRID" display="https://pfgcl.lightning.force.com/lightning/r/001Pr00000eXj2bIAC/view" xr:uid="{7636DC83-E346-4A1D-A977-7CFAA0DB1D09}"/>
    <hyperlink ref="E11" r:id="rId20" display="mailto:erickalejandromi@gmail.com" xr:uid="{188D829C-DC16-4C7C-95A4-352DF78EE1C6}"/>
    <hyperlink ref="C12" r:id="rId21" tooltip="CARLOS ALBERTO BOSTELMANN" display="https://pfgcl.lightning.force.com/lightning/r/0011N00001qKmYaQAK/view" xr:uid="{2E41747E-D731-45CE-910A-E75E609F72C4}"/>
    <hyperlink ref="E12" r:id="rId22" display="mailto:carlosbostelm@gmail.com" xr:uid="{53B87D91-C2D3-49F3-AA93-99D77F417182}"/>
    <hyperlink ref="C13" r:id="rId23" tooltip="MARIA SOLEDAD PALLERES" display="https://pfgcl.lightning.force.com/lightning/r/001Pr00000eY8liIAC/view" xr:uid="{04AAB96D-A9F4-4B20-A49F-A3BD07E731DC}"/>
    <hyperlink ref="E13" r:id="rId24" display="mailto:erickalejandromi@gmail.com" xr:uid="{76BA4CA7-948C-462C-92EF-7A8F5B71F719}"/>
    <hyperlink ref="C14" r:id="rId25" tooltip="OSCAR MARCELO BEGLIOMINI" display="https://pfgcl.lightning.force.com/lightning/r/0012G00001n4aC8QAI/view" xr:uid="{F5660B56-B6CF-4E97-95B1-3CC86B16E8F9}"/>
    <hyperlink ref="E14" r:id="rId26" display="mailto:mbegly@outlook.cl" xr:uid="{654B4310-9A57-4FF5-A5AA-E97A2B297AF4}"/>
    <hyperlink ref="C15" r:id="rId27" tooltip="CLAUDIA PATRICIA ENRIQUEZ" display="https://pfgcl.lightning.force.com/lightning/r/001Pr00000eZcpoIAC/view" xr:uid="{D1D4917C-0F51-48D2-80D2-F78795AB897C}"/>
    <hyperlink ref="E15" r:id="rId28" display="mailto:cenriquezg@gmail.com" xr:uid="{39339B8A-4AEA-4297-9344-2457B9C253AE}"/>
    <hyperlink ref="C16" r:id="rId29" tooltip="JUAN CARLOS LUCERO" display="https://pfgcl.lightning.force.com/lightning/r/0011N00001qIH37QAG/view" xr:uid="{04826203-A5C7-45B7-B5C1-F33EDB174740}"/>
    <hyperlink ref="E16" r:id="rId30" display="mailto:juanclucero@dyg.cl" xr:uid="{9426987B-C596-41D4-AA83-1F9F30696B97}"/>
    <hyperlink ref="C17" r:id="rId31" tooltip="BASTIAN ANDRES TRONCOSO" display="https://pfgcl.lightning.force.com/lightning/r/001Pr00000fZKlsIAG/view" xr:uid="{19784627-9DE9-4A36-B239-13AD27C674B4}"/>
    <hyperlink ref="E17" r:id="rId32" display="mailto:03lubani@gmail.com" xr:uid="{E85ADEB2-89B3-4FBF-8793-8867BC47589A}"/>
    <hyperlink ref="C18" r:id="rId33" tooltip="NICOLAS ALEJANDRO TRONCOSO" display="https://pfgcl.lightning.force.com/lightning/r/001Pr00000fYUNTIA4/view" xr:uid="{A2C4B506-B9F4-49E0-8387-33A87E130434}"/>
    <hyperlink ref="E18" r:id="rId34" display="mailto:03lubani@gmail.com" xr:uid="{2AA01EBE-7BFB-459F-8825-7514E1C4C688}"/>
    <hyperlink ref="C19" r:id="rId35" tooltip="LUIS DAVID TRONCOSO" display="https://pfgcl.lightning.force.com/lightning/r/001Pr00000eelFkIAI/view" xr:uid="{3F0557BA-8156-4A8C-8591-E269F8AFA056}"/>
    <hyperlink ref="E19" r:id="rId36" display="mailto:03lubani@gmail.com" xr:uid="{13ACD8D5-F26B-4C07-B28A-8BB79BACC516}"/>
    <hyperlink ref="C20" r:id="rId37" tooltip="FRANCISCO JAVIER VALENCIA" display="https://pfgcl.lightning.force.com/lightning/r/001Pr00000e792jIAA/view" xr:uid="{FBE12CF0-C000-4F49-ABDF-B654303BCDD4}"/>
    <hyperlink ref="E20" r:id="rId38" display="mailto:francisco.valencia24@gmail.com" xr:uid="{AB40DD4C-8827-4D22-A890-3A264824AE60}"/>
    <hyperlink ref="C21" r:id="rId39" tooltip="GONZALO BREMER" display="https://pfgcl.lightning.force.com/lightning/r/0012G00001lIx5cQAC/view" xr:uid="{2E7FA6C0-A30C-437A-BDE5-FE1410435F96}"/>
    <hyperlink ref="E21" r:id="rId40" display="mailto:gbremer@aybconsultores.net" xr:uid="{67C8895E-1BEA-4D02-97ED-998A9633E4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FEBRERO 26</vt:lpstr>
      <vt:lpstr>MARZO 26</vt:lpstr>
      <vt:lpstr>ABRIL 26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Valencia Aguila</dc:creator>
  <cp:lastModifiedBy>Francisco Valencia</cp:lastModifiedBy>
  <dcterms:created xsi:type="dcterms:W3CDTF">2026-03-02T18:43:17Z</dcterms:created>
  <dcterms:modified xsi:type="dcterms:W3CDTF">2026-03-30T11:48:51Z</dcterms:modified>
</cp:coreProperties>
</file>