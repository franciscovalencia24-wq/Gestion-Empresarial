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alencia01\OneDrive - SURA Chile S.A\"/>
    </mc:Choice>
  </mc:AlternateContent>
  <xr:revisionPtr revIDLastSave="0" documentId="13_ncr:1_{10527C2C-35C8-4330-B2AB-B12868226237}" xr6:coauthVersionLast="47" xr6:coauthVersionMax="47" xr10:uidLastSave="{00000000-0000-0000-0000-000000000000}"/>
  <bookViews>
    <workbookView xWindow="-120" yWindow="-120" windowWidth="20730" windowHeight="11160" firstSheet="1" activeTab="8" xr2:uid="{0C663829-7CB3-4467-9736-48966AE50DEA}"/>
  </bookViews>
  <sheets>
    <sheet name="21.03.24" sheetId="1" r:id="rId1"/>
    <sheet name="05.06.24" sheetId="2" r:id="rId2"/>
    <sheet name="25.07.24" sheetId="3" r:id="rId3"/>
    <sheet name="27.08.24" sheetId="4" r:id="rId4"/>
    <sheet name="11.09.24" sheetId="5" r:id="rId5"/>
    <sheet name="15.10.24" sheetId="6" r:id="rId6"/>
    <sheet name="09.12.24" sheetId="7" r:id="rId7"/>
    <sheet name="23.01.25" sheetId="8" r:id="rId8"/>
    <sheet name="18.03.2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9" l="1"/>
  <c r="K6" i="9" s="1"/>
  <c r="L6" i="9" s="1"/>
  <c r="I7" i="9"/>
  <c r="J7" i="9" s="1"/>
  <c r="K7" i="9" s="1"/>
  <c r="L7" i="9" s="1"/>
  <c r="G7" i="9"/>
  <c r="G6" i="9"/>
  <c r="J66" i="9"/>
  <c r="J61" i="9"/>
  <c r="J56" i="9"/>
  <c r="J51" i="9"/>
  <c r="J46" i="9"/>
  <c r="J40" i="9"/>
  <c r="J34" i="9"/>
  <c r="H32" i="9"/>
  <c r="J28" i="9"/>
  <c r="I22" i="9"/>
  <c r="F22" i="9"/>
  <c r="J22" i="9" s="1"/>
  <c r="J21" i="9"/>
  <c r="H21" i="9"/>
  <c r="F20" i="9"/>
  <c r="J20" i="9" s="1"/>
  <c r="K19" i="9"/>
  <c r="J17" i="9"/>
  <c r="K17" i="9" s="1"/>
  <c r="L17" i="9" s="1"/>
  <c r="H17" i="9"/>
  <c r="J16" i="9"/>
  <c r="K16" i="9" s="1"/>
  <c r="L16" i="9" s="1"/>
  <c r="H16" i="9"/>
  <c r="J15" i="9"/>
  <c r="H15" i="9"/>
  <c r="J14" i="9"/>
  <c r="K14" i="9" s="1"/>
  <c r="L14" i="9" s="1"/>
  <c r="H14" i="9"/>
  <c r="I13" i="9"/>
  <c r="J13" i="9" s="1"/>
  <c r="K13" i="9" s="1"/>
  <c r="L13" i="9" s="1"/>
  <c r="H13" i="9"/>
  <c r="I12" i="9"/>
  <c r="J12" i="9" s="1"/>
  <c r="K12" i="9" s="1"/>
  <c r="L12" i="9" s="1"/>
  <c r="H12" i="9"/>
  <c r="K11" i="9"/>
  <c r="L11" i="9" s="1"/>
  <c r="J9" i="9"/>
  <c r="J8" i="9"/>
  <c r="H8" i="9"/>
  <c r="I5" i="9"/>
  <c r="J5" i="9" s="1"/>
  <c r="K5" i="9" s="1"/>
  <c r="L5" i="9" s="1"/>
  <c r="H5" i="9"/>
  <c r="J4" i="9"/>
  <c r="H4" i="9"/>
  <c r="J3" i="9"/>
  <c r="J75" i="9" s="1"/>
  <c r="H3" i="9"/>
  <c r="L69" i="8"/>
  <c r="L68" i="8"/>
  <c r="L70" i="8" s="1"/>
  <c r="K15" i="9" l="1"/>
  <c r="L15" i="9" s="1"/>
  <c r="J74" i="9"/>
  <c r="J76" i="9"/>
  <c r="K21" i="9"/>
  <c r="L21" i="9" s="1"/>
  <c r="K8" i="9"/>
  <c r="L8" i="9" s="1"/>
  <c r="H20" i="9"/>
  <c r="K20" i="9" s="1"/>
  <c r="L20" i="9" s="1"/>
  <c r="K3" i="9"/>
  <c r="L3" i="9" s="1"/>
  <c r="L10" i="9"/>
  <c r="K4" i="9"/>
  <c r="L4" i="9" s="1"/>
  <c r="J71" i="9"/>
  <c r="J23" i="9"/>
  <c r="H22" i="9"/>
  <c r="K22" i="9" s="1"/>
  <c r="L60" i="8"/>
  <c r="L55" i="8"/>
  <c r="L50" i="8"/>
  <c r="L45" i="8"/>
  <c r="L39" i="8"/>
  <c r="L33" i="8"/>
  <c r="J31" i="8"/>
  <c r="L27" i="8"/>
  <c r="K21" i="8"/>
  <c r="L21" i="8" s="1"/>
  <c r="M21" i="8" s="1"/>
  <c r="N21" i="8" s="1"/>
  <c r="J21" i="8"/>
  <c r="H21" i="8"/>
  <c r="L20" i="8"/>
  <c r="M20" i="8" s="1"/>
  <c r="N20" i="8" s="1"/>
  <c r="J20" i="8"/>
  <c r="L19" i="8"/>
  <c r="H19" i="8"/>
  <c r="J19" i="8" s="1"/>
  <c r="M18" i="8"/>
  <c r="L16" i="8"/>
  <c r="M16" i="8" s="1"/>
  <c r="N16" i="8" s="1"/>
  <c r="J16" i="8"/>
  <c r="L15" i="8"/>
  <c r="M15" i="8" s="1"/>
  <c r="N15" i="8" s="1"/>
  <c r="J15" i="8"/>
  <c r="L14" i="8"/>
  <c r="M14" i="8" s="1"/>
  <c r="N14" i="8" s="1"/>
  <c r="J14" i="8"/>
  <c r="L13" i="8"/>
  <c r="M13" i="8" s="1"/>
  <c r="N13" i="8" s="1"/>
  <c r="J13" i="8"/>
  <c r="K12" i="8"/>
  <c r="L12" i="8" s="1"/>
  <c r="M12" i="8" s="1"/>
  <c r="N12" i="8" s="1"/>
  <c r="J12" i="8"/>
  <c r="K11" i="8"/>
  <c r="L11" i="8" s="1"/>
  <c r="J11" i="8"/>
  <c r="M10" i="8"/>
  <c r="N10" i="8" s="1"/>
  <c r="N9" i="8"/>
  <c r="L8" i="8"/>
  <c r="L7" i="8"/>
  <c r="M7" i="8" s="1"/>
  <c r="N7" i="8" s="1"/>
  <c r="J7" i="8"/>
  <c r="M6" i="8"/>
  <c r="N6" i="8" s="1"/>
  <c r="L5" i="8"/>
  <c r="M5" i="8" s="1"/>
  <c r="N5" i="8" s="1"/>
  <c r="K5" i="8"/>
  <c r="J5" i="8"/>
  <c r="L4" i="8"/>
  <c r="J4" i="8"/>
  <c r="M3" i="8"/>
  <c r="L3" i="8"/>
  <c r="J3" i="8"/>
  <c r="L65" i="7"/>
  <c r="L64" i="7"/>
  <c r="L63" i="7"/>
  <c r="M6" i="7"/>
  <c r="N6" i="7" s="1"/>
  <c r="L55" i="7"/>
  <c r="L50" i="7"/>
  <c r="L45" i="7"/>
  <c r="L39" i="7"/>
  <c r="L33" i="7"/>
  <c r="J31" i="7"/>
  <c r="L27" i="7"/>
  <c r="K21" i="7"/>
  <c r="H21" i="7"/>
  <c r="J21" i="7" s="1"/>
  <c r="L20" i="7"/>
  <c r="J20" i="7"/>
  <c r="H19" i="7"/>
  <c r="L19" i="7" s="1"/>
  <c r="M18" i="7"/>
  <c r="L16" i="7"/>
  <c r="J16" i="7"/>
  <c r="L15" i="7"/>
  <c r="M15" i="7" s="1"/>
  <c r="N15" i="7" s="1"/>
  <c r="J15" i="7"/>
  <c r="L14" i="7"/>
  <c r="J14" i="7"/>
  <c r="L13" i="7"/>
  <c r="M13" i="7" s="1"/>
  <c r="N13" i="7" s="1"/>
  <c r="J13" i="7"/>
  <c r="K12" i="7"/>
  <c r="L12" i="7" s="1"/>
  <c r="J12" i="7"/>
  <c r="K11" i="7"/>
  <c r="L11" i="7" s="1"/>
  <c r="J11" i="7"/>
  <c r="M10" i="7"/>
  <c r="N10" i="7" s="1"/>
  <c r="L8" i="7"/>
  <c r="L7" i="7"/>
  <c r="M7" i="7" s="1"/>
  <c r="N7" i="7" s="1"/>
  <c r="J7" i="7"/>
  <c r="N9" i="7" s="1"/>
  <c r="K5" i="7"/>
  <c r="L5" i="7" s="1"/>
  <c r="J5" i="7"/>
  <c r="L4" i="7"/>
  <c r="J4" i="7"/>
  <c r="L3" i="7"/>
  <c r="J3" i="7"/>
  <c r="N8" i="6"/>
  <c r="M21" i="6"/>
  <c r="N21" i="6" s="1"/>
  <c r="L21" i="6"/>
  <c r="J21" i="6"/>
  <c r="L56" i="6"/>
  <c r="K5" i="6"/>
  <c r="L51" i="6"/>
  <c r="L46" i="6"/>
  <c r="L40" i="6"/>
  <c r="L34" i="6"/>
  <c r="J32" i="6"/>
  <c r="L28" i="6"/>
  <c r="K22" i="6"/>
  <c r="H22" i="6"/>
  <c r="L20" i="6"/>
  <c r="H20" i="6"/>
  <c r="J20" i="6" s="1"/>
  <c r="M19" i="6"/>
  <c r="L15" i="6"/>
  <c r="J15" i="6"/>
  <c r="L14" i="6"/>
  <c r="J14" i="6"/>
  <c r="L13" i="6"/>
  <c r="J13" i="6"/>
  <c r="L12" i="6"/>
  <c r="M12" i="6" s="1"/>
  <c r="N12" i="6" s="1"/>
  <c r="J12" i="6"/>
  <c r="K11" i="6"/>
  <c r="L11" i="6" s="1"/>
  <c r="J11" i="6"/>
  <c r="K10" i="6"/>
  <c r="L10" i="6" s="1"/>
  <c r="J10" i="6"/>
  <c r="M9" i="6"/>
  <c r="N9" i="6" s="1"/>
  <c r="L7" i="6"/>
  <c r="L6" i="6"/>
  <c r="M6" i="6" s="1"/>
  <c r="N6" i="6" s="1"/>
  <c r="J6" i="6"/>
  <c r="L5" i="6"/>
  <c r="J5" i="6"/>
  <c r="L4" i="6"/>
  <c r="J4" i="6"/>
  <c r="L3" i="6"/>
  <c r="M3" i="6" s="1"/>
  <c r="J3" i="6"/>
  <c r="L7" i="5"/>
  <c r="L19" i="5"/>
  <c r="M19" i="5" s="1"/>
  <c r="K21" i="5"/>
  <c r="K11" i="5"/>
  <c r="K10" i="5"/>
  <c r="L10" i="5" s="1"/>
  <c r="L50" i="5"/>
  <c r="L45" i="5"/>
  <c r="L39" i="5"/>
  <c r="L33" i="5"/>
  <c r="J31" i="5"/>
  <c r="L27" i="5"/>
  <c r="H21" i="5"/>
  <c r="J21" i="5" s="1"/>
  <c r="H20" i="5"/>
  <c r="J20" i="5" s="1"/>
  <c r="L15" i="5"/>
  <c r="J15" i="5"/>
  <c r="L14" i="5"/>
  <c r="J14" i="5"/>
  <c r="L13" i="5"/>
  <c r="M13" i="5" s="1"/>
  <c r="N13" i="5" s="1"/>
  <c r="J13" i="5"/>
  <c r="L12" i="5"/>
  <c r="J12" i="5"/>
  <c r="L11" i="5"/>
  <c r="J11" i="5"/>
  <c r="J10" i="5"/>
  <c r="M9" i="5"/>
  <c r="N9" i="5" s="1"/>
  <c r="M8" i="5"/>
  <c r="L6" i="5"/>
  <c r="J6" i="5"/>
  <c r="L5" i="5"/>
  <c r="J5" i="5"/>
  <c r="L4" i="5"/>
  <c r="J4" i="5"/>
  <c r="L3" i="5"/>
  <c r="J3" i="5"/>
  <c r="N7" i="4"/>
  <c r="J5" i="4"/>
  <c r="L5" i="4"/>
  <c r="L48" i="4"/>
  <c r="L43" i="4"/>
  <c r="L37" i="4"/>
  <c r="L31" i="4"/>
  <c r="J29" i="4"/>
  <c r="L25" i="4"/>
  <c r="H19" i="4"/>
  <c r="L19" i="4" s="1"/>
  <c r="H18" i="4"/>
  <c r="L18" i="4" s="1"/>
  <c r="M17" i="4"/>
  <c r="N17" i="4" s="1"/>
  <c r="L14" i="4"/>
  <c r="J14" i="4"/>
  <c r="L13" i="4"/>
  <c r="J13" i="4"/>
  <c r="L12" i="4"/>
  <c r="J12" i="4"/>
  <c r="L11" i="4"/>
  <c r="J11" i="4"/>
  <c r="L10" i="4"/>
  <c r="L9" i="4"/>
  <c r="J9" i="4"/>
  <c r="M8" i="4"/>
  <c r="N8" i="4" s="1"/>
  <c r="M7" i="4"/>
  <c r="L6" i="4"/>
  <c r="M6" i="4" s="1"/>
  <c r="N6" i="4" s="1"/>
  <c r="J6" i="4"/>
  <c r="L4" i="4"/>
  <c r="L3" i="4"/>
  <c r="J3" i="4"/>
  <c r="L40" i="3"/>
  <c r="L34" i="3"/>
  <c r="L28" i="3"/>
  <c r="J26" i="3"/>
  <c r="L22" i="3"/>
  <c r="H16" i="3"/>
  <c r="L16" i="3" s="1"/>
  <c r="H15" i="3"/>
  <c r="L15" i="3" s="1"/>
  <c r="M14" i="3"/>
  <c r="N14" i="3" s="1"/>
  <c r="L13" i="3"/>
  <c r="M13" i="3" s="1"/>
  <c r="N13" i="3" s="1"/>
  <c r="J13" i="3"/>
  <c r="L12" i="3"/>
  <c r="J12" i="3"/>
  <c r="L11" i="3"/>
  <c r="J11" i="3"/>
  <c r="L10" i="3"/>
  <c r="J10" i="3"/>
  <c r="L9" i="3"/>
  <c r="M9" i="3" s="1"/>
  <c r="N9" i="3" s="1"/>
  <c r="J9" i="3"/>
  <c r="L8" i="3"/>
  <c r="J8" i="3"/>
  <c r="M7" i="3"/>
  <c r="N7" i="3" s="1"/>
  <c r="M6" i="3"/>
  <c r="L5" i="3"/>
  <c r="J5" i="3"/>
  <c r="L4" i="3"/>
  <c r="M4" i="3" s="1"/>
  <c r="N4" i="3" s="1"/>
  <c r="J4" i="3"/>
  <c r="L3" i="3"/>
  <c r="J3" i="3"/>
  <c r="L35" i="2"/>
  <c r="N17" i="2"/>
  <c r="L17" i="2"/>
  <c r="J17" i="2"/>
  <c r="M17" i="2"/>
  <c r="M6" i="2"/>
  <c r="L5" i="2"/>
  <c r="J5" i="2"/>
  <c r="N6" i="2" s="1"/>
  <c r="L28" i="2"/>
  <c r="J26" i="2"/>
  <c r="L22" i="2"/>
  <c r="H16" i="2"/>
  <c r="J16" i="2" s="1"/>
  <c r="H15" i="2"/>
  <c r="J15" i="2" s="1"/>
  <c r="M14" i="2"/>
  <c r="N14" i="2" s="1"/>
  <c r="L13" i="2"/>
  <c r="J13" i="2"/>
  <c r="L12" i="2"/>
  <c r="J12" i="2"/>
  <c r="L11" i="2"/>
  <c r="J11" i="2"/>
  <c r="L10" i="2"/>
  <c r="J10" i="2"/>
  <c r="L9" i="2"/>
  <c r="J9" i="2"/>
  <c r="L8" i="2"/>
  <c r="J8" i="2"/>
  <c r="M7" i="2"/>
  <c r="N7" i="2" s="1"/>
  <c r="L4" i="2"/>
  <c r="J4" i="2"/>
  <c r="L3" i="2"/>
  <c r="J3" i="2"/>
  <c r="J26" i="1"/>
  <c r="L29" i="1"/>
  <c r="L10" i="1"/>
  <c r="M10" i="1" s="1"/>
  <c r="N10" i="1" s="1"/>
  <c r="J10" i="1"/>
  <c r="L22" i="1"/>
  <c r="M5" i="1"/>
  <c r="L6" i="1"/>
  <c r="J6" i="1"/>
  <c r="H16" i="1"/>
  <c r="J16" i="1" s="1"/>
  <c r="H15" i="1"/>
  <c r="J15" i="1" s="1"/>
  <c r="M14" i="1"/>
  <c r="N14" i="1" s="1"/>
  <c r="L13" i="1"/>
  <c r="J13" i="1"/>
  <c r="L12" i="1"/>
  <c r="J12" i="1"/>
  <c r="L11" i="1"/>
  <c r="J11" i="1"/>
  <c r="M9" i="1"/>
  <c r="N9" i="1" s="1"/>
  <c r="L8" i="1"/>
  <c r="J8" i="1"/>
  <c r="L7" i="1"/>
  <c r="J7" i="1"/>
  <c r="N5" i="1"/>
  <c r="L4" i="1"/>
  <c r="J4" i="1"/>
  <c r="M4" i="1" s="1"/>
  <c r="N4" i="1" s="1"/>
  <c r="L3" i="1"/>
  <c r="J3" i="1"/>
  <c r="L22" i="9" l="1"/>
  <c r="K23" i="9"/>
  <c r="H23" i="9"/>
  <c r="L22" i="8"/>
  <c r="M19" i="8"/>
  <c r="N19" i="8" s="1"/>
  <c r="L65" i="8"/>
  <c r="M11" i="8"/>
  <c r="N11" i="8" s="1"/>
  <c r="J22" i="8"/>
  <c r="M4" i="8"/>
  <c r="N4" i="8" s="1"/>
  <c r="N3" i="8"/>
  <c r="L21" i="7"/>
  <c r="M21" i="7" s="1"/>
  <c r="N21" i="7" s="1"/>
  <c r="M16" i="7"/>
  <c r="N16" i="7" s="1"/>
  <c r="M12" i="7"/>
  <c r="N12" i="7" s="1"/>
  <c r="M3" i="7"/>
  <c r="N3" i="7" s="1"/>
  <c r="M14" i="7"/>
  <c r="N14" i="7" s="1"/>
  <c r="M20" i="7"/>
  <c r="N20" i="7" s="1"/>
  <c r="L22" i="7"/>
  <c r="M5" i="7"/>
  <c r="N5" i="7" s="1"/>
  <c r="M11" i="7"/>
  <c r="N11" i="7" s="1"/>
  <c r="M4" i="7"/>
  <c r="N4" i="7" s="1"/>
  <c r="J19" i="7"/>
  <c r="J22" i="7" s="1"/>
  <c r="M15" i="6"/>
  <c r="N15" i="6" s="1"/>
  <c r="M11" i="6"/>
  <c r="N11" i="6" s="1"/>
  <c r="M20" i="6"/>
  <c r="N20" i="6" s="1"/>
  <c r="M5" i="6"/>
  <c r="N5" i="6" s="1"/>
  <c r="M13" i="6"/>
  <c r="N13" i="6" s="1"/>
  <c r="L22" i="6"/>
  <c r="L59" i="6" s="1"/>
  <c r="L60" i="6"/>
  <c r="M14" i="6"/>
  <c r="N14" i="6" s="1"/>
  <c r="N3" i="6"/>
  <c r="M10" i="6"/>
  <c r="N10" i="6" s="1"/>
  <c r="L23" i="6"/>
  <c r="M4" i="6"/>
  <c r="N4" i="6" s="1"/>
  <c r="J22" i="6"/>
  <c r="J23" i="6" s="1"/>
  <c r="L54" i="5"/>
  <c r="M4" i="5"/>
  <c r="N4" i="5" s="1"/>
  <c r="M10" i="5"/>
  <c r="N10" i="5" s="1"/>
  <c r="M6" i="5"/>
  <c r="N6" i="5" s="1"/>
  <c r="M5" i="5"/>
  <c r="N5" i="5" s="1"/>
  <c r="M12" i="5"/>
  <c r="N12" i="5" s="1"/>
  <c r="N8" i="5"/>
  <c r="L21" i="5"/>
  <c r="M21" i="5" s="1"/>
  <c r="N21" i="5" s="1"/>
  <c r="M11" i="5"/>
  <c r="N11" i="5" s="1"/>
  <c r="M15" i="5"/>
  <c r="N15" i="5" s="1"/>
  <c r="L20" i="5"/>
  <c r="M20" i="5" s="1"/>
  <c r="N20" i="5" s="1"/>
  <c r="M14" i="5"/>
  <c r="N14" i="5" s="1"/>
  <c r="J22" i="5"/>
  <c r="M3" i="5"/>
  <c r="M5" i="4"/>
  <c r="N5" i="4" s="1"/>
  <c r="M12" i="4"/>
  <c r="N12" i="4" s="1"/>
  <c r="M13" i="4"/>
  <c r="N13" i="4" s="1"/>
  <c r="J18" i="4"/>
  <c r="M14" i="4"/>
  <c r="N14" i="4" s="1"/>
  <c r="M18" i="4"/>
  <c r="N18" i="4" s="1"/>
  <c r="M3" i="4"/>
  <c r="N3" i="4" s="1"/>
  <c r="M9" i="4"/>
  <c r="N9" i="4" s="1"/>
  <c r="M11" i="4"/>
  <c r="N11" i="4" s="1"/>
  <c r="L20" i="4"/>
  <c r="J19" i="4"/>
  <c r="M19" i="4" s="1"/>
  <c r="N6" i="3"/>
  <c r="M10" i="3"/>
  <c r="N10" i="3" s="1"/>
  <c r="M5" i="3"/>
  <c r="N5" i="3" s="1"/>
  <c r="M12" i="3"/>
  <c r="N12" i="3" s="1"/>
  <c r="J15" i="3"/>
  <c r="M15" i="3" s="1"/>
  <c r="N15" i="3" s="1"/>
  <c r="M8" i="3"/>
  <c r="N8" i="3" s="1"/>
  <c r="M11" i="3"/>
  <c r="N11" i="3" s="1"/>
  <c r="M3" i="3"/>
  <c r="N3" i="3"/>
  <c r="L17" i="3"/>
  <c r="J16" i="3"/>
  <c r="J17" i="3" s="1"/>
  <c r="M11" i="2"/>
  <c r="N11" i="2" s="1"/>
  <c r="M9" i="2"/>
  <c r="N9" i="2" s="1"/>
  <c r="L16" i="2"/>
  <c r="M16" i="2" s="1"/>
  <c r="N16" i="2" s="1"/>
  <c r="M5" i="2"/>
  <c r="N5" i="2" s="1"/>
  <c r="M13" i="2"/>
  <c r="N13" i="2" s="1"/>
  <c r="L15" i="2"/>
  <c r="M10" i="2"/>
  <c r="N10" i="2" s="1"/>
  <c r="M8" i="2"/>
  <c r="N8" i="2" s="1"/>
  <c r="M3" i="2"/>
  <c r="N3" i="2" s="1"/>
  <c r="M12" i="2"/>
  <c r="N12" i="2" s="1"/>
  <c r="M4" i="2"/>
  <c r="N4" i="2" s="1"/>
  <c r="L18" i="1"/>
  <c r="M6" i="1"/>
  <c r="N6" i="1" s="1"/>
  <c r="M13" i="1"/>
  <c r="N13" i="1" s="1"/>
  <c r="M7" i="1"/>
  <c r="N7" i="1" s="1"/>
  <c r="M17" i="1"/>
  <c r="N17" i="1" s="1"/>
  <c r="M12" i="1"/>
  <c r="N12" i="1" s="1"/>
  <c r="M8" i="1"/>
  <c r="N8" i="1" s="1"/>
  <c r="M11" i="1"/>
  <c r="N11" i="1" s="1"/>
  <c r="M3" i="1"/>
  <c r="N3" i="1" s="1"/>
  <c r="L15" i="1"/>
  <c r="M15" i="1"/>
  <c r="N15" i="1" s="1"/>
  <c r="L16" i="1"/>
  <c r="M16" i="1" s="1"/>
  <c r="N16" i="1" s="1"/>
  <c r="L23" i="9" l="1"/>
  <c r="M22" i="8"/>
  <c r="N22" i="8" s="1"/>
  <c r="M19" i="7"/>
  <c r="N19" i="7" s="1"/>
  <c r="L60" i="7"/>
  <c r="L61" i="6"/>
  <c r="M22" i="6"/>
  <c r="N22" i="6" s="1"/>
  <c r="L53" i="5"/>
  <c r="L55" i="5" s="1"/>
  <c r="L22" i="5"/>
  <c r="N3" i="5"/>
  <c r="M22" i="5"/>
  <c r="N22" i="5" s="1"/>
  <c r="N19" i="4"/>
  <c r="M16" i="3"/>
  <c r="M15" i="2"/>
  <c r="N15" i="2" s="1"/>
  <c r="M22" i="7" l="1"/>
  <c r="N22" i="7" s="1"/>
  <c r="M23" i="6"/>
  <c r="N23" i="6" s="1"/>
  <c r="N16" i="3"/>
  <c r="M17" i="3"/>
  <c r="N17" i="3" s="1"/>
  <c r="J4" i="4" l="1"/>
  <c r="M4" i="4" l="1"/>
  <c r="N4" i="4" l="1"/>
  <c r="J10" i="4"/>
  <c r="M10" i="4" s="1"/>
  <c r="M20" i="4" l="1"/>
  <c r="N10" i="4"/>
  <c r="J20" i="4"/>
  <c r="N20" i="4" l="1"/>
</calcChain>
</file>

<file path=xl/sharedStrings.xml><?xml version="1.0" encoding="utf-8"?>
<sst xmlns="http://schemas.openxmlformats.org/spreadsheetml/2006/main" count="571" uniqueCount="49">
  <si>
    <t>RUT</t>
  </si>
  <si>
    <t>NOMBRE</t>
  </si>
  <si>
    <t>REGIMEN</t>
  </si>
  <si>
    <t>FECHA</t>
  </si>
  <si>
    <t>PRODUCTO</t>
  </si>
  <si>
    <t>N° CUOTAS</t>
  </si>
  <si>
    <t>PRECIO COMPRA</t>
  </si>
  <si>
    <t>TOTAL COMPRA</t>
  </si>
  <si>
    <t>VALOR ACTUAL</t>
  </si>
  <si>
    <t>TOTAL ACTUALIZADO</t>
  </si>
  <si>
    <t>RENTABILIDAD</t>
  </si>
  <si>
    <t>$</t>
  </si>
  <si>
    <t>%</t>
  </si>
  <si>
    <t>77.039.670-0</t>
  </si>
  <si>
    <t>ASESORIAS Y SERVICIOS AUDILEX SPA</t>
  </si>
  <si>
    <t>GENERAL</t>
  </si>
  <si>
    <t>SURA SELECCIÓN GLOBAL E</t>
  </si>
  <si>
    <t>JP MORGAN GREATER CHINA D</t>
  </si>
  <si>
    <t>PERSHING</t>
  </si>
  <si>
    <t>-</t>
  </si>
  <si>
    <t>7.431.527-5</t>
  </si>
  <si>
    <t>RODRIGO ALFONSO ARANDA VILLALOBOS</t>
  </si>
  <si>
    <t>APORTE - USD - LTM ($6,8326)</t>
  </si>
  <si>
    <t>QUIÑENCO (TRASLADO)</t>
  </si>
  <si>
    <t>APV</t>
  </si>
  <si>
    <t>COLBUN</t>
  </si>
  <si>
    <t>LTM</t>
  </si>
  <si>
    <t>RAV</t>
  </si>
  <si>
    <t>Audilex</t>
  </si>
  <si>
    <t>CFIFALCTAC,</t>
  </si>
  <si>
    <t>Dividendo 10 de mayo 2024</t>
  </si>
  <si>
    <t>Precio Ajustado</t>
  </si>
  <si>
    <t>F. I. FALCOM TACTICAL CHILEAN EQUITIES</t>
  </si>
  <si>
    <t>SURA Multiactivo Agresivo</t>
  </si>
  <si>
    <t>DIVIDENDO FALCOM</t>
  </si>
  <si>
    <t>RODRIGO ARANDA</t>
  </si>
  <si>
    <t>AUDILEX</t>
  </si>
  <si>
    <t>Cuenta Inversión - DC</t>
  </si>
  <si>
    <t>Cuenta Inversión - APV</t>
  </si>
  <si>
    <t xml:space="preserve">SURA SELECCIÓN GLOBAL </t>
  </si>
  <si>
    <t>Otros FFMM (APV-A + BF)</t>
  </si>
  <si>
    <t>RIPLEY</t>
  </si>
  <si>
    <t>Otros FFMM (APV-A + BF + DC)</t>
  </si>
  <si>
    <t>ENJOY</t>
  </si>
  <si>
    <t>SURA CARTERA PATRIMONIAL CONSERVADORA</t>
  </si>
  <si>
    <t>Aporte MM$80</t>
  </si>
  <si>
    <t>JP Morgan US Technology</t>
  </si>
  <si>
    <t>Aporte ($18.936.891)</t>
  </si>
  <si>
    <r>
      <t>JP Morgan US Technology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scheme val="minor"/>
      </rPr>
      <t>(aporte nuevo)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</si>
</sst>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 * #,##0.0000_ ;_ * \-#,##0.0000_ ;_ * &quot;-&quot;_ ;_ @_ "/>
    <numFmt numFmtId="165" formatCode="_ &quot;$&quot;* #,##0.0000_ ;_ &quot;$&quot;* \-#,##0.0000_ ;_ &quot;$&quot;* &quot;-&quot;_ ;_ @_ "/>
    <numFmt numFmtId="166" formatCode="_ &quot;$&quot;* #,##0.00000_ ;_ &quot;$&quot;* \-#,##0.00000_ ;_ &quot;$&quot;* &quot;-&quot;_ ;_ @_ "/>
    <numFmt numFmtId="167" formatCode="_ &quot;$&quot;* #,##0.00_ ;_ &quot;$&quot;* \-#,##0.00_ ;_ &quot;$&quot;* &quot;-&quot;_ ;_ @_ "/>
    <numFmt numFmtId="168" formatCode="_ &quot;$&quot;* #,##0.0_ ;_ &quot;$&quot;* \-#,##0.0_ ;_ &quot;$&quot;* &quot;-&quot;_ ;_ @_ "/>
    <numFmt numFmtId="169" formatCode="0.0%"/>
    <numFmt numFmtId="170" formatCode="_ &quot;$&quot;* #,##0.000_ ;_ &quot;$&quot;* \-#,##0.000_ ;_ &quot;$&quot;* &quot;-&quot;_ ;_ @_ "/>
    <numFmt numFmtId="171" formatCode="#,##0.000"/>
    <numFmt numFmtId="174" formatCode="_ &quot;$&quot;* #,##0.00000_ ;_ &quot;$&quot;* \-#,##0.00000_ ;_ &quot;$&quot;* &quot;-&quot;???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55565A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DashDot">
        <color indexed="64"/>
      </bottom>
      <diagonal/>
    </border>
    <border>
      <left style="thin">
        <color indexed="64"/>
      </left>
      <right/>
      <top/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64" fontId="0" fillId="0" borderId="17" xfId="1" applyNumberFormat="1" applyFont="1" applyBorder="1" applyAlignment="1">
      <alignment horizontal="center" vertical="center"/>
    </xf>
    <xf numFmtId="165" fontId="0" fillId="0" borderId="17" xfId="2" applyNumberFormat="1" applyFont="1" applyBorder="1" applyAlignment="1">
      <alignment horizontal="center" vertical="center"/>
    </xf>
    <xf numFmtId="42" fontId="2" fillId="0" borderId="17" xfId="2" applyFont="1" applyBorder="1" applyAlignment="1">
      <alignment horizontal="center" vertical="center"/>
    </xf>
    <xf numFmtId="42" fontId="0" fillId="0" borderId="17" xfId="2" applyFont="1" applyBorder="1" applyAlignment="1">
      <alignment horizontal="center" vertical="center"/>
    </xf>
    <xf numFmtId="9" fontId="0" fillId="0" borderId="15" xfId="3" applyFon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42" fontId="2" fillId="0" borderId="20" xfId="2" applyFont="1" applyBorder="1" applyAlignment="1">
      <alignment horizontal="center" vertical="center"/>
    </xf>
    <xf numFmtId="42" fontId="0" fillId="0" borderId="20" xfId="2" applyFont="1" applyBorder="1" applyAlignment="1">
      <alignment horizontal="center" vertical="center"/>
    </xf>
    <xf numFmtId="9" fontId="0" fillId="0" borderId="18" xfId="3" applyFont="1" applyBorder="1" applyAlignment="1">
      <alignment horizontal="center" vertical="center"/>
    </xf>
    <xf numFmtId="42" fontId="0" fillId="0" borderId="23" xfId="2" applyFont="1" applyBorder="1" applyAlignment="1">
      <alignment horizontal="center" vertical="center"/>
    </xf>
    <xf numFmtId="9" fontId="0" fillId="0" borderId="21" xfId="3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0" fillId="0" borderId="5" xfId="1" applyNumberFormat="1" applyFont="1" applyBorder="1" applyAlignment="1">
      <alignment horizontal="center" vertical="center"/>
    </xf>
    <xf numFmtId="165" fontId="0" fillId="0" borderId="5" xfId="2" applyNumberFormat="1" applyFont="1" applyBorder="1" applyAlignment="1">
      <alignment horizontal="center" vertical="center"/>
    </xf>
    <xf numFmtId="42" fontId="2" fillId="0" borderId="5" xfId="2" applyFont="1" applyBorder="1" applyAlignment="1">
      <alignment horizontal="center" vertical="center"/>
    </xf>
    <xf numFmtId="42" fontId="0" fillId="0" borderId="5" xfId="2" applyFont="1" applyBorder="1" applyAlignment="1">
      <alignment horizontal="center" vertical="center"/>
    </xf>
    <xf numFmtId="9" fontId="0" fillId="0" borderId="3" xfId="3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1" fontId="0" fillId="0" borderId="12" xfId="1" applyFont="1" applyBorder="1" applyAlignment="1">
      <alignment horizontal="center" vertical="center"/>
    </xf>
    <xf numFmtId="42" fontId="0" fillId="0" borderId="12" xfId="2" applyFont="1" applyBorder="1" applyAlignment="1">
      <alignment horizontal="center" vertical="center"/>
    </xf>
    <xf numFmtId="42" fontId="2" fillId="0" borderId="12" xfId="2" applyFont="1" applyBorder="1" applyAlignment="1">
      <alignment horizontal="center" vertical="center"/>
    </xf>
    <xf numFmtId="9" fontId="0" fillId="0" borderId="10" xfId="3" applyFont="1" applyBorder="1" applyAlignment="1">
      <alignment horizontal="center" vertical="center"/>
    </xf>
    <xf numFmtId="167" fontId="0" fillId="0" borderId="17" xfId="2" applyNumberFormat="1" applyFont="1" applyBorder="1" applyAlignment="1">
      <alignment horizontal="center" vertical="center"/>
    </xf>
    <xf numFmtId="167" fontId="0" fillId="0" borderId="20" xfId="2" applyNumberFormat="1" applyFont="1" applyBorder="1" applyAlignment="1">
      <alignment horizontal="center" vertical="center"/>
    </xf>
    <xf numFmtId="41" fontId="0" fillId="0" borderId="20" xfId="1" applyFont="1" applyBorder="1" applyAlignment="1">
      <alignment horizontal="center" vertical="center"/>
    </xf>
    <xf numFmtId="166" fontId="0" fillId="0" borderId="12" xfId="2" applyNumberFormat="1" applyFont="1" applyBorder="1" applyAlignment="1">
      <alignment horizontal="center" vertical="center"/>
    </xf>
    <xf numFmtId="14" fontId="0" fillId="3" borderId="22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42" fontId="0" fillId="3" borderId="23" xfId="2" applyFont="1" applyFill="1" applyBorder="1" applyAlignment="1">
      <alignment horizontal="center" vertical="center"/>
    </xf>
    <xf numFmtId="42" fontId="2" fillId="3" borderId="23" xfId="2" applyFon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horizontal="left" vertical="center"/>
    </xf>
    <xf numFmtId="164" fontId="0" fillId="4" borderId="20" xfId="1" applyNumberFormat="1" applyFont="1" applyFill="1" applyBorder="1" applyAlignment="1">
      <alignment horizontal="center" vertical="center"/>
    </xf>
    <xf numFmtId="166" fontId="0" fillId="4" borderId="20" xfId="2" applyNumberFormat="1" applyFont="1" applyFill="1" applyBorder="1" applyAlignment="1">
      <alignment horizontal="center" vertical="center"/>
    </xf>
    <xf numFmtId="42" fontId="2" fillId="4" borderId="20" xfId="2" applyFont="1" applyFill="1" applyBorder="1" applyAlignment="1">
      <alignment horizontal="center" vertical="center"/>
    </xf>
    <xf numFmtId="165" fontId="0" fillId="4" borderId="20" xfId="2" applyNumberFormat="1" applyFont="1" applyFill="1" applyBorder="1" applyAlignment="1">
      <alignment horizontal="center" vertical="center"/>
    </xf>
    <xf numFmtId="14" fontId="0" fillId="5" borderId="19" xfId="0" applyNumberFormat="1" applyFill="1" applyBorder="1" applyAlignment="1">
      <alignment horizontal="center" vertical="center"/>
    </xf>
    <xf numFmtId="0" fontId="0" fillId="5" borderId="20" xfId="0" applyFill="1" applyBorder="1" applyAlignment="1">
      <alignment horizontal="left" vertical="center"/>
    </xf>
    <xf numFmtId="164" fontId="0" fillId="5" borderId="20" xfId="1" applyNumberFormat="1" applyFont="1" applyFill="1" applyBorder="1" applyAlignment="1">
      <alignment horizontal="center" vertical="center"/>
    </xf>
    <xf numFmtId="42" fontId="2" fillId="5" borderId="20" xfId="2" applyFont="1" applyFill="1" applyBorder="1" applyAlignment="1">
      <alignment horizontal="center" vertical="center"/>
    </xf>
    <xf numFmtId="14" fontId="0" fillId="3" borderId="19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left" vertical="center"/>
    </xf>
    <xf numFmtId="164" fontId="0" fillId="3" borderId="20" xfId="1" applyNumberFormat="1" applyFont="1" applyFill="1" applyBorder="1" applyAlignment="1">
      <alignment horizontal="center" vertical="center"/>
    </xf>
    <xf numFmtId="165" fontId="0" fillId="3" borderId="20" xfId="2" applyNumberFormat="1" applyFont="1" applyFill="1" applyBorder="1" applyAlignment="1">
      <alignment horizontal="center" vertical="center"/>
    </xf>
    <xf numFmtId="42" fontId="2" fillId="3" borderId="20" xfId="2" applyFont="1" applyFill="1" applyBorder="1" applyAlignment="1">
      <alignment horizontal="center" vertical="center"/>
    </xf>
    <xf numFmtId="167" fontId="0" fillId="5" borderId="20" xfId="2" applyNumberFormat="1" applyFont="1" applyFill="1" applyBorder="1" applyAlignment="1">
      <alignment horizontal="center" vertical="center"/>
    </xf>
    <xf numFmtId="42" fontId="0" fillId="5" borderId="20" xfId="2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42" fontId="0" fillId="3" borderId="20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42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3" fontId="2" fillId="0" borderId="27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4" fontId="0" fillId="6" borderId="12" xfId="2" applyNumberFormat="1" applyFont="1" applyFill="1" applyBorder="1" applyAlignment="1">
      <alignment horizontal="center" vertical="center"/>
    </xf>
    <xf numFmtId="167" fontId="3" fillId="6" borderId="12" xfId="2" applyNumberFormat="1" applyFont="1" applyFill="1" applyBorder="1" applyAlignment="1">
      <alignment horizontal="center" vertical="center"/>
    </xf>
    <xf numFmtId="167" fontId="0" fillId="6" borderId="12" xfId="2" applyNumberFormat="1" applyFont="1" applyFill="1" applyBorder="1" applyAlignment="1">
      <alignment horizontal="center" vertical="center"/>
    </xf>
    <xf numFmtId="42" fontId="0" fillId="0" borderId="0" xfId="0" applyNumberFormat="1" applyAlignment="1">
      <alignment vertical="center"/>
    </xf>
    <xf numFmtId="42" fontId="0" fillId="6" borderId="12" xfId="2" applyFont="1" applyFill="1" applyBorder="1" applyAlignment="1">
      <alignment horizontal="center" vertical="center"/>
    </xf>
    <xf numFmtId="0" fontId="4" fillId="0" borderId="0" xfId="0" applyFont="1"/>
    <xf numFmtId="164" fontId="0" fillId="0" borderId="20" xfId="1" applyNumberFormat="1" applyFont="1" applyFill="1" applyBorder="1" applyAlignment="1">
      <alignment horizontal="center" vertical="center"/>
    </xf>
    <xf numFmtId="166" fontId="0" fillId="0" borderId="20" xfId="2" applyNumberFormat="1" applyFont="1" applyFill="1" applyBorder="1" applyAlignment="1">
      <alignment horizontal="center" vertical="center"/>
    </xf>
    <xf numFmtId="42" fontId="2" fillId="0" borderId="20" xfId="2" applyFont="1" applyFill="1" applyBorder="1" applyAlignment="1">
      <alignment horizontal="center" vertical="center"/>
    </xf>
    <xf numFmtId="165" fontId="0" fillId="0" borderId="20" xfId="2" applyNumberFormat="1" applyFont="1" applyFill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42" fontId="0" fillId="0" borderId="23" xfId="2" applyFont="1" applyFill="1" applyBorder="1" applyAlignment="1">
      <alignment horizontal="center" vertical="center"/>
    </xf>
    <xf numFmtId="42" fontId="2" fillId="0" borderId="23" xfId="2" applyFont="1" applyFill="1" applyBorder="1" applyAlignment="1">
      <alignment horizontal="center" vertical="center"/>
    </xf>
    <xf numFmtId="41" fontId="0" fillId="0" borderId="12" xfId="1" applyFont="1" applyFill="1" applyBorder="1" applyAlignment="1">
      <alignment horizontal="center" vertical="center"/>
    </xf>
    <xf numFmtId="167" fontId="0" fillId="0" borderId="17" xfId="2" applyNumberFormat="1" applyFont="1" applyFill="1" applyBorder="1" applyAlignment="1">
      <alignment horizontal="center" vertical="center"/>
    </xf>
    <xf numFmtId="42" fontId="2" fillId="0" borderId="12" xfId="2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5" fontId="0" fillId="0" borderId="5" xfId="2" applyNumberFormat="1" applyFont="1" applyFill="1" applyBorder="1" applyAlignment="1">
      <alignment horizontal="center" vertical="center"/>
    </xf>
    <xf numFmtId="42" fontId="2" fillId="0" borderId="5" xfId="2" applyFont="1" applyFill="1" applyBorder="1" applyAlignment="1">
      <alignment horizontal="center" vertical="center"/>
    </xf>
    <xf numFmtId="42" fontId="0" fillId="0" borderId="12" xfId="2" applyFont="1" applyFill="1" applyBorder="1" applyAlignment="1">
      <alignment horizontal="center" vertical="center"/>
    </xf>
    <xf numFmtId="164" fontId="0" fillId="0" borderId="17" xfId="1" applyNumberFormat="1" applyFont="1" applyFill="1" applyBorder="1" applyAlignment="1">
      <alignment horizontal="center" vertical="center"/>
    </xf>
    <xf numFmtId="42" fontId="2" fillId="0" borderId="17" xfId="2" applyFont="1" applyFill="1" applyBorder="1" applyAlignment="1">
      <alignment horizontal="center" vertical="center"/>
    </xf>
    <xf numFmtId="167" fontId="0" fillId="0" borderId="20" xfId="2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1" fontId="0" fillId="0" borderId="20" xfId="1" applyFont="1" applyFill="1" applyBorder="1" applyAlignment="1">
      <alignment horizontal="center" vertical="center"/>
    </xf>
    <xf numFmtId="166" fontId="0" fillId="0" borderId="12" xfId="2" applyNumberFormat="1" applyFont="1" applyFill="1" applyBorder="1" applyAlignment="1">
      <alignment horizontal="center" vertical="center"/>
    </xf>
    <xf numFmtId="164" fontId="0" fillId="0" borderId="23" xfId="1" applyNumberFormat="1" applyFont="1" applyFill="1" applyBorder="1" applyAlignment="1">
      <alignment horizontal="center" vertical="center"/>
    </xf>
    <xf numFmtId="167" fontId="0" fillId="0" borderId="23" xfId="2" applyNumberFormat="1" applyFont="1" applyFill="1" applyBorder="1" applyAlignment="1">
      <alignment horizontal="center" vertical="center"/>
    </xf>
    <xf numFmtId="168" fontId="0" fillId="0" borderId="23" xfId="2" applyNumberFormat="1" applyFont="1" applyFill="1" applyBorder="1" applyAlignment="1">
      <alignment horizontal="center" vertical="center"/>
    </xf>
    <xf numFmtId="165" fontId="0" fillId="0" borderId="17" xfId="2" applyNumberFormat="1" applyFont="1" applyFill="1" applyBorder="1" applyAlignment="1">
      <alignment horizontal="center" vertical="center"/>
    </xf>
    <xf numFmtId="41" fontId="0" fillId="0" borderId="29" xfId="1" applyFont="1" applyFill="1" applyBorder="1" applyAlignment="1">
      <alignment horizontal="center" vertical="center"/>
    </xf>
    <xf numFmtId="42" fontId="2" fillId="0" borderId="29" xfId="2" applyFont="1" applyFill="1" applyBorder="1" applyAlignment="1">
      <alignment horizontal="center" vertical="center"/>
    </xf>
    <xf numFmtId="167" fontId="3" fillId="0" borderId="20" xfId="2" applyNumberFormat="1" applyFont="1" applyFill="1" applyBorder="1" applyAlignment="1">
      <alignment horizontal="center" vertical="center"/>
    </xf>
    <xf numFmtId="164" fontId="0" fillId="0" borderId="20" xfId="1" applyNumberFormat="1" applyFont="1" applyFill="1" applyBorder="1" applyAlignment="1">
      <alignment horizontal="center" vertical="center" wrapText="1"/>
    </xf>
    <xf numFmtId="167" fontId="0" fillId="0" borderId="5" xfId="2" applyNumberFormat="1" applyFont="1" applyFill="1" applyBorder="1" applyAlignment="1">
      <alignment horizontal="center" vertical="center"/>
    </xf>
    <xf numFmtId="167" fontId="0" fillId="0" borderId="29" xfId="2" applyNumberFormat="1" applyFont="1" applyFill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2" fontId="2" fillId="0" borderId="27" xfId="2" applyFont="1" applyBorder="1" applyAlignment="1">
      <alignment horizontal="center" vertical="center"/>
    </xf>
    <xf numFmtId="42" fontId="2" fillId="0" borderId="0" xfId="2" applyFont="1" applyAlignment="1">
      <alignment horizontal="center" vertical="center"/>
    </xf>
    <xf numFmtId="0" fontId="5" fillId="0" borderId="0" xfId="0" applyFont="1" applyAlignment="1">
      <alignment vertical="center"/>
    </xf>
    <xf numFmtId="42" fontId="5" fillId="0" borderId="0" xfId="0" applyNumberFormat="1" applyFont="1" applyAlignment="1">
      <alignment vertical="center"/>
    </xf>
    <xf numFmtId="42" fontId="6" fillId="7" borderId="30" xfId="0" applyNumberFormat="1" applyFont="1" applyFill="1" applyBorder="1" applyAlignment="1">
      <alignment vertical="center"/>
    </xf>
    <xf numFmtId="42" fontId="6" fillId="7" borderId="30" xfId="0" applyNumberFormat="1" applyFont="1" applyFill="1" applyBorder="1" applyAlignment="1">
      <alignment horizontal="center" vertical="center"/>
    </xf>
    <xf numFmtId="9" fontId="6" fillId="7" borderId="30" xfId="3" applyFont="1" applyFill="1" applyBorder="1" applyAlignment="1">
      <alignment horizontal="center" vertical="center"/>
    </xf>
    <xf numFmtId="9" fontId="0" fillId="8" borderId="18" xfId="3" applyFont="1" applyFill="1" applyBorder="1" applyAlignment="1">
      <alignment horizontal="center" vertical="center"/>
    </xf>
    <xf numFmtId="9" fontId="0" fillId="0" borderId="18" xfId="3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67" fontId="0" fillId="0" borderId="5" xfId="2" applyNumberFormat="1" applyFont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42" fontId="0" fillId="0" borderId="36" xfId="2" applyFont="1" applyFill="1" applyBorder="1" applyAlignment="1">
      <alignment horizontal="center" vertical="center"/>
    </xf>
    <xf numFmtId="42" fontId="2" fillId="0" borderId="36" xfId="2" applyFont="1" applyFill="1" applyBorder="1" applyAlignment="1">
      <alignment horizontal="center" vertical="center"/>
    </xf>
    <xf numFmtId="167" fontId="0" fillId="0" borderId="36" xfId="2" applyNumberFormat="1" applyFont="1" applyFill="1" applyBorder="1" applyAlignment="1">
      <alignment horizontal="center" vertical="center"/>
    </xf>
    <xf numFmtId="42" fontId="0" fillId="0" borderId="36" xfId="2" applyFont="1" applyBorder="1" applyAlignment="1">
      <alignment horizontal="center" vertical="center"/>
    </xf>
    <xf numFmtId="9" fontId="0" fillId="0" borderId="34" xfId="3" applyFont="1" applyBorder="1" applyAlignment="1">
      <alignment horizontal="center" vertical="center"/>
    </xf>
    <xf numFmtId="169" fontId="0" fillId="0" borderId="18" xfId="3" applyNumberFormat="1" applyFont="1" applyBorder="1" applyAlignment="1">
      <alignment horizontal="center" vertical="center"/>
    </xf>
    <xf numFmtId="42" fontId="2" fillId="0" borderId="37" xfId="2" applyFont="1" applyBorder="1" applyAlignment="1">
      <alignment horizontal="center" vertical="center"/>
    </xf>
    <xf numFmtId="41" fontId="0" fillId="0" borderId="23" xfId="1" applyFont="1" applyFill="1" applyBorder="1" applyAlignment="1">
      <alignment horizontal="center" vertical="center"/>
    </xf>
    <xf numFmtId="170" fontId="3" fillId="0" borderId="20" xfId="2" applyNumberFormat="1" applyFont="1" applyFill="1" applyBorder="1" applyAlignment="1">
      <alignment horizontal="center" vertical="center"/>
    </xf>
    <xf numFmtId="42" fontId="1" fillId="0" borderId="23" xfId="2" applyFont="1" applyFill="1" applyBorder="1" applyAlignment="1">
      <alignment horizontal="center" vertical="center"/>
    </xf>
    <xf numFmtId="166" fontId="0" fillId="0" borderId="2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9" fontId="2" fillId="0" borderId="0" xfId="3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171" fontId="0" fillId="0" borderId="0" xfId="0" applyNumberFormat="1" applyAlignment="1">
      <alignment vertical="center"/>
    </xf>
    <xf numFmtId="174" fontId="0" fillId="0" borderId="0" xfId="0" applyNumberFormat="1" applyAlignment="1">
      <alignment vertical="center"/>
    </xf>
    <xf numFmtId="10" fontId="0" fillId="0" borderId="0" xfId="3" applyNumberFormat="1" applyFont="1" applyAlignment="1">
      <alignment vertical="center"/>
    </xf>
    <xf numFmtId="0" fontId="9" fillId="0" borderId="0" xfId="0" applyFont="1" applyAlignment="1">
      <alignment vertical="center"/>
    </xf>
    <xf numFmtId="42" fontId="10" fillId="7" borderId="30" xfId="0" applyNumberFormat="1" applyFont="1" applyFill="1" applyBorder="1" applyAlignment="1">
      <alignment vertical="center"/>
    </xf>
    <xf numFmtId="42" fontId="9" fillId="0" borderId="0" xfId="0" applyNumberFormat="1" applyFont="1" applyAlignment="1">
      <alignment vertical="center"/>
    </xf>
    <xf numFmtId="42" fontId="10" fillId="7" borderId="30" xfId="0" applyNumberFormat="1" applyFont="1" applyFill="1" applyBorder="1" applyAlignment="1">
      <alignment horizontal="center" vertical="center"/>
    </xf>
    <xf numFmtId="9" fontId="10" fillId="7" borderId="30" xfId="3" applyFont="1" applyFill="1" applyBorder="1" applyAlignment="1">
      <alignment horizontal="center" vertical="center"/>
    </xf>
  </cellXfs>
  <cellStyles count="4">
    <cellStyle name="Millares [0]" xfId="1" builtinId="6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18</xdr:row>
      <xdr:rowOff>1</xdr:rowOff>
    </xdr:from>
    <xdr:to>
      <xdr:col>10</xdr:col>
      <xdr:colOff>515322</xdr:colOff>
      <xdr:row>23</xdr:row>
      <xdr:rowOff>177801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1F9D13-388F-F311-5BDE-FEB28E7C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1" y="4781551"/>
          <a:ext cx="3382346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18</xdr:row>
      <xdr:rowOff>1</xdr:rowOff>
    </xdr:from>
    <xdr:to>
      <xdr:col>10</xdr:col>
      <xdr:colOff>515322</xdr:colOff>
      <xdr:row>23</xdr:row>
      <xdr:rowOff>177801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3BA928-40C8-449C-A8C0-1E33F548A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1" y="4781551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30</xdr:row>
      <xdr:rowOff>66675</xdr:rowOff>
    </xdr:from>
    <xdr:to>
      <xdr:col>5</xdr:col>
      <xdr:colOff>819150</xdr:colOff>
      <xdr:row>40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B4869B-F656-74F8-6F1A-DFDD7AB1B3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1"/>
        <a:stretch/>
      </xdr:blipFill>
      <xdr:spPr bwMode="auto">
        <a:xfrm>
          <a:off x="1609725" y="7153275"/>
          <a:ext cx="330517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333375</xdr:colOff>
      <xdr:row>30</xdr:row>
      <xdr:rowOff>123825</xdr:rowOff>
    </xdr:from>
    <xdr:to>
      <xdr:col>8</xdr:col>
      <xdr:colOff>666750</xdr:colOff>
      <xdr:row>40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BEC89B-8970-09F0-AEA5-FA508FEE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7210425"/>
          <a:ext cx="3209925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18</xdr:row>
      <xdr:rowOff>1</xdr:rowOff>
    </xdr:from>
    <xdr:to>
      <xdr:col>10</xdr:col>
      <xdr:colOff>515322</xdr:colOff>
      <xdr:row>23</xdr:row>
      <xdr:rowOff>177801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A3E79E-426C-4B4D-A5B3-E65F16B5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1" y="4781551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30</xdr:row>
      <xdr:rowOff>9525</xdr:rowOff>
    </xdr:from>
    <xdr:to>
      <xdr:col>5</xdr:col>
      <xdr:colOff>685800</xdr:colOff>
      <xdr:row>39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F8B9CC0-E7B2-AB4D-260A-04503DE3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7096125"/>
          <a:ext cx="3171825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904875</xdr:colOff>
      <xdr:row>30</xdr:row>
      <xdr:rowOff>28575</xdr:rowOff>
    </xdr:from>
    <xdr:to>
      <xdr:col>8</xdr:col>
      <xdr:colOff>190500</xdr:colOff>
      <xdr:row>39</xdr:row>
      <xdr:rowOff>161925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23CE50-4B51-8CA0-788B-C509CA86E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15175"/>
          <a:ext cx="3095625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1657351</xdr:colOff>
      <xdr:row>21</xdr:row>
      <xdr:rowOff>19051</xdr:rowOff>
    </xdr:from>
    <xdr:to>
      <xdr:col>10</xdr:col>
      <xdr:colOff>229572</xdr:colOff>
      <xdr:row>27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C4A39E-929F-42C0-AD2E-81BEC086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1" y="5705476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33</xdr:row>
      <xdr:rowOff>95250</xdr:rowOff>
    </xdr:from>
    <xdr:to>
      <xdr:col>5</xdr:col>
      <xdr:colOff>676275</xdr:colOff>
      <xdr:row>43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EC450D-DCCA-1178-F65B-C8A23547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7791450"/>
          <a:ext cx="300990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33</xdr:row>
      <xdr:rowOff>104775</xdr:rowOff>
    </xdr:from>
    <xdr:to>
      <xdr:col>8</xdr:col>
      <xdr:colOff>257175</xdr:colOff>
      <xdr:row>43</xdr:row>
      <xdr:rowOff>95250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7F29246-833D-136E-D8E4-9D23002CC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7800975"/>
          <a:ext cx="300037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1657351</xdr:colOff>
      <xdr:row>23</xdr:row>
      <xdr:rowOff>19051</xdr:rowOff>
    </xdr:from>
    <xdr:to>
      <xdr:col>10</xdr:col>
      <xdr:colOff>229572</xdr:colOff>
      <xdr:row>29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AB3C2-A1BD-4AE8-8546-490FF5F1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1" y="5705476"/>
          <a:ext cx="3382346" cy="1139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1657351</xdr:colOff>
      <xdr:row>24</xdr:row>
      <xdr:rowOff>19051</xdr:rowOff>
    </xdr:from>
    <xdr:to>
      <xdr:col>10</xdr:col>
      <xdr:colOff>229572</xdr:colOff>
      <xdr:row>30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1A5C1C-B276-4A5E-AFB0-1F16DF0F8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1" y="6296026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36</xdr:row>
      <xdr:rowOff>85725</xdr:rowOff>
    </xdr:from>
    <xdr:to>
      <xdr:col>8</xdr:col>
      <xdr:colOff>857250</xdr:colOff>
      <xdr:row>45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85D246-15E9-9985-CFEE-83F64C0F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8667750"/>
          <a:ext cx="3152775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180975</xdr:colOff>
      <xdr:row>36</xdr:row>
      <xdr:rowOff>0</xdr:rowOff>
    </xdr:from>
    <xdr:to>
      <xdr:col>5</xdr:col>
      <xdr:colOff>857250</xdr:colOff>
      <xdr:row>45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F8584E-540E-3E62-35CF-FCB078004E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2"/>
        <a:stretch/>
      </xdr:blipFill>
      <xdr:spPr bwMode="auto">
        <a:xfrm>
          <a:off x="1743075" y="8582025"/>
          <a:ext cx="3209925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1657351</xdr:colOff>
      <xdr:row>23</xdr:row>
      <xdr:rowOff>19051</xdr:rowOff>
    </xdr:from>
    <xdr:to>
      <xdr:col>10</xdr:col>
      <xdr:colOff>229572</xdr:colOff>
      <xdr:row>29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0F631B-0FAB-4BB5-9C0E-D78223D51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1" y="6638926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35</xdr:row>
      <xdr:rowOff>9525</xdr:rowOff>
    </xdr:from>
    <xdr:to>
      <xdr:col>5</xdr:col>
      <xdr:colOff>600075</xdr:colOff>
      <xdr:row>44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3099E9-9004-4A71-5069-081A295D9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8639175"/>
          <a:ext cx="3095625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314325</xdr:colOff>
      <xdr:row>35</xdr:row>
      <xdr:rowOff>76200</xdr:rowOff>
    </xdr:from>
    <xdr:to>
      <xdr:col>8</xdr:col>
      <xdr:colOff>438150</xdr:colOff>
      <xdr:row>45</xdr:row>
      <xdr:rowOff>28575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BAE3A2-4408-DFD8-A9B5-BABB8306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8705850"/>
          <a:ext cx="3000375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1657351</xdr:colOff>
      <xdr:row>23</xdr:row>
      <xdr:rowOff>19051</xdr:rowOff>
    </xdr:from>
    <xdr:to>
      <xdr:col>10</xdr:col>
      <xdr:colOff>229572</xdr:colOff>
      <xdr:row>29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02A456-11E5-4A7C-93C8-0CF0334D7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1" y="6343651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35</xdr:row>
      <xdr:rowOff>123825</xdr:rowOff>
    </xdr:from>
    <xdr:to>
      <xdr:col>5</xdr:col>
      <xdr:colOff>752475</xdr:colOff>
      <xdr:row>44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96071D-C3CB-CE1D-16E3-F1F785D2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8753475"/>
          <a:ext cx="312420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314325</xdr:colOff>
      <xdr:row>35</xdr:row>
      <xdr:rowOff>76200</xdr:rowOff>
    </xdr:from>
    <xdr:to>
      <xdr:col>8</xdr:col>
      <xdr:colOff>561975</xdr:colOff>
      <xdr:row>45</xdr:row>
      <xdr:rowOff>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506696-2225-14E6-4EE6-2714DC915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8705850"/>
          <a:ext cx="3124200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1657351</xdr:colOff>
      <xdr:row>24</xdr:row>
      <xdr:rowOff>19051</xdr:rowOff>
    </xdr:from>
    <xdr:to>
      <xdr:col>7</xdr:col>
      <xdr:colOff>962997</xdr:colOff>
      <xdr:row>30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1E498E-A807-4703-A896-7CA7894F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1" y="6343651"/>
          <a:ext cx="3382346" cy="11398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36</xdr:row>
      <xdr:rowOff>76200</xdr:rowOff>
    </xdr:from>
    <xdr:to>
      <xdr:col>4</xdr:col>
      <xdr:colOff>19050</xdr:colOff>
      <xdr:row>46</xdr:row>
      <xdr:rowOff>28575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11984C0-AAD2-35B9-74A7-8AB3879A3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9001125"/>
          <a:ext cx="3009900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36</xdr:row>
      <xdr:rowOff>57150</xdr:rowOff>
    </xdr:from>
    <xdr:to>
      <xdr:col>6</xdr:col>
      <xdr:colOff>219075</xdr:colOff>
      <xdr:row>45</xdr:row>
      <xdr:rowOff>161925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ADB3FE4-0B60-EC0C-CA95-2AF0F9CB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8982075"/>
          <a:ext cx="30765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DEE0-7509-4070-A01C-8B2DE799A1BC}">
  <dimension ref="C1:N30"/>
  <sheetViews>
    <sheetView showGridLines="0" topLeftCell="C9" workbookViewId="0">
      <selection activeCell="N17" sqref="N17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4" style="3" customWidth="1"/>
    <col min="13" max="13" width="14" style="2" customWidth="1"/>
    <col min="14" max="14" width="6.7109375" style="2" customWidth="1"/>
    <col min="15" max="16384" width="11.42578125" style="1"/>
  </cols>
  <sheetData>
    <row r="1" spans="3:14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4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45372</v>
      </c>
      <c r="L2" s="153"/>
      <c r="M2" s="6" t="s">
        <v>11</v>
      </c>
      <c r="N2" s="5" t="s">
        <v>12</v>
      </c>
    </row>
    <row r="3" spans="3:14" ht="23.25" customHeight="1" x14ac:dyDescent="0.25">
      <c r="C3" s="156" t="s">
        <v>13</v>
      </c>
      <c r="D3" s="157" t="s">
        <v>14</v>
      </c>
      <c r="E3" s="151" t="s">
        <v>15</v>
      </c>
      <c r="F3" s="8">
        <v>43837</v>
      </c>
      <c r="G3" s="9" t="s">
        <v>16</v>
      </c>
      <c r="H3" s="10">
        <v>14792.0448</v>
      </c>
      <c r="I3" s="11">
        <v>2697.6768000000002</v>
      </c>
      <c r="J3" s="12">
        <f>+H3*I3</f>
        <v>39904156.081520639</v>
      </c>
      <c r="K3" s="11">
        <v>4081.6556999999998</v>
      </c>
      <c r="L3" s="12">
        <f>+H3*K3</f>
        <v>60376033.972575359</v>
      </c>
      <c r="M3" s="13">
        <f>L3-J3</f>
        <v>20471877.89105472</v>
      </c>
      <c r="N3" s="14">
        <f t="shared" ref="N3:N16" si="0">M3/J3</f>
        <v>0.51302620832858847</v>
      </c>
    </row>
    <row r="4" spans="3:14" ht="23.25" customHeight="1" x14ac:dyDescent="0.25">
      <c r="C4" s="156"/>
      <c r="D4" s="157"/>
      <c r="E4" s="149"/>
      <c r="F4" s="44">
        <v>43838</v>
      </c>
      <c r="G4" s="45" t="s">
        <v>17</v>
      </c>
      <c r="H4" s="46">
        <v>872.56399999999996</v>
      </c>
      <c r="I4" s="47">
        <v>45732.064883999999</v>
      </c>
      <c r="J4" s="48">
        <f>+H4*I4</f>
        <v>39904153.463442571</v>
      </c>
      <c r="K4" s="49">
        <v>49273.695899999999</v>
      </c>
      <c r="L4" s="48">
        <f>+H4*K4</f>
        <v>42994453.189287595</v>
      </c>
      <c r="M4" s="18">
        <f>L4-J4</f>
        <v>3090299.725845024</v>
      </c>
      <c r="N4" s="19">
        <f t="shared" si="0"/>
        <v>7.7443059371655215E-2</v>
      </c>
    </row>
    <row r="5" spans="3:14" ht="23.25" customHeight="1" x14ac:dyDescent="0.25">
      <c r="C5" s="156"/>
      <c r="D5" s="157"/>
      <c r="E5" s="158"/>
      <c r="F5" s="39">
        <v>44071</v>
      </c>
      <c r="G5" s="40" t="s">
        <v>18</v>
      </c>
      <c r="H5" s="41" t="s">
        <v>19</v>
      </c>
      <c r="I5" s="42" t="s">
        <v>19</v>
      </c>
      <c r="J5" s="43">
        <v>159712042</v>
      </c>
      <c r="K5" s="42" t="s">
        <v>19</v>
      </c>
      <c r="L5" s="43">
        <v>148436006</v>
      </c>
      <c r="M5" s="20">
        <f>+L5-J5</f>
        <v>-11276036</v>
      </c>
      <c r="N5" s="21">
        <f t="shared" si="0"/>
        <v>-7.0602290589960648E-2</v>
      </c>
    </row>
    <row r="6" spans="3:14" ht="23.25" customHeight="1" thickBot="1" x14ac:dyDescent="0.3">
      <c r="C6" s="64"/>
      <c r="D6" s="65"/>
      <c r="E6" s="71"/>
      <c r="F6" s="29">
        <v>45377</v>
      </c>
      <c r="G6" s="30" t="s">
        <v>29</v>
      </c>
      <c r="H6" s="31">
        <v>41470</v>
      </c>
      <c r="I6" s="35">
        <v>2411.36</v>
      </c>
      <c r="J6" s="33">
        <f>+H6*I6</f>
        <v>99999099.200000003</v>
      </c>
      <c r="K6" s="72">
        <v>2392.7600000000002</v>
      </c>
      <c r="L6" s="33">
        <f>+H6*K6</f>
        <v>99227757.200000003</v>
      </c>
      <c r="M6" s="20">
        <f>+L6-J6</f>
        <v>-771342</v>
      </c>
      <c r="N6" s="21">
        <f t="shared" ref="N6" si="1">M6/J6</f>
        <v>-7.7134894831132634E-3</v>
      </c>
    </row>
    <row r="7" spans="3:14" ht="23.25" customHeight="1" x14ac:dyDescent="0.25">
      <c r="C7" s="142" t="s">
        <v>20</v>
      </c>
      <c r="D7" s="145" t="s">
        <v>21</v>
      </c>
      <c r="E7" s="148" t="s">
        <v>15</v>
      </c>
      <c r="F7" s="22">
        <v>43837</v>
      </c>
      <c r="G7" s="23" t="s">
        <v>16</v>
      </c>
      <c r="H7" s="24">
        <v>6241.3888999999999</v>
      </c>
      <c r="I7" s="25">
        <v>2697.6768000000002</v>
      </c>
      <c r="J7" s="26">
        <f>+H7*I7</f>
        <v>16837250.035307519</v>
      </c>
      <c r="K7" s="25">
        <v>4081.6556999999998</v>
      </c>
      <c r="L7" s="26">
        <f>+H7*K7</f>
        <v>25475200.579601727</v>
      </c>
      <c r="M7" s="27">
        <f t="shared" ref="M7:M16" si="2">L7-J7</f>
        <v>8637950.5442942083</v>
      </c>
      <c r="N7" s="28">
        <f t="shared" si="0"/>
        <v>0.51302620832858847</v>
      </c>
    </row>
    <row r="8" spans="3:14" ht="23.25" customHeight="1" x14ac:dyDescent="0.25">
      <c r="C8" s="143"/>
      <c r="D8" s="146"/>
      <c r="E8" s="149"/>
      <c r="F8" s="44">
        <v>43838</v>
      </c>
      <c r="G8" s="45" t="s">
        <v>17</v>
      </c>
      <c r="H8" s="46">
        <v>368.17200000000003</v>
      </c>
      <c r="I8" s="49">
        <v>45732.017627999994</v>
      </c>
      <c r="J8" s="48">
        <f>+H8*I8</f>
        <v>16837248.394136015</v>
      </c>
      <c r="K8" s="49">
        <v>49273.695899999999</v>
      </c>
      <c r="L8" s="48">
        <f>+H8*K8</f>
        <v>18141195.166894801</v>
      </c>
      <c r="M8" s="18">
        <f t="shared" si="2"/>
        <v>1303946.7727587856</v>
      </c>
      <c r="N8" s="19">
        <f t="shared" si="0"/>
        <v>7.7444172719630194E-2</v>
      </c>
    </row>
    <row r="9" spans="3:14" ht="23.25" customHeight="1" thickBot="1" x14ac:dyDescent="0.3">
      <c r="C9" s="143"/>
      <c r="D9" s="146"/>
      <c r="E9" s="149"/>
      <c r="F9" s="54">
        <v>44140</v>
      </c>
      <c r="G9" s="55" t="s">
        <v>18</v>
      </c>
      <c r="H9" s="56" t="s">
        <v>19</v>
      </c>
      <c r="I9" s="57" t="s">
        <v>19</v>
      </c>
      <c r="J9" s="58">
        <v>15000000</v>
      </c>
      <c r="K9" s="57" t="s">
        <v>19</v>
      </c>
      <c r="L9" s="58">
        <v>9508443</v>
      </c>
      <c r="M9" s="18">
        <f t="shared" si="2"/>
        <v>-5491557</v>
      </c>
      <c r="N9" s="19">
        <f t="shared" si="0"/>
        <v>-0.36610379999999998</v>
      </c>
    </row>
    <row r="10" spans="3:14" ht="23.25" customHeight="1" thickBot="1" x14ac:dyDescent="0.3">
      <c r="C10" s="143"/>
      <c r="D10" s="146"/>
      <c r="E10" s="149"/>
      <c r="F10" s="15">
        <v>44644</v>
      </c>
      <c r="G10" s="16" t="s">
        <v>22</v>
      </c>
      <c r="H10" s="31">
        <v>6743884</v>
      </c>
      <c r="I10" s="25">
        <v>6.8326000000000002</v>
      </c>
      <c r="J10" s="17">
        <f>+H10*I10</f>
        <v>46078261.818400003</v>
      </c>
      <c r="K10" s="73">
        <v>12.47</v>
      </c>
      <c r="L10" s="33">
        <f>+H10*K10</f>
        <v>84096233.480000004</v>
      </c>
      <c r="M10" s="18">
        <f t="shared" si="2"/>
        <v>38017971.661600001</v>
      </c>
      <c r="N10" s="19">
        <f t="shared" si="0"/>
        <v>0.82507391037086908</v>
      </c>
    </row>
    <row r="11" spans="3:14" ht="23.25" customHeight="1" thickBot="1" x14ac:dyDescent="0.3">
      <c r="C11" s="143"/>
      <c r="D11" s="146"/>
      <c r="E11" s="150"/>
      <c r="F11" s="29">
        <v>45005</v>
      </c>
      <c r="G11" s="30" t="s">
        <v>23</v>
      </c>
      <c r="H11" s="31">
        <v>4475</v>
      </c>
      <c r="I11" s="32">
        <v>3208</v>
      </c>
      <c r="J11" s="33">
        <f>+H11*I11</f>
        <v>14355800</v>
      </c>
      <c r="K11" s="76">
        <v>3500</v>
      </c>
      <c r="L11" s="33">
        <f>+H11*K11</f>
        <v>15662500</v>
      </c>
      <c r="M11" s="32">
        <f t="shared" si="2"/>
        <v>1306700</v>
      </c>
      <c r="N11" s="34">
        <f t="shared" si="0"/>
        <v>9.1022443890274321E-2</v>
      </c>
    </row>
    <row r="12" spans="3:14" ht="23.25" customHeight="1" x14ac:dyDescent="0.25">
      <c r="C12" s="143"/>
      <c r="D12" s="146"/>
      <c r="E12" s="151" t="s">
        <v>24</v>
      </c>
      <c r="F12" s="8">
        <v>43837</v>
      </c>
      <c r="G12" s="9" t="s">
        <v>16</v>
      </c>
      <c r="H12" s="10">
        <v>20544.651000000002</v>
      </c>
      <c r="I12" s="35">
        <v>2754.61</v>
      </c>
      <c r="J12" s="12">
        <f>+H12*I12</f>
        <v>56592501.091110006</v>
      </c>
      <c r="K12" s="13">
        <v>4390.5438000000004</v>
      </c>
      <c r="L12" s="12">
        <f>+H12*K12</f>
        <v>90202190.071213812</v>
      </c>
      <c r="M12" s="13">
        <f t="shared" si="2"/>
        <v>33609688.980103806</v>
      </c>
      <c r="N12" s="14">
        <f t="shared" si="0"/>
        <v>0.59388944351468997</v>
      </c>
    </row>
    <row r="13" spans="3:14" ht="23.25" customHeight="1" x14ac:dyDescent="0.25">
      <c r="C13" s="143"/>
      <c r="D13" s="146"/>
      <c r="E13" s="149"/>
      <c r="F13" s="50">
        <v>43838</v>
      </c>
      <c r="G13" s="51" t="s">
        <v>17</v>
      </c>
      <c r="H13" s="52">
        <v>1698.653</v>
      </c>
      <c r="I13" s="59">
        <v>33298.332110000003</v>
      </c>
      <c r="J13" s="53">
        <f>+H13*I13</f>
        <v>56562311.733647838</v>
      </c>
      <c r="K13" s="60">
        <v>37435.907599999999</v>
      </c>
      <c r="L13" s="53">
        <f>+H13*K13</f>
        <v>63590616.752462797</v>
      </c>
      <c r="M13" s="18">
        <f t="shared" si="2"/>
        <v>7028305.0188149586</v>
      </c>
      <c r="N13" s="19">
        <f t="shared" si="0"/>
        <v>0.12425773988714033</v>
      </c>
    </row>
    <row r="14" spans="3:14" ht="23.25" customHeight="1" x14ac:dyDescent="0.25">
      <c r="C14" s="143"/>
      <c r="D14" s="146"/>
      <c r="E14" s="149"/>
      <c r="F14" s="61">
        <v>2020</v>
      </c>
      <c r="G14" s="55" t="s">
        <v>18</v>
      </c>
      <c r="H14" s="56" t="s">
        <v>19</v>
      </c>
      <c r="I14" s="62" t="s">
        <v>19</v>
      </c>
      <c r="J14" s="58">
        <v>56999551</v>
      </c>
      <c r="K14" s="63" t="s">
        <v>19</v>
      </c>
      <c r="L14" s="58">
        <v>55629667</v>
      </c>
      <c r="M14" s="18">
        <f t="shared" si="2"/>
        <v>-1369884</v>
      </c>
      <c r="N14" s="19">
        <f t="shared" si="0"/>
        <v>-2.4033241946063752E-2</v>
      </c>
    </row>
    <row r="15" spans="3:14" ht="21" customHeight="1" thickBot="1" x14ac:dyDescent="0.3">
      <c r="C15" s="143"/>
      <c r="D15" s="146"/>
      <c r="E15" s="149"/>
      <c r="F15" s="15">
        <v>44433</v>
      </c>
      <c r="G15" s="16" t="s">
        <v>25</v>
      </c>
      <c r="H15" s="37">
        <f>80688+91222</f>
        <v>171910</v>
      </c>
      <c r="I15" s="36">
        <v>126.71</v>
      </c>
      <c r="J15" s="17">
        <f t="shared" ref="J15:J16" si="3">+H15*I15</f>
        <v>21782716.099999998</v>
      </c>
      <c r="K15" s="73">
        <v>125.4</v>
      </c>
      <c r="L15" s="17">
        <f>+H15*K15</f>
        <v>21557514</v>
      </c>
      <c r="M15" s="18">
        <f t="shared" si="2"/>
        <v>-225202.09999999776</v>
      </c>
      <c r="N15" s="19">
        <f t="shared" si="0"/>
        <v>-1.0338568384499938E-2</v>
      </c>
    </row>
    <row r="16" spans="3:14" ht="15.75" thickBot="1" x14ac:dyDescent="0.3">
      <c r="C16" s="144"/>
      <c r="D16" s="147"/>
      <c r="E16" s="150"/>
      <c r="F16" s="29">
        <v>44109</v>
      </c>
      <c r="G16" s="30" t="s">
        <v>26</v>
      </c>
      <c r="H16" s="31">
        <f>1293776+119067</f>
        <v>1412843</v>
      </c>
      <c r="I16" s="38">
        <v>8.1136300000000006</v>
      </c>
      <c r="J16" s="33">
        <f t="shared" si="3"/>
        <v>11463285.350090001</v>
      </c>
      <c r="K16" s="74">
        <v>12.47</v>
      </c>
      <c r="L16" s="33">
        <f>+H16*K16</f>
        <v>17618152.210000001</v>
      </c>
      <c r="M16" s="32">
        <f t="shared" si="2"/>
        <v>6154866.8599100001</v>
      </c>
      <c r="N16" s="34">
        <f t="shared" si="0"/>
        <v>0.5369199729344325</v>
      </c>
    </row>
    <row r="17" spans="6:14" x14ac:dyDescent="0.25">
      <c r="F17" s="1"/>
      <c r="G17" s="1"/>
      <c r="H17" s="1"/>
      <c r="I17" s="1"/>
      <c r="J17" s="1"/>
      <c r="K17" s="75"/>
      <c r="L17" s="1"/>
      <c r="M17" s="2">
        <f>L6-J6</f>
        <v>-771342</v>
      </c>
      <c r="N17" s="2">
        <f>M17/J6</f>
        <v>-7.7134894831132634E-3</v>
      </c>
    </row>
    <row r="18" spans="6:14" x14ac:dyDescent="0.25">
      <c r="L18" s="66">
        <f>SUM(L3:L17)</f>
        <v>752515962.6220361</v>
      </c>
      <c r="M18" s="70">
        <v>45373</v>
      </c>
    </row>
    <row r="20" spans="6:14" x14ac:dyDescent="0.25">
      <c r="L20" s="67">
        <v>401392648</v>
      </c>
      <c r="M20" s="68" t="s">
        <v>27</v>
      </c>
    </row>
    <row r="21" spans="6:14" x14ac:dyDescent="0.25">
      <c r="L21" s="67">
        <v>358069947</v>
      </c>
      <c r="M21" s="2" t="s">
        <v>28</v>
      </c>
    </row>
    <row r="22" spans="6:14" ht="15.75" thickBot="1" x14ac:dyDescent="0.3">
      <c r="L22" s="69">
        <f>+L20+L21</f>
        <v>759462595</v>
      </c>
      <c r="M22" s="70">
        <v>45377</v>
      </c>
    </row>
    <row r="23" spans="6:14" x14ac:dyDescent="0.25">
      <c r="L23" s="67"/>
    </row>
    <row r="25" spans="6:14" x14ac:dyDescent="0.2">
      <c r="H25" s="68" t="s">
        <v>30</v>
      </c>
      <c r="J25" s="77">
        <v>0.26885109000000001</v>
      </c>
    </row>
    <row r="26" spans="6:14" x14ac:dyDescent="0.25">
      <c r="I26" s="2" t="s">
        <v>31</v>
      </c>
      <c r="J26" s="3">
        <f>7.0545-J25</f>
        <v>6.7856489099999999</v>
      </c>
      <c r="L26" s="66"/>
    </row>
    <row r="27" spans="6:14" x14ac:dyDescent="0.25">
      <c r="L27" s="66">
        <v>386975994</v>
      </c>
      <c r="M27" s="68" t="s">
        <v>27</v>
      </c>
    </row>
    <row r="28" spans="6:14" x14ac:dyDescent="0.25">
      <c r="L28" s="66">
        <v>352115015</v>
      </c>
      <c r="M28" s="2" t="s">
        <v>28</v>
      </c>
    </row>
    <row r="29" spans="6:14" ht="15.75" thickBot="1" x14ac:dyDescent="0.3">
      <c r="L29" s="69">
        <f>+L28+L27</f>
        <v>739091009</v>
      </c>
      <c r="M29" s="70">
        <v>45436</v>
      </c>
    </row>
    <row r="30" spans="6:14" x14ac:dyDescent="0.25">
      <c r="L30" s="66"/>
    </row>
  </sheetData>
  <mergeCells count="17">
    <mergeCell ref="J1:J2"/>
    <mergeCell ref="L1:L2"/>
    <mergeCell ref="M1:N1"/>
    <mergeCell ref="C3:C5"/>
    <mergeCell ref="D3:D5"/>
    <mergeCell ref="E3:E5"/>
    <mergeCell ref="C1:C2"/>
    <mergeCell ref="D1:D2"/>
    <mergeCell ref="E1:E2"/>
    <mergeCell ref="F1:F2"/>
    <mergeCell ref="G1:G2"/>
    <mergeCell ref="H1:H2"/>
    <mergeCell ref="C7:C16"/>
    <mergeCell ref="D7:D16"/>
    <mergeCell ref="E7:E11"/>
    <mergeCell ref="E12:E16"/>
    <mergeCell ref="I1:I2"/>
  </mergeCells>
  <pageMargins left="0.7" right="0.7" top="0.75" bottom="0.75" header="0.3" footer="0.3"/>
  <headerFooter>
    <oddFooter>&amp;C_x000D_&amp;1#&amp;"Calibri"&amp;10&amp;K000000 Uso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EB15-7C78-482E-8647-724ECDB4FC33}">
  <dimension ref="C1:N64"/>
  <sheetViews>
    <sheetView showGridLines="0" topLeftCell="C1" workbookViewId="0">
      <selection activeCell="L7" sqref="L7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4" style="3" customWidth="1"/>
    <col min="13" max="13" width="14" style="2" customWidth="1"/>
    <col min="14" max="14" width="6.7109375" style="2" customWidth="1"/>
    <col min="15" max="16384" width="11.42578125" style="1"/>
  </cols>
  <sheetData>
    <row r="1" spans="3:14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4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45448</v>
      </c>
      <c r="L2" s="153"/>
      <c r="M2" s="6" t="s">
        <v>11</v>
      </c>
      <c r="N2" s="5" t="s">
        <v>12</v>
      </c>
    </row>
    <row r="3" spans="3:14" ht="23.25" customHeight="1" x14ac:dyDescent="0.25">
      <c r="C3" s="156" t="s">
        <v>13</v>
      </c>
      <c r="D3" s="157" t="s">
        <v>14</v>
      </c>
      <c r="E3" s="151" t="s">
        <v>15</v>
      </c>
      <c r="F3" s="8">
        <v>43837</v>
      </c>
      <c r="G3" s="9" t="s">
        <v>16</v>
      </c>
      <c r="H3" s="10">
        <v>14792.0448</v>
      </c>
      <c r="I3" s="11">
        <v>2697.6768000000002</v>
      </c>
      <c r="J3" s="12">
        <f>+H3*I3</f>
        <v>39904156.081520639</v>
      </c>
      <c r="K3" s="35">
        <v>3834.4385000000002</v>
      </c>
      <c r="L3" s="12">
        <f>+H3*K3</f>
        <v>56719186.0748448</v>
      </c>
      <c r="M3" s="13">
        <f>L3-J3</f>
        <v>16815029.993324161</v>
      </c>
      <c r="N3" s="14">
        <f t="shared" ref="N3:N16" si="0">M3/J3</f>
        <v>0.42138543060458544</v>
      </c>
    </row>
    <row r="4" spans="3:14" ht="23.25" customHeight="1" x14ac:dyDescent="0.25">
      <c r="C4" s="156"/>
      <c r="D4" s="157"/>
      <c r="E4" s="149"/>
      <c r="F4" s="15">
        <v>45386</v>
      </c>
      <c r="G4" s="16" t="s">
        <v>33</v>
      </c>
      <c r="H4" s="78">
        <v>26692.698700000001</v>
      </c>
      <c r="I4" s="79">
        <v>1815.5173</v>
      </c>
      <c r="J4" s="80">
        <f>+H4*I4</f>
        <v>48461056.273537509</v>
      </c>
      <c r="K4" s="96">
        <v>1760.3756000000001</v>
      </c>
      <c r="L4" s="80">
        <f>+H4*K4</f>
        <v>46989175.48963172</v>
      </c>
      <c r="M4" s="18">
        <f>L4-J4</f>
        <v>-1471880.7839057893</v>
      </c>
      <c r="N4" s="19">
        <f t="shared" si="0"/>
        <v>-3.0372445363092918E-2</v>
      </c>
    </row>
    <row r="5" spans="3:14" ht="23.25" customHeight="1" x14ac:dyDescent="0.25">
      <c r="C5" s="156"/>
      <c r="D5" s="157"/>
      <c r="E5" s="158"/>
      <c r="F5" s="82"/>
      <c r="G5" s="83" t="s">
        <v>32</v>
      </c>
      <c r="H5" s="101">
        <v>41470</v>
      </c>
      <c r="I5" s="103">
        <v>2411.36</v>
      </c>
      <c r="J5" s="80">
        <f>+H5*I5</f>
        <v>99999099.200000003</v>
      </c>
      <c r="K5" s="102">
        <v>2375</v>
      </c>
      <c r="L5" s="80">
        <f>+H5*K5</f>
        <v>98491250</v>
      </c>
      <c r="M5" s="18">
        <f>L5-J5</f>
        <v>-1507849.200000003</v>
      </c>
      <c r="N5" s="19">
        <f t="shared" si="0"/>
        <v>-1.5078627828279506E-2</v>
      </c>
    </row>
    <row r="6" spans="3:14" ht="23.25" customHeight="1" x14ac:dyDescent="0.25">
      <c r="C6" s="156"/>
      <c r="D6" s="157"/>
      <c r="E6" s="158"/>
      <c r="F6" s="82">
        <v>45435</v>
      </c>
      <c r="G6" s="83" t="s">
        <v>34</v>
      </c>
      <c r="H6" s="101" t="s">
        <v>19</v>
      </c>
      <c r="I6" s="103" t="s">
        <v>19</v>
      </c>
      <c r="J6" s="86" t="s">
        <v>19</v>
      </c>
      <c r="K6" s="102" t="s">
        <v>19</v>
      </c>
      <c r="L6" s="86">
        <v>5278825</v>
      </c>
      <c r="M6" s="20">
        <f>L6</f>
        <v>5278825</v>
      </c>
      <c r="N6" s="21">
        <f>M6/J5</f>
        <v>5.2788725520839491E-2</v>
      </c>
    </row>
    <row r="7" spans="3:14" ht="23.25" customHeight="1" thickBot="1" x14ac:dyDescent="0.3">
      <c r="C7" s="156"/>
      <c r="D7" s="157"/>
      <c r="E7" s="158"/>
      <c r="F7" s="82">
        <v>44071</v>
      </c>
      <c r="G7" s="83" t="s">
        <v>18</v>
      </c>
      <c r="H7" s="84" t="s">
        <v>19</v>
      </c>
      <c r="I7" s="85" t="s">
        <v>19</v>
      </c>
      <c r="J7" s="86">
        <v>159712042</v>
      </c>
      <c r="K7" s="102" t="s">
        <v>19</v>
      </c>
      <c r="L7" s="86">
        <v>141824097</v>
      </c>
      <c r="M7" s="20">
        <f>+L7-J7</f>
        <v>-17887945</v>
      </c>
      <c r="N7" s="21">
        <f t="shared" si="0"/>
        <v>-0.11200122906198895</v>
      </c>
    </row>
    <row r="8" spans="3:14" ht="23.25" customHeight="1" x14ac:dyDescent="0.25">
      <c r="C8" s="142" t="s">
        <v>20</v>
      </c>
      <c r="D8" s="145" t="s">
        <v>21</v>
      </c>
      <c r="E8" s="148" t="s">
        <v>15</v>
      </c>
      <c r="F8" s="22">
        <v>43837</v>
      </c>
      <c r="G8" s="23" t="s">
        <v>16</v>
      </c>
      <c r="H8" s="90">
        <v>6241.3888999999999</v>
      </c>
      <c r="I8" s="91">
        <v>2697.6768000000002</v>
      </c>
      <c r="J8" s="92">
        <f t="shared" ref="J8:J13" si="1">+H8*I8</f>
        <v>16837250.035307519</v>
      </c>
      <c r="K8" s="109">
        <v>3834.4385000000002</v>
      </c>
      <c r="L8" s="92">
        <f t="shared" ref="L8:L13" si="2">+H8*K8</f>
        <v>23932221.89163265</v>
      </c>
      <c r="M8" s="27">
        <f t="shared" ref="M8:M16" si="3">L8-J8</f>
        <v>7094971.8563251309</v>
      </c>
      <c r="N8" s="28">
        <f t="shared" si="0"/>
        <v>0.4213854306045855</v>
      </c>
    </row>
    <row r="9" spans="3:14" ht="23.25" customHeight="1" x14ac:dyDescent="0.25">
      <c r="C9" s="143"/>
      <c r="D9" s="146"/>
      <c r="E9" s="149"/>
      <c r="F9" s="15">
        <v>45386</v>
      </c>
      <c r="G9" s="16" t="s">
        <v>33</v>
      </c>
      <c r="H9" s="108">
        <v>9711.3119000000006</v>
      </c>
      <c r="I9" s="81">
        <v>1784.9005</v>
      </c>
      <c r="J9" s="80">
        <f t="shared" si="1"/>
        <v>17333725.465965949</v>
      </c>
      <c r="K9" s="96">
        <v>1760.3756000000001</v>
      </c>
      <c r="L9" s="80">
        <f t="shared" si="2"/>
        <v>17095556.512749642</v>
      </c>
      <c r="M9" s="18">
        <f t="shared" si="3"/>
        <v>-238168.95321630687</v>
      </c>
      <c r="N9" s="19">
        <f t="shared" si="0"/>
        <v>-1.3740205686535287E-2</v>
      </c>
    </row>
    <row r="10" spans="3:14" ht="23.25" customHeight="1" x14ac:dyDescent="0.25">
      <c r="C10" s="143"/>
      <c r="D10" s="146"/>
      <c r="E10" s="149"/>
      <c r="F10" s="15">
        <v>44644</v>
      </c>
      <c r="G10" s="16" t="s">
        <v>22</v>
      </c>
      <c r="H10" s="99">
        <v>6743884</v>
      </c>
      <c r="I10" s="104">
        <v>6.8326000000000002</v>
      </c>
      <c r="J10" s="80">
        <f t="shared" si="1"/>
        <v>46078261.818400003</v>
      </c>
      <c r="K10" s="107">
        <v>12.77</v>
      </c>
      <c r="L10" s="80">
        <f t="shared" si="2"/>
        <v>86119398.679999992</v>
      </c>
      <c r="M10" s="18">
        <f t="shared" si="3"/>
        <v>40041136.861599989</v>
      </c>
      <c r="N10" s="19">
        <f t="shared" si="0"/>
        <v>0.86898106138219677</v>
      </c>
    </row>
    <row r="11" spans="3:14" ht="23.25" customHeight="1" thickBot="1" x14ac:dyDescent="0.3">
      <c r="C11" s="143"/>
      <c r="D11" s="146"/>
      <c r="E11" s="150"/>
      <c r="F11" s="29">
        <v>45005</v>
      </c>
      <c r="G11" s="30" t="s">
        <v>23</v>
      </c>
      <c r="H11" s="105">
        <v>4475</v>
      </c>
      <c r="I11" s="93">
        <v>3208</v>
      </c>
      <c r="J11" s="89">
        <f t="shared" si="1"/>
        <v>14355800</v>
      </c>
      <c r="K11" s="110">
        <v>3228</v>
      </c>
      <c r="L11" s="106">
        <f t="shared" si="2"/>
        <v>14445300</v>
      </c>
      <c r="M11" s="32">
        <f t="shared" si="3"/>
        <v>89500</v>
      </c>
      <c r="N11" s="34">
        <f t="shared" si="0"/>
        <v>6.2344139650872821E-3</v>
      </c>
    </row>
    <row r="12" spans="3:14" ht="23.25" customHeight="1" x14ac:dyDescent="0.25">
      <c r="C12" s="143"/>
      <c r="D12" s="146"/>
      <c r="E12" s="151" t="s">
        <v>24</v>
      </c>
      <c r="F12" s="8">
        <v>43837</v>
      </c>
      <c r="G12" s="9" t="s">
        <v>16</v>
      </c>
      <c r="H12" s="94">
        <v>20544.651000000002</v>
      </c>
      <c r="I12" s="88">
        <v>2754.61</v>
      </c>
      <c r="J12" s="95">
        <f t="shared" si="1"/>
        <v>56592501.091110006</v>
      </c>
      <c r="K12" s="88">
        <v>4390.5438000000004</v>
      </c>
      <c r="L12" s="95">
        <f t="shared" si="2"/>
        <v>90202190.071213812</v>
      </c>
      <c r="M12" s="13">
        <f t="shared" si="3"/>
        <v>33609688.980103806</v>
      </c>
      <c r="N12" s="14">
        <f t="shared" si="0"/>
        <v>0.59388944351468997</v>
      </c>
    </row>
    <row r="13" spans="3:14" ht="23.25" customHeight="1" x14ac:dyDescent="0.25">
      <c r="C13" s="143"/>
      <c r="D13" s="146"/>
      <c r="E13" s="149"/>
      <c r="F13" s="15">
        <v>45386</v>
      </c>
      <c r="G13" s="16" t="s">
        <v>33</v>
      </c>
      <c r="H13" s="78">
        <v>31210.603599999999</v>
      </c>
      <c r="I13" s="96">
        <v>1979.8371999999999</v>
      </c>
      <c r="J13" s="80">
        <f t="shared" si="1"/>
        <v>61791914.041733913</v>
      </c>
      <c r="K13" s="96">
        <v>1901.0358000000001</v>
      </c>
      <c r="L13" s="80">
        <f t="shared" si="2"/>
        <v>59332474.783208884</v>
      </c>
      <c r="M13" s="18">
        <f t="shared" si="3"/>
        <v>-2459439.2585250288</v>
      </c>
      <c r="N13" s="19">
        <f t="shared" si="0"/>
        <v>-3.9801959474243462E-2</v>
      </c>
    </row>
    <row r="14" spans="3:14" ht="23.25" customHeight="1" x14ac:dyDescent="0.25">
      <c r="C14" s="143"/>
      <c r="D14" s="146"/>
      <c r="E14" s="149"/>
      <c r="F14" s="97">
        <v>2020</v>
      </c>
      <c r="G14" s="16" t="s">
        <v>18</v>
      </c>
      <c r="H14" s="78" t="s">
        <v>19</v>
      </c>
      <c r="I14" s="98" t="s">
        <v>19</v>
      </c>
      <c r="J14" s="80">
        <v>56999551</v>
      </c>
      <c r="K14" s="96" t="s">
        <v>19</v>
      </c>
      <c r="L14" s="80">
        <v>52749625</v>
      </c>
      <c r="M14" s="18">
        <f t="shared" si="3"/>
        <v>-4249926</v>
      </c>
      <c r="N14" s="19">
        <f t="shared" si="0"/>
        <v>-7.4560692592122349E-2</v>
      </c>
    </row>
    <row r="15" spans="3:14" ht="21" customHeight="1" x14ac:dyDescent="0.25">
      <c r="C15" s="143"/>
      <c r="D15" s="146"/>
      <c r="E15" s="149"/>
      <c r="F15" s="15">
        <v>44433</v>
      </c>
      <c r="G15" s="16" t="s">
        <v>25</v>
      </c>
      <c r="H15" s="99">
        <f>80688+91222</f>
        <v>171910</v>
      </c>
      <c r="I15" s="96">
        <v>126.71</v>
      </c>
      <c r="J15" s="80">
        <f t="shared" ref="J15:J16" si="4">+H15*I15</f>
        <v>21782716.099999998</v>
      </c>
      <c r="K15" s="107">
        <v>123.13</v>
      </c>
      <c r="L15" s="80">
        <f>+H15*K15</f>
        <v>21167278.300000001</v>
      </c>
      <c r="M15" s="18">
        <f t="shared" si="3"/>
        <v>-615437.79999999702</v>
      </c>
      <c r="N15" s="19">
        <f t="shared" si="0"/>
        <v>-2.8253492226343484E-2</v>
      </c>
    </row>
    <row r="16" spans="3:14" ht="15.75" thickBot="1" x14ac:dyDescent="0.3">
      <c r="C16" s="144"/>
      <c r="D16" s="147"/>
      <c r="E16" s="150"/>
      <c r="F16" s="29">
        <v>44109</v>
      </c>
      <c r="G16" s="30" t="s">
        <v>26</v>
      </c>
      <c r="H16" s="87">
        <f>1293776+119067</f>
        <v>1412843</v>
      </c>
      <c r="I16" s="100">
        <v>8.1136300000000006</v>
      </c>
      <c r="J16" s="89">
        <f t="shared" si="4"/>
        <v>11463285.350090001</v>
      </c>
      <c r="K16" s="110">
        <v>12.7</v>
      </c>
      <c r="L16" s="89">
        <f>+H16*K16</f>
        <v>17943106.099999998</v>
      </c>
      <c r="M16" s="32">
        <f t="shared" si="3"/>
        <v>6479820.749909997</v>
      </c>
      <c r="N16" s="34">
        <f t="shared" si="0"/>
        <v>0.56526733410323093</v>
      </c>
    </row>
    <row r="17" spans="4:14" x14ac:dyDescent="0.25">
      <c r="F17" s="1"/>
      <c r="G17" s="1"/>
      <c r="H17" s="1"/>
      <c r="I17" s="1"/>
      <c r="J17" s="75">
        <f>SUM(J3:J16)</f>
        <v>651311358.45766556</v>
      </c>
      <c r="K17" s="75"/>
      <c r="L17" s="75">
        <f>SUM(L3:L16)</f>
        <v>732289684.90328145</v>
      </c>
      <c r="M17" s="111">
        <f>SUM(M3:M16)</f>
        <v>80978326.445615962</v>
      </c>
      <c r="N17" s="112">
        <f>M17/J17</f>
        <v>0.12433120564237704</v>
      </c>
    </row>
    <row r="18" spans="4:14" x14ac:dyDescent="0.25">
      <c r="L18" s="66"/>
      <c r="M18" s="70"/>
    </row>
    <row r="20" spans="4:14" x14ac:dyDescent="0.25">
      <c r="L20" s="116">
        <v>401392648</v>
      </c>
      <c r="M20" s="68" t="s">
        <v>27</v>
      </c>
    </row>
    <row r="21" spans="4:14" x14ac:dyDescent="0.25">
      <c r="L21" s="116">
        <v>358069947</v>
      </c>
      <c r="M21" s="2" t="s">
        <v>28</v>
      </c>
    </row>
    <row r="22" spans="4:14" ht="15.75" thickBot="1" x14ac:dyDescent="0.3">
      <c r="L22" s="115">
        <f>+L20+L21</f>
        <v>759462595</v>
      </c>
      <c r="M22" s="70">
        <v>45377</v>
      </c>
    </row>
    <row r="23" spans="4:14" x14ac:dyDescent="0.25">
      <c r="L23" s="116"/>
    </row>
    <row r="24" spans="4:14" x14ac:dyDescent="0.25">
      <c r="L24" s="116"/>
    </row>
    <row r="25" spans="4:14" x14ac:dyDescent="0.2">
      <c r="H25" s="68" t="s">
        <v>30</v>
      </c>
      <c r="J25" s="77">
        <v>0.26885109000000001</v>
      </c>
      <c r="L25" s="116"/>
    </row>
    <row r="26" spans="4:14" x14ac:dyDescent="0.25">
      <c r="I26" s="2" t="s">
        <v>31</v>
      </c>
      <c r="J26" s="3">
        <f>7.0545-J25</f>
        <v>6.7856489099999999</v>
      </c>
      <c r="L26" s="116">
        <v>386975994</v>
      </c>
      <c r="M26" s="68" t="s">
        <v>27</v>
      </c>
    </row>
    <row r="27" spans="4:14" x14ac:dyDescent="0.25">
      <c r="L27" s="116">
        <v>352115015</v>
      </c>
      <c r="M27" s="2" t="s">
        <v>28</v>
      </c>
    </row>
    <row r="28" spans="4:14" ht="15.75" thickBot="1" x14ac:dyDescent="0.3">
      <c r="L28" s="115">
        <f>+L27+L26</f>
        <v>739091009</v>
      </c>
      <c r="M28" s="70">
        <v>45436</v>
      </c>
    </row>
    <row r="29" spans="4:14" x14ac:dyDescent="0.25">
      <c r="L29" s="116"/>
    </row>
    <row r="30" spans="4:14" x14ac:dyDescent="0.25">
      <c r="D30" s="113" t="s">
        <v>35</v>
      </c>
      <c r="G30" s="114" t="s">
        <v>36</v>
      </c>
      <c r="L30" s="116"/>
    </row>
    <row r="31" spans="4:14" x14ac:dyDescent="0.25">
      <c r="L31" s="116"/>
    </row>
    <row r="32" spans="4:14" x14ac:dyDescent="0.25">
      <c r="L32" s="116"/>
    </row>
    <row r="33" spans="12:13" x14ac:dyDescent="0.25">
      <c r="L33" s="116">
        <v>380473377</v>
      </c>
      <c r="M33" s="2" t="s">
        <v>27</v>
      </c>
    </row>
    <row r="34" spans="12:13" x14ac:dyDescent="0.25">
      <c r="L34" s="116">
        <v>348222719</v>
      </c>
      <c r="M34" s="2" t="s">
        <v>28</v>
      </c>
    </row>
    <row r="35" spans="12:13" ht="15.75" thickBot="1" x14ac:dyDescent="0.3">
      <c r="L35" s="115">
        <f>SUM(L33:L34)</f>
        <v>728696096</v>
      </c>
      <c r="M35" s="70">
        <v>45447</v>
      </c>
    </row>
    <row r="36" spans="12:13" x14ac:dyDescent="0.25">
      <c r="L36" s="116"/>
    </row>
    <row r="37" spans="12:13" x14ac:dyDescent="0.25">
      <c r="L37" s="116"/>
    </row>
    <row r="38" spans="12:13" x14ac:dyDescent="0.25">
      <c r="L38" s="116"/>
    </row>
    <row r="39" spans="12:13" x14ac:dyDescent="0.25">
      <c r="L39" s="116"/>
    </row>
    <row r="40" spans="12:13" x14ac:dyDescent="0.25">
      <c r="L40" s="116"/>
    </row>
    <row r="41" spans="12:13" x14ac:dyDescent="0.25">
      <c r="L41" s="116"/>
    </row>
    <row r="42" spans="12:13" x14ac:dyDescent="0.25">
      <c r="L42" s="116"/>
    </row>
    <row r="43" spans="12:13" x14ac:dyDescent="0.25">
      <c r="L43" s="116"/>
    </row>
    <row r="44" spans="12:13" x14ac:dyDescent="0.25">
      <c r="L44" s="116"/>
    </row>
    <row r="45" spans="12:13" x14ac:dyDescent="0.25">
      <c r="L45" s="116"/>
    </row>
    <row r="46" spans="12:13" x14ac:dyDescent="0.25">
      <c r="L46" s="116"/>
    </row>
    <row r="47" spans="12:13" x14ac:dyDescent="0.25">
      <c r="L47" s="116"/>
    </row>
    <row r="48" spans="12:13" x14ac:dyDescent="0.25">
      <c r="L48" s="116"/>
    </row>
    <row r="49" spans="12:12" x14ac:dyDescent="0.25">
      <c r="L49" s="116"/>
    </row>
    <row r="50" spans="12:12" x14ac:dyDescent="0.25">
      <c r="L50" s="116"/>
    </row>
    <row r="51" spans="12:12" x14ac:dyDescent="0.25">
      <c r="L51" s="116"/>
    </row>
    <row r="52" spans="12:12" x14ac:dyDescent="0.25">
      <c r="L52" s="116"/>
    </row>
    <row r="53" spans="12:12" x14ac:dyDescent="0.25">
      <c r="L53" s="116"/>
    </row>
    <row r="54" spans="12:12" x14ac:dyDescent="0.25">
      <c r="L54" s="116"/>
    </row>
    <row r="55" spans="12:12" x14ac:dyDescent="0.25">
      <c r="L55" s="116"/>
    </row>
    <row r="56" spans="12:12" x14ac:dyDescent="0.25">
      <c r="L56" s="116"/>
    </row>
    <row r="57" spans="12:12" x14ac:dyDescent="0.25">
      <c r="L57" s="116"/>
    </row>
    <row r="58" spans="12:12" x14ac:dyDescent="0.25">
      <c r="L58" s="116"/>
    </row>
    <row r="59" spans="12:12" x14ac:dyDescent="0.25">
      <c r="L59" s="116"/>
    </row>
    <row r="60" spans="12:12" x14ac:dyDescent="0.25">
      <c r="L60" s="116"/>
    </row>
    <row r="61" spans="12:12" x14ac:dyDescent="0.25">
      <c r="L61" s="116"/>
    </row>
    <row r="62" spans="12:12" x14ac:dyDescent="0.25">
      <c r="L62" s="116"/>
    </row>
    <row r="63" spans="12:12" x14ac:dyDescent="0.25">
      <c r="L63" s="116"/>
    </row>
    <row r="64" spans="12:12" x14ac:dyDescent="0.25">
      <c r="L64" s="116"/>
    </row>
  </sheetData>
  <mergeCells count="17">
    <mergeCell ref="J1:J2"/>
    <mergeCell ref="L1:L2"/>
    <mergeCell ref="M1:N1"/>
    <mergeCell ref="C3:C7"/>
    <mergeCell ref="D3:D7"/>
    <mergeCell ref="E3:E7"/>
    <mergeCell ref="C1:C2"/>
    <mergeCell ref="D1:D2"/>
    <mergeCell ref="E1:E2"/>
    <mergeCell ref="F1:F2"/>
    <mergeCell ref="G1:G2"/>
    <mergeCell ref="H1:H2"/>
    <mergeCell ref="C8:C16"/>
    <mergeCell ref="D8:D16"/>
    <mergeCell ref="E8:E11"/>
    <mergeCell ref="E12:E16"/>
    <mergeCell ref="I1:I2"/>
  </mergeCells>
  <pageMargins left="0.7" right="0.7" top="0.75" bottom="0.75" header="0.3" footer="0.3"/>
  <headerFooter>
    <oddFooter>&amp;C_x000D_&amp;1#&amp;"Calibri"&amp;10&amp;K000000 Uso Interno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1C31-2D02-4A8A-A5EB-26CA1B85DD24}">
  <dimension ref="C1:N64"/>
  <sheetViews>
    <sheetView showGridLines="0" topLeftCell="C1" workbookViewId="0">
      <selection activeCell="H5" sqref="H5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6.5703125" style="3" customWidth="1"/>
    <col min="13" max="13" width="14.7109375" style="2" bestFit="1" customWidth="1"/>
    <col min="14" max="14" width="6.7109375" style="2" customWidth="1"/>
    <col min="15" max="16384" width="11.42578125" style="1"/>
  </cols>
  <sheetData>
    <row r="1" spans="3:14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4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45498</v>
      </c>
      <c r="L2" s="153"/>
      <c r="M2" s="6" t="s">
        <v>11</v>
      </c>
      <c r="N2" s="5" t="s">
        <v>12</v>
      </c>
    </row>
    <row r="3" spans="3:14" ht="23.25" customHeight="1" x14ac:dyDescent="0.25">
      <c r="C3" s="156" t="s">
        <v>13</v>
      </c>
      <c r="D3" s="157" t="s">
        <v>14</v>
      </c>
      <c r="E3" s="151" t="s">
        <v>15</v>
      </c>
      <c r="F3" s="8">
        <v>43837</v>
      </c>
      <c r="G3" s="9" t="s">
        <v>16</v>
      </c>
      <c r="H3" s="10">
        <v>14792.0448</v>
      </c>
      <c r="I3" s="11">
        <v>2697.6768000000002</v>
      </c>
      <c r="J3" s="12">
        <f>+H3*I3</f>
        <v>39904156.081520639</v>
      </c>
      <c r="K3" s="35">
        <v>4137.3561</v>
      </c>
      <c r="L3" s="12">
        <f>+H3*K3</f>
        <v>61199956.784753278</v>
      </c>
      <c r="M3" s="13">
        <f>L3-J3</f>
        <v>21295800.703232639</v>
      </c>
      <c r="N3" s="14">
        <f t="shared" ref="N3:N16" si="0">M3/J3</f>
        <v>0.53367375217075663</v>
      </c>
    </row>
    <row r="4" spans="3:14" ht="23.25" customHeight="1" x14ac:dyDescent="0.25">
      <c r="C4" s="156"/>
      <c r="D4" s="157"/>
      <c r="E4" s="149"/>
      <c r="F4" s="15">
        <v>45386</v>
      </c>
      <c r="G4" s="16" t="s">
        <v>33</v>
      </c>
      <c r="H4" s="78">
        <v>26692.698700000001</v>
      </c>
      <c r="I4" s="79">
        <v>1815.5173</v>
      </c>
      <c r="J4" s="80">
        <f>+H4*I4</f>
        <v>48461056.273537509</v>
      </c>
      <c r="K4" s="96">
        <v>1850.0129999999999</v>
      </c>
      <c r="L4" s="80">
        <f>+H4*K4</f>
        <v>49381839.600083098</v>
      </c>
      <c r="M4" s="18">
        <f>L4-J4</f>
        <v>920783.32654558867</v>
      </c>
      <c r="N4" s="19">
        <f t="shared" si="0"/>
        <v>1.9000479918313062E-2</v>
      </c>
    </row>
    <row r="5" spans="3:14" ht="23.25" customHeight="1" x14ac:dyDescent="0.25">
      <c r="C5" s="156"/>
      <c r="D5" s="157"/>
      <c r="E5" s="158"/>
      <c r="F5" s="82"/>
      <c r="G5" s="83" t="s">
        <v>32</v>
      </c>
      <c r="H5" s="101">
        <v>41470</v>
      </c>
      <c r="I5" s="103">
        <v>2411.36</v>
      </c>
      <c r="J5" s="80">
        <f>+H5*I5</f>
        <v>99999099.200000003</v>
      </c>
      <c r="K5" s="102">
        <v>2450</v>
      </c>
      <c r="L5" s="80">
        <f>+H5*K5</f>
        <v>101601500</v>
      </c>
      <c r="M5" s="18">
        <f>L5-J5</f>
        <v>1602400.799999997</v>
      </c>
      <c r="N5" s="19">
        <f t="shared" si="0"/>
        <v>1.6024152345564299E-2</v>
      </c>
    </row>
    <row r="6" spans="3:14" ht="23.25" customHeight="1" x14ac:dyDescent="0.25">
      <c r="C6" s="156"/>
      <c r="D6" s="157"/>
      <c r="E6" s="158"/>
      <c r="F6" s="82">
        <v>45435</v>
      </c>
      <c r="G6" s="83" t="s">
        <v>34</v>
      </c>
      <c r="H6" s="101" t="s">
        <v>19</v>
      </c>
      <c r="I6" s="103" t="s">
        <v>19</v>
      </c>
      <c r="J6" s="86" t="s">
        <v>19</v>
      </c>
      <c r="K6" s="102" t="s">
        <v>19</v>
      </c>
      <c r="L6" s="86">
        <v>5278825</v>
      </c>
      <c r="M6" s="20">
        <f>L6</f>
        <v>5278825</v>
      </c>
      <c r="N6" s="21">
        <f>M6/J5</f>
        <v>5.2788725520839491E-2</v>
      </c>
    </row>
    <row r="7" spans="3:14" ht="23.25" customHeight="1" thickBot="1" x14ac:dyDescent="0.3">
      <c r="C7" s="156"/>
      <c r="D7" s="157"/>
      <c r="E7" s="158"/>
      <c r="F7" s="82">
        <v>44071</v>
      </c>
      <c r="G7" s="83" t="s">
        <v>18</v>
      </c>
      <c r="H7" s="84" t="s">
        <v>19</v>
      </c>
      <c r="I7" s="85" t="s">
        <v>19</v>
      </c>
      <c r="J7" s="86">
        <v>159712042</v>
      </c>
      <c r="K7" s="102" t="s">
        <v>19</v>
      </c>
      <c r="L7" s="86">
        <v>153526477</v>
      </c>
      <c r="M7" s="20">
        <f>+L7-J7</f>
        <v>-6185565</v>
      </c>
      <c r="N7" s="21">
        <f t="shared" si="0"/>
        <v>-3.8729484154989391E-2</v>
      </c>
    </row>
    <row r="8" spans="3:14" ht="23.25" customHeight="1" x14ac:dyDescent="0.25">
      <c r="C8" s="142" t="s">
        <v>20</v>
      </c>
      <c r="D8" s="145" t="s">
        <v>21</v>
      </c>
      <c r="E8" s="148" t="s">
        <v>15</v>
      </c>
      <c r="F8" s="22">
        <v>43837</v>
      </c>
      <c r="G8" s="23" t="s">
        <v>16</v>
      </c>
      <c r="H8" s="90">
        <v>6241.3888999999999</v>
      </c>
      <c r="I8" s="91">
        <v>2697.6768000000002</v>
      </c>
      <c r="J8" s="92">
        <f t="shared" ref="J8:J13" si="1">+H8*I8</f>
        <v>16837250.035307519</v>
      </c>
      <c r="K8" s="109">
        <v>4137.3561</v>
      </c>
      <c r="L8" s="92">
        <f t="shared" ref="L8:L13" si="2">+H8*K8</f>
        <v>25822848.437887289</v>
      </c>
      <c r="M8" s="27">
        <f t="shared" ref="M8:M16" si="3">L8-J8</f>
        <v>8985598.4025797695</v>
      </c>
      <c r="N8" s="28">
        <f t="shared" si="0"/>
        <v>0.53367375217075674</v>
      </c>
    </row>
    <row r="9" spans="3:14" ht="23.25" customHeight="1" x14ac:dyDescent="0.25">
      <c r="C9" s="143"/>
      <c r="D9" s="146"/>
      <c r="E9" s="149"/>
      <c r="F9" s="15">
        <v>45386</v>
      </c>
      <c r="G9" s="16" t="s">
        <v>33</v>
      </c>
      <c r="H9" s="108">
        <v>9711.3119000000006</v>
      </c>
      <c r="I9" s="81">
        <v>1784.9005</v>
      </c>
      <c r="J9" s="80">
        <f t="shared" si="1"/>
        <v>17333725.465965949</v>
      </c>
      <c r="K9" s="96">
        <v>1850.0129999999999</v>
      </c>
      <c r="L9" s="80">
        <f t="shared" si="2"/>
        <v>17966053.2620547</v>
      </c>
      <c r="M9" s="18">
        <f t="shared" si="3"/>
        <v>632327.79608875141</v>
      </c>
      <c r="N9" s="122">
        <f t="shared" si="0"/>
        <v>3.6479624494474706E-2</v>
      </c>
    </row>
    <row r="10" spans="3:14" ht="23.25" customHeight="1" x14ac:dyDescent="0.25">
      <c r="C10" s="143"/>
      <c r="D10" s="146"/>
      <c r="E10" s="149"/>
      <c r="F10" s="15">
        <v>44644</v>
      </c>
      <c r="G10" s="16" t="s">
        <v>22</v>
      </c>
      <c r="H10" s="99">
        <v>6743884</v>
      </c>
      <c r="I10" s="104">
        <v>6.8326000000000002</v>
      </c>
      <c r="J10" s="80">
        <f t="shared" si="1"/>
        <v>46078261.818400003</v>
      </c>
      <c r="K10" s="107">
        <v>12.18</v>
      </c>
      <c r="L10" s="80">
        <f t="shared" si="2"/>
        <v>82140507.120000005</v>
      </c>
      <c r="M10" s="18">
        <f t="shared" si="3"/>
        <v>36062245.301600002</v>
      </c>
      <c r="N10" s="19">
        <f t="shared" si="0"/>
        <v>0.78263033105991864</v>
      </c>
    </row>
    <row r="11" spans="3:14" ht="23.25" customHeight="1" thickBot="1" x14ac:dyDescent="0.3">
      <c r="C11" s="143"/>
      <c r="D11" s="146"/>
      <c r="E11" s="150"/>
      <c r="F11" s="29">
        <v>45005</v>
      </c>
      <c r="G11" s="30" t="s">
        <v>23</v>
      </c>
      <c r="H11" s="105">
        <v>4475</v>
      </c>
      <c r="I11" s="93">
        <v>3208</v>
      </c>
      <c r="J11" s="89">
        <f t="shared" si="1"/>
        <v>14355800</v>
      </c>
      <c r="K11" s="110">
        <v>3250</v>
      </c>
      <c r="L11" s="106">
        <f t="shared" si="2"/>
        <v>14543750</v>
      </c>
      <c r="M11" s="32">
        <f t="shared" si="3"/>
        <v>187950</v>
      </c>
      <c r="N11" s="34">
        <f t="shared" si="0"/>
        <v>1.3092269326683292E-2</v>
      </c>
    </row>
    <row r="12" spans="3:14" ht="23.25" customHeight="1" x14ac:dyDescent="0.25">
      <c r="C12" s="143"/>
      <c r="D12" s="146"/>
      <c r="E12" s="151" t="s">
        <v>24</v>
      </c>
      <c r="F12" s="8">
        <v>43837</v>
      </c>
      <c r="G12" s="9" t="s">
        <v>16</v>
      </c>
      <c r="H12" s="94">
        <v>20544.651000000002</v>
      </c>
      <c r="I12" s="88">
        <v>2754.61</v>
      </c>
      <c r="J12" s="95">
        <f t="shared" si="1"/>
        <v>56592501.091110006</v>
      </c>
      <c r="K12" s="88">
        <v>4469.5298000000003</v>
      </c>
      <c r="L12" s="95">
        <f t="shared" si="2"/>
        <v>91824929.875099808</v>
      </c>
      <c r="M12" s="13">
        <f t="shared" si="3"/>
        <v>35232428.783989802</v>
      </c>
      <c r="N12" s="14">
        <f t="shared" si="0"/>
        <v>0.62256355709156652</v>
      </c>
    </row>
    <row r="13" spans="3:14" ht="23.25" customHeight="1" x14ac:dyDescent="0.25">
      <c r="C13" s="143"/>
      <c r="D13" s="146"/>
      <c r="E13" s="149"/>
      <c r="F13" s="15">
        <v>45386</v>
      </c>
      <c r="G13" s="16" t="s">
        <v>33</v>
      </c>
      <c r="H13" s="78">
        <v>31210.603599999999</v>
      </c>
      <c r="I13" s="96">
        <v>1979.8371999999999</v>
      </c>
      <c r="J13" s="80">
        <f t="shared" si="1"/>
        <v>61791914.041733913</v>
      </c>
      <c r="K13" s="96">
        <v>2001.1396</v>
      </c>
      <c r="L13" s="80">
        <f t="shared" si="2"/>
        <v>62456774.803862557</v>
      </c>
      <c r="M13" s="18">
        <f t="shared" si="3"/>
        <v>664860.76212864369</v>
      </c>
      <c r="N13" s="19">
        <f t="shared" si="0"/>
        <v>1.0759672562976452E-2</v>
      </c>
    </row>
    <row r="14" spans="3:14" ht="23.25" customHeight="1" x14ac:dyDescent="0.25">
      <c r="C14" s="143"/>
      <c r="D14" s="146"/>
      <c r="E14" s="149"/>
      <c r="F14" s="97">
        <v>2020</v>
      </c>
      <c r="G14" s="16" t="s">
        <v>18</v>
      </c>
      <c r="H14" s="78" t="s">
        <v>19</v>
      </c>
      <c r="I14" s="98" t="s">
        <v>19</v>
      </c>
      <c r="J14" s="80">
        <v>56999551</v>
      </c>
      <c r="K14" s="96" t="s">
        <v>19</v>
      </c>
      <c r="L14" s="80">
        <v>56925219</v>
      </c>
      <c r="M14" s="18">
        <f t="shared" si="3"/>
        <v>-74332</v>
      </c>
      <c r="N14" s="19">
        <f t="shared" si="0"/>
        <v>-1.3040804479319496E-3</v>
      </c>
    </row>
    <row r="15" spans="3:14" ht="21" customHeight="1" x14ac:dyDescent="0.25">
      <c r="C15" s="143"/>
      <c r="D15" s="146"/>
      <c r="E15" s="149"/>
      <c r="F15" s="15">
        <v>44433</v>
      </c>
      <c r="G15" s="16" t="s">
        <v>25</v>
      </c>
      <c r="H15" s="99">
        <f>80688+91222</f>
        <v>171910</v>
      </c>
      <c r="I15" s="96">
        <v>126.71</v>
      </c>
      <c r="J15" s="80">
        <f t="shared" ref="J15:J16" si="4">+H15*I15</f>
        <v>21782716.099999998</v>
      </c>
      <c r="K15" s="107">
        <v>124</v>
      </c>
      <c r="L15" s="80">
        <f>+H15*K15</f>
        <v>21316840</v>
      </c>
      <c r="M15" s="18">
        <f t="shared" si="3"/>
        <v>-465876.09999999776</v>
      </c>
      <c r="N15" s="19">
        <f t="shared" si="0"/>
        <v>-2.1387420093125935E-2</v>
      </c>
    </row>
    <row r="16" spans="3:14" ht="15.75" thickBot="1" x14ac:dyDescent="0.3">
      <c r="C16" s="144"/>
      <c r="D16" s="147"/>
      <c r="E16" s="150"/>
      <c r="F16" s="29">
        <v>44109</v>
      </c>
      <c r="G16" s="30" t="s">
        <v>26</v>
      </c>
      <c r="H16" s="87">
        <f>1293776+119067</f>
        <v>1412843</v>
      </c>
      <c r="I16" s="100">
        <v>8.1136300000000006</v>
      </c>
      <c r="J16" s="89">
        <f t="shared" si="4"/>
        <v>11463285.350090001</v>
      </c>
      <c r="K16" s="110">
        <v>12.18</v>
      </c>
      <c r="L16" s="89">
        <f>+H16*K16</f>
        <v>17208427.739999998</v>
      </c>
      <c r="M16" s="32">
        <f t="shared" si="3"/>
        <v>5745142.3899099976</v>
      </c>
      <c r="N16" s="34">
        <f t="shared" si="0"/>
        <v>0.50117764798246878</v>
      </c>
    </row>
    <row r="17" spans="4:14" s="117" customFormat="1" ht="16.5" thickBot="1" x14ac:dyDescent="0.3">
      <c r="J17" s="119">
        <f>SUM(J3:J16)</f>
        <v>651311358.45766556</v>
      </c>
      <c r="K17" s="118"/>
      <c r="L17" s="119">
        <f>SUM(L3:L16)</f>
        <v>761193948.62374079</v>
      </c>
      <c r="M17" s="120">
        <f>SUM(M3:M16)</f>
        <v>109882590.16607518</v>
      </c>
      <c r="N17" s="121">
        <f>M17/J17</f>
        <v>0.16870977104757098</v>
      </c>
    </row>
    <row r="18" spans="4:14" x14ac:dyDescent="0.25">
      <c r="L18" s="66"/>
      <c r="M18" s="70"/>
    </row>
    <row r="20" spans="4:14" x14ac:dyDescent="0.25">
      <c r="L20" s="116">
        <v>401392648</v>
      </c>
      <c r="M20" s="68" t="s">
        <v>27</v>
      </c>
    </row>
    <row r="21" spans="4:14" x14ac:dyDescent="0.25">
      <c r="L21" s="116">
        <v>358069947</v>
      </c>
      <c r="M21" s="2" t="s">
        <v>28</v>
      </c>
    </row>
    <row r="22" spans="4:14" ht="15.75" thickBot="1" x14ac:dyDescent="0.3">
      <c r="L22" s="115">
        <f>+L20+L21</f>
        <v>759462595</v>
      </c>
      <c r="M22" s="70">
        <v>45377</v>
      </c>
    </row>
    <row r="23" spans="4:14" x14ac:dyDescent="0.25">
      <c r="L23" s="116"/>
    </row>
    <row r="24" spans="4:14" x14ac:dyDescent="0.25">
      <c r="L24" s="116"/>
    </row>
    <row r="25" spans="4:14" x14ac:dyDescent="0.2">
      <c r="H25" s="68" t="s">
        <v>30</v>
      </c>
      <c r="J25" s="77">
        <v>0.26885109000000001</v>
      </c>
      <c r="L25" s="116"/>
    </row>
    <row r="26" spans="4:14" x14ac:dyDescent="0.25">
      <c r="I26" s="2" t="s">
        <v>31</v>
      </c>
      <c r="J26" s="3">
        <f>7.0545-J25</f>
        <v>6.7856489099999999</v>
      </c>
      <c r="L26" s="116">
        <v>386975994</v>
      </c>
      <c r="M26" s="68" t="s">
        <v>27</v>
      </c>
    </row>
    <row r="27" spans="4:14" x14ac:dyDescent="0.25">
      <c r="L27" s="116">
        <v>352115015</v>
      </c>
      <c r="M27" s="2" t="s">
        <v>28</v>
      </c>
    </row>
    <row r="28" spans="4:14" ht="15.75" thickBot="1" x14ac:dyDescent="0.3">
      <c r="L28" s="115">
        <f>+L27+L26</f>
        <v>739091009</v>
      </c>
      <c r="M28" s="70">
        <v>45436</v>
      </c>
    </row>
    <row r="29" spans="4:14" x14ac:dyDescent="0.25">
      <c r="L29" s="116"/>
    </row>
    <row r="30" spans="4:14" x14ac:dyDescent="0.25">
      <c r="D30" s="113" t="s">
        <v>35</v>
      </c>
      <c r="G30" s="114" t="s">
        <v>36</v>
      </c>
      <c r="L30" s="116"/>
    </row>
    <row r="31" spans="4:14" x14ac:dyDescent="0.25">
      <c r="L31" s="116"/>
    </row>
    <row r="32" spans="4:14" x14ac:dyDescent="0.25">
      <c r="L32" s="116">
        <v>380473377</v>
      </c>
      <c r="M32" s="2" t="s">
        <v>27</v>
      </c>
    </row>
    <row r="33" spans="12:13" x14ac:dyDescent="0.25">
      <c r="L33" s="116">
        <v>348222719</v>
      </c>
      <c r="M33" s="2" t="s">
        <v>28</v>
      </c>
    </row>
    <row r="34" spans="12:13" ht="15.75" thickBot="1" x14ac:dyDescent="0.3">
      <c r="L34" s="115">
        <f>SUM(L32:L33)</f>
        <v>728696096</v>
      </c>
      <c r="M34" s="70">
        <v>45447</v>
      </c>
    </row>
    <row r="35" spans="12:13" x14ac:dyDescent="0.25">
      <c r="L35" s="116"/>
    </row>
    <row r="36" spans="12:13" x14ac:dyDescent="0.25">
      <c r="L36" s="116"/>
    </row>
    <row r="37" spans="12:13" x14ac:dyDescent="0.25">
      <c r="L37" s="116"/>
    </row>
    <row r="38" spans="12:13" x14ac:dyDescent="0.25">
      <c r="L38" s="116">
        <v>393406396</v>
      </c>
      <c r="M38" s="2" t="s">
        <v>27</v>
      </c>
    </row>
    <row r="39" spans="12:13" x14ac:dyDescent="0.25">
      <c r="L39" s="116">
        <v>371089239</v>
      </c>
      <c r="M39" s="2" t="s">
        <v>28</v>
      </c>
    </row>
    <row r="40" spans="12:13" ht="15.75" thickBot="1" x14ac:dyDescent="0.3">
      <c r="L40" s="115">
        <f>SUM(L38:L39)</f>
        <v>764495635</v>
      </c>
      <c r="M40" s="70">
        <v>45498</v>
      </c>
    </row>
    <row r="41" spans="12:13" x14ac:dyDescent="0.25">
      <c r="L41" s="116"/>
    </row>
    <row r="42" spans="12:13" x14ac:dyDescent="0.25">
      <c r="L42" s="116"/>
    </row>
    <row r="43" spans="12:13" x14ac:dyDescent="0.25">
      <c r="L43" s="116"/>
    </row>
    <row r="44" spans="12:13" x14ac:dyDescent="0.25">
      <c r="L44" s="116"/>
    </row>
    <row r="45" spans="12:13" x14ac:dyDescent="0.25">
      <c r="L45" s="116"/>
    </row>
    <row r="46" spans="12:13" x14ac:dyDescent="0.25">
      <c r="L46" s="116"/>
    </row>
    <row r="47" spans="12:13" x14ac:dyDescent="0.25">
      <c r="L47" s="116"/>
    </row>
    <row r="48" spans="12:13" x14ac:dyDescent="0.25">
      <c r="L48" s="116"/>
    </row>
    <row r="49" spans="12:12" x14ac:dyDescent="0.25">
      <c r="L49" s="116"/>
    </row>
    <row r="50" spans="12:12" x14ac:dyDescent="0.25">
      <c r="L50" s="116"/>
    </row>
    <row r="51" spans="12:12" x14ac:dyDescent="0.25">
      <c r="L51" s="116"/>
    </row>
    <row r="52" spans="12:12" x14ac:dyDescent="0.25">
      <c r="L52" s="116"/>
    </row>
    <row r="53" spans="12:12" x14ac:dyDescent="0.25">
      <c r="L53" s="116"/>
    </row>
    <row r="54" spans="12:12" x14ac:dyDescent="0.25">
      <c r="L54" s="116"/>
    </row>
    <row r="55" spans="12:12" x14ac:dyDescent="0.25">
      <c r="L55" s="116"/>
    </row>
    <row r="56" spans="12:12" x14ac:dyDescent="0.25">
      <c r="L56" s="116"/>
    </row>
    <row r="57" spans="12:12" x14ac:dyDescent="0.25">
      <c r="L57" s="116"/>
    </row>
    <row r="58" spans="12:12" x14ac:dyDescent="0.25">
      <c r="L58" s="116"/>
    </row>
    <row r="59" spans="12:12" x14ac:dyDescent="0.25">
      <c r="L59" s="116"/>
    </row>
    <row r="60" spans="12:12" x14ac:dyDescent="0.25">
      <c r="L60" s="116"/>
    </row>
    <row r="61" spans="12:12" x14ac:dyDescent="0.25">
      <c r="L61" s="116"/>
    </row>
    <row r="62" spans="12:12" x14ac:dyDescent="0.25">
      <c r="L62" s="116"/>
    </row>
    <row r="63" spans="12:12" x14ac:dyDescent="0.25">
      <c r="L63" s="116"/>
    </row>
    <row r="64" spans="12:12" x14ac:dyDescent="0.25">
      <c r="L64" s="116"/>
    </row>
  </sheetData>
  <mergeCells count="17">
    <mergeCell ref="C8:C16"/>
    <mergeCell ref="D8:D16"/>
    <mergeCell ref="E8:E11"/>
    <mergeCell ref="E12:E16"/>
    <mergeCell ref="I1:I2"/>
    <mergeCell ref="J1:J2"/>
    <mergeCell ref="L1:L2"/>
    <mergeCell ref="M1:N1"/>
    <mergeCell ref="C3:C7"/>
    <mergeCell ref="D3:D7"/>
    <mergeCell ref="E3:E7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>
    <oddFooter>&amp;C_x000D_&amp;1#&amp;"Calibri"&amp;10&amp;K000000 Uso Interno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733F-1B31-4CDD-8C47-6F85241F9824}">
  <dimension ref="A1:O67"/>
  <sheetViews>
    <sheetView showGridLines="0" topLeftCell="C24" workbookViewId="0">
      <selection activeCell="J46" sqref="J46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6.5703125" style="3" customWidth="1"/>
    <col min="13" max="13" width="14.7109375" style="2" bestFit="1" customWidth="1"/>
    <col min="14" max="14" width="6.7109375" style="2" customWidth="1"/>
    <col min="15" max="16384" width="11.42578125" style="1"/>
  </cols>
  <sheetData>
    <row r="1" spans="3:15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5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45531</v>
      </c>
      <c r="L2" s="153"/>
      <c r="M2" s="6" t="s">
        <v>11</v>
      </c>
      <c r="N2" s="5" t="s">
        <v>12</v>
      </c>
    </row>
    <row r="3" spans="3:15" ht="23.25" customHeight="1" x14ac:dyDescent="0.25">
      <c r="C3" s="169" t="s">
        <v>13</v>
      </c>
      <c r="D3" s="171" t="s">
        <v>14</v>
      </c>
      <c r="E3" s="173" t="s">
        <v>15</v>
      </c>
      <c r="F3" s="22">
        <v>43837</v>
      </c>
      <c r="G3" s="23" t="s">
        <v>16</v>
      </c>
      <c r="H3" s="24">
        <v>14792.0448</v>
      </c>
      <c r="I3" s="25">
        <v>2697.6768000000002</v>
      </c>
      <c r="J3" s="26">
        <f>+H3*I3</f>
        <v>39904156.081520639</v>
      </c>
      <c r="K3" s="125">
        <v>4053.857</v>
      </c>
      <c r="L3" s="26">
        <f>+H3*K3</f>
        <v>59964834.356793597</v>
      </c>
      <c r="M3" s="27">
        <f>L3-J3</f>
        <v>20060678.275272958</v>
      </c>
      <c r="N3" s="28">
        <f t="shared" ref="N3:N19" si="0">M3/J3</f>
        <v>0.5027215269078934</v>
      </c>
    </row>
    <row r="4" spans="3:15" ht="23.25" customHeight="1" x14ac:dyDescent="0.25">
      <c r="C4" s="156"/>
      <c r="D4" s="157"/>
      <c r="E4" s="174"/>
      <c r="F4" s="15">
        <v>45386</v>
      </c>
      <c r="G4" s="16" t="s">
        <v>33</v>
      </c>
      <c r="H4" s="78">
        <v>23729.155299999999</v>
      </c>
      <c r="I4" s="79">
        <v>1815.5173016209301</v>
      </c>
      <c r="J4" s="12">
        <f>+H4*I4</f>
        <v>43080691.999999993</v>
      </c>
      <c r="K4" s="96">
        <v>1831.3915999999999</v>
      </c>
      <c r="L4" s="80">
        <f>+H4*K4</f>
        <v>43457375.691515476</v>
      </c>
      <c r="M4" s="18">
        <f>L4-J4</f>
        <v>376683.69151548296</v>
      </c>
      <c r="N4" s="19">
        <f t="shared" si="0"/>
        <v>8.7436778293970546E-3</v>
      </c>
      <c r="O4" s="124"/>
    </row>
    <row r="5" spans="3:15" ht="23.25" customHeight="1" x14ac:dyDescent="0.25">
      <c r="C5" s="156"/>
      <c r="D5" s="157"/>
      <c r="E5" s="175"/>
      <c r="F5" s="15">
        <v>45436</v>
      </c>
      <c r="G5" s="16" t="s">
        <v>33</v>
      </c>
      <c r="H5" s="78">
        <v>2963.5434000000023</v>
      </c>
      <c r="I5" s="79">
        <v>1781.2545</v>
      </c>
      <c r="J5" s="12">
        <f>+H5*I5</f>
        <v>5278825.0171953039</v>
      </c>
      <c r="K5" s="96">
        <v>1831.3915999999999</v>
      </c>
      <c r="L5" s="80">
        <f>+H5*K5</f>
        <v>5427408.488995444</v>
      </c>
      <c r="M5" s="18">
        <f>L5-J5</f>
        <v>148583.47180014011</v>
      </c>
      <c r="N5" s="19">
        <f t="shared" ref="N5" si="1">M5/J5</f>
        <v>2.8147072751254804E-2</v>
      </c>
    </row>
    <row r="6" spans="3:15" ht="23.25" customHeight="1" x14ac:dyDescent="0.25">
      <c r="C6" s="156"/>
      <c r="D6" s="157"/>
      <c r="E6" s="175"/>
      <c r="F6" s="82"/>
      <c r="G6" s="83" t="s">
        <v>32</v>
      </c>
      <c r="H6" s="101">
        <v>41470</v>
      </c>
      <c r="I6" s="103">
        <v>2411.36</v>
      </c>
      <c r="J6" s="80">
        <f>+H6*I6</f>
        <v>99999099.200000003</v>
      </c>
      <c r="K6" s="102">
        <v>2412.94</v>
      </c>
      <c r="L6" s="80">
        <f>+H6*K6</f>
        <v>100064621.8</v>
      </c>
      <c r="M6" s="18">
        <f>L6-J6</f>
        <v>65522.59999999404</v>
      </c>
      <c r="N6" s="19">
        <f t="shared" si="0"/>
        <v>6.552319023289166E-4</v>
      </c>
    </row>
    <row r="7" spans="3:15" ht="23.25" customHeight="1" x14ac:dyDescent="0.25">
      <c r="C7" s="156"/>
      <c r="D7" s="157"/>
      <c r="E7" s="175"/>
      <c r="F7" s="82">
        <v>45435</v>
      </c>
      <c r="G7" s="83" t="s">
        <v>34</v>
      </c>
      <c r="H7" s="101" t="s">
        <v>19</v>
      </c>
      <c r="I7" s="103" t="s">
        <v>19</v>
      </c>
      <c r="J7" s="86" t="s">
        <v>19</v>
      </c>
      <c r="K7" s="102" t="s">
        <v>19</v>
      </c>
      <c r="L7" s="86">
        <v>5278825</v>
      </c>
      <c r="M7" s="20">
        <f>L7</f>
        <v>5278825</v>
      </c>
      <c r="N7" s="21">
        <f>M7/J6</f>
        <v>5.2788725520839491E-2</v>
      </c>
    </row>
    <row r="8" spans="3:15" ht="23.25" customHeight="1" thickBot="1" x14ac:dyDescent="0.3">
      <c r="C8" s="170"/>
      <c r="D8" s="172"/>
      <c r="E8" s="176"/>
      <c r="F8" s="126">
        <v>44071</v>
      </c>
      <c r="G8" s="127" t="s">
        <v>18</v>
      </c>
      <c r="H8" s="128" t="s">
        <v>19</v>
      </c>
      <c r="I8" s="129" t="s">
        <v>19</v>
      </c>
      <c r="J8" s="130">
        <v>159712042</v>
      </c>
      <c r="K8" s="131" t="s">
        <v>19</v>
      </c>
      <c r="L8" s="130">
        <v>150879565</v>
      </c>
      <c r="M8" s="132">
        <f>+L8-J8</f>
        <v>-8832477</v>
      </c>
      <c r="N8" s="133">
        <f t="shared" si="0"/>
        <v>-5.5302511253346821E-2</v>
      </c>
    </row>
    <row r="9" spans="3:15" ht="23.25" customHeight="1" x14ac:dyDescent="0.25">
      <c r="C9" s="177" t="s">
        <v>20</v>
      </c>
      <c r="D9" s="178" t="s">
        <v>21</v>
      </c>
      <c r="E9" s="179" t="s">
        <v>15</v>
      </c>
      <c r="F9" s="8">
        <v>43837</v>
      </c>
      <c r="G9" s="9" t="s">
        <v>16</v>
      </c>
      <c r="H9" s="94">
        <v>6241.3888999999999</v>
      </c>
      <c r="I9" s="104">
        <v>2697.6768000000002</v>
      </c>
      <c r="J9" s="95">
        <f t="shared" ref="J9:J14" si="2">+H9*I9</f>
        <v>16837250.035307519</v>
      </c>
      <c r="K9" s="88">
        <v>4053.857</v>
      </c>
      <c r="L9" s="95">
        <f t="shared" ref="L9:L14" si="3">+H9*K9</f>
        <v>25301698.081987299</v>
      </c>
      <c r="M9" s="13">
        <f t="shared" ref="M9:M19" si="4">L9-J9</f>
        <v>8464448.0466797799</v>
      </c>
      <c r="N9" s="14">
        <f t="shared" si="0"/>
        <v>0.50272152690789351</v>
      </c>
    </row>
    <row r="10" spans="3:15" ht="23.25" customHeight="1" x14ac:dyDescent="0.25">
      <c r="C10" s="143"/>
      <c r="D10" s="146"/>
      <c r="E10" s="174"/>
      <c r="F10" s="15">
        <v>45385</v>
      </c>
      <c r="G10" s="16" t="s">
        <v>33</v>
      </c>
      <c r="H10" s="108">
        <v>9711.3119000000006</v>
      </c>
      <c r="I10" s="81">
        <v>1837.107</v>
      </c>
      <c r="J10" s="80">
        <f>H10*I10</f>
        <v>17840719.070673302</v>
      </c>
      <c r="K10" s="96">
        <v>1831.3915999999999</v>
      </c>
      <c r="L10" s="80">
        <f t="shared" si="3"/>
        <v>17785215.038640041</v>
      </c>
      <c r="M10" s="18">
        <f t="shared" si="4"/>
        <v>-55504.032033260912</v>
      </c>
      <c r="N10" s="123">
        <f t="shared" si="0"/>
        <v>-3.1110871604104135E-3</v>
      </c>
    </row>
    <row r="11" spans="3:15" ht="23.25" customHeight="1" x14ac:dyDescent="0.25">
      <c r="C11" s="143"/>
      <c r="D11" s="146"/>
      <c r="E11" s="174"/>
      <c r="F11" s="15">
        <v>44644</v>
      </c>
      <c r="G11" s="16" t="s">
        <v>22</v>
      </c>
      <c r="H11" s="99">
        <v>6743884</v>
      </c>
      <c r="I11" s="104">
        <v>6.8326000000000002</v>
      </c>
      <c r="J11" s="80">
        <f t="shared" si="2"/>
        <v>46078261.818400003</v>
      </c>
      <c r="K11" s="107">
        <v>11.84</v>
      </c>
      <c r="L11" s="80">
        <f t="shared" si="3"/>
        <v>79847586.560000002</v>
      </c>
      <c r="M11" s="18">
        <f t="shared" si="4"/>
        <v>33769324.741599999</v>
      </c>
      <c r="N11" s="19">
        <f t="shared" si="0"/>
        <v>0.73286889324708016</v>
      </c>
    </row>
    <row r="12" spans="3:15" ht="23.25" customHeight="1" thickBot="1" x14ac:dyDescent="0.3">
      <c r="C12" s="143"/>
      <c r="D12" s="146"/>
      <c r="E12" s="180"/>
      <c r="F12" s="29">
        <v>45005</v>
      </c>
      <c r="G12" s="30" t="s">
        <v>23</v>
      </c>
      <c r="H12" s="105">
        <v>4475</v>
      </c>
      <c r="I12" s="93">
        <v>3208</v>
      </c>
      <c r="J12" s="89">
        <f t="shared" si="2"/>
        <v>14355800</v>
      </c>
      <c r="K12" s="110">
        <v>3175</v>
      </c>
      <c r="L12" s="106">
        <f t="shared" si="3"/>
        <v>14208125</v>
      </c>
      <c r="M12" s="32">
        <f t="shared" si="4"/>
        <v>-147675</v>
      </c>
      <c r="N12" s="34">
        <f t="shared" si="0"/>
        <v>-1.0286783042394014E-2</v>
      </c>
    </row>
    <row r="13" spans="3:15" ht="23.25" customHeight="1" x14ac:dyDescent="0.25">
      <c r="C13" s="143"/>
      <c r="D13" s="146"/>
      <c r="E13" s="179" t="s">
        <v>24</v>
      </c>
      <c r="F13" s="8">
        <v>43837</v>
      </c>
      <c r="G13" s="9" t="s">
        <v>39</v>
      </c>
      <c r="H13" s="94">
        <v>20544.651000000002</v>
      </c>
      <c r="I13" s="88">
        <v>2754.61</v>
      </c>
      <c r="J13" s="95">
        <f t="shared" si="2"/>
        <v>56592501.091110006</v>
      </c>
      <c r="K13" s="88">
        <v>4384.2339000000002</v>
      </c>
      <c r="L13" s="95">
        <f t="shared" si="3"/>
        <v>90072555.377868906</v>
      </c>
      <c r="M13" s="13">
        <f t="shared" si="4"/>
        <v>33480054.2867589</v>
      </c>
      <c r="N13" s="14">
        <f t="shared" si="0"/>
        <v>0.59159877441815711</v>
      </c>
    </row>
    <row r="14" spans="3:15" ht="23.25" customHeight="1" x14ac:dyDescent="0.25">
      <c r="C14" s="143"/>
      <c r="D14" s="146"/>
      <c r="E14" s="174"/>
      <c r="F14" s="15">
        <v>45386</v>
      </c>
      <c r="G14" s="16" t="s">
        <v>33</v>
      </c>
      <c r="H14" s="78">
        <v>31210.603599999999</v>
      </c>
      <c r="I14" s="96">
        <v>1979.8371999999999</v>
      </c>
      <c r="J14" s="80">
        <f t="shared" si="2"/>
        <v>61791914.041733913</v>
      </c>
      <c r="K14" s="96">
        <v>1983.1587999999999</v>
      </c>
      <c r="L14" s="80">
        <f t="shared" si="3"/>
        <v>61895583.182651676</v>
      </c>
      <c r="M14" s="18">
        <f t="shared" si="4"/>
        <v>103669.14091776311</v>
      </c>
      <c r="N14" s="19">
        <f t="shared" si="0"/>
        <v>1.6777137029247153E-3</v>
      </c>
    </row>
    <row r="15" spans="3:15" ht="23.25" customHeight="1" x14ac:dyDescent="0.25">
      <c r="C15" s="143"/>
      <c r="D15" s="146"/>
      <c r="E15" s="174"/>
      <c r="F15" s="15"/>
      <c r="G15" s="16" t="s">
        <v>37</v>
      </c>
      <c r="H15" s="78"/>
      <c r="I15" s="96"/>
      <c r="J15" s="80"/>
      <c r="K15" s="96"/>
      <c r="L15" s="80">
        <v>5498133</v>
      </c>
      <c r="M15" s="18"/>
      <c r="N15" s="19"/>
    </row>
    <row r="16" spans="3:15" ht="23.25" customHeight="1" x14ac:dyDescent="0.25">
      <c r="C16" s="143"/>
      <c r="D16" s="146"/>
      <c r="E16" s="174"/>
      <c r="F16" s="15"/>
      <c r="G16" s="16" t="s">
        <v>38</v>
      </c>
      <c r="H16" s="78"/>
      <c r="I16" s="96"/>
      <c r="J16" s="80"/>
      <c r="K16" s="96"/>
      <c r="L16" s="80">
        <v>1709939</v>
      </c>
      <c r="M16" s="18"/>
      <c r="N16" s="19"/>
    </row>
    <row r="17" spans="3:14" ht="23.25" customHeight="1" x14ac:dyDescent="0.25">
      <c r="C17" s="143"/>
      <c r="D17" s="146"/>
      <c r="E17" s="174"/>
      <c r="F17" s="97">
        <v>2020</v>
      </c>
      <c r="G17" s="16" t="s">
        <v>18</v>
      </c>
      <c r="H17" s="78" t="s">
        <v>19</v>
      </c>
      <c r="I17" s="98" t="s">
        <v>19</v>
      </c>
      <c r="J17" s="80">
        <v>56999551</v>
      </c>
      <c r="K17" s="96" t="s">
        <v>19</v>
      </c>
      <c r="L17" s="80">
        <v>50358233</v>
      </c>
      <c r="M17" s="18">
        <f t="shared" si="4"/>
        <v>-6641318</v>
      </c>
      <c r="N17" s="19">
        <f t="shared" si="0"/>
        <v>-0.11651526869044986</v>
      </c>
    </row>
    <row r="18" spans="3:14" ht="21" customHeight="1" x14ac:dyDescent="0.25">
      <c r="C18" s="143"/>
      <c r="D18" s="146"/>
      <c r="E18" s="174"/>
      <c r="F18" s="15">
        <v>44433</v>
      </c>
      <c r="G18" s="16" t="s">
        <v>25</v>
      </c>
      <c r="H18" s="99">
        <f>80688+91222</f>
        <v>171910</v>
      </c>
      <c r="I18" s="96">
        <v>126.71</v>
      </c>
      <c r="J18" s="80">
        <f t="shared" ref="J18:J19" si="5">+H18*I18</f>
        <v>21782716.099999998</v>
      </c>
      <c r="K18" s="107">
        <v>121.06</v>
      </c>
      <c r="L18" s="80">
        <f>+H18*K18</f>
        <v>20811424.600000001</v>
      </c>
      <c r="M18" s="18">
        <f t="shared" si="4"/>
        <v>-971291.49999999627</v>
      </c>
      <c r="N18" s="19">
        <f t="shared" si="0"/>
        <v>-4.459000868124046E-2</v>
      </c>
    </row>
    <row r="19" spans="3:14" ht="15.75" thickBot="1" x14ac:dyDescent="0.3">
      <c r="C19" s="144"/>
      <c r="D19" s="147"/>
      <c r="E19" s="180"/>
      <c r="F19" s="29">
        <v>44109</v>
      </c>
      <c r="G19" s="30" t="s">
        <v>26</v>
      </c>
      <c r="H19" s="87">
        <f>1293776+119067</f>
        <v>1412843</v>
      </c>
      <c r="I19" s="100">
        <v>8.1136300000000006</v>
      </c>
      <c r="J19" s="89">
        <f t="shared" si="5"/>
        <v>11463285.350090001</v>
      </c>
      <c r="K19" s="110">
        <v>11.84</v>
      </c>
      <c r="L19" s="89">
        <f>+H19*K19</f>
        <v>16728061.119999999</v>
      </c>
      <c r="M19" s="32">
        <f t="shared" si="4"/>
        <v>5264775.7699099984</v>
      </c>
      <c r="N19" s="34">
        <f t="shared" si="0"/>
        <v>0.4592728532112012</v>
      </c>
    </row>
    <row r="20" spans="3:14" s="117" customFormat="1" ht="16.5" thickBot="1" x14ac:dyDescent="0.3">
      <c r="J20" s="119">
        <f>SUM(J3:J19)</f>
        <v>651716812.80603075</v>
      </c>
      <c r="K20" s="118"/>
      <c r="L20" s="119">
        <f>SUM(L3:L19)</f>
        <v>749289184.2984525</v>
      </c>
      <c r="M20" s="120">
        <f>SUM(M3:M19)</f>
        <v>90364299.492421746</v>
      </c>
      <c r="N20" s="121">
        <f>M20/J20</f>
        <v>0.13865577458919523</v>
      </c>
    </row>
    <row r="21" spans="3:14" x14ac:dyDescent="0.25">
      <c r="L21" s="66"/>
      <c r="M21" s="70"/>
    </row>
    <row r="23" spans="3:14" x14ac:dyDescent="0.25">
      <c r="L23" s="116">
        <v>401392648</v>
      </c>
      <c r="M23" s="68" t="s">
        <v>27</v>
      </c>
    </row>
    <row r="24" spans="3:14" x14ac:dyDescent="0.25">
      <c r="L24" s="116">
        <v>358069947</v>
      </c>
      <c r="M24" s="2" t="s">
        <v>28</v>
      </c>
    </row>
    <row r="25" spans="3:14" ht="15.75" thickBot="1" x14ac:dyDescent="0.3">
      <c r="L25" s="115">
        <f>+L23+L24</f>
        <v>759462595</v>
      </c>
      <c r="M25" s="70">
        <v>45377</v>
      </c>
    </row>
    <row r="26" spans="3:14" x14ac:dyDescent="0.25">
      <c r="L26" s="116"/>
    </row>
    <row r="27" spans="3:14" x14ac:dyDescent="0.25">
      <c r="L27" s="116"/>
    </row>
    <row r="28" spans="3:14" x14ac:dyDescent="0.2">
      <c r="H28" s="68" t="s">
        <v>30</v>
      </c>
      <c r="J28" s="77">
        <v>0.26885109000000001</v>
      </c>
      <c r="L28" s="116"/>
    </row>
    <row r="29" spans="3:14" x14ac:dyDescent="0.25">
      <c r="I29" s="2" t="s">
        <v>31</v>
      </c>
      <c r="J29" s="3">
        <f>7.0545-J28</f>
        <v>6.7856489099999999</v>
      </c>
      <c r="L29" s="116">
        <v>386975994</v>
      </c>
      <c r="M29" s="68" t="s">
        <v>27</v>
      </c>
    </row>
    <row r="30" spans="3:14" x14ac:dyDescent="0.25">
      <c r="L30" s="116">
        <v>352115015</v>
      </c>
      <c r="M30" s="2" t="s">
        <v>28</v>
      </c>
    </row>
    <row r="31" spans="3:14" ht="15.75" thickBot="1" x14ac:dyDescent="0.3">
      <c r="L31" s="115">
        <f>+L30+L29</f>
        <v>739091009</v>
      </c>
      <c r="M31" s="70">
        <v>45436</v>
      </c>
    </row>
    <row r="32" spans="3:14" x14ac:dyDescent="0.25">
      <c r="L32" s="116"/>
    </row>
    <row r="33" spans="1:13" x14ac:dyDescent="0.25">
      <c r="D33" s="113" t="s">
        <v>35</v>
      </c>
      <c r="G33" s="114" t="s">
        <v>36</v>
      </c>
      <c r="L33" s="116"/>
    </row>
    <row r="34" spans="1:13" x14ac:dyDescent="0.25">
      <c r="L34" s="116"/>
    </row>
    <row r="35" spans="1:13" x14ac:dyDescent="0.25">
      <c r="L35" s="116">
        <v>380473377</v>
      </c>
      <c r="M35" s="2" t="s">
        <v>27</v>
      </c>
    </row>
    <row r="36" spans="1:13" s="2" customFormat="1" x14ac:dyDescent="0.25">
      <c r="A36" s="1"/>
      <c r="B36" s="1"/>
      <c r="C36" s="1"/>
      <c r="D36" s="1"/>
      <c r="E36" s="1"/>
      <c r="J36" s="3"/>
      <c r="L36" s="116">
        <v>348222719</v>
      </c>
      <c r="M36" s="2" t="s">
        <v>28</v>
      </c>
    </row>
    <row r="37" spans="1:13" s="2" customFormat="1" ht="15.75" thickBot="1" x14ac:dyDescent="0.3">
      <c r="A37" s="1"/>
      <c r="B37" s="1"/>
      <c r="C37" s="1"/>
      <c r="D37" s="1"/>
      <c r="E37" s="1"/>
      <c r="J37" s="3"/>
      <c r="L37" s="115">
        <f>SUM(L35:L36)</f>
        <v>728696096</v>
      </c>
      <c r="M37" s="70">
        <v>45447</v>
      </c>
    </row>
    <row r="38" spans="1:13" s="2" customFormat="1" x14ac:dyDescent="0.25">
      <c r="A38" s="1"/>
      <c r="B38" s="1"/>
      <c r="C38" s="1"/>
      <c r="D38" s="1"/>
      <c r="E38" s="1"/>
      <c r="J38" s="3"/>
      <c r="L38" s="116"/>
    </row>
    <row r="39" spans="1:13" s="2" customFormat="1" x14ac:dyDescent="0.25">
      <c r="A39" s="1"/>
      <c r="B39" s="1"/>
      <c r="C39" s="1"/>
      <c r="D39" s="1"/>
      <c r="E39" s="1"/>
      <c r="J39" s="3"/>
      <c r="L39" s="116"/>
    </row>
    <row r="40" spans="1:13" s="2" customFormat="1" x14ac:dyDescent="0.25">
      <c r="A40" s="1"/>
      <c r="B40" s="1"/>
      <c r="C40" s="1"/>
      <c r="D40" s="1"/>
      <c r="E40" s="1"/>
      <c r="J40" s="3"/>
      <c r="L40" s="116"/>
    </row>
    <row r="41" spans="1:13" s="2" customFormat="1" x14ac:dyDescent="0.25">
      <c r="A41" s="1"/>
      <c r="B41" s="1"/>
      <c r="C41" s="1"/>
      <c r="D41" s="1"/>
      <c r="E41" s="1"/>
      <c r="J41" s="3"/>
      <c r="L41" s="116">
        <v>393406396</v>
      </c>
      <c r="M41" s="2" t="s">
        <v>27</v>
      </c>
    </row>
    <row r="42" spans="1:13" s="2" customFormat="1" x14ac:dyDescent="0.25">
      <c r="A42" s="1"/>
      <c r="B42" s="1"/>
      <c r="C42" s="1"/>
      <c r="D42" s="1"/>
      <c r="E42" s="1"/>
      <c r="J42" s="3"/>
      <c r="L42" s="116">
        <v>371089239</v>
      </c>
      <c r="M42" s="2" t="s">
        <v>28</v>
      </c>
    </row>
    <row r="43" spans="1:13" s="2" customFormat="1" ht="15.75" thickBot="1" x14ac:dyDescent="0.3">
      <c r="A43" s="1"/>
      <c r="B43" s="1"/>
      <c r="C43" s="1"/>
      <c r="D43" s="1"/>
      <c r="E43" s="1"/>
      <c r="J43" s="3"/>
      <c r="L43" s="115">
        <f>SUM(L41:L42)</f>
        <v>764495635</v>
      </c>
      <c r="M43" s="70">
        <v>45498</v>
      </c>
    </row>
    <row r="44" spans="1:13" s="2" customFormat="1" x14ac:dyDescent="0.25">
      <c r="A44" s="1"/>
      <c r="B44" s="1"/>
      <c r="C44" s="1"/>
      <c r="D44" s="1"/>
      <c r="E44" s="1"/>
      <c r="J44" s="3"/>
      <c r="L44" s="116"/>
    </row>
    <row r="45" spans="1:13" s="2" customFormat="1" x14ac:dyDescent="0.25">
      <c r="A45" s="1"/>
      <c r="B45" s="1"/>
      <c r="C45" s="1"/>
      <c r="D45" s="1"/>
      <c r="E45" s="1"/>
      <c r="J45" s="3"/>
      <c r="L45" s="116"/>
    </row>
    <row r="46" spans="1:13" s="2" customFormat="1" x14ac:dyDescent="0.25">
      <c r="A46" s="1"/>
      <c r="B46" s="1"/>
      <c r="C46" s="1"/>
      <c r="D46" s="1"/>
      <c r="E46" s="1"/>
      <c r="J46" s="3"/>
      <c r="L46" s="116">
        <v>385836497</v>
      </c>
      <c r="M46" s="2" t="s">
        <v>27</v>
      </c>
    </row>
    <row r="47" spans="1:13" s="2" customFormat="1" x14ac:dyDescent="0.25">
      <c r="A47" s="1"/>
      <c r="B47" s="1"/>
      <c r="C47" s="1"/>
      <c r="D47" s="1"/>
      <c r="E47" s="1"/>
      <c r="J47" s="3"/>
      <c r="L47" s="116">
        <v>365153761</v>
      </c>
      <c r="M47" s="2" t="s">
        <v>28</v>
      </c>
    </row>
    <row r="48" spans="1:13" s="2" customFormat="1" ht="15.75" thickBot="1" x14ac:dyDescent="0.3">
      <c r="A48" s="1"/>
      <c r="B48" s="1"/>
      <c r="C48" s="1"/>
      <c r="D48" s="1"/>
      <c r="E48" s="1"/>
      <c r="J48" s="3"/>
      <c r="L48" s="115">
        <f>SUM(L46:L47)</f>
        <v>750990258</v>
      </c>
      <c r="M48" s="70">
        <v>45531</v>
      </c>
    </row>
    <row r="49" spans="1:12" s="2" customFormat="1" x14ac:dyDescent="0.25">
      <c r="A49" s="1"/>
      <c r="B49" s="1"/>
      <c r="C49" s="1"/>
      <c r="D49" s="1"/>
      <c r="E49" s="1"/>
      <c r="J49" s="3"/>
      <c r="L49" s="116"/>
    </row>
    <row r="50" spans="1:12" s="2" customFormat="1" x14ac:dyDescent="0.25">
      <c r="A50" s="1"/>
      <c r="B50" s="1"/>
      <c r="C50" s="1"/>
      <c r="D50" s="1"/>
      <c r="E50" s="1"/>
      <c r="J50" s="3"/>
      <c r="L50" s="116"/>
    </row>
    <row r="51" spans="1:12" s="2" customFormat="1" x14ac:dyDescent="0.25">
      <c r="A51" s="1"/>
      <c r="B51" s="1"/>
      <c r="C51" s="1"/>
      <c r="D51" s="1"/>
      <c r="E51" s="1"/>
      <c r="J51" s="3"/>
      <c r="L51" s="116"/>
    </row>
    <row r="52" spans="1:12" s="2" customFormat="1" x14ac:dyDescent="0.25">
      <c r="A52" s="1"/>
      <c r="B52" s="1"/>
      <c r="C52" s="1"/>
      <c r="D52" s="1"/>
      <c r="E52" s="1"/>
      <c r="J52" s="3"/>
      <c r="L52" s="116"/>
    </row>
    <row r="53" spans="1:12" s="2" customFormat="1" x14ac:dyDescent="0.25">
      <c r="A53" s="1"/>
      <c r="B53" s="1"/>
      <c r="C53" s="1"/>
      <c r="D53" s="1"/>
      <c r="E53" s="1"/>
      <c r="J53" s="3"/>
      <c r="L53" s="116"/>
    </row>
    <row r="54" spans="1:12" s="2" customFormat="1" x14ac:dyDescent="0.25">
      <c r="A54" s="1"/>
      <c r="B54" s="1"/>
      <c r="C54" s="1"/>
      <c r="D54" s="1"/>
      <c r="E54" s="1"/>
      <c r="J54" s="3"/>
      <c r="L54" s="116"/>
    </row>
    <row r="55" spans="1:12" s="2" customFormat="1" x14ac:dyDescent="0.25">
      <c r="A55" s="1"/>
      <c r="B55" s="1"/>
      <c r="C55" s="1"/>
      <c r="D55" s="1"/>
      <c r="E55" s="1"/>
      <c r="J55" s="3"/>
      <c r="L55" s="116"/>
    </row>
    <row r="56" spans="1:12" s="2" customFormat="1" x14ac:dyDescent="0.25">
      <c r="A56" s="1"/>
      <c r="B56" s="1"/>
      <c r="C56" s="1"/>
      <c r="D56" s="1"/>
      <c r="E56" s="1"/>
      <c r="J56" s="3"/>
      <c r="L56" s="116"/>
    </row>
    <row r="57" spans="1:12" s="2" customFormat="1" x14ac:dyDescent="0.25">
      <c r="A57" s="1"/>
      <c r="B57" s="1"/>
      <c r="C57" s="1"/>
      <c r="D57" s="1"/>
      <c r="E57" s="1"/>
      <c r="J57" s="3"/>
      <c r="L57" s="116"/>
    </row>
    <row r="58" spans="1:12" s="2" customFormat="1" x14ac:dyDescent="0.25">
      <c r="A58" s="1"/>
      <c r="B58" s="1"/>
      <c r="C58" s="1"/>
      <c r="D58" s="1"/>
      <c r="E58" s="1"/>
      <c r="J58" s="3"/>
      <c r="L58" s="116"/>
    </row>
    <row r="59" spans="1:12" s="2" customFormat="1" x14ac:dyDescent="0.25">
      <c r="A59" s="1"/>
      <c r="B59" s="1"/>
      <c r="C59" s="1"/>
      <c r="D59" s="1"/>
      <c r="E59" s="1"/>
      <c r="J59" s="3"/>
      <c r="L59" s="116"/>
    </row>
    <row r="60" spans="1:12" s="2" customFormat="1" x14ac:dyDescent="0.25">
      <c r="A60" s="1"/>
      <c r="B60" s="1"/>
      <c r="C60" s="1"/>
      <c r="D60" s="1"/>
      <c r="E60" s="1"/>
      <c r="J60" s="3"/>
      <c r="L60" s="116"/>
    </row>
    <row r="61" spans="1:12" s="2" customFormat="1" x14ac:dyDescent="0.25">
      <c r="A61" s="1"/>
      <c r="B61" s="1"/>
      <c r="C61" s="1"/>
      <c r="D61" s="1"/>
      <c r="E61" s="1"/>
      <c r="J61" s="3"/>
      <c r="L61" s="116"/>
    </row>
    <row r="62" spans="1:12" s="2" customFormat="1" x14ac:dyDescent="0.25">
      <c r="A62" s="1"/>
      <c r="B62" s="1"/>
      <c r="C62" s="1"/>
      <c r="D62" s="1"/>
      <c r="E62" s="1"/>
      <c r="J62" s="3"/>
      <c r="L62" s="116"/>
    </row>
    <row r="63" spans="1:12" s="2" customFormat="1" x14ac:dyDescent="0.25">
      <c r="A63" s="1"/>
      <c r="B63" s="1"/>
      <c r="C63" s="1"/>
      <c r="D63" s="1"/>
      <c r="E63" s="1"/>
      <c r="J63" s="3"/>
      <c r="L63" s="116"/>
    </row>
    <row r="64" spans="1:12" s="2" customFormat="1" x14ac:dyDescent="0.25">
      <c r="A64" s="1"/>
      <c r="B64" s="1"/>
      <c r="C64" s="1"/>
      <c r="D64" s="1"/>
      <c r="E64" s="1"/>
      <c r="J64" s="3"/>
      <c r="L64" s="116"/>
    </row>
    <row r="65" spans="1:12" s="2" customFormat="1" x14ac:dyDescent="0.25">
      <c r="A65" s="1"/>
      <c r="B65" s="1"/>
      <c r="C65" s="1"/>
      <c r="D65" s="1"/>
      <c r="E65" s="1"/>
      <c r="J65" s="3"/>
      <c r="L65" s="116"/>
    </row>
    <row r="66" spans="1:12" s="2" customFormat="1" x14ac:dyDescent="0.25">
      <c r="A66" s="1"/>
      <c r="B66" s="1"/>
      <c r="C66" s="1"/>
      <c r="D66" s="1"/>
      <c r="E66" s="1"/>
      <c r="J66" s="3"/>
      <c r="L66" s="116"/>
    </row>
    <row r="67" spans="1:12" s="2" customFormat="1" x14ac:dyDescent="0.25">
      <c r="A67" s="1"/>
      <c r="B67" s="1"/>
      <c r="C67" s="1"/>
      <c r="D67" s="1"/>
      <c r="E67" s="1"/>
      <c r="J67" s="3"/>
      <c r="L67" s="116"/>
    </row>
  </sheetData>
  <mergeCells count="17">
    <mergeCell ref="C9:C19"/>
    <mergeCell ref="D9:D19"/>
    <mergeCell ref="E9:E12"/>
    <mergeCell ref="E13:E19"/>
    <mergeCell ref="I1:I2"/>
    <mergeCell ref="J1:J2"/>
    <mergeCell ref="L1:L2"/>
    <mergeCell ref="M1:N1"/>
    <mergeCell ref="C3:C8"/>
    <mergeCell ref="D3:D8"/>
    <mergeCell ref="E3:E8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>
    <oddFooter>&amp;C_x000D_&amp;1#&amp;"Calibri"&amp;10&amp;K000000 Uso Interno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BEAE-A4EA-42C2-91E8-6406D904BD5F}">
  <dimension ref="A1:O69"/>
  <sheetViews>
    <sheetView showGridLines="0" topLeftCell="C41" workbookViewId="0">
      <selection activeCell="L53" sqref="L53:L55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6.5703125" style="3" customWidth="1"/>
    <col min="13" max="13" width="14.7109375" style="2" bestFit="1" customWidth="1"/>
    <col min="14" max="14" width="6.7109375" style="2" customWidth="1"/>
    <col min="15" max="16384" width="11.42578125" style="1"/>
  </cols>
  <sheetData>
    <row r="1" spans="3:15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5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45546</v>
      </c>
      <c r="L2" s="153"/>
      <c r="M2" s="6" t="s">
        <v>11</v>
      </c>
      <c r="N2" s="5" t="s">
        <v>12</v>
      </c>
    </row>
    <row r="3" spans="3:15" ht="23.25" customHeight="1" x14ac:dyDescent="0.25">
      <c r="C3" s="169" t="s">
        <v>13</v>
      </c>
      <c r="D3" s="171" t="s">
        <v>14</v>
      </c>
      <c r="E3" s="173" t="s">
        <v>15</v>
      </c>
      <c r="F3" s="22">
        <v>43837</v>
      </c>
      <c r="G3" s="23" t="s">
        <v>16</v>
      </c>
      <c r="H3" s="24">
        <v>14792.0448</v>
      </c>
      <c r="I3" s="25">
        <v>2697.6768000000002</v>
      </c>
      <c r="J3" s="26">
        <f>+H3*I3</f>
        <v>39904156.081520639</v>
      </c>
      <c r="K3" s="125">
        <v>4109.7214999999997</v>
      </c>
      <c r="L3" s="26">
        <f>+H3*K3</f>
        <v>60791184.543523192</v>
      </c>
      <c r="M3" s="27">
        <f>L3-J3</f>
        <v>20887028.462002553</v>
      </c>
      <c r="N3" s="28">
        <f t="shared" ref="N3:N21" si="0">M3/J3</f>
        <v>0.52342990086877694</v>
      </c>
    </row>
    <row r="4" spans="3:15" ht="23.25" customHeight="1" x14ac:dyDescent="0.25">
      <c r="C4" s="156"/>
      <c r="D4" s="157"/>
      <c r="E4" s="174"/>
      <c r="F4" s="15">
        <v>45386</v>
      </c>
      <c r="G4" s="16" t="s">
        <v>33</v>
      </c>
      <c r="H4" s="78">
        <v>23729.155299999999</v>
      </c>
      <c r="I4" s="79">
        <v>1815.5173016209301</v>
      </c>
      <c r="J4" s="12">
        <f>+H4*I4</f>
        <v>43080691.999999993</v>
      </c>
      <c r="K4" s="96">
        <v>1846.8425999999999</v>
      </c>
      <c r="L4" s="80">
        <f>+H4*K4</f>
        <v>43824014.870055772</v>
      </c>
      <c r="M4" s="18">
        <f>L4-J4</f>
        <v>743322.87005577981</v>
      </c>
      <c r="N4" s="134">
        <f t="shared" si="0"/>
        <v>1.7254199864193916E-2</v>
      </c>
      <c r="O4" s="124"/>
    </row>
    <row r="5" spans="3:15" ht="23.25" customHeight="1" x14ac:dyDescent="0.25">
      <c r="C5" s="156"/>
      <c r="D5" s="157"/>
      <c r="E5" s="175"/>
      <c r="F5" s="15">
        <v>45436</v>
      </c>
      <c r="G5" s="16" t="s">
        <v>33</v>
      </c>
      <c r="H5" s="78">
        <v>2963.5434000000023</v>
      </c>
      <c r="I5" s="79">
        <v>1781.2545</v>
      </c>
      <c r="J5" s="12">
        <f>+H5*I5</f>
        <v>5278825.0171953039</v>
      </c>
      <c r="K5" s="96">
        <v>1846.8425999999999</v>
      </c>
      <c r="L5" s="80">
        <f>+H5*K5</f>
        <v>5473198.1980688442</v>
      </c>
      <c r="M5" s="18">
        <f>L5-J5</f>
        <v>194373.18087354023</v>
      </c>
      <c r="N5" s="134">
        <f t="shared" si="0"/>
        <v>3.6821296451461615E-2</v>
      </c>
    </row>
    <row r="6" spans="3:15" ht="23.25" customHeight="1" x14ac:dyDescent="0.25">
      <c r="C6" s="156"/>
      <c r="D6" s="157"/>
      <c r="E6" s="175"/>
      <c r="F6" s="82"/>
      <c r="G6" s="83" t="s">
        <v>32</v>
      </c>
      <c r="H6" s="101">
        <v>41470</v>
      </c>
      <c r="I6" s="103">
        <v>2411.36</v>
      </c>
      <c r="J6" s="80">
        <f>+H6*I6</f>
        <v>99999099.200000003</v>
      </c>
      <c r="K6" s="102">
        <v>2339</v>
      </c>
      <c r="L6" s="80">
        <f>+H6*K6</f>
        <v>96998330</v>
      </c>
      <c r="M6" s="18">
        <f>L6-J6</f>
        <v>-3000769.200000003</v>
      </c>
      <c r="N6" s="19">
        <f t="shared" si="0"/>
        <v>-3.0007962311724534E-2</v>
      </c>
    </row>
    <row r="7" spans="3:15" ht="23.25" customHeight="1" x14ac:dyDescent="0.25">
      <c r="C7" s="156"/>
      <c r="D7" s="157"/>
      <c r="E7" s="175"/>
      <c r="F7" s="82"/>
      <c r="G7" s="83" t="s">
        <v>41</v>
      </c>
      <c r="H7" s="101">
        <v>19705</v>
      </c>
      <c r="I7" s="103"/>
      <c r="J7" s="86"/>
      <c r="K7" s="102">
        <v>252.01</v>
      </c>
      <c r="L7" s="86">
        <f>+H7*K7</f>
        <v>4965857.05</v>
      </c>
      <c r="M7" s="20"/>
      <c r="N7" s="21"/>
    </row>
    <row r="8" spans="3:15" ht="23.25" customHeight="1" x14ac:dyDescent="0.25">
      <c r="C8" s="156"/>
      <c r="D8" s="157"/>
      <c r="E8" s="175"/>
      <c r="F8" s="82">
        <v>45435</v>
      </c>
      <c r="G8" s="83" t="s">
        <v>34</v>
      </c>
      <c r="H8" s="101" t="s">
        <v>19</v>
      </c>
      <c r="I8" s="103" t="s">
        <v>19</v>
      </c>
      <c r="J8" s="86" t="s">
        <v>19</v>
      </c>
      <c r="K8" s="102" t="s">
        <v>19</v>
      </c>
      <c r="L8" s="86">
        <v>5278825</v>
      </c>
      <c r="M8" s="20">
        <f>L8</f>
        <v>5278825</v>
      </c>
      <c r="N8" s="21">
        <f>M8/J6</f>
        <v>5.2788725520839491E-2</v>
      </c>
    </row>
    <row r="9" spans="3:15" ht="23.25" customHeight="1" thickBot="1" x14ac:dyDescent="0.3">
      <c r="C9" s="170"/>
      <c r="D9" s="172"/>
      <c r="E9" s="176"/>
      <c r="F9" s="126">
        <v>44071</v>
      </c>
      <c r="G9" s="127" t="s">
        <v>18</v>
      </c>
      <c r="H9" s="128" t="s">
        <v>19</v>
      </c>
      <c r="I9" s="129" t="s">
        <v>19</v>
      </c>
      <c r="J9" s="130">
        <v>159712042</v>
      </c>
      <c r="K9" s="131" t="s">
        <v>19</v>
      </c>
      <c r="L9" s="130">
        <v>151252412</v>
      </c>
      <c r="M9" s="132">
        <f>+L9-J9</f>
        <v>-8459630</v>
      </c>
      <c r="N9" s="133">
        <f t="shared" si="0"/>
        <v>-5.2968016024740328E-2</v>
      </c>
    </row>
    <row r="10" spans="3:15" ht="23.25" customHeight="1" x14ac:dyDescent="0.25">
      <c r="C10" s="177" t="s">
        <v>20</v>
      </c>
      <c r="D10" s="178" t="s">
        <v>21</v>
      </c>
      <c r="E10" s="179" t="s">
        <v>15</v>
      </c>
      <c r="F10" s="8">
        <v>43837</v>
      </c>
      <c r="G10" s="9" t="s">
        <v>16</v>
      </c>
      <c r="H10" s="94">
        <v>6241.3888999999999</v>
      </c>
      <c r="I10" s="104">
        <v>2697.6768000000002</v>
      </c>
      <c r="J10" s="95">
        <f t="shared" ref="J10:J15" si="1">+H10*I10</f>
        <v>16837250.035307519</v>
      </c>
      <c r="K10" s="88">
        <f>K3</f>
        <v>4109.7214999999997</v>
      </c>
      <c r="L10" s="95">
        <f t="shared" ref="L10:L15" si="2">+H10*K10</f>
        <v>25650370.152191348</v>
      </c>
      <c r="M10" s="13">
        <f t="shared" ref="M10:M21" si="3">L10-J10</f>
        <v>8813120.1168838292</v>
      </c>
      <c r="N10" s="14">
        <f t="shared" si="0"/>
        <v>0.52342990086877716</v>
      </c>
    </row>
    <row r="11" spans="3:15" ht="23.25" customHeight="1" x14ac:dyDescent="0.25">
      <c r="C11" s="143"/>
      <c r="D11" s="146"/>
      <c r="E11" s="174"/>
      <c r="F11" s="15">
        <v>45385</v>
      </c>
      <c r="G11" s="16" t="s">
        <v>33</v>
      </c>
      <c r="H11" s="108">
        <v>9711.3119000000006</v>
      </c>
      <c r="I11" s="81">
        <v>1837.107</v>
      </c>
      <c r="J11" s="80">
        <f>H11*I11</f>
        <v>17840719.070673302</v>
      </c>
      <c r="K11" s="96">
        <f>K4</f>
        <v>1846.8425999999999</v>
      </c>
      <c r="L11" s="80">
        <f t="shared" si="2"/>
        <v>17935264.518806942</v>
      </c>
      <c r="M11" s="18">
        <f t="shared" si="3"/>
        <v>94545.448133639991</v>
      </c>
      <c r="N11" s="123">
        <f t="shared" si="0"/>
        <v>5.2994191410734364E-3</v>
      </c>
    </row>
    <row r="12" spans="3:15" ht="23.25" customHeight="1" x14ac:dyDescent="0.25">
      <c r="C12" s="143"/>
      <c r="D12" s="146"/>
      <c r="E12" s="174"/>
      <c r="F12" s="15">
        <v>44644</v>
      </c>
      <c r="G12" s="16" t="s">
        <v>22</v>
      </c>
      <c r="H12" s="99">
        <v>6743884</v>
      </c>
      <c r="I12" s="104">
        <v>6.8326000000000002</v>
      </c>
      <c r="J12" s="80">
        <f t="shared" si="1"/>
        <v>46078261.818400003</v>
      </c>
      <c r="K12" s="107">
        <v>11.38</v>
      </c>
      <c r="L12" s="80">
        <f t="shared" si="2"/>
        <v>76745399.920000002</v>
      </c>
      <c r="M12" s="18">
        <f t="shared" si="3"/>
        <v>30667138.101599999</v>
      </c>
      <c r="N12" s="19">
        <f t="shared" si="0"/>
        <v>0.66554459502971042</v>
      </c>
    </row>
    <row r="13" spans="3:15" ht="23.25" customHeight="1" thickBot="1" x14ac:dyDescent="0.3">
      <c r="C13" s="143"/>
      <c r="D13" s="146"/>
      <c r="E13" s="180"/>
      <c r="F13" s="29">
        <v>45005</v>
      </c>
      <c r="G13" s="30" t="s">
        <v>23</v>
      </c>
      <c r="H13" s="105">
        <v>4475</v>
      </c>
      <c r="I13" s="93">
        <v>3208</v>
      </c>
      <c r="J13" s="89">
        <f t="shared" si="1"/>
        <v>14355800</v>
      </c>
      <c r="K13" s="110">
        <v>2980</v>
      </c>
      <c r="L13" s="106">
        <f t="shared" si="2"/>
        <v>13335500</v>
      </c>
      <c r="M13" s="32">
        <f t="shared" si="3"/>
        <v>-1020300</v>
      </c>
      <c r="N13" s="34">
        <f t="shared" si="0"/>
        <v>-7.1072319201995013E-2</v>
      </c>
    </row>
    <row r="14" spans="3:15" ht="23.25" customHeight="1" x14ac:dyDescent="0.25">
      <c r="C14" s="143"/>
      <c r="D14" s="146"/>
      <c r="E14" s="179" t="s">
        <v>24</v>
      </c>
      <c r="F14" s="8">
        <v>43837</v>
      </c>
      <c r="G14" s="9" t="s">
        <v>39</v>
      </c>
      <c r="H14" s="94">
        <v>20544.651000000002</v>
      </c>
      <c r="I14" s="88">
        <v>2754.61</v>
      </c>
      <c r="J14" s="95">
        <f t="shared" si="1"/>
        <v>56592501.091110006</v>
      </c>
      <c r="K14" s="88">
        <v>4446.9142000000002</v>
      </c>
      <c r="L14" s="95">
        <f t="shared" si="2"/>
        <v>91360300.265944213</v>
      </c>
      <c r="M14" s="13">
        <f t="shared" si="3"/>
        <v>34767799.174834207</v>
      </c>
      <c r="N14" s="14">
        <f t="shared" si="0"/>
        <v>0.61435346564486448</v>
      </c>
    </row>
    <row r="15" spans="3:15" ht="23.25" customHeight="1" x14ac:dyDescent="0.25">
      <c r="C15" s="143"/>
      <c r="D15" s="146"/>
      <c r="E15" s="174"/>
      <c r="F15" s="15">
        <v>45386</v>
      </c>
      <c r="G15" s="16" t="s">
        <v>33</v>
      </c>
      <c r="H15" s="78">
        <v>31210.603599999999</v>
      </c>
      <c r="I15" s="96">
        <v>1979.8371999999999</v>
      </c>
      <c r="J15" s="80">
        <f t="shared" si="1"/>
        <v>61791914.041733913</v>
      </c>
      <c r="K15" s="96">
        <v>2000.8819000000001</v>
      </c>
      <c r="L15" s="80">
        <f t="shared" si="2"/>
        <v>62448731.831314839</v>
      </c>
      <c r="M15" s="18">
        <f t="shared" si="3"/>
        <v>656817.7895809263</v>
      </c>
      <c r="N15" s="19">
        <f t="shared" si="0"/>
        <v>1.0629510345598217E-2</v>
      </c>
    </row>
    <row r="16" spans="3:15" ht="23.25" customHeight="1" x14ac:dyDescent="0.25">
      <c r="C16" s="143"/>
      <c r="D16" s="146"/>
      <c r="E16" s="174"/>
      <c r="F16" s="15"/>
      <c r="G16" s="16" t="s">
        <v>40</v>
      </c>
      <c r="H16" s="78"/>
      <c r="I16" s="96"/>
      <c r="J16" s="80"/>
      <c r="K16" s="96"/>
      <c r="L16" s="80">
        <v>1460637</v>
      </c>
      <c r="M16" s="18"/>
      <c r="N16" s="19"/>
    </row>
    <row r="17" spans="3:14" ht="23.25" customHeight="1" x14ac:dyDescent="0.25">
      <c r="C17" s="143"/>
      <c r="D17" s="146"/>
      <c r="E17" s="174"/>
      <c r="F17" s="15"/>
      <c r="G17" s="16" t="s">
        <v>37</v>
      </c>
      <c r="H17" s="78"/>
      <c r="I17" s="96"/>
      <c r="J17" s="80"/>
      <c r="K17" s="96"/>
      <c r="L17" s="80">
        <v>5749604</v>
      </c>
      <c r="M17" s="18"/>
      <c r="N17" s="19"/>
    </row>
    <row r="18" spans="3:14" ht="23.25" customHeight="1" x14ac:dyDescent="0.25">
      <c r="C18" s="143"/>
      <c r="D18" s="146"/>
      <c r="E18" s="174"/>
      <c r="F18" s="15"/>
      <c r="G18" s="16" t="s">
        <v>38</v>
      </c>
      <c r="H18" s="78"/>
      <c r="I18" s="96"/>
      <c r="J18" s="80"/>
      <c r="K18" s="96"/>
      <c r="L18" s="80">
        <v>1709939</v>
      </c>
      <c r="M18" s="18"/>
      <c r="N18" s="19"/>
    </row>
    <row r="19" spans="3:14" ht="23.25" customHeight="1" x14ac:dyDescent="0.25">
      <c r="C19" s="143"/>
      <c r="D19" s="146"/>
      <c r="E19" s="174"/>
      <c r="F19" s="97">
        <v>2020</v>
      </c>
      <c r="G19" s="16" t="s">
        <v>18</v>
      </c>
      <c r="H19" s="78" t="s">
        <v>19</v>
      </c>
      <c r="I19" s="98" t="s">
        <v>19</v>
      </c>
      <c r="J19" s="80"/>
      <c r="K19" s="96" t="s">
        <v>19</v>
      </c>
      <c r="L19" s="80">
        <f>50491164</f>
        <v>50491164</v>
      </c>
      <c r="M19" s="18">
        <f t="shared" si="3"/>
        <v>50491164</v>
      </c>
      <c r="N19" s="19"/>
    </row>
    <row r="20" spans="3:14" ht="21" customHeight="1" x14ac:dyDescent="0.25">
      <c r="C20" s="143"/>
      <c r="D20" s="146"/>
      <c r="E20" s="174"/>
      <c r="F20" s="15">
        <v>44433</v>
      </c>
      <c r="G20" s="16" t="s">
        <v>25</v>
      </c>
      <c r="H20" s="99">
        <f>80688+91222</f>
        <v>171910</v>
      </c>
      <c r="I20" s="96">
        <v>126.71</v>
      </c>
      <c r="J20" s="80">
        <f t="shared" ref="J20:J21" si="4">+H20*I20</f>
        <v>21782716.099999998</v>
      </c>
      <c r="K20" s="107">
        <v>122</v>
      </c>
      <c r="L20" s="80">
        <f>+H20*K20</f>
        <v>20973020</v>
      </c>
      <c r="M20" s="18">
        <f t="shared" si="3"/>
        <v>-809696.09999999776</v>
      </c>
      <c r="N20" s="19">
        <f t="shared" si="0"/>
        <v>-3.7171493962591645E-2</v>
      </c>
    </row>
    <row r="21" spans="3:14" ht="15.75" thickBot="1" x14ac:dyDescent="0.3">
      <c r="C21" s="144"/>
      <c r="D21" s="147"/>
      <c r="E21" s="180"/>
      <c r="F21" s="29">
        <v>44109</v>
      </c>
      <c r="G21" s="30" t="s">
        <v>26</v>
      </c>
      <c r="H21" s="87">
        <f>1293776+119067</f>
        <v>1412843</v>
      </c>
      <c r="I21" s="100">
        <v>8.1136300000000006</v>
      </c>
      <c r="J21" s="89">
        <f t="shared" si="4"/>
        <v>11463285.350090001</v>
      </c>
      <c r="K21" s="110">
        <f>K12</f>
        <v>11.38</v>
      </c>
      <c r="L21" s="89">
        <f>+H21*K21</f>
        <v>16078153.340000002</v>
      </c>
      <c r="M21" s="32">
        <f t="shared" si="3"/>
        <v>4614867.9899100009</v>
      </c>
      <c r="N21" s="34">
        <f t="shared" si="0"/>
        <v>0.40257813087360411</v>
      </c>
    </row>
    <row r="22" spans="3:14" s="117" customFormat="1" ht="16.5" thickBot="1" x14ac:dyDescent="0.3">
      <c r="J22" s="119">
        <f>SUM(J3:J21)</f>
        <v>594717261.80603075</v>
      </c>
      <c r="K22" s="118"/>
      <c r="L22" s="119">
        <f>SUM(L3:L21)</f>
        <v>752521905.68990517</v>
      </c>
      <c r="M22" s="120">
        <f>SUM(M3:M21)</f>
        <v>143918606.83387449</v>
      </c>
      <c r="N22" s="121">
        <f>M22/J22</f>
        <v>0.24199500515055519</v>
      </c>
    </row>
    <row r="23" spans="3:14" x14ac:dyDescent="0.25">
      <c r="L23" s="66"/>
      <c r="M23" s="70"/>
    </row>
    <row r="25" spans="3:14" x14ac:dyDescent="0.25">
      <c r="L25" s="116">
        <v>401392648</v>
      </c>
      <c r="M25" s="68" t="s">
        <v>27</v>
      </c>
    </row>
    <row r="26" spans="3:14" x14ac:dyDescent="0.25">
      <c r="L26" s="116">
        <v>358069947</v>
      </c>
      <c r="M26" s="2" t="s">
        <v>28</v>
      </c>
    </row>
    <row r="27" spans="3:14" ht="15.75" thickBot="1" x14ac:dyDescent="0.3">
      <c r="L27" s="115">
        <f>+L25+L26</f>
        <v>759462595</v>
      </c>
      <c r="M27" s="70">
        <v>45377</v>
      </c>
    </row>
    <row r="28" spans="3:14" x14ac:dyDescent="0.25">
      <c r="L28" s="116"/>
    </row>
    <row r="29" spans="3:14" x14ac:dyDescent="0.25">
      <c r="L29" s="116"/>
    </row>
    <row r="30" spans="3:14" x14ac:dyDescent="0.2">
      <c r="H30" s="68" t="s">
        <v>30</v>
      </c>
      <c r="J30" s="77">
        <v>0.26885109000000001</v>
      </c>
      <c r="L30" s="116"/>
    </row>
    <row r="31" spans="3:14" x14ac:dyDescent="0.25">
      <c r="I31" s="2" t="s">
        <v>31</v>
      </c>
      <c r="J31" s="3">
        <f>7.0545-J30</f>
        <v>6.7856489099999999</v>
      </c>
      <c r="L31" s="116">
        <v>386975994</v>
      </c>
      <c r="M31" s="68" t="s">
        <v>27</v>
      </c>
    </row>
    <row r="32" spans="3:14" x14ac:dyDescent="0.25">
      <c r="L32" s="116">
        <v>352115015</v>
      </c>
      <c r="M32" s="2" t="s">
        <v>28</v>
      </c>
    </row>
    <row r="33" spans="1:13" ht="15.75" thickBot="1" x14ac:dyDescent="0.3">
      <c r="L33" s="115">
        <f>+L32+L31</f>
        <v>739091009</v>
      </c>
      <c r="M33" s="70">
        <v>45436</v>
      </c>
    </row>
    <row r="34" spans="1:13" x14ac:dyDescent="0.25">
      <c r="L34" s="116"/>
    </row>
    <row r="35" spans="1:13" x14ac:dyDescent="0.25">
      <c r="D35" s="113" t="s">
        <v>35</v>
      </c>
      <c r="G35" s="114" t="s">
        <v>36</v>
      </c>
      <c r="L35" s="116"/>
    </row>
    <row r="36" spans="1:13" x14ac:dyDescent="0.25">
      <c r="L36" s="116"/>
    </row>
    <row r="37" spans="1:13" x14ac:dyDescent="0.25">
      <c r="L37" s="116">
        <v>380473377</v>
      </c>
      <c r="M37" s="2" t="s">
        <v>27</v>
      </c>
    </row>
    <row r="38" spans="1:13" s="2" customFormat="1" x14ac:dyDescent="0.25">
      <c r="A38" s="1"/>
      <c r="B38" s="1"/>
      <c r="C38" s="1"/>
      <c r="D38" s="1"/>
      <c r="E38" s="1"/>
      <c r="J38" s="3"/>
      <c r="L38" s="116">
        <v>348222719</v>
      </c>
      <c r="M38" s="2" t="s">
        <v>28</v>
      </c>
    </row>
    <row r="39" spans="1:13" s="2" customFormat="1" ht="15.75" thickBot="1" x14ac:dyDescent="0.3">
      <c r="A39" s="1"/>
      <c r="B39" s="1"/>
      <c r="C39" s="1"/>
      <c r="D39" s="1"/>
      <c r="E39" s="1"/>
      <c r="J39" s="3"/>
      <c r="L39" s="115">
        <f>SUM(L37:L38)</f>
        <v>728696096</v>
      </c>
      <c r="M39" s="70">
        <v>45447</v>
      </c>
    </row>
    <row r="40" spans="1:13" s="2" customFormat="1" x14ac:dyDescent="0.25">
      <c r="A40" s="1"/>
      <c r="B40" s="1"/>
      <c r="C40" s="1"/>
      <c r="D40" s="1"/>
      <c r="E40" s="1"/>
      <c r="J40" s="3"/>
      <c r="L40" s="116"/>
    </row>
    <row r="41" spans="1:13" s="2" customFormat="1" x14ac:dyDescent="0.25">
      <c r="A41" s="1"/>
      <c r="B41" s="1"/>
      <c r="C41" s="1"/>
      <c r="D41" s="1"/>
      <c r="E41" s="1"/>
      <c r="J41" s="3"/>
      <c r="L41" s="116"/>
    </row>
    <row r="42" spans="1:13" s="2" customFormat="1" x14ac:dyDescent="0.25">
      <c r="A42" s="1"/>
      <c r="B42" s="1"/>
      <c r="C42" s="1"/>
      <c r="D42" s="1"/>
      <c r="E42" s="1"/>
      <c r="J42" s="3"/>
      <c r="L42" s="116"/>
    </row>
    <row r="43" spans="1:13" s="2" customFormat="1" x14ac:dyDescent="0.25">
      <c r="A43" s="1"/>
      <c r="B43" s="1"/>
      <c r="C43" s="1"/>
      <c r="D43" s="1"/>
      <c r="E43" s="1"/>
      <c r="J43" s="3"/>
      <c r="L43" s="116">
        <v>393406396</v>
      </c>
      <c r="M43" s="2" t="s">
        <v>27</v>
      </c>
    </row>
    <row r="44" spans="1:13" s="2" customFormat="1" x14ac:dyDescent="0.25">
      <c r="A44" s="1"/>
      <c r="B44" s="1"/>
      <c r="C44" s="1"/>
      <c r="D44" s="1"/>
      <c r="E44" s="1"/>
      <c r="J44" s="3"/>
      <c r="L44" s="116">
        <v>371089239</v>
      </c>
      <c r="M44" s="2" t="s">
        <v>28</v>
      </c>
    </row>
    <row r="45" spans="1:13" s="2" customFormat="1" ht="15.75" thickBot="1" x14ac:dyDescent="0.3">
      <c r="A45" s="1"/>
      <c r="B45" s="1"/>
      <c r="C45" s="1"/>
      <c r="D45" s="1"/>
      <c r="E45" s="1"/>
      <c r="J45" s="3"/>
      <c r="L45" s="115">
        <f>SUM(L43:L44)</f>
        <v>764495635</v>
      </c>
      <c r="M45" s="70">
        <v>45498</v>
      </c>
    </row>
    <row r="46" spans="1:13" s="2" customFormat="1" x14ac:dyDescent="0.25">
      <c r="A46" s="1"/>
      <c r="B46" s="1"/>
      <c r="C46" s="1"/>
      <c r="D46" s="1"/>
      <c r="E46" s="1"/>
      <c r="J46" s="3"/>
      <c r="L46" s="116"/>
    </row>
    <row r="47" spans="1:13" s="2" customFormat="1" x14ac:dyDescent="0.25">
      <c r="A47" s="1"/>
      <c r="B47" s="1"/>
      <c r="C47" s="1"/>
      <c r="D47" s="1"/>
      <c r="E47" s="1"/>
      <c r="J47" s="3"/>
      <c r="L47" s="116"/>
    </row>
    <row r="48" spans="1:13" s="2" customFormat="1" x14ac:dyDescent="0.25">
      <c r="A48" s="1"/>
      <c r="B48" s="1"/>
      <c r="C48" s="1"/>
      <c r="D48" s="1"/>
      <c r="E48" s="1"/>
      <c r="J48" s="3"/>
      <c r="L48" s="116">
        <v>385836497</v>
      </c>
      <c r="M48" s="2" t="s">
        <v>27</v>
      </c>
    </row>
    <row r="49" spans="1:13" s="2" customFormat="1" x14ac:dyDescent="0.25">
      <c r="A49" s="1"/>
      <c r="B49" s="1"/>
      <c r="C49" s="1"/>
      <c r="D49" s="1"/>
      <c r="E49" s="1"/>
      <c r="J49" s="3"/>
      <c r="L49" s="116">
        <v>365153761</v>
      </c>
      <c r="M49" s="2" t="s">
        <v>28</v>
      </c>
    </row>
    <row r="50" spans="1:13" s="2" customFormat="1" ht="15.75" thickBot="1" x14ac:dyDescent="0.3">
      <c r="A50" s="1"/>
      <c r="B50" s="1"/>
      <c r="C50" s="1"/>
      <c r="D50" s="1"/>
      <c r="E50" s="1"/>
      <c r="J50" s="3"/>
      <c r="L50" s="115">
        <f>SUM(L48:L49)</f>
        <v>750990258</v>
      </c>
      <c r="M50" s="70">
        <v>45531</v>
      </c>
    </row>
    <row r="51" spans="1:13" s="2" customFormat="1" x14ac:dyDescent="0.25">
      <c r="A51" s="1"/>
      <c r="B51" s="1"/>
      <c r="C51" s="1"/>
      <c r="D51" s="1"/>
      <c r="E51" s="1"/>
      <c r="J51" s="3"/>
      <c r="L51" s="116"/>
    </row>
    <row r="52" spans="1:13" s="2" customFormat="1" x14ac:dyDescent="0.25">
      <c r="A52" s="1"/>
      <c r="B52" s="1"/>
      <c r="C52" s="1"/>
      <c r="D52" s="1"/>
      <c r="E52" s="1"/>
      <c r="J52" s="3"/>
      <c r="L52" s="116"/>
    </row>
    <row r="53" spans="1:13" s="2" customFormat="1" x14ac:dyDescent="0.25">
      <c r="A53" s="1"/>
      <c r="B53" s="1"/>
      <c r="C53" s="1"/>
      <c r="D53" s="1"/>
      <c r="E53" s="1"/>
      <c r="J53" s="3"/>
      <c r="L53" s="116">
        <f>SUM($L$10:$L$21)</f>
        <v>383938084.02825731</v>
      </c>
      <c r="M53" s="2" t="s">
        <v>27</v>
      </c>
    </row>
    <row r="54" spans="1:13" s="2" customFormat="1" x14ac:dyDescent="0.25">
      <c r="A54" s="1"/>
      <c r="B54" s="1"/>
      <c r="C54" s="1"/>
      <c r="D54" s="1"/>
      <c r="E54" s="1"/>
      <c r="J54" s="3"/>
      <c r="L54" s="135">
        <f>SUM($L$3:$L$9)</f>
        <v>368583821.6616478</v>
      </c>
      <c r="M54" s="2" t="s">
        <v>28</v>
      </c>
    </row>
    <row r="55" spans="1:13" s="2" customFormat="1" ht="15.75" thickBot="1" x14ac:dyDescent="0.3">
      <c r="A55" s="1"/>
      <c r="B55" s="1"/>
      <c r="C55" s="1"/>
      <c r="D55" s="1"/>
      <c r="E55" s="1"/>
      <c r="J55" s="3"/>
      <c r="L55" s="115">
        <f>SUM(L53:L54)</f>
        <v>752521905.68990517</v>
      </c>
      <c r="M55" s="70">
        <v>45546</v>
      </c>
    </row>
    <row r="56" spans="1:13" s="2" customFormat="1" x14ac:dyDescent="0.25">
      <c r="A56" s="1"/>
      <c r="B56" s="1"/>
      <c r="C56" s="1"/>
      <c r="D56" s="1"/>
      <c r="E56" s="1"/>
      <c r="J56" s="3"/>
      <c r="L56" s="116"/>
    </row>
    <row r="57" spans="1:13" s="2" customFormat="1" x14ac:dyDescent="0.25">
      <c r="A57" s="1"/>
      <c r="B57" s="1"/>
      <c r="C57" s="1"/>
      <c r="D57" s="1"/>
      <c r="E57" s="1"/>
      <c r="J57" s="3"/>
      <c r="L57" s="116"/>
    </row>
    <row r="58" spans="1:13" s="2" customFormat="1" x14ac:dyDescent="0.25">
      <c r="A58" s="1"/>
      <c r="B58" s="1"/>
      <c r="C58" s="1"/>
      <c r="D58" s="1"/>
      <c r="E58" s="1"/>
      <c r="J58" s="3"/>
      <c r="L58" s="116"/>
    </row>
    <row r="59" spans="1:13" s="2" customFormat="1" x14ac:dyDescent="0.25">
      <c r="A59" s="1"/>
      <c r="B59" s="1"/>
      <c r="C59" s="1"/>
      <c r="D59" s="1"/>
      <c r="E59" s="1"/>
      <c r="J59" s="3"/>
      <c r="L59" s="116"/>
    </row>
    <row r="60" spans="1:13" s="2" customFormat="1" x14ac:dyDescent="0.25">
      <c r="A60" s="1"/>
      <c r="B60" s="1"/>
      <c r="C60" s="1"/>
      <c r="D60" s="1"/>
      <c r="E60" s="1"/>
      <c r="J60" s="3"/>
      <c r="L60" s="116"/>
    </row>
    <row r="61" spans="1:13" s="2" customFormat="1" x14ac:dyDescent="0.25">
      <c r="A61" s="1"/>
      <c r="B61" s="1"/>
      <c r="C61" s="1"/>
      <c r="D61" s="1"/>
      <c r="E61" s="1"/>
      <c r="J61" s="3"/>
      <c r="L61" s="116"/>
    </row>
    <row r="62" spans="1:13" s="2" customFormat="1" x14ac:dyDescent="0.25">
      <c r="A62" s="1"/>
      <c r="B62" s="1"/>
      <c r="C62" s="1"/>
      <c r="D62" s="1"/>
      <c r="E62" s="1"/>
      <c r="J62" s="3"/>
      <c r="L62" s="116"/>
    </row>
    <row r="63" spans="1:13" s="2" customFormat="1" x14ac:dyDescent="0.25">
      <c r="A63" s="1"/>
      <c r="B63" s="1"/>
      <c r="C63" s="1"/>
      <c r="D63" s="1"/>
      <c r="E63" s="1"/>
      <c r="J63" s="3"/>
      <c r="L63" s="116"/>
    </row>
    <row r="64" spans="1:13" s="2" customFormat="1" x14ac:dyDescent="0.25">
      <c r="A64" s="1"/>
      <c r="B64" s="1"/>
      <c r="C64" s="1"/>
      <c r="D64" s="1"/>
      <c r="E64" s="1"/>
      <c r="J64" s="3"/>
      <c r="L64" s="116"/>
    </row>
    <row r="65" spans="1:12" s="2" customFormat="1" x14ac:dyDescent="0.25">
      <c r="A65" s="1"/>
      <c r="B65" s="1"/>
      <c r="C65" s="1"/>
      <c r="D65" s="1"/>
      <c r="E65" s="1"/>
      <c r="J65" s="3"/>
      <c r="L65" s="116"/>
    </row>
    <row r="66" spans="1:12" s="2" customFormat="1" x14ac:dyDescent="0.25">
      <c r="A66" s="1"/>
      <c r="B66" s="1"/>
      <c r="C66" s="1"/>
      <c r="D66" s="1"/>
      <c r="E66" s="1"/>
      <c r="J66" s="3"/>
      <c r="L66" s="116"/>
    </row>
    <row r="67" spans="1:12" s="2" customFormat="1" x14ac:dyDescent="0.25">
      <c r="A67" s="1"/>
      <c r="B67" s="1"/>
      <c r="C67" s="1"/>
      <c r="D67" s="1"/>
      <c r="E67" s="1"/>
      <c r="J67" s="3"/>
      <c r="L67" s="116"/>
    </row>
    <row r="68" spans="1:12" s="2" customFormat="1" x14ac:dyDescent="0.25">
      <c r="A68" s="1"/>
      <c r="B68" s="1"/>
      <c r="C68" s="1"/>
      <c r="D68" s="1"/>
      <c r="E68" s="1"/>
      <c r="J68" s="3"/>
      <c r="L68" s="116"/>
    </row>
    <row r="69" spans="1:12" s="2" customFormat="1" x14ac:dyDescent="0.25">
      <c r="A69" s="1"/>
      <c r="B69" s="1"/>
      <c r="C69" s="1"/>
      <c r="D69" s="1"/>
      <c r="E69" s="1"/>
      <c r="J69" s="3"/>
      <c r="L69" s="116"/>
    </row>
  </sheetData>
  <mergeCells count="17">
    <mergeCell ref="J1:J2"/>
    <mergeCell ref="L1:L2"/>
    <mergeCell ref="M1:N1"/>
    <mergeCell ref="C3:C9"/>
    <mergeCell ref="D3:D9"/>
    <mergeCell ref="E3:E9"/>
    <mergeCell ref="C1:C2"/>
    <mergeCell ref="D1:D2"/>
    <mergeCell ref="E1:E2"/>
    <mergeCell ref="F1:F2"/>
    <mergeCell ref="G1:G2"/>
    <mergeCell ref="H1:H2"/>
    <mergeCell ref="C10:C21"/>
    <mergeCell ref="D10:D21"/>
    <mergeCell ref="E10:E13"/>
    <mergeCell ref="E14:E21"/>
    <mergeCell ref="I1:I2"/>
  </mergeCells>
  <pageMargins left="0.7" right="0.7" top="0.75" bottom="0.75" header="0.3" footer="0.3"/>
  <headerFooter>
    <oddFooter>&amp;C_x000D_&amp;1#&amp;"Calibri"&amp;10&amp;K000000 Uso Interno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D917-CDC5-4D77-BBDB-A5AA8EC1BEAA}">
  <dimension ref="A1:O70"/>
  <sheetViews>
    <sheetView showGridLines="0" topLeftCell="C44" workbookViewId="0">
      <selection activeCell="L59" sqref="L59:L60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6.5703125" style="3" customWidth="1"/>
    <col min="13" max="13" width="14.7109375" style="2" bestFit="1" customWidth="1"/>
    <col min="14" max="14" width="6.7109375" style="2" customWidth="1"/>
    <col min="15" max="16384" width="11.42578125" style="1"/>
  </cols>
  <sheetData>
    <row r="1" spans="3:15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5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45580</v>
      </c>
      <c r="L2" s="153"/>
      <c r="M2" s="6" t="s">
        <v>11</v>
      </c>
      <c r="N2" s="5" t="s">
        <v>12</v>
      </c>
    </row>
    <row r="3" spans="3:15" ht="23.25" customHeight="1" x14ac:dyDescent="0.25">
      <c r="C3" s="169" t="s">
        <v>13</v>
      </c>
      <c r="D3" s="171" t="s">
        <v>14</v>
      </c>
      <c r="E3" s="173" t="s">
        <v>15</v>
      </c>
      <c r="F3" s="22">
        <v>43837</v>
      </c>
      <c r="G3" s="23" t="s">
        <v>16</v>
      </c>
      <c r="H3" s="24">
        <v>14792.0448</v>
      </c>
      <c r="I3" s="25">
        <v>2697.6768000000002</v>
      </c>
      <c r="J3" s="26">
        <f>+H3*I3</f>
        <v>39904156.081520639</v>
      </c>
      <c r="K3" s="125">
        <v>4288.6102000000001</v>
      </c>
      <c r="L3" s="26">
        <f>+H3*K3</f>
        <v>63437314.208136961</v>
      </c>
      <c r="M3" s="27">
        <f>L3-J3</f>
        <v>23533158.126616322</v>
      </c>
      <c r="N3" s="28">
        <f t="shared" ref="N3:N22" si="0">M3/J3</f>
        <v>0.58974203284841242</v>
      </c>
    </row>
    <row r="4" spans="3:15" ht="23.25" customHeight="1" x14ac:dyDescent="0.25">
      <c r="C4" s="156"/>
      <c r="D4" s="157"/>
      <c r="E4" s="174"/>
      <c r="F4" s="15">
        <v>45386</v>
      </c>
      <c r="G4" s="16" t="s">
        <v>33</v>
      </c>
      <c r="H4" s="78">
        <v>23729.155299999999</v>
      </c>
      <c r="I4" s="79">
        <v>1815.5173016209301</v>
      </c>
      <c r="J4" s="12">
        <f>+H4*I4</f>
        <v>43080691.999999993</v>
      </c>
      <c r="K4" s="96">
        <v>1902.1289999999999</v>
      </c>
      <c r="L4" s="80">
        <f>+H4*K4</f>
        <v>45135914.441633694</v>
      </c>
      <c r="M4" s="18">
        <f>L4-J4</f>
        <v>2055222.4416337013</v>
      </c>
      <c r="N4" s="134">
        <f t="shared" si="0"/>
        <v>4.77063470018936E-2</v>
      </c>
      <c r="O4" s="124"/>
    </row>
    <row r="5" spans="3:15" ht="23.25" customHeight="1" x14ac:dyDescent="0.25">
      <c r="C5" s="156"/>
      <c r="D5" s="157"/>
      <c r="E5" s="175"/>
      <c r="F5" s="15">
        <v>45436</v>
      </c>
      <c r="G5" s="16" t="s">
        <v>33</v>
      </c>
      <c r="H5" s="78">
        <v>2963.5434000000023</v>
      </c>
      <c r="I5" s="79">
        <v>1781.2545</v>
      </c>
      <c r="J5" s="12">
        <f>+H5*I5</f>
        <v>5278825.0171953039</v>
      </c>
      <c r="K5" s="96">
        <f>K4</f>
        <v>1902.1289999999999</v>
      </c>
      <c r="L5" s="80">
        <f>+H5*K5</f>
        <v>5637041.8438986037</v>
      </c>
      <c r="M5" s="18">
        <f>L5-J5</f>
        <v>358216.82670329977</v>
      </c>
      <c r="N5" s="134">
        <f t="shared" si="0"/>
        <v>6.7859196987291731E-2</v>
      </c>
    </row>
    <row r="6" spans="3:15" ht="23.25" customHeight="1" x14ac:dyDescent="0.25">
      <c r="C6" s="156"/>
      <c r="D6" s="157"/>
      <c r="E6" s="175"/>
      <c r="F6" s="82"/>
      <c r="G6" s="83" t="s">
        <v>32</v>
      </c>
      <c r="H6" s="101">
        <v>41470</v>
      </c>
      <c r="I6" s="103">
        <v>2411.36</v>
      </c>
      <c r="J6" s="80">
        <f>+H6*I6</f>
        <v>99999099.200000003</v>
      </c>
      <c r="K6" s="102">
        <v>2332</v>
      </c>
      <c r="L6" s="80">
        <f>+H6*K6</f>
        <v>96708040</v>
      </c>
      <c r="M6" s="18">
        <f>L6-J6</f>
        <v>-3291059.200000003</v>
      </c>
      <c r="N6" s="19">
        <f t="shared" si="0"/>
        <v>-3.2910888461283289E-2</v>
      </c>
    </row>
    <row r="7" spans="3:15" ht="23.25" customHeight="1" x14ac:dyDescent="0.25">
      <c r="C7" s="156"/>
      <c r="D7" s="157"/>
      <c r="E7" s="175"/>
      <c r="F7" s="82"/>
      <c r="G7" s="83" t="s">
        <v>41</v>
      </c>
      <c r="H7" s="101">
        <v>19705</v>
      </c>
      <c r="I7" s="103"/>
      <c r="J7" s="86"/>
      <c r="K7" s="102">
        <v>276</v>
      </c>
      <c r="L7" s="80">
        <f>+H7*K7</f>
        <v>5438580</v>
      </c>
      <c r="M7" s="20"/>
      <c r="N7" s="21"/>
    </row>
    <row r="8" spans="3:15" ht="23.25" customHeight="1" x14ac:dyDescent="0.25">
      <c r="C8" s="156"/>
      <c r="D8" s="157"/>
      <c r="E8" s="175"/>
      <c r="F8" s="82">
        <v>45435</v>
      </c>
      <c r="G8" s="83" t="s">
        <v>34</v>
      </c>
      <c r="H8" s="101" t="s">
        <v>19</v>
      </c>
      <c r="I8" s="103" t="s">
        <v>19</v>
      </c>
      <c r="J8" s="86" t="s">
        <v>19</v>
      </c>
      <c r="K8" s="102" t="s">
        <v>19</v>
      </c>
      <c r="M8" s="138">
        <v>5278825</v>
      </c>
      <c r="N8" s="21">
        <f>$M$8/$J$6</f>
        <v>5.2788725520839491E-2</v>
      </c>
    </row>
    <row r="9" spans="3:15" ht="23.25" customHeight="1" thickBot="1" x14ac:dyDescent="0.3">
      <c r="C9" s="170"/>
      <c r="D9" s="172"/>
      <c r="E9" s="176"/>
      <c r="F9" s="126">
        <v>44071</v>
      </c>
      <c r="G9" s="127" t="s">
        <v>18</v>
      </c>
      <c r="H9" s="128" t="s">
        <v>19</v>
      </c>
      <c r="I9" s="129" t="s">
        <v>19</v>
      </c>
      <c r="J9" s="130">
        <v>159712042</v>
      </c>
      <c r="K9" s="131" t="s">
        <v>19</v>
      </c>
      <c r="L9" s="130">
        <v>161175958</v>
      </c>
      <c r="M9" s="132">
        <f>+L9-J9</f>
        <v>1463916</v>
      </c>
      <c r="N9" s="133">
        <f t="shared" si="0"/>
        <v>9.1659713423487502E-3</v>
      </c>
    </row>
    <row r="10" spans="3:15" ht="23.25" customHeight="1" x14ac:dyDescent="0.25">
      <c r="C10" s="177" t="s">
        <v>20</v>
      </c>
      <c r="D10" s="178" t="s">
        <v>21</v>
      </c>
      <c r="E10" s="179" t="s">
        <v>15</v>
      </c>
      <c r="F10" s="8">
        <v>43837</v>
      </c>
      <c r="G10" s="9" t="s">
        <v>16</v>
      </c>
      <c r="H10" s="94">
        <v>6241.3888999999999</v>
      </c>
      <c r="I10" s="104">
        <v>2697.6768000000002</v>
      </c>
      <c r="J10" s="95">
        <f t="shared" ref="J10:J15" si="1">+H10*I10</f>
        <v>16837250.035307519</v>
      </c>
      <c r="K10" s="88">
        <f>K3</f>
        <v>4288.6102000000001</v>
      </c>
      <c r="L10" s="95">
        <f t="shared" ref="L10:L15" si="2">+H10*K10</f>
        <v>26766884.098706782</v>
      </c>
      <c r="M10" s="13">
        <f t="shared" ref="M10:M22" si="3">L10-J10</f>
        <v>9929634.0633992627</v>
      </c>
      <c r="N10" s="14">
        <f t="shared" si="0"/>
        <v>0.58974203284841253</v>
      </c>
    </row>
    <row r="11" spans="3:15" ht="23.25" customHeight="1" x14ac:dyDescent="0.25">
      <c r="C11" s="143"/>
      <c r="D11" s="146"/>
      <c r="E11" s="174"/>
      <c r="F11" s="15">
        <v>45385</v>
      </c>
      <c r="G11" s="16" t="s">
        <v>33</v>
      </c>
      <c r="H11" s="108">
        <v>9711.3119000000006</v>
      </c>
      <c r="I11" s="81">
        <v>1837.107</v>
      </c>
      <c r="J11" s="80">
        <f>H11*I11</f>
        <v>17840719.070673302</v>
      </c>
      <c r="K11" s="96">
        <f>K4</f>
        <v>1902.1289999999999</v>
      </c>
      <c r="L11" s="80">
        <f t="shared" si="2"/>
        <v>18472167.9930351</v>
      </c>
      <c r="M11" s="18">
        <f t="shared" si="3"/>
        <v>631448.92236179858</v>
      </c>
      <c r="N11" s="123">
        <f t="shared" si="0"/>
        <v>3.5393692365224154E-2</v>
      </c>
    </row>
    <row r="12" spans="3:15" ht="23.25" customHeight="1" x14ac:dyDescent="0.25">
      <c r="C12" s="143"/>
      <c r="D12" s="146"/>
      <c r="E12" s="174"/>
      <c r="F12" s="15">
        <v>44644</v>
      </c>
      <c r="G12" s="16" t="s">
        <v>22</v>
      </c>
      <c r="H12" s="99">
        <v>6743884</v>
      </c>
      <c r="I12" s="104">
        <v>6.8326000000000002</v>
      </c>
      <c r="J12" s="80">
        <f t="shared" si="1"/>
        <v>46078261.818400003</v>
      </c>
      <c r="K12" s="107">
        <v>12.04</v>
      </c>
      <c r="L12" s="80">
        <f t="shared" si="2"/>
        <v>81196363.359999999</v>
      </c>
      <c r="M12" s="18">
        <f t="shared" si="3"/>
        <v>35118101.541599996</v>
      </c>
      <c r="N12" s="19">
        <f t="shared" si="0"/>
        <v>0.7621403272546321</v>
      </c>
    </row>
    <row r="13" spans="3:15" ht="23.25" customHeight="1" thickBot="1" x14ac:dyDescent="0.3">
      <c r="C13" s="143"/>
      <c r="D13" s="146"/>
      <c r="E13" s="180"/>
      <c r="F13" s="29">
        <v>45005</v>
      </c>
      <c r="G13" s="30" t="s">
        <v>23</v>
      </c>
      <c r="H13" s="105">
        <v>4475</v>
      </c>
      <c r="I13" s="93">
        <v>3208</v>
      </c>
      <c r="J13" s="89">
        <f t="shared" si="1"/>
        <v>14355800</v>
      </c>
      <c r="K13" s="110">
        <v>3165</v>
      </c>
      <c r="L13" s="106">
        <f t="shared" si="2"/>
        <v>14163375</v>
      </c>
      <c r="M13" s="32">
        <f t="shared" si="3"/>
        <v>-192425</v>
      </c>
      <c r="N13" s="34">
        <f t="shared" si="0"/>
        <v>-1.3403990024937655E-2</v>
      </c>
    </row>
    <row r="14" spans="3:15" ht="23.25" customHeight="1" x14ac:dyDescent="0.25">
      <c r="C14" s="143"/>
      <c r="D14" s="146"/>
      <c r="E14" s="179" t="s">
        <v>24</v>
      </c>
      <c r="F14" s="8">
        <v>43837</v>
      </c>
      <c r="G14" s="9" t="s">
        <v>39</v>
      </c>
      <c r="H14" s="94">
        <v>20282.3851</v>
      </c>
      <c r="I14" s="88">
        <v>2754.61</v>
      </c>
      <c r="J14" s="95">
        <f t="shared" si="1"/>
        <v>55870060.820311002</v>
      </c>
      <c r="K14" s="88">
        <v>4645.9952000000003</v>
      </c>
      <c r="L14" s="95">
        <f t="shared" si="2"/>
        <v>94231863.819151521</v>
      </c>
      <c r="M14" s="13">
        <f t="shared" si="3"/>
        <v>38361802.998840518</v>
      </c>
      <c r="N14" s="14">
        <f t="shared" si="0"/>
        <v>0.68662540250706994</v>
      </c>
    </row>
    <row r="15" spans="3:15" ht="23.25" customHeight="1" x14ac:dyDescent="0.25">
      <c r="C15" s="143"/>
      <c r="D15" s="146"/>
      <c r="E15" s="174"/>
      <c r="F15" s="15">
        <v>45386</v>
      </c>
      <c r="G15" s="16" t="s">
        <v>33</v>
      </c>
      <c r="H15" s="78">
        <v>31210.603599999999</v>
      </c>
      <c r="I15" s="96">
        <v>1979.8371999999999</v>
      </c>
      <c r="J15" s="80">
        <f t="shared" si="1"/>
        <v>61791914.041733913</v>
      </c>
      <c r="K15" s="96">
        <v>2063.1648</v>
      </c>
      <c r="L15" s="80">
        <f t="shared" si="2"/>
        <v>64392618.734273277</v>
      </c>
      <c r="M15" s="18">
        <f t="shared" si="3"/>
        <v>2600704.6925393641</v>
      </c>
      <c r="N15" s="19">
        <f t="shared" si="0"/>
        <v>4.2088107042336682E-2</v>
      </c>
    </row>
    <row r="16" spans="3:15" ht="23.25" customHeight="1" x14ac:dyDescent="0.25">
      <c r="C16" s="143"/>
      <c r="D16" s="146"/>
      <c r="E16" s="174"/>
      <c r="F16" s="15"/>
      <c r="G16" s="16" t="s">
        <v>42</v>
      </c>
      <c r="H16" s="78"/>
      <c r="I16" s="96"/>
      <c r="J16" s="80"/>
      <c r="K16" s="96"/>
      <c r="L16" s="80">
        <v>2846015</v>
      </c>
      <c r="M16" s="18"/>
      <c r="N16" s="19"/>
    </row>
    <row r="17" spans="3:14" ht="23.25" customHeight="1" x14ac:dyDescent="0.25">
      <c r="C17" s="143"/>
      <c r="D17" s="146"/>
      <c r="E17" s="174"/>
      <c r="F17" s="15"/>
      <c r="G17" s="16" t="s">
        <v>37</v>
      </c>
      <c r="H17" s="78"/>
      <c r="I17" s="96"/>
      <c r="J17" s="80"/>
      <c r="K17" s="96"/>
      <c r="L17" s="80">
        <v>4205787</v>
      </c>
      <c r="M17" s="18"/>
      <c r="N17" s="19"/>
    </row>
    <row r="18" spans="3:14" ht="23.25" customHeight="1" x14ac:dyDescent="0.25">
      <c r="C18" s="143"/>
      <c r="D18" s="146"/>
      <c r="E18" s="174"/>
      <c r="F18" s="15"/>
      <c r="G18" s="16" t="s">
        <v>38</v>
      </c>
      <c r="H18" s="78"/>
      <c r="I18" s="96"/>
      <c r="J18" s="80"/>
      <c r="K18" s="96"/>
      <c r="L18" s="80">
        <v>824430</v>
      </c>
      <c r="M18" s="18"/>
      <c r="N18" s="19"/>
    </row>
    <row r="19" spans="3:14" ht="23.25" customHeight="1" x14ac:dyDescent="0.25">
      <c r="C19" s="143"/>
      <c r="D19" s="146"/>
      <c r="E19" s="174"/>
      <c r="F19" s="97">
        <v>2020</v>
      </c>
      <c r="G19" s="16" t="s">
        <v>18</v>
      </c>
      <c r="H19" s="78" t="s">
        <v>19</v>
      </c>
      <c r="I19" s="98" t="s">
        <v>19</v>
      </c>
      <c r="J19" s="80"/>
      <c r="K19" s="96" t="s">
        <v>19</v>
      </c>
      <c r="L19" s="80">
        <v>53839594</v>
      </c>
      <c r="M19" s="18">
        <f t="shared" si="3"/>
        <v>53839594</v>
      </c>
      <c r="N19" s="19"/>
    </row>
    <row r="20" spans="3:14" ht="21" customHeight="1" x14ac:dyDescent="0.25">
      <c r="C20" s="143"/>
      <c r="D20" s="146"/>
      <c r="E20" s="174"/>
      <c r="F20" s="15">
        <v>44433</v>
      </c>
      <c r="G20" s="16" t="s">
        <v>25</v>
      </c>
      <c r="H20" s="99">
        <f>80688+91222</f>
        <v>171910</v>
      </c>
      <c r="I20" s="96">
        <v>126.71</v>
      </c>
      <c r="J20" s="80">
        <f t="shared" ref="J20:J22" si="4">+H20*I20</f>
        <v>21782716.099999998</v>
      </c>
      <c r="K20" s="107">
        <v>120.5</v>
      </c>
      <c r="L20" s="80">
        <f>+H20*K20</f>
        <v>20715155</v>
      </c>
      <c r="M20" s="18">
        <f t="shared" si="3"/>
        <v>-1067561.0999999978</v>
      </c>
      <c r="N20" s="19">
        <f t="shared" si="0"/>
        <v>-4.900954936469093E-2</v>
      </c>
    </row>
    <row r="21" spans="3:14" ht="21" customHeight="1" x14ac:dyDescent="0.25">
      <c r="C21" s="181"/>
      <c r="D21" s="182"/>
      <c r="E21" s="175"/>
      <c r="F21" s="82">
        <v>45580</v>
      </c>
      <c r="G21" s="83" t="s">
        <v>43</v>
      </c>
      <c r="H21" s="136">
        <v>5950319</v>
      </c>
      <c r="I21" s="102">
        <v>0.36</v>
      </c>
      <c r="J21" s="80">
        <f t="shared" si="4"/>
        <v>2142114.84</v>
      </c>
      <c r="K21" s="137">
        <v>0.36799999999999999</v>
      </c>
      <c r="L21" s="80">
        <f>+H21*K21</f>
        <v>2189717.392</v>
      </c>
      <c r="M21" s="18">
        <f t="shared" ref="M21" si="5">L21-J21</f>
        <v>47602.552000000142</v>
      </c>
      <c r="N21" s="19">
        <f t="shared" ref="N21" si="6">M21/J21</f>
        <v>2.2222222222222289E-2</v>
      </c>
    </row>
    <row r="22" spans="3:14" ht="21.75" customHeight="1" thickBot="1" x14ac:dyDescent="0.3">
      <c r="C22" s="144"/>
      <c r="D22" s="147"/>
      <c r="E22" s="180"/>
      <c r="F22" s="29">
        <v>44109</v>
      </c>
      <c r="G22" s="30" t="s">
        <v>26</v>
      </c>
      <c r="H22" s="87">
        <f>1293776+119067</f>
        <v>1412843</v>
      </c>
      <c r="I22" s="100">
        <v>8.1136300000000006</v>
      </c>
      <c r="J22" s="89">
        <f t="shared" si="4"/>
        <v>11463285.350090001</v>
      </c>
      <c r="K22" s="110">
        <f>K12</f>
        <v>12.04</v>
      </c>
      <c r="L22" s="89">
        <f>+H22*K22</f>
        <v>17010629.719999999</v>
      </c>
      <c r="M22" s="32">
        <f t="shared" si="3"/>
        <v>5547344.369909998</v>
      </c>
      <c r="N22" s="34">
        <f t="shared" si="0"/>
        <v>0.48392273248841744</v>
      </c>
    </row>
    <row r="23" spans="3:14" s="117" customFormat="1" ht="16.5" thickBot="1" x14ac:dyDescent="0.3">
      <c r="J23" s="119">
        <f>SUM(J3:J22)</f>
        <v>596136936.37523174</v>
      </c>
      <c r="K23" s="118"/>
      <c r="L23" s="119">
        <f>SUM(L3:L22)</f>
        <v>778387449.61083591</v>
      </c>
      <c r="M23" s="120">
        <f>SUM(M3:M22)</f>
        <v>174214526.23560426</v>
      </c>
      <c r="N23" s="121">
        <f>M23/J23</f>
        <v>0.2922391075025535</v>
      </c>
    </row>
    <row r="24" spans="3:14" x14ac:dyDescent="0.25">
      <c r="L24" s="66"/>
      <c r="M24" s="70"/>
    </row>
    <row r="26" spans="3:14" x14ac:dyDescent="0.25">
      <c r="L26" s="116">
        <v>401392648</v>
      </c>
      <c r="M26" s="68" t="s">
        <v>27</v>
      </c>
    </row>
    <row r="27" spans="3:14" x14ac:dyDescent="0.25">
      <c r="L27" s="116">
        <v>358069947</v>
      </c>
      <c r="M27" s="2" t="s">
        <v>28</v>
      </c>
    </row>
    <row r="28" spans="3:14" ht="15.75" thickBot="1" x14ac:dyDescent="0.3">
      <c r="L28" s="115">
        <f>+L26+L27</f>
        <v>759462595</v>
      </c>
      <c r="M28" s="70">
        <v>45377</v>
      </c>
    </row>
    <row r="29" spans="3:14" x14ac:dyDescent="0.25">
      <c r="L29" s="116"/>
    </row>
    <row r="30" spans="3:14" x14ac:dyDescent="0.25">
      <c r="L30" s="116"/>
    </row>
    <row r="31" spans="3:14" x14ac:dyDescent="0.2">
      <c r="H31" s="68" t="s">
        <v>30</v>
      </c>
      <c r="J31" s="77">
        <v>0.26885109000000001</v>
      </c>
      <c r="L31" s="116"/>
    </row>
    <row r="32" spans="3:14" x14ac:dyDescent="0.25">
      <c r="I32" s="2" t="s">
        <v>31</v>
      </c>
      <c r="J32" s="3">
        <f>7.0545-J31</f>
        <v>6.7856489099999999</v>
      </c>
      <c r="L32" s="116">
        <v>386975994</v>
      </c>
      <c r="M32" s="68" t="s">
        <v>27</v>
      </c>
    </row>
    <row r="33" spans="1:15" x14ac:dyDescent="0.25">
      <c r="L33" s="116">
        <v>352115015</v>
      </c>
      <c r="M33" s="2" t="s">
        <v>28</v>
      </c>
    </row>
    <row r="34" spans="1:15" s="2" customFormat="1" ht="15.75" thickBot="1" x14ac:dyDescent="0.3">
      <c r="A34" s="1"/>
      <c r="B34" s="1"/>
      <c r="C34" s="1"/>
      <c r="D34" s="1"/>
      <c r="E34" s="1"/>
      <c r="J34" s="3"/>
      <c r="L34" s="115">
        <f>+L33+L32</f>
        <v>739091009</v>
      </c>
      <c r="M34" s="70">
        <v>45436</v>
      </c>
      <c r="O34" s="1"/>
    </row>
    <row r="35" spans="1:15" s="2" customFormat="1" x14ac:dyDescent="0.25">
      <c r="A35" s="1"/>
      <c r="B35" s="1"/>
      <c r="C35" s="1"/>
      <c r="D35" s="1"/>
      <c r="E35" s="1"/>
      <c r="J35" s="3"/>
      <c r="L35" s="116"/>
      <c r="O35" s="1"/>
    </row>
    <row r="36" spans="1:15" s="2" customFormat="1" x14ac:dyDescent="0.25">
      <c r="A36" s="1"/>
      <c r="B36" s="1"/>
      <c r="C36" s="1"/>
      <c r="D36" s="113" t="s">
        <v>35</v>
      </c>
      <c r="E36" s="1"/>
      <c r="G36" s="114" t="s">
        <v>36</v>
      </c>
      <c r="J36" s="3"/>
      <c r="L36" s="116"/>
      <c r="O36" s="1"/>
    </row>
    <row r="37" spans="1:15" s="2" customFormat="1" x14ac:dyDescent="0.25">
      <c r="A37" s="1"/>
      <c r="B37" s="1"/>
      <c r="C37" s="1"/>
      <c r="D37" s="1"/>
      <c r="E37" s="1"/>
      <c r="J37" s="3"/>
      <c r="L37" s="116"/>
      <c r="O37" s="1"/>
    </row>
    <row r="38" spans="1:15" s="2" customFormat="1" x14ac:dyDescent="0.25">
      <c r="A38" s="1"/>
      <c r="B38" s="1"/>
      <c r="C38" s="1"/>
      <c r="D38" s="1"/>
      <c r="E38" s="1"/>
      <c r="J38" s="3"/>
      <c r="L38" s="116">
        <v>380473377</v>
      </c>
      <c r="M38" s="2" t="s">
        <v>27</v>
      </c>
      <c r="O38" s="1"/>
    </row>
    <row r="39" spans="1:15" s="2" customFormat="1" x14ac:dyDescent="0.25">
      <c r="A39" s="1"/>
      <c r="B39" s="1"/>
      <c r="C39" s="1"/>
      <c r="D39" s="1"/>
      <c r="E39" s="1"/>
      <c r="J39" s="3"/>
      <c r="L39" s="116">
        <v>348222719</v>
      </c>
      <c r="M39" s="2" t="s">
        <v>28</v>
      </c>
    </row>
    <row r="40" spans="1:15" s="2" customFormat="1" ht="15.75" thickBot="1" x14ac:dyDescent="0.3">
      <c r="A40" s="1"/>
      <c r="B40" s="1"/>
      <c r="C40" s="1"/>
      <c r="D40" s="1"/>
      <c r="E40" s="1"/>
      <c r="J40" s="3"/>
      <c r="L40" s="115">
        <f>SUM(L38:L39)</f>
        <v>728696096</v>
      </c>
      <c r="M40" s="70">
        <v>45447</v>
      </c>
    </row>
    <row r="41" spans="1:15" s="2" customFormat="1" x14ac:dyDescent="0.25">
      <c r="A41" s="1"/>
      <c r="B41" s="1"/>
      <c r="C41" s="1"/>
      <c r="D41" s="1"/>
      <c r="E41" s="1"/>
      <c r="J41" s="3"/>
      <c r="L41" s="116"/>
    </row>
    <row r="42" spans="1:15" s="2" customFormat="1" x14ac:dyDescent="0.25">
      <c r="A42" s="1"/>
      <c r="B42" s="1"/>
      <c r="C42" s="1"/>
      <c r="D42" s="1"/>
      <c r="E42" s="1"/>
      <c r="J42" s="3"/>
      <c r="L42" s="116"/>
    </row>
    <row r="43" spans="1:15" s="2" customFormat="1" x14ac:dyDescent="0.25">
      <c r="A43" s="1"/>
      <c r="B43" s="1"/>
      <c r="C43" s="1"/>
      <c r="D43" s="1"/>
      <c r="E43" s="1"/>
      <c r="J43" s="3"/>
      <c r="L43" s="116"/>
    </row>
    <row r="44" spans="1:15" s="2" customFormat="1" x14ac:dyDescent="0.25">
      <c r="A44" s="1"/>
      <c r="B44" s="1"/>
      <c r="C44" s="1"/>
      <c r="D44" s="1"/>
      <c r="E44" s="1"/>
      <c r="J44" s="3"/>
      <c r="L44" s="116">
        <v>393406396</v>
      </c>
      <c r="M44" s="2" t="s">
        <v>27</v>
      </c>
    </row>
    <row r="45" spans="1:15" s="2" customFormat="1" x14ac:dyDescent="0.25">
      <c r="A45" s="1"/>
      <c r="B45" s="1"/>
      <c r="C45" s="1"/>
      <c r="D45" s="1"/>
      <c r="E45" s="1"/>
      <c r="J45" s="3"/>
      <c r="L45" s="116">
        <v>371089239</v>
      </c>
      <c r="M45" s="2" t="s">
        <v>28</v>
      </c>
    </row>
    <row r="46" spans="1:15" s="2" customFormat="1" ht="15.75" thickBot="1" x14ac:dyDescent="0.3">
      <c r="A46" s="1"/>
      <c r="B46" s="1"/>
      <c r="C46" s="1"/>
      <c r="D46" s="1"/>
      <c r="E46" s="1"/>
      <c r="J46" s="3"/>
      <c r="L46" s="115">
        <f>SUM(L44:L45)</f>
        <v>764495635</v>
      </c>
      <c r="M46" s="70">
        <v>45498</v>
      </c>
    </row>
    <row r="47" spans="1:15" s="2" customFormat="1" x14ac:dyDescent="0.25">
      <c r="A47" s="1"/>
      <c r="B47" s="1"/>
      <c r="C47" s="1"/>
      <c r="D47" s="1"/>
      <c r="E47" s="1"/>
      <c r="J47" s="3"/>
      <c r="L47" s="116"/>
    </row>
    <row r="48" spans="1:15" s="2" customFormat="1" x14ac:dyDescent="0.25">
      <c r="A48" s="1"/>
      <c r="B48" s="1"/>
      <c r="C48" s="1"/>
      <c r="D48" s="1"/>
      <c r="E48" s="1"/>
      <c r="J48" s="3"/>
      <c r="L48" s="116"/>
    </row>
    <row r="49" spans="1:13" s="2" customFormat="1" x14ac:dyDescent="0.25">
      <c r="A49" s="1"/>
      <c r="B49" s="1"/>
      <c r="C49" s="1"/>
      <c r="D49" s="1"/>
      <c r="E49" s="1"/>
      <c r="J49" s="3"/>
      <c r="L49" s="116">
        <v>385836497</v>
      </c>
      <c r="M49" s="2" t="s">
        <v>27</v>
      </c>
    </row>
    <row r="50" spans="1:13" s="2" customFormat="1" x14ac:dyDescent="0.25">
      <c r="A50" s="1"/>
      <c r="B50" s="1"/>
      <c r="C50" s="1"/>
      <c r="D50" s="1"/>
      <c r="E50" s="1"/>
      <c r="J50" s="3"/>
      <c r="L50" s="116">
        <v>365153761</v>
      </c>
      <c r="M50" s="2" t="s">
        <v>28</v>
      </c>
    </row>
    <row r="51" spans="1:13" s="2" customFormat="1" ht="15.75" thickBot="1" x14ac:dyDescent="0.3">
      <c r="A51" s="1"/>
      <c r="B51" s="1"/>
      <c r="C51" s="1"/>
      <c r="D51" s="1"/>
      <c r="E51" s="1"/>
      <c r="J51" s="3"/>
      <c r="L51" s="115">
        <f>SUM(L49:L50)</f>
        <v>750990258</v>
      </c>
      <c r="M51" s="70">
        <v>45531</v>
      </c>
    </row>
    <row r="52" spans="1:13" s="2" customFormat="1" x14ac:dyDescent="0.25">
      <c r="A52" s="1"/>
      <c r="B52" s="1"/>
      <c r="C52" s="1"/>
      <c r="D52" s="1"/>
      <c r="E52" s="1"/>
      <c r="J52" s="3"/>
      <c r="L52" s="116"/>
    </row>
    <row r="53" spans="1:13" s="2" customFormat="1" x14ac:dyDescent="0.25">
      <c r="A53" s="1"/>
      <c r="B53" s="1"/>
      <c r="C53" s="1"/>
      <c r="D53" s="1"/>
      <c r="E53" s="1"/>
      <c r="J53" s="3"/>
      <c r="L53" s="116"/>
    </row>
    <row r="54" spans="1:13" s="2" customFormat="1" x14ac:dyDescent="0.25">
      <c r="A54" s="1"/>
      <c r="B54" s="1"/>
      <c r="C54" s="1"/>
      <c r="D54" s="1"/>
      <c r="E54" s="1"/>
      <c r="J54" s="3"/>
      <c r="L54" s="116">
        <v>383938084.02825731</v>
      </c>
      <c r="M54" s="2" t="s">
        <v>27</v>
      </c>
    </row>
    <row r="55" spans="1:13" s="2" customFormat="1" x14ac:dyDescent="0.25">
      <c r="A55" s="1"/>
      <c r="B55" s="1"/>
      <c r="C55" s="1"/>
      <c r="D55" s="1"/>
      <c r="E55" s="1"/>
      <c r="J55" s="3"/>
      <c r="L55" s="135">
        <v>368583821.6616478</v>
      </c>
      <c r="M55" s="2" t="s">
        <v>28</v>
      </c>
    </row>
    <row r="56" spans="1:13" s="2" customFormat="1" ht="15.75" thickBot="1" x14ac:dyDescent="0.3">
      <c r="A56" s="1"/>
      <c r="B56" s="1"/>
      <c r="C56" s="1"/>
      <c r="D56" s="1"/>
      <c r="E56" s="1"/>
      <c r="J56" s="3"/>
      <c r="L56" s="115">
        <f>SUM(L54:L55)</f>
        <v>752521905.68990517</v>
      </c>
      <c r="M56" s="70">
        <v>45546</v>
      </c>
    </row>
    <row r="57" spans="1:13" s="2" customFormat="1" x14ac:dyDescent="0.25">
      <c r="A57" s="1"/>
      <c r="B57" s="1"/>
      <c r="C57" s="1"/>
      <c r="D57" s="1"/>
      <c r="E57" s="1"/>
      <c r="J57" s="3"/>
      <c r="L57" s="116"/>
    </row>
    <row r="58" spans="1:13" s="2" customFormat="1" x14ac:dyDescent="0.25">
      <c r="A58" s="1"/>
      <c r="B58" s="1"/>
      <c r="C58" s="1"/>
      <c r="D58" s="1"/>
      <c r="E58" s="1"/>
      <c r="J58" s="3"/>
    </row>
    <row r="59" spans="1:13" s="2" customFormat="1" x14ac:dyDescent="0.25">
      <c r="A59" s="1"/>
      <c r="B59" s="1"/>
      <c r="C59" s="1"/>
      <c r="D59" s="1"/>
      <c r="E59" s="1"/>
      <c r="J59" s="3"/>
      <c r="L59" s="116">
        <f>SUM($L$10:$L$22)</f>
        <v>400854601.11716664</v>
      </c>
      <c r="M59" s="2" t="s">
        <v>27</v>
      </c>
    </row>
    <row r="60" spans="1:13" s="2" customFormat="1" x14ac:dyDescent="0.25">
      <c r="A60" s="1"/>
      <c r="B60" s="1"/>
      <c r="C60" s="1"/>
      <c r="D60" s="1"/>
      <c r="E60" s="1"/>
      <c r="J60" s="3"/>
      <c r="L60" s="135">
        <f>SUM($L$3:$L$9)</f>
        <v>377532848.49366927</v>
      </c>
      <c r="M60" s="2" t="s">
        <v>28</v>
      </c>
    </row>
    <row r="61" spans="1:13" s="2" customFormat="1" ht="15.75" thickBot="1" x14ac:dyDescent="0.3">
      <c r="A61" s="1"/>
      <c r="B61" s="1"/>
      <c r="C61" s="1"/>
      <c r="D61" s="1"/>
      <c r="E61" s="1"/>
      <c r="J61" s="3"/>
      <c r="L61" s="115">
        <f>SUM(L59:L60)</f>
        <v>778387449.61083591</v>
      </c>
      <c r="M61" s="70">
        <v>45580</v>
      </c>
    </row>
    <row r="62" spans="1:13" s="2" customFormat="1" x14ac:dyDescent="0.25">
      <c r="A62" s="1"/>
      <c r="B62" s="1"/>
      <c r="C62" s="1"/>
      <c r="D62" s="1"/>
      <c r="E62" s="1"/>
      <c r="J62" s="3"/>
      <c r="L62" s="116"/>
    </row>
    <row r="63" spans="1:13" s="2" customFormat="1" x14ac:dyDescent="0.25">
      <c r="A63" s="1"/>
      <c r="B63" s="1"/>
      <c r="C63" s="1"/>
      <c r="D63" s="1"/>
      <c r="E63" s="1"/>
      <c r="J63" s="3"/>
      <c r="L63" s="116"/>
    </row>
    <row r="64" spans="1:13" s="2" customFormat="1" x14ac:dyDescent="0.25">
      <c r="A64" s="1"/>
      <c r="B64" s="1"/>
      <c r="C64" s="1"/>
      <c r="D64" s="1"/>
      <c r="E64" s="1"/>
      <c r="J64" s="3"/>
      <c r="L64" s="116"/>
    </row>
    <row r="65" spans="1:12" s="2" customFormat="1" x14ac:dyDescent="0.25">
      <c r="A65" s="1"/>
      <c r="B65" s="1"/>
      <c r="C65" s="1"/>
      <c r="D65" s="1"/>
      <c r="E65" s="1"/>
      <c r="J65" s="3"/>
      <c r="L65" s="116"/>
    </row>
    <row r="66" spans="1:12" s="2" customFormat="1" x14ac:dyDescent="0.25">
      <c r="A66" s="1"/>
      <c r="B66" s="1"/>
      <c r="C66" s="1"/>
      <c r="D66" s="1"/>
      <c r="E66" s="1"/>
      <c r="J66" s="3"/>
      <c r="L66" s="116"/>
    </row>
    <row r="67" spans="1:12" s="2" customFormat="1" x14ac:dyDescent="0.25">
      <c r="A67" s="1"/>
      <c r="B67" s="1"/>
      <c r="C67" s="1"/>
      <c r="D67" s="1"/>
      <c r="E67" s="1"/>
      <c r="J67" s="3"/>
      <c r="L67" s="116"/>
    </row>
    <row r="68" spans="1:12" s="2" customFormat="1" x14ac:dyDescent="0.25">
      <c r="A68" s="1"/>
      <c r="B68" s="1"/>
      <c r="C68" s="1"/>
      <c r="D68" s="1"/>
      <c r="E68" s="1"/>
      <c r="J68" s="3"/>
      <c r="L68" s="116"/>
    </row>
    <row r="69" spans="1:12" s="2" customFormat="1" x14ac:dyDescent="0.25">
      <c r="A69" s="1"/>
      <c r="B69" s="1"/>
      <c r="C69" s="1"/>
      <c r="D69" s="1"/>
      <c r="E69" s="1"/>
      <c r="J69" s="3"/>
      <c r="L69" s="116"/>
    </row>
    <row r="70" spans="1:12" s="2" customFormat="1" x14ac:dyDescent="0.25">
      <c r="A70" s="1"/>
      <c r="B70" s="1"/>
      <c r="C70" s="1"/>
      <c r="D70" s="1"/>
      <c r="E70" s="1"/>
      <c r="J70" s="3"/>
      <c r="L70" s="116"/>
    </row>
  </sheetData>
  <mergeCells count="17">
    <mergeCell ref="J1:J2"/>
    <mergeCell ref="L1:L2"/>
    <mergeCell ref="M1:N1"/>
    <mergeCell ref="C3:C9"/>
    <mergeCell ref="D3:D9"/>
    <mergeCell ref="E3:E9"/>
    <mergeCell ref="C1:C2"/>
    <mergeCell ref="D1:D2"/>
    <mergeCell ref="E1:E2"/>
    <mergeCell ref="F1:F2"/>
    <mergeCell ref="G1:G2"/>
    <mergeCell ref="H1:H2"/>
    <mergeCell ref="C10:C22"/>
    <mergeCell ref="D10:D22"/>
    <mergeCell ref="E10:E13"/>
    <mergeCell ref="E14:E22"/>
    <mergeCell ref="I1:I2"/>
  </mergeCells>
  <pageMargins left="0.7" right="0.7" top="0.75" bottom="0.75" header="0.3" footer="0.3"/>
  <pageSetup orientation="portrait" r:id="rId1"/>
  <headerFooter>
    <oddFooter>&amp;C_x000D_&amp;1#&amp;"Calibri"&amp;10&amp;K000000 Uso Interno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6CF2-2892-49B6-B349-BBFDD108AD02}">
  <dimension ref="A1:O69"/>
  <sheetViews>
    <sheetView showGridLines="0" topLeftCell="C56" workbookViewId="0">
      <selection activeCell="L63" sqref="L63:L64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6.5703125" style="3" customWidth="1"/>
    <col min="13" max="13" width="14.7109375" style="2" bestFit="1" customWidth="1"/>
    <col min="14" max="14" width="6.7109375" style="2" customWidth="1"/>
    <col min="15" max="16384" width="11.42578125" style="1"/>
  </cols>
  <sheetData>
    <row r="1" spans="3:15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5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45635</v>
      </c>
      <c r="L2" s="153"/>
      <c r="M2" s="6" t="s">
        <v>11</v>
      </c>
      <c r="N2" s="5" t="s">
        <v>12</v>
      </c>
    </row>
    <row r="3" spans="3:15" ht="23.25" customHeight="1" x14ac:dyDescent="0.25">
      <c r="C3" s="169" t="s">
        <v>13</v>
      </c>
      <c r="D3" s="171" t="s">
        <v>14</v>
      </c>
      <c r="E3" s="173" t="s">
        <v>15</v>
      </c>
      <c r="F3" s="22">
        <v>43837</v>
      </c>
      <c r="G3" s="23" t="s">
        <v>16</v>
      </c>
      <c r="H3" s="24">
        <v>14792.0448</v>
      </c>
      <c r="I3" s="25">
        <v>2697.6768000000002</v>
      </c>
      <c r="J3" s="26">
        <f>+H3*I3</f>
        <v>39904156.081520639</v>
      </c>
      <c r="K3" s="125">
        <v>4534.5752000000002</v>
      </c>
      <c r="L3" s="26">
        <f>+H3*K3</f>
        <v>67075639.507368959</v>
      </c>
      <c r="M3" s="27">
        <f>L3-J3</f>
        <v>27171483.42584832</v>
      </c>
      <c r="N3" s="28">
        <f t="shared" ref="N3:N21" si="0">M3/J3</f>
        <v>0.68091863339596503</v>
      </c>
    </row>
    <row r="4" spans="3:15" ht="23.25" customHeight="1" x14ac:dyDescent="0.25">
      <c r="C4" s="156"/>
      <c r="D4" s="157"/>
      <c r="E4" s="174"/>
      <c r="F4" s="15">
        <v>45386</v>
      </c>
      <c r="G4" s="16" t="s">
        <v>33</v>
      </c>
      <c r="H4" s="78">
        <v>23729.155299999999</v>
      </c>
      <c r="I4" s="79">
        <v>1815.5173016209301</v>
      </c>
      <c r="J4" s="12">
        <f>+H4*I4</f>
        <v>43080691.999999993</v>
      </c>
      <c r="K4" s="96">
        <v>1961.7299</v>
      </c>
      <c r="L4" s="80">
        <f>+H4*K4</f>
        <v>46550193.453753471</v>
      </c>
      <c r="M4" s="18">
        <f>L4-J4</f>
        <v>3469501.4537534788</v>
      </c>
      <c r="N4" s="134">
        <f t="shared" si="0"/>
        <v>8.0534951800530025E-2</v>
      </c>
      <c r="O4" s="124"/>
    </row>
    <row r="5" spans="3:15" ht="23.25" customHeight="1" x14ac:dyDescent="0.25">
      <c r="C5" s="156"/>
      <c r="D5" s="157"/>
      <c r="E5" s="175"/>
      <c r="F5" s="15">
        <v>45436</v>
      </c>
      <c r="G5" s="16" t="s">
        <v>33</v>
      </c>
      <c r="H5" s="78">
        <v>2963.5434000000023</v>
      </c>
      <c r="I5" s="79">
        <v>1781.2545</v>
      </c>
      <c r="J5" s="12">
        <f>+H5*I5</f>
        <v>5278825.0171953039</v>
      </c>
      <c r="K5" s="96">
        <f>K4</f>
        <v>1961.7299</v>
      </c>
      <c r="L5" s="80">
        <f>+H5*K5</f>
        <v>5813671.6977276644</v>
      </c>
      <c r="M5" s="18">
        <f>L5-J5</f>
        <v>534846.68053236045</v>
      </c>
      <c r="N5" s="134">
        <f t="shared" si="0"/>
        <v>0.10131926684255395</v>
      </c>
    </row>
    <row r="6" spans="3:15" ht="23.25" customHeight="1" x14ac:dyDescent="0.25">
      <c r="C6" s="156"/>
      <c r="D6" s="157"/>
      <c r="E6" s="175"/>
      <c r="F6" s="82">
        <v>45581</v>
      </c>
      <c r="G6" s="83" t="s">
        <v>44</v>
      </c>
      <c r="H6" s="101"/>
      <c r="I6" s="139"/>
      <c r="J6" s="12">
        <v>80000000</v>
      </c>
      <c r="K6" s="102"/>
      <c r="L6" s="80">
        <v>80598797</v>
      </c>
      <c r="M6" s="18">
        <f>L6-J6</f>
        <v>598797</v>
      </c>
      <c r="N6" s="134">
        <f t="shared" si="0"/>
        <v>7.4849625000000001E-3</v>
      </c>
    </row>
    <row r="7" spans="3:15" ht="23.25" customHeight="1" x14ac:dyDescent="0.25">
      <c r="C7" s="156"/>
      <c r="D7" s="157"/>
      <c r="E7" s="175"/>
      <c r="F7" s="82"/>
      <c r="G7" s="83" t="s">
        <v>32</v>
      </c>
      <c r="H7" s="101">
        <v>41470</v>
      </c>
      <c r="I7" s="103">
        <v>2411.36</v>
      </c>
      <c r="J7" s="80">
        <f>+H7*I7</f>
        <v>99999099.200000003</v>
      </c>
      <c r="K7" s="102">
        <v>2348.88</v>
      </c>
      <c r="L7" s="80">
        <f>+H7*K7</f>
        <v>97408053.600000009</v>
      </c>
      <c r="M7" s="18">
        <f>L7-J7</f>
        <v>-2591045.599999994</v>
      </c>
      <c r="N7" s="19">
        <f t="shared" si="0"/>
        <v>-2.5910689403490086E-2</v>
      </c>
    </row>
    <row r="8" spans="3:15" ht="23.25" customHeight="1" x14ac:dyDescent="0.25">
      <c r="C8" s="156"/>
      <c r="D8" s="157"/>
      <c r="E8" s="175"/>
      <c r="F8" s="82"/>
      <c r="G8" s="83" t="s">
        <v>41</v>
      </c>
      <c r="H8" s="101">
        <v>19705</v>
      </c>
      <c r="I8" s="103"/>
      <c r="J8" s="86"/>
      <c r="K8" s="102">
        <v>268.2</v>
      </c>
      <c r="L8" s="80">
        <f>+H8*K8</f>
        <v>5284881</v>
      </c>
      <c r="M8" s="20"/>
      <c r="N8" s="21"/>
    </row>
    <row r="9" spans="3:15" ht="23.25" customHeight="1" x14ac:dyDescent="0.25">
      <c r="C9" s="156"/>
      <c r="D9" s="157"/>
      <c r="E9" s="175"/>
      <c r="F9" s="82">
        <v>45435</v>
      </c>
      <c r="G9" s="83" t="s">
        <v>34</v>
      </c>
      <c r="H9" s="101" t="s">
        <v>19</v>
      </c>
      <c r="I9" s="103" t="s">
        <v>19</v>
      </c>
      <c r="J9" s="86" t="s">
        <v>19</v>
      </c>
      <c r="K9" s="102" t="s">
        <v>19</v>
      </c>
      <c r="M9" s="138">
        <v>5278825</v>
      </c>
      <c r="N9" s="21">
        <f>$M$9/$J$7</f>
        <v>5.2788725520839491E-2</v>
      </c>
    </row>
    <row r="10" spans="3:15" ht="23.25" customHeight="1" thickBot="1" x14ac:dyDescent="0.3">
      <c r="C10" s="170"/>
      <c r="D10" s="172"/>
      <c r="E10" s="176"/>
      <c r="F10" s="126">
        <v>44071</v>
      </c>
      <c r="G10" s="127" t="s">
        <v>18</v>
      </c>
      <c r="H10" s="128" t="s">
        <v>19</v>
      </c>
      <c r="I10" s="129" t="s">
        <v>19</v>
      </c>
      <c r="J10" s="130">
        <v>159712042</v>
      </c>
      <c r="K10" s="131" t="s">
        <v>19</v>
      </c>
      <c r="L10" s="130">
        <v>176564972</v>
      </c>
      <c r="M10" s="132">
        <f>+L10-J10</f>
        <v>16852930</v>
      </c>
      <c r="N10" s="133">
        <f t="shared" si="0"/>
        <v>0.10552072210059152</v>
      </c>
    </row>
    <row r="11" spans="3:15" ht="23.25" customHeight="1" x14ac:dyDescent="0.25">
      <c r="C11" s="177" t="s">
        <v>20</v>
      </c>
      <c r="D11" s="178" t="s">
        <v>21</v>
      </c>
      <c r="E11" s="179" t="s">
        <v>15</v>
      </c>
      <c r="F11" s="8">
        <v>43837</v>
      </c>
      <c r="G11" s="9" t="s">
        <v>16</v>
      </c>
      <c r="H11" s="94">
        <v>6241.3888999999999</v>
      </c>
      <c r="I11" s="104">
        <v>2697.6768000000002</v>
      </c>
      <c r="J11" s="95">
        <f t="shared" ref="J11:J16" si="1">+H11*I11</f>
        <v>16837250.035307519</v>
      </c>
      <c r="K11" s="88">
        <f>K3</f>
        <v>4534.5752000000002</v>
      </c>
      <c r="L11" s="95">
        <f t="shared" ref="L11:L16" si="2">+H11*K11</f>
        <v>28302047.319495279</v>
      </c>
      <c r="M11" s="13">
        <f t="shared" ref="M11:M21" si="3">L11-J11</f>
        <v>11464797.28418776</v>
      </c>
      <c r="N11" s="14">
        <f t="shared" si="0"/>
        <v>0.68091863339596503</v>
      </c>
    </row>
    <row r="12" spans="3:15" ht="23.25" customHeight="1" x14ac:dyDescent="0.25">
      <c r="C12" s="143"/>
      <c r="D12" s="146"/>
      <c r="E12" s="174"/>
      <c r="F12" s="15">
        <v>45385</v>
      </c>
      <c r="G12" s="16" t="s">
        <v>33</v>
      </c>
      <c r="H12" s="108">
        <v>9711.3119000000006</v>
      </c>
      <c r="I12" s="81">
        <v>1837.107</v>
      </c>
      <c r="J12" s="80">
        <f>H12*I12</f>
        <v>17840719.070673302</v>
      </c>
      <c r="K12" s="96">
        <f>K4</f>
        <v>1961.7299</v>
      </c>
      <c r="L12" s="80">
        <f t="shared" si="2"/>
        <v>19050970.92245581</v>
      </c>
      <c r="M12" s="18">
        <f t="shared" si="3"/>
        <v>1210251.8517825082</v>
      </c>
      <c r="N12" s="123">
        <f t="shared" si="0"/>
        <v>6.7836495097999078E-2</v>
      </c>
    </row>
    <row r="13" spans="3:15" ht="23.25" customHeight="1" x14ac:dyDescent="0.25">
      <c r="C13" s="143"/>
      <c r="D13" s="146"/>
      <c r="E13" s="174"/>
      <c r="F13" s="15">
        <v>44644</v>
      </c>
      <c r="G13" s="16" t="s">
        <v>22</v>
      </c>
      <c r="H13" s="99">
        <v>6743884</v>
      </c>
      <c r="I13" s="104">
        <v>6.8326000000000002</v>
      </c>
      <c r="J13" s="80">
        <f t="shared" si="1"/>
        <v>46078261.818400003</v>
      </c>
      <c r="K13" s="107">
        <v>14.1</v>
      </c>
      <c r="L13" s="80">
        <f t="shared" si="2"/>
        <v>95088764.399999991</v>
      </c>
      <c r="M13" s="18">
        <f t="shared" si="3"/>
        <v>49010502.581599988</v>
      </c>
      <c r="N13" s="19">
        <f t="shared" si="0"/>
        <v>1.0636360975324177</v>
      </c>
    </row>
    <row r="14" spans="3:15" ht="23.25" customHeight="1" thickBot="1" x14ac:dyDescent="0.3">
      <c r="C14" s="143"/>
      <c r="D14" s="146"/>
      <c r="E14" s="180"/>
      <c r="F14" s="29">
        <v>45005</v>
      </c>
      <c r="G14" s="30" t="s">
        <v>23</v>
      </c>
      <c r="H14" s="105">
        <v>4475</v>
      </c>
      <c r="I14" s="93">
        <v>3208</v>
      </c>
      <c r="J14" s="89">
        <f t="shared" si="1"/>
        <v>14355800</v>
      </c>
      <c r="K14" s="110">
        <v>3096</v>
      </c>
      <c r="L14" s="106">
        <f t="shared" si="2"/>
        <v>13854600</v>
      </c>
      <c r="M14" s="32">
        <f t="shared" si="3"/>
        <v>-501200</v>
      </c>
      <c r="N14" s="34">
        <f t="shared" si="0"/>
        <v>-3.4912718204488775E-2</v>
      </c>
    </row>
    <row r="15" spans="3:15" ht="23.25" customHeight="1" x14ac:dyDescent="0.25">
      <c r="C15" s="143"/>
      <c r="D15" s="146"/>
      <c r="E15" s="179" t="s">
        <v>24</v>
      </c>
      <c r="F15" s="8">
        <v>43837</v>
      </c>
      <c r="G15" s="9" t="s">
        <v>39</v>
      </c>
      <c r="H15" s="94">
        <v>20282.3851</v>
      </c>
      <c r="I15" s="88">
        <v>2754.61</v>
      </c>
      <c r="J15" s="95">
        <f t="shared" si="1"/>
        <v>55870060.820311002</v>
      </c>
      <c r="K15" s="88">
        <v>4921.4677000000001</v>
      </c>
      <c r="L15" s="95">
        <f t="shared" si="2"/>
        <v>99819103.148611277</v>
      </c>
      <c r="M15" s="13">
        <f t="shared" si="3"/>
        <v>43949042.328300275</v>
      </c>
      <c r="N15" s="14">
        <f t="shared" si="0"/>
        <v>0.786629577326736</v>
      </c>
    </row>
    <row r="16" spans="3:15" ht="23.25" customHeight="1" x14ac:dyDescent="0.25">
      <c r="C16" s="143"/>
      <c r="D16" s="146"/>
      <c r="E16" s="174"/>
      <c r="F16" s="15">
        <v>45386</v>
      </c>
      <c r="G16" s="16" t="s">
        <v>33</v>
      </c>
      <c r="H16" s="78">
        <v>31210.603599999999</v>
      </c>
      <c r="I16" s="96">
        <v>1979.8371999999999</v>
      </c>
      <c r="J16" s="80">
        <f t="shared" si="1"/>
        <v>61791914.041733913</v>
      </c>
      <c r="K16" s="96">
        <v>2131.6124</v>
      </c>
      <c r="L16" s="80">
        <f t="shared" si="2"/>
        <v>66528909.645244636</v>
      </c>
      <c r="M16" s="18">
        <f t="shared" si="3"/>
        <v>4736995.6035107225</v>
      </c>
      <c r="N16" s="19">
        <f t="shared" si="0"/>
        <v>7.6660444606253528E-2</v>
      </c>
    </row>
    <row r="17" spans="3:14" ht="23.25" customHeight="1" x14ac:dyDescent="0.25">
      <c r="C17" s="143"/>
      <c r="D17" s="146"/>
      <c r="E17" s="174"/>
      <c r="F17" s="15"/>
      <c r="G17" s="16" t="s">
        <v>37</v>
      </c>
      <c r="H17" s="78"/>
      <c r="I17" s="96"/>
      <c r="J17" s="80"/>
      <c r="K17" s="96"/>
      <c r="L17" s="80">
        <v>1072427</v>
      </c>
      <c r="M17" s="18"/>
      <c r="N17" s="19"/>
    </row>
    <row r="18" spans="3:14" ht="23.25" customHeight="1" x14ac:dyDescent="0.25">
      <c r="C18" s="143"/>
      <c r="D18" s="146"/>
      <c r="E18" s="174"/>
      <c r="F18" s="97">
        <v>2020</v>
      </c>
      <c r="G18" s="16" t="s">
        <v>18</v>
      </c>
      <c r="H18" s="78" t="s">
        <v>19</v>
      </c>
      <c r="I18" s="98" t="s">
        <v>19</v>
      </c>
      <c r="J18" s="80"/>
      <c r="K18" s="96" t="s">
        <v>19</v>
      </c>
      <c r="L18" s="80">
        <v>59049903</v>
      </c>
      <c r="M18" s="18">
        <f t="shared" si="3"/>
        <v>59049903</v>
      </c>
      <c r="N18" s="19"/>
    </row>
    <row r="19" spans="3:14" ht="21" customHeight="1" x14ac:dyDescent="0.25">
      <c r="C19" s="143"/>
      <c r="D19" s="146"/>
      <c r="E19" s="174"/>
      <c r="F19" s="15">
        <v>44433</v>
      </c>
      <c r="G19" s="16" t="s">
        <v>25</v>
      </c>
      <c r="H19" s="99">
        <f>80688+91222</f>
        <v>171910</v>
      </c>
      <c r="I19" s="96">
        <v>126.71</v>
      </c>
      <c r="J19" s="80">
        <f t="shared" ref="J19:J21" si="4">+H19*I19</f>
        <v>21782716.099999998</v>
      </c>
      <c r="K19" s="107">
        <v>120.45</v>
      </c>
      <c r="L19" s="80">
        <f>+H19*K19</f>
        <v>20706559.5</v>
      </c>
      <c r="M19" s="18">
        <f t="shared" si="3"/>
        <v>-1076156.5999999978</v>
      </c>
      <c r="N19" s="19">
        <f t="shared" si="0"/>
        <v>-4.940415121142757E-2</v>
      </c>
    </row>
    <row r="20" spans="3:14" ht="21" customHeight="1" x14ac:dyDescent="0.25">
      <c r="C20" s="181"/>
      <c r="D20" s="182"/>
      <c r="E20" s="175"/>
      <c r="F20" s="82">
        <v>45580</v>
      </c>
      <c r="G20" s="83" t="s">
        <v>43</v>
      </c>
      <c r="H20" s="136">
        <v>24860359</v>
      </c>
      <c r="I20" s="102">
        <v>0.36</v>
      </c>
      <c r="J20" s="80">
        <f t="shared" si="4"/>
        <v>8949729.2400000002</v>
      </c>
      <c r="K20" s="137">
        <v>0.26</v>
      </c>
      <c r="L20" s="80">
        <f>+H20*K20</f>
        <v>6463693.3399999999</v>
      </c>
      <c r="M20" s="18">
        <f t="shared" si="3"/>
        <v>-2486035.9000000004</v>
      </c>
      <c r="N20" s="19">
        <f t="shared" si="0"/>
        <v>-0.27777777777777779</v>
      </c>
    </row>
    <row r="21" spans="3:14" ht="21.75" customHeight="1" thickBot="1" x14ac:dyDescent="0.3">
      <c r="C21" s="144"/>
      <c r="D21" s="147"/>
      <c r="E21" s="180"/>
      <c r="F21" s="29">
        <v>44109</v>
      </c>
      <c r="G21" s="30" t="s">
        <v>26</v>
      </c>
      <c r="H21" s="87">
        <f>1293776+119067</f>
        <v>1412843</v>
      </c>
      <c r="I21" s="100">
        <v>8.1136300000000006</v>
      </c>
      <c r="J21" s="89">
        <f t="shared" si="4"/>
        <v>11463285.350090001</v>
      </c>
      <c r="K21" s="110">
        <f>K13</f>
        <v>14.1</v>
      </c>
      <c r="L21" s="89">
        <f>+H21*K21</f>
        <v>19921086.300000001</v>
      </c>
      <c r="M21" s="32">
        <f t="shared" si="3"/>
        <v>8457800.94991</v>
      </c>
      <c r="N21" s="34">
        <f t="shared" si="0"/>
        <v>0.73781648904374486</v>
      </c>
    </row>
    <row r="22" spans="3:14" s="117" customFormat="1" ht="16.5" thickBot="1" x14ac:dyDescent="0.3">
      <c r="J22" s="119">
        <f>SUM(J3:J21)</f>
        <v>682944550.77523172</v>
      </c>
      <c r="K22" s="118"/>
      <c r="L22" s="119">
        <f>SUM(L3:L21)</f>
        <v>909154272.83465707</v>
      </c>
      <c r="M22" s="120">
        <f>SUM(M3:M21)</f>
        <v>225131239.05942541</v>
      </c>
      <c r="N22" s="121">
        <f>M22/J22</f>
        <v>0.32964790304552821</v>
      </c>
    </row>
    <row r="23" spans="3:14" x14ac:dyDescent="0.25">
      <c r="L23" s="66"/>
      <c r="M23" s="70"/>
    </row>
    <row r="25" spans="3:14" x14ac:dyDescent="0.25">
      <c r="L25" s="116">
        <v>401392648</v>
      </c>
      <c r="M25" s="68" t="s">
        <v>27</v>
      </c>
    </row>
    <row r="26" spans="3:14" x14ac:dyDescent="0.25">
      <c r="L26" s="116">
        <v>358069947</v>
      </c>
      <c r="M26" s="2" t="s">
        <v>28</v>
      </c>
    </row>
    <row r="27" spans="3:14" ht="15.75" thickBot="1" x14ac:dyDescent="0.3">
      <c r="L27" s="115">
        <f>+L25+L26</f>
        <v>759462595</v>
      </c>
      <c r="M27" s="70">
        <v>45377</v>
      </c>
    </row>
    <row r="28" spans="3:14" x14ac:dyDescent="0.25">
      <c r="L28" s="116"/>
    </row>
    <row r="29" spans="3:14" x14ac:dyDescent="0.25">
      <c r="L29" s="116"/>
    </row>
    <row r="30" spans="3:14" x14ac:dyDescent="0.2">
      <c r="H30" s="68" t="s">
        <v>30</v>
      </c>
      <c r="J30" s="77">
        <v>0.26885109000000001</v>
      </c>
      <c r="L30" s="116"/>
    </row>
    <row r="31" spans="3:14" x14ac:dyDescent="0.25">
      <c r="I31" s="2" t="s">
        <v>31</v>
      </c>
      <c r="J31" s="3">
        <f>7.0545-J30</f>
        <v>6.7856489099999999</v>
      </c>
      <c r="L31" s="116">
        <v>386975994</v>
      </c>
      <c r="M31" s="68" t="s">
        <v>27</v>
      </c>
    </row>
    <row r="32" spans="3:14" x14ac:dyDescent="0.25">
      <c r="L32" s="116">
        <v>352115015</v>
      </c>
      <c r="M32" s="2" t="s">
        <v>28</v>
      </c>
    </row>
    <row r="33" spans="1:15" s="2" customFormat="1" ht="15.75" thickBot="1" x14ac:dyDescent="0.3">
      <c r="A33" s="1"/>
      <c r="B33" s="1"/>
      <c r="C33" s="1"/>
      <c r="D33" s="1"/>
      <c r="E33" s="1"/>
      <c r="J33" s="3"/>
      <c r="L33" s="115">
        <f>+L32+L31</f>
        <v>739091009</v>
      </c>
      <c r="M33" s="70">
        <v>45436</v>
      </c>
      <c r="O33" s="1"/>
    </row>
    <row r="34" spans="1:15" s="2" customFormat="1" x14ac:dyDescent="0.25">
      <c r="A34" s="1"/>
      <c r="B34" s="1"/>
      <c r="C34" s="1"/>
      <c r="D34" s="1"/>
      <c r="E34" s="1"/>
      <c r="J34" s="3"/>
      <c r="L34" s="116"/>
      <c r="O34" s="1"/>
    </row>
    <row r="35" spans="1:15" s="2" customFormat="1" x14ac:dyDescent="0.25">
      <c r="A35" s="1"/>
      <c r="B35" s="1"/>
      <c r="C35" s="1"/>
      <c r="D35" s="113" t="s">
        <v>35</v>
      </c>
      <c r="E35" s="1"/>
      <c r="G35" s="114" t="s">
        <v>36</v>
      </c>
      <c r="J35" s="3"/>
      <c r="L35" s="116"/>
      <c r="O35" s="1"/>
    </row>
    <row r="36" spans="1:15" s="2" customFormat="1" x14ac:dyDescent="0.25">
      <c r="A36" s="1"/>
      <c r="B36" s="1"/>
      <c r="C36" s="1"/>
      <c r="D36" s="1"/>
      <c r="E36" s="1"/>
      <c r="J36" s="3"/>
      <c r="L36" s="116"/>
      <c r="O36" s="1"/>
    </row>
    <row r="37" spans="1:15" s="2" customFormat="1" x14ac:dyDescent="0.25">
      <c r="A37" s="1"/>
      <c r="B37" s="1"/>
      <c r="C37" s="1"/>
      <c r="D37" s="1"/>
      <c r="E37" s="1"/>
      <c r="J37" s="3"/>
      <c r="L37" s="116">
        <v>380473377</v>
      </c>
      <c r="M37" s="2" t="s">
        <v>27</v>
      </c>
      <c r="O37" s="1"/>
    </row>
    <row r="38" spans="1:15" s="2" customFormat="1" x14ac:dyDescent="0.25">
      <c r="A38" s="1"/>
      <c r="B38" s="1"/>
      <c r="C38" s="1"/>
      <c r="D38" s="1"/>
      <c r="E38" s="1"/>
      <c r="J38" s="3"/>
      <c r="L38" s="116">
        <v>348222719</v>
      </c>
      <c r="M38" s="2" t="s">
        <v>28</v>
      </c>
    </row>
    <row r="39" spans="1:15" s="2" customFormat="1" ht="15.75" thickBot="1" x14ac:dyDescent="0.3">
      <c r="A39" s="1"/>
      <c r="B39" s="1"/>
      <c r="C39" s="1"/>
      <c r="D39" s="1"/>
      <c r="E39" s="1"/>
      <c r="J39" s="3"/>
      <c r="L39" s="115">
        <f>SUM(L37:L38)</f>
        <v>728696096</v>
      </c>
      <c r="M39" s="70">
        <v>45447</v>
      </c>
    </row>
    <row r="40" spans="1:15" s="2" customFormat="1" x14ac:dyDescent="0.25">
      <c r="A40" s="1"/>
      <c r="B40" s="1"/>
      <c r="C40" s="1"/>
      <c r="D40" s="1"/>
      <c r="E40" s="1"/>
      <c r="J40" s="3"/>
      <c r="L40" s="116"/>
    </row>
    <row r="41" spans="1:15" s="2" customFormat="1" x14ac:dyDescent="0.25">
      <c r="A41" s="1"/>
      <c r="B41" s="1"/>
      <c r="C41" s="1"/>
      <c r="D41" s="1"/>
      <c r="E41" s="1"/>
      <c r="J41" s="3"/>
      <c r="L41" s="116"/>
    </row>
    <row r="42" spans="1:15" s="2" customFormat="1" x14ac:dyDescent="0.25">
      <c r="A42" s="1"/>
      <c r="B42" s="1"/>
      <c r="C42" s="1"/>
      <c r="D42" s="1"/>
      <c r="E42" s="1"/>
      <c r="J42" s="3"/>
      <c r="L42" s="116"/>
    </row>
    <row r="43" spans="1:15" s="2" customFormat="1" x14ac:dyDescent="0.25">
      <c r="A43" s="1"/>
      <c r="B43" s="1"/>
      <c r="C43" s="1"/>
      <c r="D43" s="1"/>
      <c r="E43" s="1"/>
      <c r="J43" s="3"/>
      <c r="L43" s="116">
        <v>393406396</v>
      </c>
      <c r="M43" s="2" t="s">
        <v>27</v>
      </c>
    </row>
    <row r="44" spans="1:15" s="2" customFormat="1" x14ac:dyDescent="0.25">
      <c r="A44" s="1"/>
      <c r="B44" s="1"/>
      <c r="C44" s="1"/>
      <c r="D44" s="1"/>
      <c r="E44" s="1"/>
      <c r="J44" s="3"/>
      <c r="L44" s="116">
        <v>371089239</v>
      </c>
      <c r="M44" s="2" t="s">
        <v>28</v>
      </c>
    </row>
    <row r="45" spans="1:15" s="2" customFormat="1" ht="15.75" thickBot="1" x14ac:dyDescent="0.3">
      <c r="A45" s="1"/>
      <c r="B45" s="1"/>
      <c r="C45" s="1"/>
      <c r="D45" s="1"/>
      <c r="E45" s="1"/>
      <c r="J45" s="3"/>
      <c r="L45" s="115">
        <f>SUM(L43:L44)</f>
        <v>764495635</v>
      </c>
      <c r="M45" s="70">
        <v>45498</v>
      </c>
    </row>
    <row r="46" spans="1:15" s="2" customFormat="1" x14ac:dyDescent="0.25">
      <c r="A46" s="1"/>
      <c r="B46" s="1"/>
      <c r="C46" s="1"/>
      <c r="D46" s="1"/>
      <c r="E46" s="1"/>
      <c r="J46" s="3"/>
      <c r="L46" s="116"/>
    </row>
    <row r="47" spans="1:15" s="2" customFormat="1" x14ac:dyDescent="0.25">
      <c r="A47" s="1"/>
      <c r="B47" s="1"/>
      <c r="C47" s="1"/>
      <c r="D47" s="1"/>
      <c r="E47" s="1"/>
      <c r="J47" s="3"/>
      <c r="L47" s="116"/>
    </row>
    <row r="48" spans="1:15" s="2" customFormat="1" x14ac:dyDescent="0.25">
      <c r="A48" s="1"/>
      <c r="B48" s="1"/>
      <c r="C48" s="1"/>
      <c r="D48" s="1"/>
      <c r="E48" s="1"/>
      <c r="J48" s="3"/>
      <c r="L48" s="116">
        <v>385836497</v>
      </c>
      <c r="M48" s="2" t="s">
        <v>27</v>
      </c>
    </row>
    <row r="49" spans="1:14" s="2" customFormat="1" x14ac:dyDescent="0.25">
      <c r="A49" s="1"/>
      <c r="B49" s="1"/>
      <c r="C49" s="1"/>
      <c r="D49" s="1"/>
      <c r="E49" s="1"/>
      <c r="J49" s="3"/>
      <c r="L49" s="116">
        <v>365153761</v>
      </c>
      <c r="M49" s="2" t="s">
        <v>28</v>
      </c>
    </row>
    <row r="50" spans="1:14" s="2" customFormat="1" ht="15.75" thickBot="1" x14ac:dyDescent="0.3">
      <c r="A50" s="1"/>
      <c r="B50" s="1"/>
      <c r="C50" s="1"/>
      <c r="D50" s="1"/>
      <c r="E50" s="1"/>
      <c r="J50" s="3"/>
      <c r="L50" s="115">
        <f>SUM(L48:L49)</f>
        <v>750990258</v>
      </c>
      <c r="M50" s="70">
        <v>45531</v>
      </c>
    </row>
    <row r="51" spans="1:14" s="2" customFormat="1" x14ac:dyDescent="0.25">
      <c r="A51" s="1"/>
      <c r="B51" s="1"/>
      <c r="C51" s="1"/>
      <c r="D51" s="1"/>
      <c r="E51" s="1"/>
      <c r="J51" s="3"/>
      <c r="L51" s="116"/>
    </row>
    <row r="52" spans="1:14" s="2" customFormat="1" x14ac:dyDescent="0.25">
      <c r="A52" s="1"/>
      <c r="B52" s="1"/>
      <c r="C52" s="1"/>
      <c r="D52" s="1"/>
      <c r="E52" s="1"/>
      <c r="J52" s="3"/>
      <c r="L52" s="116"/>
    </row>
    <row r="53" spans="1:14" s="2" customFormat="1" x14ac:dyDescent="0.25">
      <c r="A53" s="1"/>
      <c r="B53" s="1"/>
      <c r="C53" s="1"/>
      <c r="D53" s="1"/>
      <c r="E53" s="1"/>
      <c r="J53" s="3"/>
      <c r="L53" s="116">
        <v>383938084.02825731</v>
      </c>
      <c r="M53" s="2" t="s">
        <v>27</v>
      </c>
    </row>
    <row r="54" spans="1:14" s="2" customFormat="1" x14ac:dyDescent="0.25">
      <c r="A54" s="1"/>
      <c r="B54" s="1"/>
      <c r="C54" s="1"/>
      <c r="D54" s="1"/>
      <c r="E54" s="1"/>
      <c r="J54" s="3"/>
      <c r="L54" s="135">
        <v>368583821.6616478</v>
      </c>
      <c r="M54" s="2" t="s">
        <v>28</v>
      </c>
    </row>
    <row r="55" spans="1:14" s="2" customFormat="1" ht="15.75" thickBot="1" x14ac:dyDescent="0.3">
      <c r="A55" s="1"/>
      <c r="B55" s="1"/>
      <c r="C55" s="1"/>
      <c r="D55" s="1"/>
      <c r="E55" s="1"/>
      <c r="J55" s="3"/>
      <c r="L55" s="115">
        <f>SUM(L53:L54)</f>
        <v>752521905.68990517</v>
      </c>
      <c r="M55" s="70">
        <v>45546</v>
      </c>
    </row>
    <row r="56" spans="1:14" s="2" customFormat="1" x14ac:dyDescent="0.25">
      <c r="A56" s="1"/>
      <c r="B56" s="1"/>
      <c r="C56" s="1"/>
      <c r="D56" s="1"/>
      <c r="E56" s="1"/>
      <c r="J56" s="3"/>
      <c r="L56" s="116"/>
    </row>
    <row r="57" spans="1:14" s="2" customFormat="1" x14ac:dyDescent="0.25">
      <c r="A57" s="1"/>
      <c r="B57" s="1"/>
      <c r="C57" s="1"/>
      <c r="D57" s="1"/>
      <c r="E57" s="1"/>
      <c r="J57" s="3"/>
    </row>
    <row r="58" spans="1:14" s="2" customFormat="1" x14ac:dyDescent="0.25">
      <c r="A58" s="1"/>
      <c r="B58" s="1"/>
      <c r="C58" s="1"/>
      <c r="D58" s="1"/>
      <c r="E58" s="1"/>
      <c r="J58" s="3"/>
      <c r="L58" s="116">
        <v>400854601.11716664</v>
      </c>
      <c r="M58" s="2" t="s">
        <v>27</v>
      </c>
    </row>
    <row r="59" spans="1:14" s="2" customFormat="1" x14ac:dyDescent="0.25">
      <c r="A59" s="1"/>
      <c r="B59" s="1"/>
      <c r="C59" s="1"/>
      <c r="D59" s="1"/>
      <c r="E59" s="1"/>
      <c r="J59" s="3"/>
      <c r="L59" s="135">
        <v>377532848.49366927</v>
      </c>
      <c r="M59" s="2" t="s">
        <v>28</v>
      </c>
    </row>
    <row r="60" spans="1:14" s="2" customFormat="1" ht="15.75" thickBot="1" x14ac:dyDescent="0.3">
      <c r="A60" s="1"/>
      <c r="B60" s="1"/>
      <c r="C60" s="1"/>
      <c r="D60" s="1"/>
      <c r="E60" s="1"/>
      <c r="J60" s="3"/>
      <c r="L60" s="115">
        <f>SUM(L58:L59)</f>
        <v>778387449.61083591</v>
      </c>
      <c r="M60" s="70">
        <v>45580</v>
      </c>
    </row>
    <row r="61" spans="1:14" s="2" customFormat="1" x14ac:dyDescent="0.25">
      <c r="A61" s="1"/>
      <c r="B61" s="1"/>
      <c r="C61" s="1"/>
      <c r="D61" s="1"/>
      <c r="E61" s="1"/>
      <c r="J61" s="3"/>
      <c r="L61" s="116"/>
    </row>
    <row r="62" spans="1:14" s="2" customFormat="1" x14ac:dyDescent="0.25">
      <c r="A62" s="1"/>
      <c r="B62" s="1"/>
      <c r="C62" s="1"/>
      <c r="D62" s="1"/>
      <c r="E62" s="1"/>
      <c r="J62" s="3"/>
      <c r="L62" s="116"/>
    </row>
    <row r="63" spans="1:14" s="2" customFormat="1" x14ac:dyDescent="0.25">
      <c r="A63" s="1"/>
      <c r="B63" s="1"/>
      <c r="C63" s="1"/>
      <c r="D63" s="1"/>
      <c r="E63" s="1"/>
      <c r="J63" s="3"/>
      <c r="L63" s="116">
        <f>SUM($L$11:$L$21)</f>
        <v>429858064.57580698</v>
      </c>
      <c r="M63" s="2" t="s">
        <v>27</v>
      </c>
      <c r="N63" s="140"/>
    </row>
    <row r="64" spans="1:14" s="2" customFormat="1" x14ac:dyDescent="0.25">
      <c r="A64" s="1"/>
      <c r="B64" s="1"/>
      <c r="C64" s="1"/>
      <c r="D64" s="1"/>
      <c r="E64" s="1"/>
      <c r="J64" s="3"/>
      <c r="L64" s="135">
        <f>SUM($L$3:$L$10)</f>
        <v>479296208.2588501</v>
      </c>
      <c r="M64" s="2" t="s">
        <v>28</v>
      </c>
      <c r="N64" s="140" t="s">
        <v>45</v>
      </c>
    </row>
    <row r="65" spans="1:13" s="2" customFormat="1" ht="15.75" thickBot="1" x14ac:dyDescent="0.3">
      <c r="A65" s="1"/>
      <c r="B65" s="1"/>
      <c r="C65" s="1"/>
      <c r="D65" s="1"/>
      <c r="E65" s="1"/>
      <c r="J65" s="3"/>
      <c r="L65" s="115">
        <f>SUM(L63:L64)</f>
        <v>909154272.83465707</v>
      </c>
      <c r="M65" s="70">
        <v>45635</v>
      </c>
    </row>
    <row r="66" spans="1:13" s="2" customFormat="1" x14ac:dyDescent="0.25">
      <c r="A66" s="1"/>
      <c r="B66" s="1"/>
      <c r="C66" s="1"/>
      <c r="D66" s="1"/>
      <c r="E66" s="1"/>
      <c r="J66" s="3"/>
      <c r="L66" s="116"/>
    </row>
    <row r="67" spans="1:13" s="2" customFormat="1" x14ac:dyDescent="0.25">
      <c r="A67" s="1"/>
      <c r="B67" s="1"/>
      <c r="C67" s="1"/>
      <c r="D67" s="1"/>
      <c r="E67" s="1"/>
      <c r="J67" s="3"/>
      <c r="L67" s="116"/>
    </row>
    <row r="68" spans="1:13" s="2" customFormat="1" x14ac:dyDescent="0.25">
      <c r="A68" s="1"/>
      <c r="B68" s="1"/>
      <c r="C68" s="1"/>
      <c r="D68" s="1"/>
      <c r="E68" s="1"/>
      <c r="J68" s="3"/>
      <c r="L68" s="116"/>
    </row>
    <row r="69" spans="1:13" s="2" customFormat="1" x14ac:dyDescent="0.25">
      <c r="A69" s="1"/>
      <c r="B69" s="1"/>
      <c r="C69" s="1"/>
      <c r="D69" s="1"/>
      <c r="E69" s="1"/>
      <c r="J69" s="3"/>
      <c r="L69" s="116"/>
    </row>
  </sheetData>
  <mergeCells count="17">
    <mergeCell ref="C11:C21"/>
    <mergeCell ref="D11:D21"/>
    <mergeCell ref="E11:E14"/>
    <mergeCell ref="E15:E21"/>
    <mergeCell ref="I1:I2"/>
    <mergeCell ref="J1:J2"/>
    <mergeCell ref="L1:L2"/>
    <mergeCell ref="M1:N1"/>
    <mergeCell ref="C3:C10"/>
    <mergeCell ref="D3:D10"/>
    <mergeCell ref="E3:E10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orientation="portrait" r:id="rId1"/>
  <headerFooter>
    <oddFooter>&amp;C_x000D_&amp;1#&amp;"Calibri"&amp;10&amp;K000000 Uso Interno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353E-3DEE-486F-9D78-76F599A4287B}">
  <dimension ref="A1:O71"/>
  <sheetViews>
    <sheetView showGridLines="0" topLeftCell="C29" workbookViewId="0">
      <selection activeCell="G27" sqref="G27"/>
    </sheetView>
  </sheetViews>
  <sheetFormatPr baseColWidth="10" defaultColWidth="11.42578125" defaultRowHeight="15" x14ac:dyDescent="0.25"/>
  <cols>
    <col min="1" max="1" width="11.42578125" style="1"/>
    <col min="2" max="2" width="12" style="1" customWidth="1"/>
    <col min="3" max="3" width="12.42578125" style="1" customWidth="1"/>
    <col min="4" max="4" width="12.28515625" style="1" customWidth="1"/>
    <col min="5" max="5" width="13.28515625" style="1" customWidth="1"/>
    <col min="6" max="6" width="14" style="2" customWidth="1"/>
    <col min="7" max="7" width="29.140625" style="2" customWidth="1"/>
    <col min="8" max="9" width="14" style="2" customWidth="1"/>
    <col min="10" max="10" width="15" style="3" customWidth="1"/>
    <col min="11" max="11" width="14" style="2" customWidth="1"/>
    <col min="12" max="12" width="16.5703125" style="3" customWidth="1"/>
    <col min="13" max="13" width="14.7109375" style="2" bestFit="1" customWidth="1"/>
    <col min="14" max="14" width="6.7109375" style="2" customWidth="1"/>
    <col min="15" max="16384" width="11.42578125" style="1"/>
  </cols>
  <sheetData>
    <row r="1" spans="3:15" x14ac:dyDescent="0.25">
      <c r="C1" s="159" t="s">
        <v>0</v>
      </c>
      <c r="D1" s="161" t="s">
        <v>1</v>
      </c>
      <c r="E1" s="163" t="s">
        <v>2</v>
      </c>
      <c r="F1" s="165" t="s">
        <v>3</v>
      </c>
      <c r="G1" s="167" t="s">
        <v>4</v>
      </c>
      <c r="H1" s="167" t="s">
        <v>5</v>
      </c>
      <c r="I1" s="152" t="s">
        <v>6</v>
      </c>
      <c r="J1" s="152" t="s">
        <v>7</v>
      </c>
      <c r="K1" s="4" t="s">
        <v>8</v>
      </c>
      <c r="L1" s="152" t="s">
        <v>9</v>
      </c>
      <c r="M1" s="154" t="s">
        <v>10</v>
      </c>
      <c r="N1" s="155"/>
    </row>
    <row r="2" spans="3:15" ht="15.75" thickBot="1" x14ac:dyDescent="0.3">
      <c r="C2" s="160"/>
      <c r="D2" s="162"/>
      <c r="E2" s="164"/>
      <c r="F2" s="166"/>
      <c r="G2" s="168"/>
      <c r="H2" s="168"/>
      <c r="I2" s="153"/>
      <c r="J2" s="153"/>
      <c r="K2" s="7">
        <v>45680</v>
      </c>
      <c r="L2" s="153"/>
      <c r="M2" s="6" t="s">
        <v>11</v>
      </c>
      <c r="N2" s="5" t="s">
        <v>12</v>
      </c>
    </row>
    <row r="3" spans="3:15" ht="23.25" customHeight="1" x14ac:dyDescent="0.25">
      <c r="C3" s="169" t="s">
        <v>13</v>
      </c>
      <c r="D3" s="171" t="s">
        <v>14</v>
      </c>
      <c r="E3" s="173" t="s">
        <v>15</v>
      </c>
      <c r="F3" s="22">
        <v>43837</v>
      </c>
      <c r="G3" s="23" t="s">
        <v>16</v>
      </c>
      <c r="H3" s="24">
        <v>14792.0448</v>
      </c>
      <c r="I3" s="25">
        <v>2697.6768000000002</v>
      </c>
      <c r="J3" s="26">
        <f>+H3*I3</f>
        <v>39904156.081520639</v>
      </c>
      <c r="K3" s="125">
        <v>4589.3193000000001</v>
      </c>
      <c r="L3" s="26">
        <f>+H3*K3</f>
        <v>67885416.687104642</v>
      </c>
      <c r="M3" s="27">
        <f>L3-J3</f>
        <v>27981260.605584003</v>
      </c>
      <c r="N3" s="28">
        <f t="shared" ref="N3:N21" si="0">M3/J3</f>
        <v>0.7012116870338212</v>
      </c>
    </row>
    <row r="4" spans="3:15" ht="23.25" customHeight="1" x14ac:dyDescent="0.25">
      <c r="C4" s="156"/>
      <c r="D4" s="157"/>
      <c r="E4" s="174"/>
      <c r="F4" s="15">
        <v>45386</v>
      </c>
      <c r="G4" s="16" t="s">
        <v>33</v>
      </c>
      <c r="H4" s="78">
        <v>23729.155299999999</v>
      </c>
      <c r="I4" s="79">
        <v>1815.5173016209301</v>
      </c>
      <c r="J4" s="12">
        <f>+H4*I4</f>
        <v>43080691.999999993</v>
      </c>
      <c r="K4" s="96">
        <v>1996.3015</v>
      </c>
      <c r="L4" s="80">
        <f>+H4*K4</f>
        <v>47370548.319122948</v>
      </c>
      <c r="M4" s="18">
        <f>L4-J4</f>
        <v>4289856.3191229552</v>
      </c>
      <c r="N4" s="134">
        <f t="shared" si="0"/>
        <v>9.9577237968298093E-2</v>
      </c>
      <c r="O4" s="124"/>
    </row>
    <row r="5" spans="3:15" ht="23.25" customHeight="1" x14ac:dyDescent="0.25">
      <c r="C5" s="156"/>
      <c r="D5" s="157"/>
      <c r="E5" s="175"/>
      <c r="F5" s="15">
        <v>45436</v>
      </c>
      <c r="G5" s="16" t="s">
        <v>33</v>
      </c>
      <c r="H5" s="78">
        <v>2963.5434000000023</v>
      </c>
      <c r="I5" s="79">
        <v>1781.2545</v>
      </c>
      <c r="J5" s="12">
        <f>+H5*I5</f>
        <v>5278825.0171953039</v>
      </c>
      <c r="K5" s="96">
        <f>K4</f>
        <v>1996.3015</v>
      </c>
      <c r="L5" s="80">
        <f>+H5*K5</f>
        <v>5916126.1347351046</v>
      </c>
      <c r="M5" s="18">
        <f>L5-J5</f>
        <v>637301.1175398007</v>
      </c>
      <c r="N5" s="134">
        <f t="shared" si="0"/>
        <v>0.12072783535424055</v>
      </c>
    </row>
    <row r="6" spans="3:15" ht="23.25" customHeight="1" x14ac:dyDescent="0.25">
      <c r="C6" s="156"/>
      <c r="D6" s="157"/>
      <c r="E6" s="175"/>
      <c r="F6" s="82">
        <v>45581</v>
      </c>
      <c r="G6" s="83" t="s">
        <v>44</v>
      </c>
      <c r="H6" s="101"/>
      <c r="I6" s="139"/>
      <c r="J6" s="12">
        <v>80000000</v>
      </c>
      <c r="K6" s="102"/>
      <c r="L6" s="80">
        <v>80598797</v>
      </c>
      <c r="M6" s="18">
        <f>L6-J6</f>
        <v>598797</v>
      </c>
      <c r="N6" s="134">
        <f t="shared" si="0"/>
        <v>7.4849625000000001E-3</v>
      </c>
    </row>
    <row r="7" spans="3:15" ht="23.25" customHeight="1" x14ac:dyDescent="0.25">
      <c r="C7" s="156"/>
      <c r="D7" s="157"/>
      <c r="E7" s="175"/>
      <c r="F7" s="82"/>
      <c r="G7" s="83" t="s">
        <v>32</v>
      </c>
      <c r="H7" s="101">
        <v>41470</v>
      </c>
      <c r="I7" s="103">
        <v>2411.36</v>
      </c>
      <c r="J7" s="80">
        <f>+H7*I7</f>
        <v>99999099.200000003</v>
      </c>
      <c r="K7" s="102">
        <v>2446</v>
      </c>
      <c r="L7" s="80">
        <f>+H7*K7</f>
        <v>101435620</v>
      </c>
      <c r="M7" s="18">
        <f>L7-J7</f>
        <v>1436520.799999997</v>
      </c>
      <c r="N7" s="19">
        <f t="shared" si="0"/>
        <v>1.4365337402959295E-2</v>
      </c>
    </row>
    <row r="8" spans="3:15" ht="23.25" customHeight="1" x14ac:dyDescent="0.25">
      <c r="C8" s="156"/>
      <c r="D8" s="157"/>
      <c r="E8" s="175"/>
      <c r="F8" s="82"/>
      <c r="G8" s="83" t="s">
        <v>41</v>
      </c>
      <c r="H8" s="101">
        <v>19705</v>
      </c>
      <c r="I8" s="103"/>
      <c r="J8" s="86"/>
      <c r="K8" s="102">
        <v>270.01</v>
      </c>
      <c r="L8" s="80">
        <f>+H8*K8</f>
        <v>5320547.05</v>
      </c>
      <c r="M8" s="20"/>
      <c r="N8" s="21"/>
    </row>
    <row r="9" spans="3:15" ht="23.25" customHeight="1" x14ac:dyDescent="0.25">
      <c r="C9" s="156"/>
      <c r="D9" s="157"/>
      <c r="E9" s="175"/>
      <c r="F9" s="82">
        <v>45435</v>
      </c>
      <c r="G9" s="83" t="s">
        <v>34</v>
      </c>
      <c r="H9" s="101" t="s">
        <v>19</v>
      </c>
      <c r="I9" s="103" t="s">
        <v>19</v>
      </c>
      <c r="J9" s="86" t="s">
        <v>19</v>
      </c>
      <c r="K9" s="102" t="s">
        <v>19</v>
      </c>
      <c r="M9" s="138">
        <v>5278825</v>
      </c>
      <c r="N9" s="21">
        <f>$M$9/$J$7</f>
        <v>5.2788725520839491E-2</v>
      </c>
    </row>
    <row r="10" spans="3:15" ht="23.25" customHeight="1" thickBot="1" x14ac:dyDescent="0.3">
      <c r="C10" s="170"/>
      <c r="D10" s="172"/>
      <c r="E10" s="176"/>
      <c r="F10" s="126">
        <v>44071</v>
      </c>
      <c r="G10" s="127" t="s">
        <v>18</v>
      </c>
      <c r="H10" s="128" t="s">
        <v>19</v>
      </c>
      <c r="I10" s="129" t="s">
        <v>19</v>
      </c>
      <c r="J10" s="130">
        <v>159712042</v>
      </c>
      <c r="K10" s="131" t="s">
        <v>19</v>
      </c>
      <c r="L10" s="130">
        <v>181187802</v>
      </c>
      <c r="M10" s="132">
        <f>+L10-J10</f>
        <v>21475760</v>
      </c>
      <c r="N10" s="133">
        <f t="shared" si="0"/>
        <v>0.13446550260749907</v>
      </c>
    </row>
    <row r="11" spans="3:15" ht="23.25" customHeight="1" x14ac:dyDescent="0.25">
      <c r="C11" s="177" t="s">
        <v>20</v>
      </c>
      <c r="D11" s="178" t="s">
        <v>21</v>
      </c>
      <c r="E11" s="179" t="s">
        <v>15</v>
      </c>
      <c r="F11" s="8">
        <v>43837</v>
      </c>
      <c r="G11" s="9" t="s">
        <v>16</v>
      </c>
      <c r="H11" s="94">
        <v>6241.3888999999999</v>
      </c>
      <c r="I11" s="104">
        <v>2697.6768000000002</v>
      </c>
      <c r="J11" s="95">
        <f t="shared" ref="J11:J16" si="1">+H11*I11</f>
        <v>16837250.035307519</v>
      </c>
      <c r="K11" s="88">
        <f>K3</f>
        <v>4589.3193000000001</v>
      </c>
      <c r="L11" s="95">
        <f t="shared" ref="L11:L16" si="2">+H11*K11</f>
        <v>28643726.53757577</v>
      </c>
      <c r="M11" s="13">
        <f t="shared" ref="M11:M21" si="3">L11-J11</f>
        <v>11806476.502268251</v>
      </c>
      <c r="N11" s="14">
        <f t="shared" si="0"/>
        <v>0.7012116870338212</v>
      </c>
    </row>
    <row r="12" spans="3:15" ht="23.25" customHeight="1" x14ac:dyDescent="0.25">
      <c r="C12" s="143"/>
      <c r="D12" s="146"/>
      <c r="E12" s="174"/>
      <c r="F12" s="15">
        <v>45385</v>
      </c>
      <c r="G12" s="16" t="s">
        <v>33</v>
      </c>
      <c r="H12" s="108">
        <v>9711.3119000000006</v>
      </c>
      <c r="I12" s="81">
        <v>1837.107</v>
      </c>
      <c r="J12" s="80">
        <f>H12*I12</f>
        <v>17840719.070673302</v>
      </c>
      <c r="K12" s="96">
        <f>K4</f>
        <v>1996.3015</v>
      </c>
      <c r="L12" s="80">
        <f t="shared" si="2"/>
        <v>19386706.512937851</v>
      </c>
      <c r="M12" s="18">
        <f t="shared" si="3"/>
        <v>1545987.4422645494</v>
      </c>
      <c r="N12" s="123">
        <f t="shared" si="0"/>
        <v>8.665499614339281E-2</v>
      </c>
    </row>
    <row r="13" spans="3:15" ht="23.25" customHeight="1" x14ac:dyDescent="0.25">
      <c r="C13" s="143"/>
      <c r="D13" s="146"/>
      <c r="E13" s="174"/>
      <c r="F13" s="15">
        <v>44644</v>
      </c>
      <c r="G13" s="16" t="s">
        <v>22</v>
      </c>
      <c r="H13" s="99">
        <v>6743884</v>
      </c>
      <c r="I13" s="104">
        <v>6.8326000000000002</v>
      </c>
      <c r="J13" s="80">
        <f t="shared" si="1"/>
        <v>46078261.818400003</v>
      </c>
      <c r="K13" s="107">
        <v>13.8</v>
      </c>
      <c r="L13" s="80">
        <f t="shared" si="2"/>
        <v>93065599.200000003</v>
      </c>
      <c r="M13" s="18">
        <f t="shared" si="3"/>
        <v>46987337.3816</v>
      </c>
      <c r="N13" s="19">
        <f t="shared" si="0"/>
        <v>1.0197289465210899</v>
      </c>
    </row>
    <row r="14" spans="3:15" ht="23.25" customHeight="1" thickBot="1" x14ac:dyDescent="0.3">
      <c r="C14" s="143"/>
      <c r="D14" s="146"/>
      <c r="E14" s="180"/>
      <c r="F14" s="29">
        <v>45005</v>
      </c>
      <c r="G14" s="30" t="s">
        <v>23</v>
      </c>
      <c r="H14" s="105">
        <v>4475</v>
      </c>
      <c r="I14" s="93">
        <v>3208</v>
      </c>
      <c r="J14" s="89">
        <f t="shared" si="1"/>
        <v>14355800</v>
      </c>
      <c r="K14" s="110">
        <v>3380</v>
      </c>
      <c r="L14" s="106">
        <f t="shared" si="2"/>
        <v>15125500</v>
      </c>
      <c r="M14" s="32">
        <f t="shared" si="3"/>
        <v>769700</v>
      </c>
      <c r="N14" s="34">
        <f t="shared" si="0"/>
        <v>5.3615960099750622E-2</v>
      </c>
    </row>
    <row r="15" spans="3:15" ht="23.25" customHeight="1" x14ac:dyDescent="0.25">
      <c r="C15" s="143"/>
      <c r="D15" s="146"/>
      <c r="E15" s="179" t="s">
        <v>24</v>
      </c>
      <c r="F15" s="8">
        <v>43837</v>
      </c>
      <c r="G15" s="9" t="s">
        <v>39</v>
      </c>
      <c r="H15" s="94">
        <v>20282.3851</v>
      </c>
      <c r="I15" s="88">
        <v>2754.61</v>
      </c>
      <c r="J15" s="95">
        <f t="shared" si="1"/>
        <v>55870060.820311002</v>
      </c>
      <c r="K15" s="88">
        <v>4988.5048999999999</v>
      </c>
      <c r="L15" s="95">
        <f t="shared" si="2"/>
        <v>101178777.45503698</v>
      </c>
      <c r="M15" s="13">
        <f t="shared" si="3"/>
        <v>45308716.63472598</v>
      </c>
      <c r="N15" s="14">
        <f t="shared" si="0"/>
        <v>0.81096594436235958</v>
      </c>
    </row>
    <row r="16" spans="3:15" ht="23.25" customHeight="1" x14ac:dyDescent="0.25">
      <c r="C16" s="143"/>
      <c r="D16" s="146"/>
      <c r="E16" s="174"/>
      <c r="F16" s="15">
        <v>45386</v>
      </c>
      <c r="G16" s="16" t="s">
        <v>33</v>
      </c>
      <c r="H16" s="78">
        <v>31210.603599999999</v>
      </c>
      <c r="I16" s="96">
        <v>1979.8371999999999</v>
      </c>
      <c r="J16" s="80">
        <f t="shared" si="1"/>
        <v>61791914.041733913</v>
      </c>
      <c r="K16" s="96">
        <v>2172.4106999999999</v>
      </c>
      <c r="L16" s="80">
        <f t="shared" si="2"/>
        <v>67802249.214098513</v>
      </c>
      <c r="M16" s="18">
        <f t="shared" si="3"/>
        <v>6010335.1723646</v>
      </c>
      <c r="N16" s="19">
        <f t="shared" si="0"/>
        <v>9.7267340971267754E-2</v>
      </c>
    </row>
    <row r="17" spans="3:14" ht="23.25" customHeight="1" x14ac:dyDescent="0.25">
      <c r="C17" s="143"/>
      <c r="D17" s="146"/>
      <c r="E17" s="174"/>
      <c r="F17" s="15"/>
      <c r="G17" s="16" t="s">
        <v>37</v>
      </c>
      <c r="H17" s="78"/>
      <c r="I17" s="96"/>
      <c r="J17" s="80"/>
      <c r="K17" s="96"/>
      <c r="L17" s="80">
        <v>1876336</v>
      </c>
      <c r="M17" s="18"/>
      <c r="N17" s="19"/>
    </row>
    <row r="18" spans="3:14" ht="23.25" customHeight="1" x14ac:dyDescent="0.25">
      <c r="C18" s="143"/>
      <c r="D18" s="146"/>
      <c r="E18" s="174"/>
      <c r="F18" s="97">
        <v>2020</v>
      </c>
      <c r="G18" s="16" t="s">
        <v>18</v>
      </c>
      <c r="H18" s="78" t="s">
        <v>19</v>
      </c>
      <c r="I18" s="98" t="s">
        <v>19</v>
      </c>
      <c r="J18" s="80"/>
      <c r="K18" s="96" t="s">
        <v>19</v>
      </c>
      <c r="L18" s="80">
        <v>60640257</v>
      </c>
      <c r="M18" s="18">
        <f t="shared" si="3"/>
        <v>60640257</v>
      </c>
      <c r="N18" s="19"/>
    </row>
    <row r="19" spans="3:14" ht="21" customHeight="1" x14ac:dyDescent="0.25">
      <c r="C19" s="143"/>
      <c r="D19" s="146"/>
      <c r="E19" s="174"/>
      <c r="F19" s="15">
        <v>44433</v>
      </c>
      <c r="G19" s="16" t="s">
        <v>25</v>
      </c>
      <c r="H19" s="99">
        <f>80688+91222</f>
        <v>171910</v>
      </c>
      <c r="I19" s="96">
        <v>126.71</v>
      </c>
      <c r="J19" s="80">
        <f t="shared" ref="J19:J21" si="4">+H19*I19</f>
        <v>21782716.099999998</v>
      </c>
      <c r="K19" s="107">
        <v>128.03</v>
      </c>
      <c r="L19" s="80">
        <f>+H19*K19</f>
        <v>22009637.300000001</v>
      </c>
      <c r="M19" s="18">
        <f t="shared" si="3"/>
        <v>226921.20000000298</v>
      </c>
      <c r="N19" s="19">
        <f t="shared" si="0"/>
        <v>1.0417488753847506E-2</v>
      </c>
    </row>
    <row r="20" spans="3:14" ht="21" customHeight="1" x14ac:dyDescent="0.25">
      <c r="C20" s="181"/>
      <c r="D20" s="182"/>
      <c r="E20" s="175"/>
      <c r="F20" s="82">
        <v>45580</v>
      </c>
      <c r="G20" s="83" t="s">
        <v>43</v>
      </c>
      <c r="H20" s="136">
        <v>24860359</v>
      </c>
      <c r="I20" s="102">
        <v>0.36</v>
      </c>
      <c r="J20" s="80">
        <f t="shared" si="4"/>
        <v>8949729.2400000002</v>
      </c>
      <c r="K20" s="137">
        <v>0.24</v>
      </c>
      <c r="L20" s="80">
        <f>+H20*K20</f>
        <v>5966486.1600000001</v>
      </c>
      <c r="M20" s="18">
        <f t="shared" si="3"/>
        <v>-2983243.08</v>
      </c>
      <c r="N20" s="19">
        <f t="shared" si="0"/>
        <v>-0.33333333333333331</v>
      </c>
    </row>
    <row r="21" spans="3:14" ht="21.75" customHeight="1" thickBot="1" x14ac:dyDescent="0.3">
      <c r="C21" s="144"/>
      <c r="D21" s="147"/>
      <c r="E21" s="180"/>
      <c r="F21" s="29">
        <v>44109</v>
      </c>
      <c r="G21" s="30" t="s">
        <v>26</v>
      </c>
      <c r="H21" s="87">
        <f>1293776+119067</f>
        <v>1412843</v>
      </c>
      <c r="I21" s="100">
        <v>8.1136300000000006</v>
      </c>
      <c r="J21" s="89">
        <f t="shared" si="4"/>
        <v>11463285.350090001</v>
      </c>
      <c r="K21" s="110">
        <f>K13</f>
        <v>13.8</v>
      </c>
      <c r="L21" s="89">
        <f>+H21*K21</f>
        <v>19497233.400000002</v>
      </c>
      <c r="M21" s="32">
        <f t="shared" si="3"/>
        <v>8033948.0499100015</v>
      </c>
      <c r="N21" s="34">
        <f t="shared" si="0"/>
        <v>0.70084167012792065</v>
      </c>
    </row>
    <row r="22" spans="3:14" s="117" customFormat="1" ht="16.5" thickBot="1" x14ac:dyDescent="0.3">
      <c r="J22" s="119">
        <f>SUM(J3:J21)</f>
        <v>682944550.77523172</v>
      </c>
      <c r="K22" s="118"/>
      <c r="L22" s="119">
        <f>SUM(L3:L21)</f>
        <v>924907365.97061181</v>
      </c>
      <c r="M22" s="120">
        <f>SUM(M3:M21)</f>
        <v>240044757.14538011</v>
      </c>
      <c r="N22" s="121">
        <f>M22/J22</f>
        <v>0.35148498787038829</v>
      </c>
    </row>
    <row r="23" spans="3:14" x14ac:dyDescent="0.25">
      <c r="L23" s="66"/>
      <c r="M23" s="70"/>
    </row>
    <row r="25" spans="3:14" x14ac:dyDescent="0.25">
      <c r="L25" s="116">
        <v>401392648</v>
      </c>
      <c r="M25" s="68" t="s">
        <v>27</v>
      </c>
    </row>
    <row r="26" spans="3:14" x14ac:dyDescent="0.25">
      <c r="L26" s="116">
        <v>358069947</v>
      </c>
      <c r="M26" s="2" t="s">
        <v>28</v>
      </c>
    </row>
    <row r="27" spans="3:14" ht="15.75" thickBot="1" x14ac:dyDescent="0.3">
      <c r="L27" s="115">
        <f>+L25+L26</f>
        <v>759462595</v>
      </c>
      <c r="M27" s="70">
        <v>45377</v>
      </c>
    </row>
    <row r="28" spans="3:14" x14ac:dyDescent="0.25">
      <c r="L28" s="116"/>
    </row>
    <row r="29" spans="3:14" x14ac:dyDescent="0.25">
      <c r="L29" s="116"/>
    </row>
    <row r="30" spans="3:14" x14ac:dyDescent="0.2">
      <c r="H30" s="68" t="s">
        <v>30</v>
      </c>
      <c r="J30" s="77">
        <v>0.26885109000000001</v>
      </c>
      <c r="L30" s="116"/>
    </row>
    <row r="31" spans="3:14" x14ac:dyDescent="0.25">
      <c r="I31" s="2" t="s">
        <v>31</v>
      </c>
      <c r="J31" s="3">
        <f>7.0545-J30</f>
        <v>6.7856489099999999</v>
      </c>
      <c r="L31" s="116">
        <v>386975994</v>
      </c>
      <c r="M31" s="68" t="s">
        <v>27</v>
      </c>
    </row>
    <row r="32" spans="3:14" x14ac:dyDescent="0.25">
      <c r="L32" s="116">
        <v>352115015</v>
      </c>
      <c r="M32" s="2" t="s">
        <v>28</v>
      </c>
    </row>
    <row r="33" spans="1:15" s="2" customFormat="1" ht="15.75" thickBot="1" x14ac:dyDescent="0.3">
      <c r="A33" s="1"/>
      <c r="B33" s="1"/>
      <c r="C33" s="1"/>
      <c r="D33" s="1"/>
      <c r="E33" s="1"/>
      <c r="J33" s="3"/>
      <c r="L33" s="115">
        <f>+L32+L31</f>
        <v>739091009</v>
      </c>
      <c r="M33" s="70">
        <v>45436</v>
      </c>
      <c r="O33" s="1"/>
    </row>
    <row r="34" spans="1:15" s="2" customFormat="1" x14ac:dyDescent="0.25">
      <c r="A34" s="1"/>
      <c r="B34" s="1"/>
      <c r="C34" s="1"/>
      <c r="D34" s="1"/>
      <c r="E34" s="1"/>
      <c r="J34" s="3"/>
      <c r="L34" s="116"/>
      <c r="O34" s="1"/>
    </row>
    <row r="35" spans="1:15" s="2" customFormat="1" x14ac:dyDescent="0.25">
      <c r="A35" s="1"/>
      <c r="B35" s="1"/>
      <c r="C35" s="1"/>
      <c r="D35" s="113" t="s">
        <v>35</v>
      </c>
      <c r="E35" s="1"/>
      <c r="G35" s="114" t="s">
        <v>36</v>
      </c>
      <c r="J35" s="3"/>
      <c r="L35" s="116"/>
      <c r="O35" s="1"/>
    </row>
    <row r="36" spans="1:15" s="2" customFormat="1" x14ac:dyDescent="0.25">
      <c r="A36" s="1"/>
      <c r="B36" s="1"/>
      <c r="C36" s="1"/>
      <c r="D36" s="1"/>
      <c r="E36" s="1"/>
      <c r="J36" s="3"/>
      <c r="L36" s="116"/>
      <c r="O36" s="1"/>
    </row>
    <row r="37" spans="1:15" s="2" customFormat="1" x14ac:dyDescent="0.25">
      <c r="A37" s="1"/>
      <c r="B37" s="1"/>
      <c r="C37" s="1"/>
      <c r="D37" s="1"/>
      <c r="E37" s="1"/>
      <c r="J37" s="3"/>
      <c r="L37" s="116">
        <v>380473377</v>
      </c>
      <c r="M37" s="2" t="s">
        <v>27</v>
      </c>
      <c r="O37" s="1"/>
    </row>
    <row r="38" spans="1:15" s="2" customFormat="1" x14ac:dyDescent="0.25">
      <c r="A38" s="1"/>
      <c r="B38" s="1"/>
      <c r="C38" s="1"/>
      <c r="D38" s="1"/>
      <c r="E38" s="1"/>
      <c r="J38" s="3"/>
      <c r="L38" s="116">
        <v>348222719</v>
      </c>
      <c r="M38" s="2" t="s">
        <v>28</v>
      </c>
    </row>
    <row r="39" spans="1:15" s="2" customFormat="1" ht="15.75" thickBot="1" x14ac:dyDescent="0.3">
      <c r="A39" s="1"/>
      <c r="B39" s="1"/>
      <c r="C39" s="1"/>
      <c r="D39" s="1"/>
      <c r="E39" s="1"/>
      <c r="J39" s="3"/>
      <c r="L39" s="115">
        <f>SUM(L37:L38)</f>
        <v>728696096</v>
      </c>
      <c r="M39" s="70">
        <v>45447</v>
      </c>
    </row>
    <row r="40" spans="1:15" s="2" customFormat="1" x14ac:dyDescent="0.25">
      <c r="A40" s="1"/>
      <c r="B40" s="1"/>
      <c r="C40" s="1"/>
      <c r="D40" s="1"/>
      <c r="E40" s="1"/>
      <c r="J40" s="3"/>
      <c r="L40" s="116"/>
    </row>
    <row r="41" spans="1:15" s="2" customFormat="1" x14ac:dyDescent="0.25">
      <c r="A41" s="1"/>
      <c r="B41" s="1"/>
      <c r="C41" s="1"/>
      <c r="D41" s="1"/>
      <c r="E41" s="1"/>
      <c r="J41" s="3"/>
      <c r="L41" s="116"/>
    </row>
    <row r="42" spans="1:15" s="2" customFormat="1" x14ac:dyDescent="0.25">
      <c r="A42" s="1"/>
      <c r="B42" s="1"/>
      <c r="C42" s="1"/>
      <c r="D42" s="1"/>
      <c r="E42" s="1"/>
      <c r="J42" s="3"/>
      <c r="L42" s="116"/>
    </row>
    <row r="43" spans="1:15" s="2" customFormat="1" x14ac:dyDescent="0.25">
      <c r="A43" s="1"/>
      <c r="B43" s="1"/>
      <c r="C43" s="1"/>
      <c r="D43" s="1"/>
      <c r="E43" s="1"/>
      <c r="J43" s="3"/>
      <c r="L43" s="116">
        <v>393406396</v>
      </c>
      <c r="M43" s="2" t="s">
        <v>27</v>
      </c>
    </row>
    <row r="44" spans="1:15" s="2" customFormat="1" x14ac:dyDescent="0.25">
      <c r="A44" s="1"/>
      <c r="B44" s="1"/>
      <c r="C44" s="1"/>
      <c r="D44" s="1"/>
      <c r="E44" s="1"/>
      <c r="J44" s="3"/>
      <c r="L44" s="116">
        <v>371089239</v>
      </c>
      <c r="M44" s="2" t="s">
        <v>28</v>
      </c>
    </row>
    <row r="45" spans="1:15" s="2" customFormat="1" ht="15.75" thickBot="1" x14ac:dyDescent="0.3">
      <c r="A45" s="1"/>
      <c r="B45" s="1"/>
      <c r="C45" s="1"/>
      <c r="D45" s="1"/>
      <c r="E45" s="1"/>
      <c r="J45" s="3"/>
      <c r="L45" s="115">
        <f>SUM(L43:L44)</f>
        <v>764495635</v>
      </c>
      <c r="M45" s="70">
        <v>45498</v>
      </c>
    </row>
    <row r="46" spans="1:15" s="2" customFormat="1" x14ac:dyDescent="0.25">
      <c r="A46" s="1"/>
      <c r="B46" s="1"/>
      <c r="C46" s="1"/>
      <c r="D46" s="1"/>
      <c r="E46" s="1"/>
      <c r="J46" s="3"/>
      <c r="L46" s="116"/>
    </row>
    <row r="47" spans="1:15" s="2" customFormat="1" x14ac:dyDescent="0.25">
      <c r="A47" s="1"/>
      <c r="B47" s="1"/>
      <c r="C47" s="1"/>
      <c r="D47" s="1"/>
      <c r="E47" s="1"/>
      <c r="J47" s="3"/>
      <c r="L47" s="116"/>
    </row>
    <row r="48" spans="1:15" s="2" customFormat="1" x14ac:dyDescent="0.25">
      <c r="A48" s="1"/>
      <c r="B48" s="1"/>
      <c r="C48" s="1"/>
      <c r="D48" s="1"/>
      <c r="E48" s="1"/>
      <c r="J48" s="3"/>
      <c r="L48" s="116">
        <v>385836497</v>
      </c>
      <c r="M48" s="2" t="s">
        <v>27</v>
      </c>
    </row>
    <row r="49" spans="1:14" s="2" customFormat="1" x14ac:dyDescent="0.25">
      <c r="A49" s="1"/>
      <c r="B49" s="1"/>
      <c r="C49" s="1"/>
      <c r="D49" s="1"/>
      <c r="E49" s="1"/>
      <c r="J49" s="3"/>
      <c r="L49" s="116">
        <v>365153761</v>
      </c>
      <c r="M49" s="2" t="s">
        <v>28</v>
      </c>
    </row>
    <row r="50" spans="1:14" s="2" customFormat="1" ht="15.75" thickBot="1" x14ac:dyDescent="0.3">
      <c r="A50" s="1"/>
      <c r="B50" s="1"/>
      <c r="C50" s="1"/>
      <c r="D50" s="1"/>
      <c r="E50" s="1"/>
      <c r="J50" s="3"/>
      <c r="L50" s="115">
        <f>SUM(L48:L49)</f>
        <v>750990258</v>
      </c>
      <c r="M50" s="70">
        <v>45531</v>
      </c>
    </row>
    <row r="51" spans="1:14" s="2" customFormat="1" x14ac:dyDescent="0.25">
      <c r="A51" s="1"/>
      <c r="B51" s="1"/>
      <c r="C51" s="1"/>
      <c r="D51" s="1"/>
      <c r="E51" s="1"/>
      <c r="J51" s="3"/>
      <c r="L51" s="116"/>
    </row>
    <row r="52" spans="1:14" s="2" customFormat="1" x14ac:dyDescent="0.25">
      <c r="A52" s="1"/>
      <c r="B52" s="1"/>
      <c r="C52" s="1"/>
      <c r="D52" s="1"/>
      <c r="E52" s="1"/>
      <c r="J52" s="3"/>
      <c r="L52" s="116"/>
    </row>
    <row r="53" spans="1:14" s="2" customFormat="1" x14ac:dyDescent="0.25">
      <c r="A53" s="1"/>
      <c r="B53" s="1"/>
      <c r="C53" s="1"/>
      <c r="D53" s="1"/>
      <c r="E53" s="1"/>
      <c r="J53" s="3"/>
      <c r="L53" s="116">
        <v>383938084.02825731</v>
      </c>
      <c r="M53" s="2" t="s">
        <v>27</v>
      </c>
    </row>
    <row r="54" spans="1:14" s="2" customFormat="1" x14ac:dyDescent="0.25">
      <c r="A54" s="1"/>
      <c r="B54" s="1"/>
      <c r="C54" s="1"/>
      <c r="D54" s="1"/>
      <c r="E54" s="1"/>
      <c r="J54" s="3"/>
      <c r="L54" s="135">
        <v>368583821.6616478</v>
      </c>
      <c r="M54" s="2" t="s">
        <v>28</v>
      </c>
    </row>
    <row r="55" spans="1:14" s="2" customFormat="1" ht="15.75" thickBot="1" x14ac:dyDescent="0.3">
      <c r="A55" s="1"/>
      <c r="B55" s="1"/>
      <c r="C55" s="1"/>
      <c r="D55" s="1"/>
      <c r="E55" s="1"/>
      <c r="J55" s="3"/>
      <c r="L55" s="115">
        <f>SUM(L53:L54)</f>
        <v>752521905.68990517</v>
      </c>
      <c r="M55" s="70">
        <v>45546</v>
      </c>
    </row>
    <row r="56" spans="1:14" s="2" customFormat="1" x14ac:dyDescent="0.25">
      <c r="A56" s="1"/>
      <c r="B56" s="1"/>
      <c r="C56" s="1"/>
      <c r="D56" s="1"/>
      <c r="E56" s="1"/>
      <c r="J56" s="3"/>
      <c r="L56" s="116"/>
    </row>
    <row r="57" spans="1:14" s="2" customFormat="1" x14ac:dyDescent="0.25">
      <c r="A57" s="1"/>
      <c r="B57" s="1"/>
      <c r="C57" s="1"/>
      <c r="D57" s="1"/>
      <c r="E57" s="1"/>
      <c r="J57" s="3"/>
    </row>
    <row r="58" spans="1:14" s="2" customFormat="1" x14ac:dyDescent="0.25">
      <c r="A58" s="1"/>
      <c r="B58" s="1"/>
      <c r="C58" s="1"/>
      <c r="D58" s="1"/>
      <c r="E58" s="1"/>
      <c r="J58" s="3"/>
      <c r="L58" s="116">
        <v>400854601.11716664</v>
      </c>
      <c r="M58" s="2" t="s">
        <v>27</v>
      </c>
    </row>
    <row r="59" spans="1:14" s="2" customFormat="1" x14ac:dyDescent="0.25">
      <c r="A59" s="1"/>
      <c r="B59" s="1"/>
      <c r="C59" s="1"/>
      <c r="D59" s="1"/>
      <c r="E59" s="1"/>
      <c r="J59" s="3"/>
      <c r="L59" s="135">
        <v>377532848.49366927</v>
      </c>
      <c r="M59" s="2" t="s">
        <v>28</v>
      </c>
    </row>
    <row r="60" spans="1:14" s="2" customFormat="1" ht="15.75" thickBot="1" x14ac:dyDescent="0.3">
      <c r="A60" s="1"/>
      <c r="B60" s="1"/>
      <c r="C60" s="1"/>
      <c r="D60" s="1"/>
      <c r="E60" s="1"/>
      <c r="J60" s="3"/>
      <c r="L60" s="115">
        <f>SUM(L58:L59)</f>
        <v>778387449.61083591</v>
      </c>
      <c r="M60" s="70">
        <v>45580</v>
      </c>
    </row>
    <row r="61" spans="1:14" s="2" customFormat="1" x14ac:dyDescent="0.25">
      <c r="A61" s="1"/>
      <c r="B61" s="1"/>
      <c r="C61" s="1"/>
      <c r="D61" s="1"/>
      <c r="E61" s="1"/>
      <c r="J61" s="3"/>
      <c r="L61" s="116"/>
    </row>
    <row r="62" spans="1:14" s="2" customFormat="1" x14ac:dyDescent="0.25">
      <c r="A62" s="1"/>
      <c r="B62" s="1"/>
      <c r="C62" s="1"/>
      <c r="D62" s="1"/>
      <c r="E62" s="1"/>
      <c r="J62" s="3"/>
      <c r="L62" s="116"/>
    </row>
    <row r="63" spans="1:14" s="2" customFormat="1" x14ac:dyDescent="0.25">
      <c r="A63" s="1"/>
      <c r="B63" s="1"/>
      <c r="C63" s="1"/>
      <c r="D63" s="1"/>
      <c r="E63" s="1"/>
      <c r="J63" s="3"/>
      <c r="L63" s="116">
        <v>429858064.57580698</v>
      </c>
      <c r="M63" s="2" t="s">
        <v>27</v>
      </c>
      <c r="N63" s="140"/>
    </row>
    <row r="64" spans="1:14" s="2" customFormat="1" x14ac:dyDescent="0.25">
      <c r="A64" s="1"/>
      <c r="B64" s="1"/>
      <c r="C64" s="1"/>
      <c r="D64" s="1"/>
      <c r="E64" s="1"/>
      <c r="J64" s="3"/>
      <c r="L64" s="135">
        <v>479296208.2588501</v>
      </c>
      <c r="M64" s="2" t="s">
        <v>28</v>
      </c>
      <c r="N64" s="140" t="s">
        <v>45</v>
      </c>
    </row>
    <row r="65" spans="1:13" s="2" customFormat="1" ht="15.75" thickBot="1" x14ac:dyDescent="0.3">
      <c r="A65" s="1"/>
      <c r="B65" s="1"/>
      <c r="C65" s="1"/>
      <c r="D65" s="1"/>
      <c r="E65" s="1"/>
      <c r="J65" s="3"/>
      <c r="L65" s="115">
        <f>SUM(L63:L64)</f>
        <v>909154272.83465707</v>
      </c>
      <c r="M65" s="70">
        <v>45635</v>
      </c>
    </row>
    <row r="66" spans="1:13" s="2" customFormat="1" x14ac:dyDescent="0.25">
      <c r="A66" s="1"/>
      <c r="B66" s="1"/>
      <c r="C66" s="1"/>
      <c r="D66" s="1"/>
      <c r="E66" s="1"/>
      <c r="J66" s="3"/>
      <c r="L66" s="116"/>
    </row>
    <row r="67" spans="1:13" s="2" customFormat="1" x14ac:dyDescent="0.25">
      <c r="A67" s="1"/>
      <c r="B67" s="1"/>
      <c r="C67" s="1"/>
      <c r="D67" s="1"/>
      <c r="E67" s="1"/>
      <c r="J67" s="3"/>
      <c r="L67" s="116"/>
    </row>
    <row r="68" spans="1:13" s="2" customFormat="1" x14ac:dyDescent="0.25">
      <c r="A68" s="1"/>
      <c r="B68" s="1"/>
      <c r="C68" s="1"/>
      <c r="D68" s="1"/>
      <c r="E68" s="1"/>
      <c r="J68" s="3"/>
      <c r="L68" s="116">
        <f>SUM($L$11:$L$21)</f>
        <v>435192508.77964914</v>
      </c>
      <c r="M68" s="2" t="s">
        <v>27</v>
      </c>
    </row>
    <row r="69" spans="1:13" s="2" customFormat="1" x14ac:dyDescent="0.25">
      <c r="A69" s="1"/>
      <c r="B69" s="1"/>
      <c r="C69" s="1"/>
      <c r="D69" s="1"/>
      <c r="E69" s="1"/>
      <c r="J69" s="3"/>
      <c r="L69" s="135">
        <f>SUM($L$3:$L$10)</f>
        <v>489714857.19096273</v>
      </c>
      <c r="M69" s="2" t="s">
        <v>28</v>
      </c>
    </row>
    <row r="70" spans="1:13" ht="15.75" thickBot="1" x14ac:dyDescent="0.3">
      <c r="L70" s="115">
        <f>SUM(L68:L69)</f>
        <v>924907365.97061181</v>
      </c>
      <c r="M70" s="70">
        <v>45680</v>
      </c>
    </row>
    <row r="71" spans="1:13" x14ac:dyDescent="0.25">
      <c r="J71" s="141"/>
    </row>
  </sheetData>
  <mergeCells count="17">
    <mergeCell ref="J1:J2"/>
    <mergeCell ref="L1:L2"/>
    <mergeCell ref="M1:N1"/>
    <mergeCell ref="C3:C10"/>
    <mergeCell ref="D3:D10"/>
    <mergeCell ref="E3:E10"/>
    <mergeCell ref="C1:C2"/>
    <mergeCell ref="D1:D2"/>
    <mergeCell ref="E1:E2"/>
    <mergeCell ref="F1:F2"/>
    <mergeCell ref="G1:G2"/>
    <mergeCell ref="H1:H2"/>
    <mergeCell ref="C11:C21"/>
    <mergeCell ref="D11:D21"/>
    <mergeCell ref="E11:E14"/>
    <mergeCell ref="E15:E21"/>
    <mergeCell ref="I1:I2"/>
  </mergeCells>
  <pageMargins left="0.7" right="0.7" top="0.75" bottom="0.75" header="0.3" footer="0.3"/>
  <pageSetup orientation="portrait" r:id="rId1"/>
  <headerFooter>
    <oddFooter>&amp;C_x000D_&amp;1#&amp;"Calibri"&amp;10&amp;K000000 Uso Interno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74E2-C84E-4030-A296-F3D305E3A885}">
  <dimension ref="A1:O76"/>
  <sheetViews>
    <sheetView showGridLines="0" tabSelected="1" topLeftCell="A64" workbookViewId="0">
      <selection activeCell="H32" sqref="H32"/>
    </sheetView>
  </sheetViews>
  <sheetFormatPr baseColWidth="10" defaultColWidth="11.42578125" defaultRowHeight="15" x14ac:dyDescent="0.25"/>
  <cols>
    <col min="1" max="1" width="11.85546875" style="1" bestFit="1" customWidth="1"/>
    <col min="2" max="2" width="12.28515625" style="1" customWidth="1"/>
    <col min="3" max="3" width="9.42578125" style="1" bestFit="1" customWidth="1"/>
    <col min="4" max="4" width="14" style="2" customWidth="1"/>
    <col min="5" max="5" width="33.140625" style="2" customWidth="1"/>
    <col min="6" max="7" width="14" style="2" customWidth="1"/>
    <col min="8" max="8" width="18.28515625" style="3" bestFit="1" customWidth="1"/>
    <col min="9" max="9" width="14" style="2" customWidth="1"/>
    <col min="10" max="10" width="19.7109375" style="3" bestFit="1" customWidth="1"/>
    <col min="11" max="11" width="18.28515625" style="2" bestFit="1" customWidth="1"/>
    <col min="12" max="12" width="6.7109375" style="2" customWidth="1"/>
    <col min="13" max="14" width="11.42578125" style="1"/>
    <col min="15" max="15" width="18.7109375" style="1" bestFit="1" customWidth="1"/>
    <col min="16" max="16384" width="11.42578125" style="1"/>
  </cols>
  <sheetData>
    <row r="1" spans="1:15" x14ac:dyDescent="0.25">
      <c r="A1" s="159" t="s">
        <v>0</v>
      </c>
      <c r="B1" s="161" t="s">
        <v>1</v>
      </c>
      <c r="C1" s="163" t="s">
        <v>2</v>
      </c>
      <c r="D1" s="165" t="s">
        <v>3</v>
      </c>
      <c r="E1" s="167" t="s">
        <v>4</v>
      </c>
      <c r="F1" s="167" t="s">
        <v>5</v>
      </c>
      <c r="G1" s="152" t="s">
        <v>6</v>
      </c>
      <c r="H1" s="152" t="s">
        <v>7</v>
      </c>
      <c r="I1" s="4" t="s">
        <v>8</v>
      </c>
      <c r="J1" s="152" t="s">
        <v>9</v>
      </c>
      <c r="K1" s="154" t="s">
        <v>10</v>
      </c>
      <c r="L1" s="155"/>
    </row>
    <row r="2" spans="1:15" ht="15.75" thickBot="1" x14ac:dyDescent="0.3">
      <c r="A2" s="160"/>
      <c r="B2" s="162"/>
      <c r="C2" s="164"/>
      <c r="D2" s="166"/>
      <c r="E2" s="168"/>
      <c r="F2" s="168"/>
      <c r="G2" s="153"/>
      <c r="H2" s="153"/>
      <c r="I2" s="7">
        <v>45734</v>
      </c>
      <c r="J2" s="153"/>
      <c r="K2" s="6" t="s">
        <v>11</v>
      </c>
      <c r="L2" s="5" t="s">
        <v>12</v>
      </c>
    </row>
    <row r="3" spans="1:15" ht="23.25" customHeight="1" x14ac:dyDescent="0.25">
      <c r="A3" s="169" t="s">
        <v>13</v>
      </c>
      <c r="B3" s="171" t="s">
        <v>14</v>
      </c>
      <c r="C3" s="173" t="s">
        <v>15</v>
      </c>
      <c r="D3" s="22">
        <v>43837</v>
      </c>
      <c r="E3" s="23" t="s">
        <v>16</v>
      </c>
      <c r="F3" s="24">
        <v>14792.0448</v>
      </c>
      <c r="G3" s="25">
        <v>2697.6768000000002</v>
      </c>
      <c r="H3" s="26">
        <f>+F3*G3</f>
        <v>39904156.081520639</v>
      </c>
      <c r="I3" s="125">
        <v>4117.8557000000001</v>
      </c>
      <c r="J3" s="26">
        <f>+F3*I3</f>
        <v>60911505.994335361</v>
      </c>
      <c r="K3" s="27">
        <f>J3-H3</f>
        <v>21007349.912814721</v>
      </c>
      <c r="L3" s="28">
        <f t="shared" ref="L3:L22" si="0">K3/H3</f>
        <v>0.52644516200013292</v>
      </c>
    </row>
    <row r="4" spans="1:15" ht="23.25" customHeight="1" x14ac:dyDescent="0.25">
      <c r="A4" s="156"/>
      <c r="B4" s="157"/>
      <c r="C4" s="174"/>
      <c r="D4" s="15">
        <v>45386</v>
      </c>
      <c r="E4" s="16" t="s">
        <v>33</v>
      </c>
      <c r="F4" s="78">
        <v>23729.155299999999</v>
      </c>
      <c r="G4" s="79">
        <v>1815.5173016209301</v>
      </c>
      <c r="H4" s="12">
        <f>+F4*G4</f>
        <v>43080691.999999993</v>
      </c>
      <c r="I4" s="96">
        <v>1860.5733</v>
      </c>
      <c r="J4" s="80">
        <f>+F4*I4</f>
        <v>44149832.782733485</v>
      </c>
      <c r="K4" s="18">
        <f>J4-H4</f>
        <v>1069140.7827334926</v>
      </c>
      <c r="L4" s="134">
        <f t="shared" si="0"/>
        <v>2.4817168274211862E-2</v>
      </c>
      <c r="M4" s="124"/>
    </row>
    <row r="5" spans="1:15" ht="23.25" customHeight="1" x14ac:dyDescent="0.25">
      <c r="A5" s="156"/>
      <c r="B5" s="157"/>
      <c r="C5" s="175"/>
      <c r="D5" s="15">
        <v>45436</v>
      </c>
      <c r="E5" s="16" t="s">
        <v>33</v>
      </c>
      <c r="F5" s="78">
        <v>2963.5434000000023</v>
      </c>
      <c r="G5" s="79">
        <v>1781.2545</v>
      </c>
      <c r="H5" s="12">
        <f>+F5*G5</f>
        <v>5278825.0171953039</v>
      </c>
      <c r="I5" s="96">
        <f>I4</f>
        <v>1860.5733</v>
      </c>
      <c r="J5" s="80">
        <f>+F5*I5</f>
        <v>5513889.723431224</v>
      </c>
      <c r="K5" s="18">
        <f>J5-H5</f>
        <v>235064.70623592008</v>
      </c>
      <c r="L5" s="134">
        <f t="shared" si="0"/>
        <v>4.4529740135393327E-2</v>
      </c>
    </row>
    <row r="6" spans="1:15" ht="23.25" customHeight="1" x14ac:dyDescent="0.25">
      <c r="A6" s="156"/>
      <c r="B6" s="157"/>
      <c r="C6" s="175"/>
      <c r="D6" s="82">
        <v>45688</v>
      </c>
      <c r="E6" s="83" t="s">
        <v>46</v>
      </c>
      <c r="F6" s="101">
        <v>5627.6239503297493</v>
      </c>
      <c r="G6" s="139">
        <f>14.55*990.55</f>
        <v>14412.502500000001</v>
      </c>
      <c r="H6" s="12">
        <v>81063109</v>
      </c>
      <c r="I6" s="102">
        <v>11393.7688</v>
      </c>
      <c r="J6" s="80">
        <f>I6*F6</f>
        <v>64119846.183399849</v>
      </c>
      <c r="K6" s="18">
        <f>J6-H6</f>
        <v>-16943262.816600151</v>
      </c>
      <c r="L6" s="134">
        <f t="shared" si="0"/>
        <v>-0.20901323703980007</v>
      </c>
      <c r="N6" s="183"/>
      <c r="O6" s="184"/>
    </row>
    <row r="7" spans="1:15" ht="23.25" customHeight="1" x14ac:dyDescent="0.25">
      <c r="A7" s="156"/>
      <c r="B7" s="157"/>
      <c r="C7" s="175"/>
      <c r="D7" s="82">
        <v>45688</v>
      </c>
      <c r="E7" s="83" t="s">
        <v>48</v>
      </c>
      <c r="F7" s="101">
        <v>1314.6510496702499</v>
      </c>
      <c r="G7" s="139">
        <f>14.55*990.55</f>
        <v>14412.502500000001</v>
      </c>
      <c r="H7" s="12">
        <v>18936891</v>
      </c>
      <c r="I7" s="102">
        <f>I6</f>
        <v>11393.7688</v>
      </c>
      <c r="J7" s="80">
        <f>I7*F7</f>
        <v>14978830.112620143</v>
      </c>
      <c r="K7" s="18">
        <f>J7-H7</f>
        <v>-3958060.8873798568</v>
      </c>
      <c r="L7" s="134">
        <f t="shared" ref="L7" si="1">K7/H7</f>
        <v>-0.20901323703980007</v>
      </c>
      <c r="O7" s="185"/>
    </row>
    <row r="8" spans="1:15" ht="23.25" customHeight="1" x14ac:dyDescent="0.25">
      <c r="A8" s="156"/>
      <c r="B8" s="157"/>
      <c r="C8" s="175"/>
      <c r="D8" s="82"/>
      <c r="E8" s="83" t="s">
        <v>32</v>
      </c>
      <c r="F8" s="101">
        <v>41470</v>
      </c>
      <c r="G8" s="103">
        <v>2411.36</v>
      </c>
      <c r="H8" s="80">
        <f>+F8*G8</f>
        <v>99999099.200000003</v>
      </c>
      <c r="I8" s="102">
        <v>2700</v>
      </c>
      <c r="J8" s="80">
        <f>+F8*I8</f>
        <v>111969000</v>
      </c>
      <c r="K8" s="18">
        <f>J8-H8</f>
        <v>11969900.799999997</v>
      </c>
      <c r="L8" s="19">
        <f t="shared" si="0"/>
        <v>0.11970008625837698</v>
      </c>
      <c r="O8" s="185"/>
    </row>
    <row r="9" spans="1:15" ht="23.25" customHeight="1" x14ac:dyDescent="0.25">
      <c r="A9" s="156"/>
      <c r="B9" s="157"/>
      <c r="C9" s="175"/>
      <c r="D9" s="82"/>
      <c r="E9" s="83" t="s">
        <v>41</v>
      </c>
      <c r="F9" s="101">
        <v>19705</v>
      </c>
      <c r="G9" s="103"/>
      <c r="H9" s="86"/>
      <c r="I9" s="102">
        <v>351</v>
      </c>
      <c r="J9" s="80">
        <f>+F9*I9</f>
        <v>6916455</v>
      </c>
      <c r="K9" s="20"/>
      <c r="L9" s="21"/>
      <c r="O9" s="75"/>
    </row>
    <row r="10" spans="1:15" ht="23.25" customHeight="1" x14ac:dyDescent="0.25">
      <c r="A10" s="156"/>
      <c r="B10" s="157"/>
      <c r="C10" s="175"/>
      <c r="D10" s="82">
        <v>45435</v>
      </c>
      <c r="E10" s="83" t="s">
        <v>34</v>
      </c>
      <c r="F10" s="101" t="s">
        <v>19</v>
      </c>
      <c r="G10" s="103" t="s">
        <v>19</v>
      </c>
      <c r="H10" s="86" t="s">
        <v>19</v>
      </c>
      <c r="I10" s="102" t="s">
        <v>19</v>
      </c>
      <c r="K10" s="138">
        <v>5278825</v>
      </c>
      <c r="L10" s="21">
        <f>$K$10/$H$8</f>
        <v>5.2788725520839491E-2</v>
      </c>
    </row>
    <row r="11" spans="1:15" ht="23.25" customHeight="1" thickBot="1" x14ac:dyDescent="0.3">
      <c r="A11" s="170"/>
      <c r="B11" s="172"/>
      <c r="C11" s="176"/>
      <c r="D11" s="126">
        <v>44071</v>
      </c>
      <c r="E11" s="127" t="s">
        <v>18</v>
      </c>
      <c r="F11" s="128" t="s">
        <v>19</v>
      </c>
      <c r="G11" s="129" t="s">
        <v>19</v>
      </c>
      <c r="H11" s="130">
        <v>159712042</v>
      </c>
      <c r="I11" s="131" t="s">
        <v>19</v>
      </c>
      <c r="J11" s="130">
        <v>151538539</v>
      </c>
      <c r="K11" s="132">
        <f>+J11-H11</f>
        <v>-8173503</v>
      </c>
      <c r="L11" s="133">
        <f t="shared" si="0"/>
        <v>-5.1176498012591935E-2</v>
      </c>
    </row>
    <row r="12" spans="1:15" ht="23.25" customHeight="1" x14ac:dyDescent="0.25">
      <c r="A12" s="177" t="s">
        <v>20</v>
      </c>
      <c r="B12" s="178" t="s">
        <v>21</v>
      </c>
      <c r="C12" s="179" t="s">
        <v>15</v>
      </c>
      <c r="D12" s="8">
        <v>43837</v>
      </c>
      <c r="E12" s="9" t="s">
        <v>16</v>
      </c>
      <c r="F12" s="94">
        <v>6241.3888999999999</v>
      </c>
      <c r="G12" s="104">
        <v>2697.6768000000002</v>
      </c>
      <c r="H12" s="95">
        <f t="shared" ref="H12:H17" si="2">+F12*G12</f>
        <v>16837250.035307519</v>
      </c>
      <c r="I12" s="88">
        <f>I3</f>
        <v>4117.8557000000001</v>
      </c>
      <c r="J12" s="95">
        <f t="shared" ref="J12:J17" si="3">+F12*I12</f>
        <v>25701138.857781731</v>
      </c>
      <c r="K12" s="13">
        <f t="shared" ref="K12:K22" si="4">J12-H12</f>
        <v>8863888.8224742115</v>
      </c>
      <c r="L12" s="14">
        <f t="shared" si="0"/>
        <v>0.52644516200013292</v>
      </c>
    </row>
    <row r="13" spans="1:15" ht="23.25" customHeight="1" x14ac:dyDescent="0.25">
      <c r="A13" s="143"/>
      <c r="B13" s="146"/>
      <c r="C13" s="174"/>
      <c r="D13" s="15">
        <v>45385</v>
      </c>
      <c r="E13" s="16" t="s">
        <v>33</v>
      </c>
      <c r="F13" s="108">
        <v>9711.3119000000006</v>
      </c>
      <c r="G13" s="81">
        <v>1837.107</v>
      </c>
      <c r="H13" s="80">
        <f>F13*G13</f>
        <v>17840719.070673302</v>
      </c>
      <c r="I13" s="96">
        <f>I4</f>
        <v>1860.5733</v>
      </c>
      <c r="J13" s="80">
        <f t="shared" si="3"/>
        <v>18068607.62911227</v>
      </c>
      <c r="K13" s="18">
        <f t="shared" si="4"/>
        <v>227888.55843896791</v>
      </c>
      <c r="L13" s="123">
        <f t="shared" si="0"/>
        <v>1.2773507476701021E-2</v>
      </c>
    </row>
    <row r="14" spans="1:15" ht="23.25" customHeight="1" x14ac:dyDescent="0.25">
      <c r="A14" s="143"/>
      <c r="B14" s="146"/>
      <c r="C14" s="174"/>
      <c r="D14" s="15">
        <v>44644</v>
      </c>
      <c r="E14" s="16" t="s">
        <v>22</v>
      </c>
      <c r="F14" s="99">
        <v>6743884</v>
      </c>
      <c r="G14" s="104">
        <v>6.8326000000000002</v>
      </c>
      <c r="H14" s="80">
        <f t="shared" si="2"/>
        <v>46078261.818400003</v>
      </c>
      <c r="I14" s="107">
        <v>14.87</v>
      </c>
      <c r="J14" s="80">
        <f t="shared" si="3"/>
        <v>100281555.08</v>
      </c>
      <c r="K14" s="18">
        <f t="shared" si="4"/>
        <v>54203293.261599995</v>
      </c>
      <c r="L14" s="19">
        <f t="shared" si="0"/>
        <v>1.1763311184614933</v>
      </c>
    </row>
    <row r="15" spans="1:15" ht="23.25" customHeight="1" thickBot="1" x14ac:dyDescent="0.3">
      <c r="A15" s="143"/>
      <c r="B15" s="146"/>
      <c r="C15" s="180"/>
      <c r="D15" s="29">
        <v>45005</v>
      </c>
      <c r="E15" s="30" t="s">
        <v>23</v>
      </c>
      <c r="F15" s="105">
        <v>4475</v>
      </c>
      <c r="G15" s="93">
        <v>3208</v>
      </c>
      <c r="H15" s="89">
        <f t="shared" si="2"/>
        <v>14355800</v>
      </c>
      <c r="I15" s="110">
        <v>3642.4</v>
      </c>
      <c r="J15" s="106">
        <f t="shared" si="3"/>
        <v>16299740</v>
      </c>
      <c r="K15" s="32">
        <f t="shared" si="4"/>
        <v>1943940</v>
      </c>
      <c r="L15" s="34">
        <f t="shared" si="0"/>
        <v>0.13541147132169576</v>
      </c>
    </row>
    <row r="16" spans="1:15" ht="23.25" customHeight="1" x14ac:dyDescent="0.25">
      <c r="A16" s="143"/>
      <c r="B16" s="146"/>
      <c r="C16" s="179" t="s">
        <v>24</v>
      </c>
      <c r="D16" s="8">
        <v>43837</v>
      </c>
      <c r="E16" s="9" t="s">
        <v>39</v>
      </c>
      <c r="F16" s="94">
        <v>20282.3851</v>
      </c>
      <c r="G16" s="88">
        <v>2754.61</v>
      </c>
      <c r="H16" s="95">
        <f t="shared" si="2"/>
        <v>55870060.820311002</v>
      </c>
      <c r="I16" s="88">
        <v>4484.2650999999996</v>
      </c>
      <c r="J16" s="95">
        <f t="shared" si="3"/>
        <v>90951591.64869</v>
      </c>
      <c r="K16" s="13">
        <f t="shared" si="4"/>
        <v>35081530.828378998</v>
      </c>
      <c r="L16" s="14">
        <f t="shared" si="0"/>
        <v>0.62791288058926642</v>
      </c>
    </row>
    <row r="17" spans="1:12" ht="23.25" customHeight="1" x14ac:dyDescent="0.25">
      <c r="A17" s="143"/>
      <c r="B17" s="146"/>
      <c r="C17" s="174"/>
      <c r="D17" s="15">
        <v>45386</v>
      </c>
      <c r="E17" s="16" t="s">
        <v>33</v>
      </c>
      <c r="F17" s="78">
        <v>31210.603599999999</v>
      </c>
      <c r="G17" s="96">
        <v>1979.8371999999999</v>
      </c>
      <c r="H17" s="80">
        <f t="shared" si="2"/>
        <v>61791914.041733913</v>
      </c>
      <c r="I17" s="96">
        <v>2028.3354999999999</v>
      </c>
      <c r="J17" s="80">
        <f t="shared" si="3"/>
        <v>63305575.258307792</v>
      </c>
      <c r="K17" s="18">
        <f t="shared" si="4"/>
        <v>1513661.2165738791</v>
      </c>
      <c r="L17" s="19">
        <f t="shared" si="0"/>
        <v>2.4496105033282523E-2</v>
      </c>
    </row>
    <row r="18" spans="1:12" ht="23.25" customHeight="1" x14ac:dyDescent="0.25">
      <c r="A18" s="143"/>
      <c r="B18" s="146"/>
      <c r="C18" s="174"/>
      <c r="D18" s="15"/>
      <c r="E18" s="16" t="s">
        <v>37</v>
      </c>
      <c r="F18" s="78"/>
      <c r="G18" s="96"/>
      <c r="H18" s="80"/>
      <c r="I18" s="96"/>
      <c r="J18" s="80">
        <v>1876336</v>
      </c>
      <c r="K18" s="18"/>
      <c r="L18" s="19"/>
    </row>
    <row r="19" spans="1:12" ht="23.25" customHeight="1" x14ac:dyDescent="0.25">
      <c r="A19" s="143"/>
      <c r="B19" s="146"/>
      <c r="C19" s="174"/>
      <c r="D19" s="97">
        <v>2020</v>
      </c>
      <c r="E19" s="16" t="s">
        <v>18</v>
      </c>
      <c r="F19" s="78" t="s">
        <v>19</v>
      </c>
      <c r="G19" s="98" t="s">
        <v>19</v>
      </c>
      <c r="H19" s="80"/>
      <c r="I19" s="96" t="s">
        <v>19</v>
      </c>
      <c r="J19" s="80">
        <v>50772838</v>
      </c>
      <c r="K19" s="18">
        <f t="shared" si="4"/>
        <v>50772838</v>
      </c>
      <c r="L19" s="19"/>
    </row>
    <row r="20" spans="1:12" ht="21" customHeight="1" x14ac:dyDescent="0.25">
      <c r="A20" s="143"/>
      <c r="B20" s="146"/>
      <c r="C20" s="174"/>
      <c r="D20" s="15">
        <v>44433</v>
      </c>
      <c r="E20" s="16" t="s">
        <v>25</v>
      </c>
      <c r="F20" s="99">
        <f>80688+91222</f>
        <v>171910</v>
      </c>
      <c r="G20" s="96">
        <v>126.71</v>
      </c>
      <c r="H20" s="80">
        <f t="shared" ref="H20:H22" si="5">+F20*G20</f>
        <v>21782716.099999998</v>
      </c>
      <c r="I20" s="107">
        <v>136.5</v>
      </c>
      <c r="J20" s="80">
        <f>+F20*I20</f>
        <v>23465715</v>
      </c>
      <c r="K20" s="18">
        <f t="shared" si="4"/>
        <v>1682998.9000000022</v>
      </c>
      <c r="L20" s="19">
        <f t="shared" si="0"/>
        <v>7.7263041591034753E-2</v>
      </c>
    </row>
    <row r="21" spans="1:12" ht="21" customHeight="1" x14ac:dyDescent="0.25">
      <c r="A21" s="181"/>
      <c r="B21" s="182"/>
      <c r="C21" s="175"/>
      <c r="D21" s="82">
        <v>45580</v>
      </c>
      <c r="E21" s="83" t="s">
        <v>43</v>
      </c>
      <c r="F21" s="136">
        <v>24860359</v>
      </c>
      <c r="G21" s="102">
        <v>0.36</v>
      </c>
      <c r="H21" s="80">
        <f t="shared" si="5"/>
        <v>8949729.2400000002</v>
      </c>
      <c r="I21" s="137">
        <v>0.183</v>
      </c>
      <c r="J21" s="80">
        <f>+F21*I21</f>
        <v>4549445.6969999997</v>
      </c>
      <c r="K21" s="18">
        <f t="shared" si="4"/>
        <v>-4400283.5430000005</v>
      </c>
      <c r="L21" s="19">
        <f t="shared" si="0"/>
        <v>-0.4916666666666667</v>
      </c>
    </row>
    <row r="22" spans="1:12" ht="21.75" customHeight="1" thickBot="1" x14ac:dyDescent="0.3">
      <c r="A22" s="144"/>
      <c r="B22" s="147"/>
      <c r="C22" s="180"/>
      <c r="D22" s="29">
        <v>44109</v>
      </c>
      <c r="E22" s="30" t="s">
        <v>26</v>
      </c>
      <c r="F22" s="87">
        <f>1293776+119067</f>
        <v>1412843</v>
      </c>
      <c r="G22" s="100">
        <v>8.1136300000000006</v>
      </c>
      <c r="H22" s="89">
        <f t="shared" si="5"/>
        <v>11463285.350090001</v>
      </c>
      <c r="I22" s="110">
        <f>I14</f>
        <v>14.87</v>
      </c>
      <c r="J22" s="89">
        <f>+F22*I22</f>
        <v>21008975.41</v>
      </c>
      <c r="K22" s="32">
        <f t="shared" si="4"/>
        <v>9545690.0599099994</v>
      </c>
      <c r="L22" s="34">
        <f t="shared" si="0"/>
        <v>0.83271852426102733</v>
      </c>
    </row>
    <row r="23" spans="1:12" s="186" customFormat="1" ht="19.5" thickBot="1" x14ac:dyDescent="0.3">
      <c r="H23" s="187">
        <f>SUM(H3:H22)</f>
        <v>702944550.77523172</v>
      </c>
      <c r="I23" s="188"/>
      <c r="J23" s="187">
        <f>SUM(J3:J22)</f>
        <v>876379417.37741184</v>
      </c>
      <c r="K23" s="189">
        <f>SUM(K3:K22)</f>
        <v>169920900.60218018</v>
      </c>
      <c r="L23" s="190">
        <f>K23/H23</f>
        <v>0.24172731748867746</v>
      </c>
    </row>
    <row r="24" spans="1:12" x14ac:dyDescent="0.25">
      <c r="J24" s="66"/>
      <c r="K24" s="70"/>
    </row>
    <row r="26" spans="1:12" x14ac:dyDescent="0.25">
      <c r="J26" s="116">
        <v>401392648</v>
      </c>
      <c r="K26" s="68" t="s">
        <v>27</v>
      </c>
    </row>
    <row r="27" spans="1:12" x14ac:dyDescent="0.25">
      <c r="J27" s="116">
        <v>358069947</v>
      </c>
      <c r="K27" s="2" t="s">
        <v>28</v>
      </c>
    </row>
    <row r="28" spans="1:12" ht="15.75" thickBot="1" x14ac:dyDescent="0.3">
      <c r="J28" s="115">
        <f>+J26+J27</f>
        <v>759462595</v>
      </c>
      <c r="K28" s="70">
        <v>45377</v>
      </c>
    </row>
    <row r="29" spans="1:12" x14ac:dyDescent="0.25">
      <c r="J29" s="116"/>
    </row>
    <row r="30" spans="1:12" x14ac:dyDescent="0.25">
      <c r="J30" s="116"/>
    </row>
    <row r="31" spans="1:12" x14ac:dyDescent="0.2">
      <c r="F31" s="68" t="s">
        <v>30</v>
      </c>
      <c r="H31" s="77">
        <v>0.26885109000000001</v>
      </c>
      <c r="J31" s="116"/>
    </row>
    <row r="32" spans="1:12" x14ac:dyDescent="0.25">
      <c r="G32" s="2" t="s">
        <v>31</v>
      </c>
      <c r="H32" s="3">
        <f>7.0545-H31</f>
        <v>6.7856489099999999</v>
      </c>
      <c r="J32" s="116">
        <v>386975994</v>
      </c>
      <c r="K32" s="68" t="s">
        <v>27</v>
      </c>
    </row>
    <row r="33" spans="1:13" x14ac:dyDescent="0.25">
      <c r="J33" s="116">
        <v>352115015</v>
      </c>
      <c r="K33" s="2" t="s">
        <v>28</v>
      </c>
    </row>
    <row r="34" spans="1:13" s="2" customFormat="1" ht="15.75" thickBot="1" x14ac:dyDescent="0.3">
      <c r="A34" s="1"/>
      <c r="B34" s="1"/>
      <c r="C34" s="1"/>
      <c r="H34" s="3"/>
      <c r="J34" s="115">
        <f>+J33+J32</f>
        <v>739091009</v>
      </c>
      <c r="K34" s="70">
        <v>45436</v>
      </c>
      <c r="M34" s="1"/>
    </row>
    <row r="35" spans="1:13" s="2" customFormat="1" x14ac:dyDescent="0.25">
      <c r="A35" s="1"/>
      <c r="B35" s="1"/>
      <c r="C35" s="1"/>
      <c r="H35" s="3"/>
      <c r="J35" s="116"/>
      <c r="M35" s="1"/>
    </row>
    <row r="36" spans="1:13" s="2" customFormat="1" x14ac:dyDescent="0.25">
      <c r="A36" s="1"/>
      <c r="B36" s="113" t="s">
        <v>35</v>
      </c>
      <c r="C36" s="1"/>
      <c r="E36" s="114" t="s">
        <v>36</v>
      </c>
      <c r="H36" s="3"/>
      <c r="J36" s="116"/>
      <c r="M36" s="1"/>
    </row>
    <row r="37" spans="1:13" s="2" customFormat="1" x14ac:dyDescent="0.25">
      <c r="A37" s="1"/>
      <c r="B37" s="1"/>
      <c r="C37" s="1"/>
      <c r="H37" s="3"/>
      <c r="J37" s="116"/>
      <c r="M37" s="1"/>
    </row>
    <row r="38" spans="1:13" s="2" customFormat="1" x14ac:dyDescent="0.25">
      <c r="A38" s="1"/>
      <c r="B38" s="1"/>
      <c r="C38" s="1"/>
      <c r="H38" s="3"/>
      <c r="J38" s="116">
        <v>380473377</v>
      </c>
      <c r="K38" s="2" t="s">
        <v>27</v>
      </c>
      <c r="M38" s="1"/>
    </row>
    <row r="39" spans="1:13" s="2" customFormat="1" x14ac:dyDescent="0.25">
      <c r="A39" s="1"/>
      <c r="B39" s="1"/>
      <c r="C39" s="1"/>
      <c r="H39" s="3"/>
      <c r="J39" s="116">
        <v>348222719</v>
      </c>
      <c r="K39" s="2" t="s">
        <v>28</v>
      </c>
    </row>
    <row r="40" spans="1:13" s="2" customFormat="1" ht="15.75" thickBot="1" x14ac:dyDescent="0.3">
      <c r="A40" s="1"/>
      <c r="B40" s="1"/>
      <c r="C40" s="1"/>
      <c r="H40" s="3"/>
      <c r="J40" s="115">
        <f>SUM(J38:J39)</f>
        <v>728696096</v>
      </c>
      <c r="K40" s="70">
        <v>45447</v>
      </c>
    </row>
    <row r="41" spans="1:13" s="2" customFormat="1" x14ac:dyDescent="0.25">
      <c r="A41" s="1"/>
      <c r="B41" s="1"/>
      <c r="C41" s="1"/>
      <c r="H41" s="3"/>
      <c r="J41" s="116"/>
    </row>
    <row r="42" spans="1:13" s="2" customFormat="1" x14ac:dyDescent="0.25">
      <c r="A42" s="1"/>
      <c r="B42" s="1"/>
      <c r="C42" s="1"/>
      <c r="H42" s="3"/>
      <c r="J42" s="116"/>
    </row>
    <row r="43" spans="1:13" s="2" customFormat="1" x14ac:dyDescent="0.25">
      <c r="A43" s="1"/>
      <c r="B43" s="1"/>
      <c r="C43" s="1"/>
      <c r="H43" s="3"/>
      <c r="J43" s="116"/>
    </row>
    <row r="44" spans="1:13" s="2" customFormat="1" x14ac:dyDescent="0.25">
      <c r="A44" s="1"/>
      <c r="B44" s="1"/>
      <c r="C44" s="1"/>
      <c r="H44" s="3"/>
      <c r="J44" s="116">
        <v>393406396</v>
      </c>
      <c r="K44" s="2" t="s">
        <v>27</v>
      </c>
    </row>
    <row r="45" spans="1:13" s="2" customFormat="1" x14ac:dyDescent="0.25">
      <c r="A45" s="1"/>
      <c r="B45" s="1"/>
      <c r="C45" s="1"/>
      <c r="H45" s="3"/>
      <c r="J45" s="116">
        <v>371089239</v>
      </c>
      <c r="K45" s="2" t="s">
        <v>28</v>
      </c>
    </row>
    <row r="46" spans="1:13" s="2" customFormat="1" ht="15.75" thickBot="1" x14ac:dyDescent="0.3">
      <c r="A46" s="1"/>
      <c r="B46" s="1"/>
      <c r="C46" s="1"/>
      <c r="H46" s="3"/>
      <c r="J46" s="115">
        <f>SUM(J44:J45)</f>
        <v>764495635</v>
      </c>
      <c r="K46" s="70">
        <v>45498</v>
      </c>
    </row>
    <row r="47" spans="1:13" s="2" customFormat="1" x14ac:dyDescent="0.25">
      <c r="A47" s="1"/>
      <c r="B47" s="1"/>
      <c r="C47" s="1"/>
      <c r="H47" s="3"/>
      <c r="J47" s="116"/>
    </row>
    <row r="48" spans="1:13" s="2" customFormat="1" x14ac:dyDescent="0.25">
      <c r="A48" s="1"/>
      <c r="B48" s="1"/>
      <c r="C48" s="1"/>
      <c r="H48" s="3"/>
      <c r="J48" s="116"/>
    </row>
    <row r="49" spans="1:12" s="2" customFormat="1" x14ac:dyDescent="0.25">
      <c r="A49" s="1"/>
      <c r="B49" s="1"/>
      <c r="C49" s="1"/>
      <c r="H49" s="3"/>
      <c r="J49" s="116">
        <v>385836497</v>
      </c>
      <c r="K49" s="2" t="s">
        <v>27</v>
      </c>
    </row>
    <row r="50" spans="1:12" s="2" customFormat="1" x14ac:dyDescent="0.25">
      <c r="A50" s="1"/>
      <c r="B50" s="1"/>
      <c r="C50" s="1"/>
      <c r="H50" s="3"/>
      <c r="J50" s="116">
        <v>365153761</v>
      </c>
      <c r="K50" s="2" t="s">
        <v>28</v>
      </c>
    </row>
    <row r="51" spans="1:12" s="2" customFormat="1" ht="15.75" thickBot="1" x14ac:dyDescent="0.3">
      <c r="A51" s="1"/>
      <c r="B51" s="1"/>
      <c r="C51" s="1"/>
      <c r="H51" s="3"/>
      <c r="J51" s="115">
        <f>SUM(J49:J50)</f>
        <v>750990258</v>
      </c>
      <c r="K51" s="70">
        <v>45531</v>
      </c>
    </row>
    <row r="52" spans="1:12" s="2" customFormat="1" x14ac:dyDescent="0.25">
      <c r="A52" s="1"/>
      <c r="B52" s="1"/>
      <c r="C52" s="1"/>
      <c r="H52" s="3"/>
      <c r="J52" s="116"/>
    </row>
    <row r="53" spans="1:12" s="2" customFormat="1" x14ac:dyDescent="0.25">
      <c r="A53" s="1"/>
      <c r="B53" s="1"/>
      <c r="C53" s="1"/>
      <c r="H53" s="3"/>
      <c r="J53" s="116"/>
    </row>
    <row r="54" spans="1:12" s="2" customFormat="1" x14ac:dyDescent="0.25">
      <c r="A54" s="1"/>
      <c r="B54" s="1"/>
      <c r="C54" s="1"/>
      <c r="H54" s="3"/>
      <c r="J54" s="116">
        <v>383938084.02825731</v>
      </c>
      <c r="K54" s="2" t="s">
        <v>27</v>
      </c>
    </row>
    <row r="55" spans="1:12" s="2" customFormat="1" x14ac:dyDescent="0.25">
      <c r="A55" s="1"/>
      <c r="B55" s="1"/>
      <c r="C55" s="1"/>
      <c r="H55" s="3"/>
      <c r="J55" s="135">
        <v>368583821.6616478</v>
      </c>
      <c r="K55" s="2" t="s">
        <v>28</v>
      </c>
    </row>
    <row r="56" spans="1:12" s="2" customFormat="1" ht="15.75" thickBot="1" x14ac:dyDescent="0.3">
      <c r="A56" s="1"/>
      <c r="B56" s="1"/>
      <c r="C56" s="1"/>
      <c r="H56" s="3"/>
      <c r="J56" s="115">
        <f>SUM(J54:J55)</f>
        <v>752521905.68990517</v>
      </c>
      <c r="K56" s="70">
        <v>45546</v>
      </c>
    </row>
    <row r="57" spans="1:12" s="2" customFormat="1" x14ac:dyDescent="0.25">
      <c r="A57" s="1"/>
      <c r="B57" s="1"/>
      <c r="C57" s="1"/>
      <c r="H57" s="3"/>
      <c r="J57" s="116"/>
    </row>
    <row r="58" spans="1:12" s="2" customFormat="1" x14ac:dyDescent="0.25">
      <c r="A58" s="1"/>
      <c r="B58" s="1"/>
      <c r="C58" s="1"/>
      <c r="H58" s="3"/>
    </row>
    <row r="59" spans="1:12" s="2" customFormat="1" x14ac:dyDescent="0.25">
      <c r="A59" s="1"/>
      <c r="B59" s="1"/>
      <c r="C59" s="1"/>
      <c r="H59" s="3"/>
      <c r="J59" s="116">
        <v>400854601.11716664</v>
      </c>
      <c r="K59" s="2" t="s">
        <v>27</v>
      </c>
    </row>
    <row r="60" spans="1:12" s="2" customFormat="1" x14ac:dyDescent="0.25">
      <c r="A60" s="1"/>
      <c r="B60" s="1"/>
      <c r="C60" s="1"/>
      <c r="H60" s="3"/>
      <c r="J60" s="135">
        <v>377532848.49366927</v>
      </c>
      <c r="K60" s="2" t="s">
        <v>28</v>
      </c>
    </row>
    <row r="61" spans="1:12" s="2" customFormat="1" ht="15.75" thickBot="1" x14ac:dyDescent="0.3">
      <c r="A61" s="1"/>
      <c r="B61" s="1"/>
      <c r="C61" s="1"/>
      <c r="H61" s="3"/>
      <c r="J61" s="115">
        <f>SUM(J59:J60)</f>
        <v>778387449.61083591</v>
      </c>
      <c r="K61" s="70">
        <v>45580</v>
      </c>
    </row>
    <row r="62" spans="1:12" s="2" customFormat="1" x14ac:dyDescent="0.25">
      <c r="A62" s="1"/>
      <c r="B62" s="1"/>
      <c r="C62" s="1"/>
      <c r="H62" s="3"/>
      <c r="J62" s="116"/>
    </row>
    <row r="63" spans="1:12" s="2" customFormat="1" x14ac:dyDescent="0.25">
      <c r="A63" s="1"/>
      <c r="B63" s="1"/>
      <c r="C63" s="1"/>
      <c r="H63" s="3"/>
      <c r="J63" s="116"/>
    </row>
    <row r="64" spans="1:12" s="2" customFormat="1" x14ac:dyDescent="0.25">
      <c r="A64" s="1"/>
      <c r="B64" s="1"/>
      <c r="C64" s="1"/>
      <c r="H64" s="3"/>
      <c r="J64" s="116">
        <v>429858064.57580698</v>
      </c>
      <c r="K64" s="2" t="s">
        <v>27</v>
      </c>
      <c r="L64" s="140"/>
    </row>
    <row r="65" spans="1:13" s="2" customFormat="1" x14ac:dyDescent="0.25">
      <c r="A65" s="1"/>
      <c r="B65" s="1"/>
      <c r="C65" s="1"/>
      <c r="H65" s="3"/>
      <c r="J65" s="135">
        <v>479296208.2588501</v>
      </c>
      <c r="K65" s="2" t="s">
        <v>28</v>
      </c>
      <c r="L65" s="140" t="s">
        <v>45</v>
      </c>
    </row>
    <row r="66" spans="1:13" s="2" customFormat="1" ht="15.75" thickBot="1" x14ac:dyDescent="0.3">
      <c r="A66" s="1"/>
      <c r="B66" s="1"/>
      <c r="C66" s="1"/>
      <c r="H66" s="3"/>
      <c r="J66" s="115">
        <f>SUM(J64:J65)</f>
        <v>909154272.83465707</v>
      </c>
      <c r="K66" s="70">
        <v>45635</v>
      </c>
    </row>
    <row r="67" spans="1:13" s="2" customFormat="1" x14ac:dyDescent="0.25">
      <c r="A67" s="1"/>
      <c r="B67" s="1"/>
      <c r="C67" s="1"/>
      <c r="H67" s="3"/>
      <c r="J67" s="116"/>
    </row>
    <row r="68" spans="1:13" s="2" customFormat="1" x14ac:dyDescent="0.25">
      <c r="A68" s="1"/>
      <c r="B68" s="1"/>
      <c r="C68" s="1"/>
      <c r="H68" s="3"/>
      <c r="J68" s="116"/>
    </row>
    <row r="69" spans="1:13" s="2" customFormat="1" x14ac:dyDescent="0.25">
      <c r="A69" s="1"/>
      <c r="B69" s="1"/>
      <c r="C69" s="1"/>
      <c r="H69" s="3"/>
      <c r="J69" s="116">
        <v>435192508.77964914</v>
      </c>
      <c r="K69" s="2" t="s">
        <v>27</v>
      </c>
    </row>
    <row r="70" spans="1:13" s="2" customFormat="1" x14ac:dyDescent="0.25">
      <c r="A70" s="1"/>
      <c r="B70" s="1"/>
      <c r="C70" s="1"/>
      <c r="H70" s="3"/>
      <c r="J70" s="135">
        <v>489714857.19096273</v>
      </c>
      <c r="K70" s="2" t="s">
        <v>28</v>
      </c>
    </row>
    <row r="71" spans="1:13" s="2" customFormat="1" ht="15.75" thickBot="1" x14ac:dyDescent="0.3">
      <c r="A71" s="1"/>
      <c r="B71" s="1"/>
      <c r="C71" s="1"/>
      <c r="H71" s="3"/>
      <c r="J71" s="115">
        <f>SUM(J69:J70)</f>
        <v>924907365.97061181</v>
      </c>
      <c r="K71" s="70">
        <v>45680</v>
      </c>
      <c r="M71" s="1"/>
    </row>
    <row r="72" spans="1:13" s="2" customFormat="1" x14ac:dyDescent="0.25">
      <c r="A72" s="1"/>
      <c r="B72" s="1"/>
      <c r="C72" s="1"/>
      <c r="H72" s="141"/>
      <c r="J72" s="3"/>
      <c r="M72" s="1"/>
    </row>
    <row r="74" spans="1:13" x14ac:dyDescent="0.25">
      <c r="J74" s="116">
        <f>SUM($J$12:$J$22)</f>
        <v>416281518.58089185</v>
      </c>
      <c r="K74" s="2" t="s">
        <v>27</v>
      </c>
    </row>
    <row r="75" spans="1:13" x14ac:dyDescent="0.25">
      <c r="J75" s="116">
        <f>SUM($J$3:$J$11)</f>
        <v>460097898.79652011</v>
      </c>
      <c r="K75" s="2" t="s">
        <v>28</v>
      </c>
      <c r="L75" s="140" t="s">
        <v>47</v>
      </c>
    </row>
    <row r="76" spans="1:13" ht="15.75" thickBot="1" x14ac:dyDescent="0.3">
      <c r="J76" s="115">
        <f>SUM(J74:J75)</f>
        <v>876379417.37741196</v>
      </c>
      <c r="K76" s="70">
        <v>45734</v>
      </c>
    </row>
  </sheetData>
  <mergeCells count="17">
    <mergeCell ref="A12:A22"/>
    <mergeCell ref="B12:B22"/>
    <mergeCell ref="C12:C15"/>
    <mergeCell ref="C16:C22"/>
    <mergeCell ref="G1:G2"/>
    <mergeCell ref="H1:H2"/>
    <mergeCell ref="J1:J2"/>
    <mergeCell ref="K1:L1"/>
    <mergeCell ref="A3:A11"/>
    <mergeCell ref="B3:B11"/>
    <mergeCell ref="C3:C1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  <headerFooter>
    <oddFooter>&amp;C_x000D_&amp;1#&amp;"Calibri"&amp;10&amp;K000000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21.03.24</vt:lpstr>
      <vt:lpstr>05.06.24</vt:lpstr>
      <vt:lpstr>25.07.24</vt:lpstr>
      <vt:lpstr>27.08.24</vt:lpstr>
      <vt:lpstr>11.09.24</vt:lpstr>
      <vt:lpstr>15.10.24</vt:lpstr>
      <vt:lpstr>09.12.24</vt:lpstr>
      <vt:lpstr>23.01.25</vt:lpstr>
      <vt:lpstr>18.03.25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Aguila Francisco</dc:creator>
  <cp:lastModifiedBy>Valencia Aguila Francisco</cp:lastModifiedBy>
  <dcterms:created xsi:type="dcterms:W3CDTF">2024-03-21T17:26:00Z</dcterms:created>
  <dcterms:modified xsi:type="dcterms:W3CDTF">2025-03-18T16:09:50Z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797454-993d-4cd5-a0e9-6211b27798e4_Enabled">
    <vt:lpwstr>true</vt:lpwstr>
  </property>
  <property fmtid="{D5CDD505-2E9C-101B-9397-08002B2CF9AE}" pid="3" name="MSIP_Label_db797454-993d-4cd5-a0e9-6211b27798e4_SetDate">
    <vt:lpwstr>2024-03-21T17:26:02Z</vt:lpwstr>
  </property>
  <property fmtid="{D5CDD505-2E9C-101B-9397-08002B2CF9AE}" pid="4" name="MSIP_Label_db797454-993d-4cd5-a0e9-6211b27798e4_Method">
    <vt:lpwstr>Standard</vt:lpwstr>
  </property>
  <property fmtid="{D5CDD505-2E9C-101B-9397-08002B2CF9AE}" pid="5" name="MSIP_Label_db797454-993d-4cd5-a0e9-6211b27798e4_Name">
    <vt:lpwstr>Uso Interno</vt:lpwstr>
  </property>
  <property fmtid="{D5CDD505-2E9C-101B-9397-08002B2CF9AE}" pid="6" name="MSIP_Label_db797454-993d-4cd5-a0e9-6211b27798e4_SiteId">
    <vt:lpwstr>3f1b71d2-6eae-431f-adc8-f234f4d12e60</vt:lpwstr>
  </property>
  <property fmtid="{D5CDD505-2E9C-101B-9397-08002B2CF9AE}" pid="7" name="MSIP_Label_db797454-993d-4cd5-a0e9-6211b27798e4_ActionId">
    <vt:lpwstr>e4c23662-4e3f-4fe0-8722-9f30b9bd6c20</vt:lpwstr>
  </property>
  <property fmtid="{D5CDD505-2E9C-101B-9397-08002B2CF9AE}" pid="8" name="MSIP_Label_db797454-993d-4cd5-a0e9-6211b27798e4_ContentBits">
    <vt:lpwstr>2</vt:lpwstr>
  </property>
</Properties>
</file>