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558549\Downloads\"/>
    </mc:Choice>
  </mc:AlternateContent>
  <xr:revisionPtr revIDLastSave="0" documentId="8_{80F7EDED-45FD-406B-9B27-23B3CABBFD49}" xr6:coauthVersionLast="47" xr6:coauthVersionMax="47" xr10:uidLastSave="{00000000-0000-0000-0000-000000000000}"/>
  <bookViews>
    <workbookView xWindow="-120" yWindow="-120" windowWidth="20730" windowHeight="11040" firstSheet="1" activeTab="1" xr2:uid="{501A77E7-3D85-4F68-AB21-87F20DFCF7F8}"/>
  </bookViews>
  <sheets>
    <sheet name="Datos - solicitar a cliente (2)" sheetId="4" state="hidden" r:id="rId1"/>
    <sheet name="Datos - solicitar a cliente" sheetId="2" r:id="rId2"/>
    <sheet name="NO BORRAR" sheetId="3" state="hidden" r:id="rId3"/>
    <sheet name="Datos -con comentarios-" sheetId="5" state="hidden" r:id="rId4"/>
  </sheets>
  <definedNames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  <definedName name="Cuál_de_las_siguientes_opciones_mejor_describe_su_nivel_de_conocimiento_sobre_mercado_de_valores_y_sus_productos">'Datos - solicitar a cliente'!$T$46:$T$50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2" l="1"/>
  <c r="E79" i="2"/>
  <c r="E78" i="2"/>
  <c r="E77" i="2"/>
  <c r="A79" i="2"/>
  <c r="A80" i="2"/>
  <c r="C80" i="2"/>
  <c r="C79" i="2"/>
  <c r="C78" i="2"/>
  <c r="C77" i="2"/>
  <c r="C71" i="2"/>
  <c r="C107" i="2"/>
  <c r="C106" i="2"/>
  <c r="C105" i="2"/>
  <c r="C74" i="2"/>
  <c r="C73" i="2"/>
  <c r="C63" i="2"/>
  <c r="C64" i="2"/>
  <c r="C65" i="2"/>
  <c r="C66" i="2"/>
  <c r="C67" i="2"/>
  <c r="C68" i="2"/>
  <c r="C69" i="2"/>
  <c r="C70" i="2"/>
  <c r="C72" i="2"/>
  <c r="C58" i="5"/>
  <c r="C57" i="5"/>
  <c r="C56" i="5"/>
  <c r="C55" i="5"/>
  <c r="C54" i="5"/>
  <c r="C53" i="5"/>
  <c r="C49" i="5"/>
  <c r="C52" i="5"/>
  <c r="C51" i="5"/>
  <c r="C50" i="5"/>
  <c r="A127" i="5"/>
  <c r="A126" i="5"/>
  <c r="A125" i="5"/>
  <c r="A117" i="5"/>
  <c r="A116" i="5"/>
  <c r="I58" i="5"/>
  <c r="G58" i="5"/>
  <c r="E58" i="5"/>
  <c r="A58" i="5"/>
  <c r="I57" i="5"/>
  <c r="G57" i="5"/>
  <c r="A57" i="5"/>
  <c r="I56" i="5"/>
  <c r="G56" i="5"/>
  <c r="A56" i="5"/>
  <c r="I55" i="5"/>
  <c r="G55" i="5"/>
  <c r="A55" i="5"/>
  <c r="I54" i="5"/>
  <c r="I77" i="2"/>
  <c r="I76" i="2"/>
  <c r="I75" i="2"/>
  <c r="G77" i="2"/>
  <c r="G76" i="2"/>
  <c r="G75" i="2"/>
  <c r="A77" i="2"/>
  <c r="A76" i="2"/>
  <c r="A78" i="2"/>
  <c r="A46" i="4"/>
  <c r="C46" i="4"/>
  <c r="E46" i="4"/>
  <c r="G46" i="4"/>
  <c r="I46" i="4"/>
  <c r="A47" i="4"/>
  <c r="A48" i="4"/>
  <c r="A49" i="4"/>
  <c r="A50" i="4"/>
  <c r="A51" i="4"/>
  <c r="A52" i="4"/>
  <c r="A53" i="4"/>
  <c r="A54" i="4"/>
  <c r="A55" i="4"/>
  <c r="A112" i="4"/>
  <c r="A113" i="4"/>
  <c r="A122" i="4"/>
  <c r="A123" i="4"/>
  <c r="A124" i="4"/>
  <c r="A99" i="2"/>
  <c r="I73" i="2"/>
  <c r="G73" i="2"/>
  <c r="A73" i="2"/>
</calcChain>
</file>

<file path=xl/sharedStrings.xml><?xml version="1.0" encoding="utf-8"?>
<sst xmlns="http://schemas.openxmlformats.org/spreadsheetml/2006/main" count="1433" uniqueCount="574">
  <si>
    <t>PERFIL DE RIESGO</t>
  </si>
  <si>
    <t>1 - Horizonte de tiempo</t>
  </si>
  <si>
    <t>¿Cuál es su horizonte de tiempo para esta inversión? ¿Cuándo necesitará este dinero, o durante cuánto tiempo cree que mantendrá esta inversión?</t>
  </si>
  <si>
    <t>Seleccione una opción</t>
  </si>
  <si>
    <t>2 - Experiencia</t>
  </si>
  <si>
    <t>Cuál de las siguientes opciones mejor describe su nivel de conocimiento 
sobre mercado de valores y sus productos:</t>
  </si>
  <si>
    <t>Elija aquí</t>
  </si>
  <si>
    <t>3 - % de activos totales</t>
  </si>
  <si>
    <t> Menos de 3 años</t>
  </si>
  <si>
    <t>¿Qué porcentaje de sus activos totales líquidos (incluyendo dinero en efectivo, depósitos, bonos, acciones, fondos mutuos, pero excluyendo inmuebles) representa esta inversión?</t>
  </si>
  <si>
    <t> 3 - 5 años</t>
  </si>
  <si>
    <t>4 - Objetivos de inversión</t>
  </si>
  <si>
    <t> 6 - 10 años</t>
  </si>
  <si>
    <t>¿Cuál de estas frases describe mejor sus objetivos de inversión para esta inversión en particular?</t>
  </si>
  <si>
    <t> 11 años o más</t>
  </si>
  <si>
    <t>5 - Riesgo y alta volatilidad</t>
  </si>
  <si>
    <t>¿Cuál es su actitud frente a la volatilidad del mercado en el corto plazo?</t>
  </si>
  <si>
    <t>Cuál de las siguientes opciones mejor describe su nivel de conocimiento sobre mercado de valores y sus productos:</t>
  </si>
  <si>
    <t>6 - Elección de portafolio</t>
  </si>
  <si>
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</si>
  <si>
    <t> Ninguno – sin conocimiento ni experiencia sobre inversiones</t>
  </si>
  <si>
    <t> Mínimo – mi conocimiento es muy limitado y no tengo experiencia</t>
  </si>
  <si>
    <t>Datos Titular 2</t>
  </si>
  <si>
    <t>7 - Elección de rendimiento</t>
  </si>
  <si>
    <t>La gráfica del cuadro que aparece a continuación muestra el rendimiento de cinco inversiones hipotéticas diferentes, cada barra muestra los posibles rendimientos de las inversiones en un año. ¿Con cuál de estas inversiones se sentiría más cómodo?</t>
  </si>
  <si>
    <t> Bueno – buen conocimiento y cierta experiencia en inversiones</t>
  </si>
  <si>
    <t>Nombres</t>
  </si>
  <si>
    <t> Amplio – fuerte conocimiento y experiencia activa en inversiones</t>
  </si>
  <si>
    <t>Apellidos</t>
  </si>
  <si>
    <t>8 - Caída en portafolio</t>
  </si>
  <si>
    <t>Dirección (País, Provincia y Ciudad)</t>
  </si>
  <si>
    <t>Considere el siguiente escenario: Imagine que durante los últimos 3 meses la bolsa de valores tuvo una pérdida del 25 %, algunos fondos de su portafolio también están perdiendo 25 % de su valor. ¿Qué haría usted?</t>
  </si>
  <si>
    <t>Dirección de residencia</t>
  </si>
  <si>
    <t>Datos Titular 1</t>
  </si>
  <si>
    <t>Datos Titular 2 (Opcional)</t>
  </si>
  <si>
    <t>Datos Titular 3 (Opcional)</t>
  </si>
  <si>
    <t>Datos Titular 4 (Opcional)</t>
  </si>
  <si>
    <t>Datos Titular 5 (Opcional)</t>
  </si>
  <si>
    <t>Código Postal</t>
  </si>
  <si>
    <t>Primer Nombre</t>
  </si>
  <si>
    <t>Dirección de correspondencia (solo si difiere a la de residencia)</t>
  </si>
  <si>
    <t>Segundo Nombre</t>
  </si>
  <si>
    <t>Teléfono (País, Ciudad y Número)</t>
  </si>
  <si>
    <t>Primer Apellido</t>
  </si>
  <si>
    <t>E-mail</t>
  </si>
  <si>
    <t>Segundo Apellido</t>
  </si>
  <si>
    <t>Cantidad de hijos</t>
  </si>
  <si>
    <t>Fecha de nacimiento</t>
  </si>
  <si>
    <t xml:space="preserve">País </t>
  </si>
  <si>
    <t>País emisor del documento</t>
  </si>
  <si>
    <t>Provincia</t>
  </si>
  <si>
    <t>Tipo de documento</t>
  </si>
  <si>
    <t>Ciudad</t>
  </si>
  <si>
    <t>Número de documento</t>
  </si>
  <si>
    <t>Codigo Postal</t>
  </si>
  <si>
    <t>Identificación fiscal</t>
  </si>
  <si>
    <t>Nacionalidad</t>
  </si>
  <si>
    <t>Télefono</t>
  </si>
  <si>
    <t>Ciudadanía</t>
  </si>
  <si>
    <t>Situación Laboral</t>
  </si>
  <si>
    <t>País Emisor del documento</t>
  </si>
  <si>
    <t>Ocupación</t>
  </si>
  <si>
    <t>Cargo</t>
  </si>
  <si>
    <t>Empresa</t>
  </si>
  <si>
    <t>Rubro de la empresa</t>
  </si>
  <si>
    <t>Dirección Empresa (País, Provincia y Ciudad)</t>
  </si>
  <si>
    <t>Dirección Empresa</t>
  </si>
  <si>
    <t>Situación laboral</t>
  </si>
  <si>
    <t>Código Postal Empresa</t>
  </si>
  <si>
    <t>Teléfono Empresa (País, Ciudad, Número y Fax)</t>
  </si>
  <si>
    <t>Estado Civil</t>
  </si>
  <si>
    <t>Casado/a</t>
  </si>
  <si>
    <t>Página web de la empresa</t>
  </si>
  <si>
    <t>Indique si se encuentra comprendido en la categoría de PEP (persona políticamente expuesta)</t>
  </si>
  <si>
    <t>Si</t>
  </si>
  <si>
    <t>No</t>
  </si>
  <si>
    <t>Estado civil</t>
  </si>
  <si>
    <t>Indique si se encuentra comprendido en la categoría de PEP (persona políticamente expuesta) Si/No:</t>
  </si>
  <si>
    <t>¿Acepta que la correspondencia sea por correo electrónico?</t>
  </si>
  <si>
    <t>Datos Beneficiarios/Transfer on death</t>
  </si>
  <si>
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</si>
  <si>
    <t> A los beneficios principales restantes a prorrata (en proporción a los porcentajes designados).</t>
  </si>
  <si>
    <t> A los beneficiarios contingentes designados en la sección Designación de beneficiarios contingentes de la página 6.</t>
  </si>
  <si>
    <t> A los herederos del último titular de la cuenta que sobreviva.</t>
  </si>
  <si>
    <t> A los herederos del último fallecido. Renuncio a los beneficiarios principales por estirpes. Si marca esta casilla, debe completar también la sección Designación por estirpes de la página 6.</t>
  </si>
  <si>
    <t>Datos Beneficiario 1</t>
  </si>
  <si>
    <t>% de participacion</t>
  </si>
  <si>
    <t>Tipo</t>
  </si>
  <si>
    <t>Relación</t>
  </si>
  <si>
    <t> Portafolio A</t>
  </si>
  <si>
    <t> Portafolio B</t>
  </si>
  <si>
    <t> Portafolio C</t>
  </si>
  <si>
    <t> Portafolio D</t>
  </si>
  <si>
    <t> Portafolio E</t>
  </si>
  <si>
    <t> Vender el 100% de los fondos</t>
  </si>
  <si>
    <t>Datos Beneficiario 2</t>
  </si>
  <si>
    <t> Vender parte de los fondos</t>
  </si>
  <si>
    <t> Transferir parte a un fondo más conservador</t>
  </si>
  <si>
    <t> Analizaría las perspectivas del activo y compraría más unidades del mismo fondo (siempre que los fundamentos así lo justifiquen)</t>
  </si>
  <si>
    <t> No haría nada</t>
  </si>
  <si>
    <t>Experiencia de inversiones</t>
  </si>
  <si>
    <t>Completar información contemplando a todos los titulares (Nula / Limitada / Promedio / Alta)</t>
  </si>
  <si>
    <t>Acciones</t>
  </si>
  <si>
    <t>Fondos Mutuos</t>
  </si>
  <si>
    <t>Anualidades</t>
  </si>
  <si>
    <t>Opciones</t>
  </si>
  <si>
    <t>Inversiones Alternativas</t>
  </si>
  <si>
    <t>Financial Profile</t>
  </si>
  <si>
    <t>Necesidad de liquidez</t>
  </si>
  <si>
    <t>Ingresos Anuales (USD)</t>
  </si>
  <si>
    <t>Monto exacto de ingresos anuales (USD)</t>
  </si>
  <si>
    <t>Activos líquidos (USD)</t>
  </si>
  <si>
    <t>Monto exacto de activos liquidos (USD)</t>
  </si>
  <si>
    <t>Patrimonio total (USD)</t>
  </si>
  <si>
    <t>Planea efectuar aportes adicionales</t>
  </si>
  <si>
    <t>Tiempo estimado (en años) en el que planea realizar retiros de la cuenta</t>
  </si>
  <si>
    <t>Banco origen de los fondos</t>
  </si>
  <si>
    <t>País de origen de los fondos</t>
  </si>
  <si>
    <t>Origen de fondos</t>
  </si>
  <si>
    <t>Apoderado para enviar órdenes</t>
  </si>
  <si>
    <t>Mail autorizado</t>
  </si>
  <si>
    <t>Monto exacto de inversión que planea</t>
  </si>
  <si>
    <t>Tipo de contrato</t>
  </si>
  <si>
    <t>Fee anual</t>
  </si>
  <si>
    <t>Dealing Fee</t>
  </si>
  <si>
    <t>Método de pago</t>
  </si>
  <si>
    <t>Bancos con los que habitualmente trabaja</t>
  </si>
  <si>
    <t>Banco</t>
  </si>
  <si>
    <t>Sucursal</t>
  </si>
  <si>
    <t>Referencias personales</t>
  </si>
  <si>
    <t>País</t>
  </si>
  <si>
    <t>Teléfono</t>
  </si>
  <si>
    <t>Conocimiento de cliente</t>
  </si>
  <si>
    <t>¿Cuánto tiempo hace que conoce al cliente?</t>
  </si>
  <si>
    <t>Fecha de la última reunión personal con el cliente</t>
  </si>
  <si>
    <t>Ubicación de la última reunión personal con el cliente</t>
  </si>
  <si>
    <t>Datos Cuenta</t>
  </si>
  <si>
    <t>Tipo de Cuenta</t>
  </si>
  <si>
    <t xml:space="preserve">Individual </t>
  </si>
  <si>
    <r>
      <rPr>
        <b/>
        <sz val="11"/>
        <color theme="1"/>
        <rFont val="Aptos Narrow"/>
        <family val="2"/>
        <scheme val="minor"/>
      </rPr>
      <t xml:space="preserve">Individual: </t>
    </r>
    <r>
      <rPr>
        <sz val="11"/>
        <color theme="1"/>
        <rFont val="Aptos Narrow"/>
        <family val="2"/>
        <scheme val="minor"/>
      </rPr>
      <t>Persona Natural</t>
    </r>
  </si>
  <si>
    <r>
      <rPr>
        <b/>
        <sz val="11"/>
        <color theme="1"/>
        <rFont val="Aptos Narrow"/>
        <family val="2"/>
        <scheme val="minor"/>
      </rPr>
      <t>Corporativo:</t>
    </r>
    <r>
      <rPr>
        <sz val="11"/>
        <color theme="1"/>
        <rFont val="Aptos Narrow"/>
        <family val="2"/>
        <scheme val="minor"/>
      </rPr>
      <t xml:space="preserve"> Persona Jurídica</t>
    </r>
  </si>
  <si>
    <t>Datos Asesor</t>
  </si>
  <si>
    <t>Rep Code</t>
  </si>
  <si>
    <t>Nombre Completo</t>
  </si>
  <si>
    <t>Empleado/Independiente</t>
  </si>
  <si>
    <t>Soltero/a</t>
  </si>
  <si>
    <t>pa</t>
  </si>
  <si>
    <t>Documento Gubernamental</t>
  </si>
  <si>
    <t>Pasaporte</t>
  </si>
  <si>
    <t>Corporativo</t>
  </si>
  <si>
    <t>Canalización de ordenes</t>
  </si>
  <si>
    <t>Gestión de portafolio</t>
  </si>
  <si>
    <t>No empleado</t>
  </si>
  <si>
    <t>Divorciado/a</t>
  </si>
  <si>
    <t>Estudiante</t>
  </si>
  <si>
    <t>Viudo/a</t>
  </si>
  <si>
    <t>Retirado</t>
  </si>
  <si>
    <t>Concubino/a</t>
  </si>
  <si>
    <t>Mensual</t>
  </si>
  <si>
    <t>Nula</t>
  </si>
  <si>
    <t>Primario</t>
  </si>
  <si>
    <t>Madre</t>
  </si>
  <si>
    <t>Trimestral</t>
  </si>
  <si>
    <t>Limitada</t>
  </si>
  <si>
    <t>Contingente</t>
  </si>
  <si>
    <t>Padre</t>
  </si>
  <si>
    <t>Anual</t>
  </si>
  <si>
    <t>Promedio</t>
  </si>
  <si>
    <t>Albania</t>
  </si>
  <si>
    <t>Abogado</t>
  </si>
  <si>
    <t>Hermano/a</t>
  </si>
  <si>
    <t>Avanzada</t>
  </si>
  <si>
    <t>Alemania</t>
  </si>
  <si>
    <t>Actividades bursátiles y cambiarias</t>
  </si>
  <si>
    <t>Esposo/a</t>
  </si>
  <si>
    <t>Andorra</t>
  </si>
  <si>
    <t>Actividades de limpieza</t>
  </si>
  <si>
    <t>Baja</t>
  </si>
  <si>
    <t>Hijo/a</t>
  </si>
  <si>
    <t>Anguila</t>
  </si>
  <si>
    <t>Actividades Fiduciarias</t>
  </si>
  <si>
    <t>Media</t>
  </si>
  <si>
    <t>Padrino</t>
  </si>
  <si>
    <t>&lt;10K</t>
  </si>
  <si>
    <t>&lt;10K 10–20 20–50 50–100 100–200 &gt;200K</t>
  </si>
  <si>
    <t>Antigua República Yugoslava de Macedonia</t>
  </si>
  <si>
    <t>Administración de mercados financieros / Fondos de inversión</t>
  </si>
  <si>
    <t>Alta</t>
  </si>
  <si>
    <t>Madrina</t>
  </si>
  <si>
    <t>10–20</t>
  </si>
  <si>
    <t>Antigua y Barbuda</t>
  </si>
  <si>
    <t>Administrador​as, explotadores y los usuarios de zona franca</t>
  </si>
  <si>
    <t>Amigo</t>
  </si>
  <si>
    <t>20–50</t>
  </si>
  <si>
    <t>Arabia Saudita</t>
  </si>
  <si>
    <t>Agencia de viajes / Ss. Turísticos</t>
  </si>
  <si>
    <t>Primo</t>
  </si>
  <si>
    <t>50–100</t>
  </si>
  <si>
    <t>Argelia</t>
  </si>
  <si>
    <t>Almacenamiento y deposito</t>
  </si>
  <si>
    <t>&lt;50.000</t>
  </si>
  <si>
    <t>Titular</t>
  </si>
  <si>
    <t>100–200</t>
  </si>
  <si>
    <t>Argentina</t>
  </si>
  <si>
    <t>Ama de casa</t>
  </si>
  <si>
    <t>50.000-99.999</t>
  </si>
  <si>
    <t>&gt;200K</t>
  </si>
  <si>
    <t>Armenia</t>
  </si>
  <si>
    <t>Arrendamiento de locales comerciales</t>
  </si>
  <si>
    <t>100.000-199.999</t>
  </si>
  <si>
    <t>Sin definir</t>
  </si>
  <si>
    <t>Aruba</t>
  </si>
  <si>
    <t>Artículos de iluminación</t>
  </si>
  <si>
    <t>200.000-499.999</t>
  </si>
  <si>
    <t>Sobrino/a</t>
  </si>
  <si>
    <t>Australia</t>
  </si>
  <si>
    <t>Artista Plastico - Artesano - Actor</t>
  </si>
  <si>
    <t>500.000-999.999</t>
  </si>
  <si>
    <t>Agente</t>
  </si>
  <si>
    <t>Austria</t>
  </si>
  <si>
    <t>Asesor Financiero</t>
  </si>
  <si>
    <t>1 mil-2.49mil</t>
  </si>
  <si>
    <t>Banco Custodio</t>
  </si>
  <si>
    <t>Azerbaiyán</t>
  </si>
  <si>
    <t>Asesoramiento en dirección y gestión empresarial (legales, contables, impositivos)</t>
  </si>
  <si>
    <t>2.5mil +</t>
  </si>
  <si>
    <t>Nieto/a</t>
  </si>
  <si>
    <t>Astillero naval</t>
  </si>
  <si>
    <t>Bahréin</t>
  </si>
  <si>
    <t>Auditoría</t>
  </si>
  <si>
    <t>Bangladesh</t>
  </si>
  <si>
    <t>Automotora</t>
  </si>
  <si>
    <t>Barbados</t>
  </si>
  <si>
    <t>Bancos</t>
  </si>
  <si>
    <t>&lt; 1</t>
  </si>
  <si>
    <t>Arrendamientos</t>
  </si>
  <si>
    <t>Transferencia</t>
  </si>
  <si>
    <t>Menos de 1 año</t>
  </si>
  <si>
    <t>Belarús</t>
  </si>
  <si>
    <t>Belleza / Perfumería</t>
  </si>
  <si>
    <t>1–3</t>
  </si>
  <si>
    <t>Bonos</t>
  </si>
  <si>
    <t>Transferencia de activos</t>
  </si>
  <si>
    <t>1 – 5 años</t>
  </si>
  <si>
    <t>Bélgica</t>
  </si>
  <si>
    <t>Casa de cambio</t>
  </si>
  <si>
    <t>4–6</t>
  </si>
  <si>
    <t>Dividendos</t>
  </si>
  <si>
    <t>ACAT</t>
  </si>
  <si>
    <t>5 – 10 años</t>
  </si>
  <si>
    <t>Belice</t>
  </si>
  <si>
    <t>Casinos y empresas que explotan juegos de azar</t>
  </si>
  <si>
    <t>7–9</t>
  </si>
  <si>
    <t>Divorcio</t>
  </si>
  <si>
    <t>ACH</t>
  </si>
  <si>
    <t>10 – 15 años</t>
  </si>
  <si>
    <t>Benin</t>
  </si>
  <si>
    <t>Clientes que manejen formal o informalmente fondos o valores de terceros</t>
  </si>
  <si>
    <t>10–12</t>
  </si>
  <si>
    <t>Donación</t>
  </si>
  <si>
    <t>Otros</t>
  </si>
  <si>
    <t>Más de 15 años</t>
  </si>
  <si>
    <t>Bermudas</t>
  </si>
  <si>
    <t>Comercialización y corretaje de granos</t>
  </si>
  <si>
    <t>13–15</t>
  </si>
  <si>
    <t>Herencia</t>
  </si>
  <si>
    <t>Bután</t>
  </si>
  <si>
    <t>Comerciantes mayoristas</t>
  </si>
  <si>
    <t>&gt; 15</t>
  </si>
  <si>
    <t>Patrimonio familiar</t>
  </si>
  <si>
    <t>Bolivia</t>
  </si>
  <si>
    <t>Comerciantes minoristas</t>
  </si>
  <si>
    <t>Profesión del cliente</t>
  </si>
  <si>
    <t>Bosnia y Herzegovina</t>
  </si>
  <si>
    <t>Comercio Exterior / Trading</t>
  </si>
  <si>
    <t>Venta de empresa</t>
  </si>
  <si>
    <t>Botswana</t>
  </si>
  <si>
    <t>Compraventa de objetos de arte, joyas y antigüedades</t>
  </si>
  <si>
    <t>Venta de inmuebles</t>
  </si>
  <si>
    <t>Brasil</t>
  </si>
  <si>
    <t>Concesionaria de automóviles o embarcaciones</t>
  </si>
  <si>
    <t>Inversión previa en Utmost/ITA</t>
  </si>
  <si>
    <t>Brunei</t>
  </si>
  <si>
    <t>Constructora</t>
  </si>
  <si>
    <t>Bulgaria</t>
  </si>
  <si>
    <t>Consultor en RRHH</t>
  </si>
  <si>
    <t>Burkina Faso</t>
  </si>
  <si>
    <t>Consultoría en Defensa Militar</t>
  </si>
  <si>
    <t>Cabo Verde</t>
  </si>
  <si>
    <t>Contador</t>
  </si>
  <si>
    <t>Camerún</t>
  </si>
  <si>
    <t>Corredor de Seguros</t>
  </si>
  <si>
    <t>Menos de 3 años</t>
  </si>
  <si>
    <t>Canadá</t>
  </si>
  <si>
    <t>Corredores de bolsa</t>
  </si>
  <si>
    <t>Chile</t>
  </si>
  <si>
    <t>Cultivo de productos agrícolas en combinación con la cría de animales</t>
  </si>
  <si>
    <t>China</t>
  </si>
  <si>
    <t>Deportista (no futbol)</t>
  </si>
  <si>
    <t>Chipre</t>
  </si>
  <si>
    <t>Desarrollo o venta de Software</t>
  </si>
  <si>
    <t>Cisjordania (West Bank) y Franja de Gaza</t>
  </si>
  <si>
    <t>Diplomático</t>
  </si>
  <si>
    <t>Colombia</t>
  </si>
  <si>
    <t>Director de Cine</t>
  </si>
  <si>
    <t>Me conformo con que mis inversiones renten al menos la inflación, ya que no quiero arriesgarme a perder dinero</t>
  </si>
  <si>
    <t>Congo</t>
  </si>
  <si>
    <t>Director de Fondos de Inversión</t>
  </si>
  <si>
    <t> Puedo aceptar pérdidas pequeñas a corto plazo, pero me importa la seguridad de mi inversión</t>
  </si>
  <si>
    <t>Corea del Sur</t>
  </si>
  <si>
    <t>Dirigentes y administradores de ONGs</t>
  </si>
  <si>
    <t> Me gustaría que mis inversiones rentaran más que la inflación a largo plazo, aún cuando existe algo de riesgo que éstas sufran altos y bajos en los precios en el corto plazo</t>
  </si>
  <si>
    <t>Costa de Marfil</t>
  </si>
  <si>
    <t>Diseñador gráfico/interiores/moda</t>
  </si>
  <si>
    <t> Busco el crecimiento de la inversión y estoy dispuesto a aceptar algunas pérdidas para obtener un crecimiento potencialmente mayor</t>
  </si>
  <si>
    <t>Costa Rica</t>
  </si>
  <si>
    <t>Distribuidora artículos minoristas</t>
  </si>
  <si>
    <t> Me gustaría que mis inversiones superen ampliamente la inflación a largo plazo, aún corriendo un mayor riesgo de pérdidas en el corto plazo</t>
  </si>
  <si>
    <t>Croacia</t>
  </si>
  <si>
    <t>Distribuidora de Combustibles</t>
  </si>
  <si>
    <t>Cuba</t>
  </si>
  <si>
    <t>Distribuidora de películas de cine</t>
  </si>
  <si>
    <t>Curacao</t>
  </si>
  <si>
    <t>Docente</t>
  </si>
  <si>
    <t>Generalmente entro en pánico cuando el mercado cae</t>
  </si>
  <si>
    <t>Dinamarca</t>
  </si>
  <si>
    <t>Editorial y gráfica</t>
  </si>
  <si>
    <t> Algunas veces sobre-reacciono ante las fluctuaciones del mercado</t>
  </si>
  <si>
    <t>Djibouti</t>
  </si>
  <si>
    <t>Elaboración de productos alimenticios</t>
  </si>
  <si>
    <t> Paciente pero preocupado; adopto una actitud de “esperar y ver qué pasa”</t>
  </si>
  <si>
    <t>Dominica</t>
  </si>
  <si>
    <t>Electrodomésticos y hogar</t>
  </si>
  <si>
    <t> La volatilidad en el corto plazo NO me afecta</t>
  </si>
  <si>
    <t>Ecuador</t>
  </si>
  <si>
    <t>Empleado Administrativo / de Oficina, Comercio y Servicios</t>
  </si>
  <si>
    <t>Egipto</t>
  </si>
  <si>
    <t>Empleado Bancario</t>
  </si>
  <si>
    <t>El Salvador</t>
  </si>
  <si>
    <t>Empleado Inmobiliaria</t>
  </si>
  <si>
    <t>Emiratos Árabes Unidos</t>
  </si>
  <si>
    <t>Empresa agroindustrial</t>
  </si>
  <si>
    <t>Eslovaquia</t>
  </si>
  <si>
    <t>Empresa Constructora Internacional</t>
  </si>
  <si>
    <t>Ninguno – sin conocimiento ni experiencia sobre inversiones</t>
  </si>
  <si>
    <t>Eslovenia</t>
  </si>
  <si>
    <t>Empresa de Relaciones Públicas y Comunicación</t>
  </si>
  <si>
    <t>España</t>
  </si>
  <si>
    <t>Empresa de Software y Hardware</t>
  </si>
  <si>
    <t>Estados Unidos de América</t>
  </si>
  <si>
    <t>Empresa rubro óleo químico</t>
  </si>
  <si>
    <t>Estonia</t>
  </si>
  <si>
    <t>Empresa rubro porcelanatos, griferías y sanitarios</t>
  </si>
  <si>
    <t>Etiopía</t>
  </si>
  <si>
    <t>Empresa Servicios software control aéreo</t>
  </si>
  <si>
    <t>Fiji</t>
  </si>
  <si>
    <t>Empresa textil</t>
  </si>
  <si>
    <t>Filipinas</t>
  </si>
  <si>
    <t>Empresas Financieras no Bancarias</t>
  </si>
  <si>
    <t>Finlandia</t>
  </si>
  <si>
    <t>Escribanos</t>
  </si>
  <si>
    <t>Francés Guayana</t>
  </si>
  <si>
    <t>Francia</t>
  </si>
  <si>
    <t>Explotación ganadera</t>
  </si>
  <si>
    <t>Gabón</t>
  </si>
  <si>
    <t>Exportadores</t>
  </si>
  <si>
    <t>Más del 75%</t>
  </si>
  <si>
    <t>Gambia</t>
  </si>
  <si>
    <t>Fabricación de productos de plástico</t>
  </si>
  <si>
    <t> Entre 50% - 75%</t>
  </si>
  <si>
    <t>Georgia</t>
  </si>
  <si>
    <t>Fabricación de vehículos automotores</t>
  </si>
  <si>
    <t> Entre 25% - 50%</t>
  </si>
  <si>
    <t>Ghana</t>
  </si>
  <si>
    <t>Farmaceutica Internacional</t>
  </si>
  <si>
    <t> Menos de 25%</t>
  </si>
  <si>
    <t>Gibraltar</t>
  </si>
  <si>
    <t>Fotógrafo profesional</t>
  </si>
  <si>
    <t>Granada</t>
  </si>
  <si>
    <t>Free shop</t>
  </si>
  <si>
    <t>Grecia</t>
  </si>
  <si>
    <t>Funcionario público del area financiera</t>
  </si>
  <si>
    <t>Guam</t>
  </si>
  <si>
    <t>Funcionario público no PEP</t>
  </si>
  <si>
    <t>Guatemala</t>
  </si>
  <si>
    <t>Fundaciones</t>
  </si>
  <si>
    <t>Guernsey</t>
  </si>
  <si>
    <t>Futbolista</t>
  </si>
  <si>
    <t>Guyana</t>
  </si>
  <si>
    <t>Gastronomía</t>
  </si>
  <si>
    <t>Haití</t>
  </si>
  <si>
    <t>Gerente de empresa no financiera</t>
  </si>
  <si>
    <t>Honduras</t>
  </si>
  <si>
    <t>Gerentes de producción, operaciones, compras y comercial</t>
  </si>
  <si>
    <t>Hong Kong</t>
  </si>
  <si>
    <t>Hotelería</t>
  </si>
  <si>
    <t>Hungría</t>
  </si>
  <si>
    <t>Importación y comercialización de maquinaria agrícola</t>
  </si>
  <si>
    <t>India</t>
  </si>
  <si>
    <t>Importación y comercialización de productos para la industria minera y petrolera</t>
  </si>
  <si>
    <t>Indonesia</t>
  </si>
  <si>
    <t>Importadores</t>
  </si>
  <si>
    <t>Irán</t>
  </si>
  <si>
    <t>Industria Farmacéutica nacional</t>
  </si>
  <si>
    <t>Irlanda</t>
  </si>
  <si>
    <t>Industria Forestal</t>
  </si>
  <si>
    <t>Isla de Man</t>
  </si>
  <si>
    <t>Industria Metalúrgica</t>
  </si>
  <si>
    <t>Islandia</t>
  </si>
  <si>
    <t>Industria Petroquímica</t>
  </si>
  <si>
    <t>Islas Cook</t>
  </si>
  <si>
    <t>Ingeniero / Arquitecto</t>
  </si>
  <si>
    <t>Islas Feroe</t>
  </si>
  <si>
    <t>Inmobiliaria</t>
  </si>
  <si>
    <t>Islas Malvinas</t>
  </si>
  <si>
    <t>Intermediación financiera</t>
  </si>
  <si>
    <t>Islas Svalbard y Jan Mayen</t>
  </si>
  <si>
    <t>Jubilado</t>
  </si>
  <si>
    <t>Islas Turcas y Caicos</t>
  </si>
  <si>
    <t>Juez</t>
  </si>
  <si>
    <t>Islas Vírgenes Británicas</t>
  </si>
  <si>
    <t>Juguetería</t>
  </si>
  <si>
    <t>Islas Vírgenes de EE.UU.</t>
  </si>
  <si>
    <t>Librería / papelería</t>
  </si>
  <si>
    <t>Israel</t>
  </si>
  <si>
    <t>Muebles y equipamiento</t>
  </si>
  <si>
    <t>Italia</t>
  </si>
  <si>
    <t>Oficios (electricista, carpintero, pintor, etc.)</t>
  </si>
  <si>
    <t>Jamaica</t>
  </si>
  <si>
    <t>Organizaciones Benéficas</t>
  </si>
  <si>
    <t>Japón</t>
  </si>
  <si>
    <t>Organizaciones Eclesiásticas</t>
  </si>
  <si>
    <t>Jersey</t>
  </si>
  <si>
    <t>Paisajista y jardinería</t>
  </si>
  <si>
    <t>Jordania</t>
  </si>
  <si>
    <t>Pintor de murales</t>
  </si>
  <si>
    <t>Kazajstán</t>
  </si>
  <si>
    <t>Politólogo</t>
  </si>
  <si>
    <t>Kenya</t>
  </si>
  <si>
    <t>Productor Agropecuario</t>
  </si>
  <si>
    <t>Kiribati</t>
  </si>
  <si>
    <t>Productor Audiovisual</t>
  </si>
  <si>
    <t>Kuwait</t>
  </si>
  <si>
    <t>Productor Frutihorticola</t>
  </si>
  <si>
    <t>Las Bahamas</t>
  </si>
  <si>
    <t>Profesional universitario Minera o Petrolera</t>
  </si>
  <si>
    <t>Las Islas Caimán</t>
  </si>
  <si>
    <t>Profesional universitario que maneje formal o informalmente fondos de terceros</t>
  </si>
  <si>
    <t>Las Islas Marshall</t>
  </si>
  <si>
    <t>Profesional universitario que no maneje fondos de terceros</t>
  </si>
  <si>
    <t>Las Islas Salomón</t>
  </si>
  <si>
    <t>Profesionales de la salud (no prod. medicamentos)</t>
  </si>
  <si>
    <t>Lesotho</t>
  </si>
  <si>
    <t>Publicidad y Marketing</t>
  </si>
  <si>
    <t>Liberia</t>
  </si>
  <si>
    <t>Referenciador</t>
  </si>
  <si>
    <t>Liechtenstein</t>
  </si>
  <si>
    <t>Relaciones de Correspondalía</t>
  </si>
  <si>
    <t>Lituania</t>
  </si>
  <si>
    <t>Remate / casas de empeño</t>
  </si>
  <si>
    <t>Luxemburgo</t>
  </si>
  <si>
    <t>Remesas / Envío de fondos</t>
  </si>
  <si>
    <t>Macao</t>
  </si>
  <si>
    <t>Rentista</t>
  </si>
  <si>
    <t>Malasia</t>
  </si>
  <si>
    <t>Representantes, contratistas y personas vinculadas al Fútbol</t>
  </si>
  <si>
    <t>Malawi</t>
  </si>
  <si>
    <t>Servicio de Pago Beneficio Alimenticio</t>
  </si>
  <si>
    <t>Malta</t>
  </si>
  <si>
    <t>Servicios agrícolas</t>
  </si>
  <si>
    <t>Marianas del Norte</t>
  </si>
  <si>
    <t>Servicios electromecánicos y obras</t>
  </si>
  <si>
    <t>Marruecos</t>
  </si>
  <si>
    <t>Servicios ganaderos</t>
  </si>
  <si>
    <t>Mauricio</t>
  </si>
  <si>
    <t>Servicios Tecnológicos de Automatización y proyectos de Ingeniería</t>
  </si>
  <si>
    <t>México</t>
  </si>
  <si>
    <t>Sociedad de Bolsa</t>
  </si>
  <si>
    <t>Mónaco</t>
  </si>
  <si>
    <t>Socio/ Presidente/ Dueño</t>
  </si>
  <si>
    <t>Mongolia</t>
  </si>
  <si>
    <t>Tabacalera</t>
  </si>
  <si>
    <t>Montenegro</t>
  </si>
  <si>
    <t>Tecnología (exceptuando software)</t>
  </si>
  <si>
    <t>Montserrat</t>
  </si>
  <si>
    <t>Tesorero</t>
  </si>
  <si>
    <t>Namibia</t>
  </si>
  <si>
    <t>Traductor</t>
  </si>
  <si>
    <t>Nauru</t>
  </si>
  <si>
    <t>Transporte de Carga</t>
  </si>
  <si>
    <t>Nepal</t>
  </si>
  <si>
    <t>Transporte Internacional</t>
  </si>
  <si>
    <t>Nicaragua</t>
  </si>
  <si>
    <t>Transporte Nacional</t>
  </si>
  <si>
    <t>Níger</t>
  </si>
  <si>
    <t>Vendedor empresa comercial</t>
  </si>
  <si>
    <t>Nigeria</t>
  </si>
  <si>
    <t>Vestimenta</t>
  </si>
  <si>
    <t>Niue</t>
  </si>
  <si>
    <t>Veterinario</t>
  </si>
  <si>
    <t>Noruega</t>
  </si>
  <si>
    <t>Viveros</t>
  </si>
  <si>
    <t>Nueva Zelanda</t>
  </si>
  <si>
    <t>Omán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</si>
  <si>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</si>
  <si>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</si>
  <si>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</si>
  <si>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</si>
  <si>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</si>
  <si>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</si>
  <si>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</si>
  <si>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</si>
  <si>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</si>
  <si>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</t>
  </si>
  <si>
    <t>Portafolio 1</t>
  </si>
  <si>
    <t> Portafolio 2</t>
  </si>
  <si>
    <t>República Checa</t>
  </si>
  <si>
    <t> Portafolio 3</t>
  </si>
  <si>
    <t>República Dominicana</t>
  </si>
  <si>
    <t>Rumania</t>
  </si>
  <si>
    <t>Rusia</t>
  </si>
  <si>
    <t>Rwanda</t>
  </si>
  <si>
    <t>Sáhara Occidental</t>
  </si>
  <si>
    <t>Saint Kitts y Nevis</t>
  </si>
  <si>
    <t>Samoa</t>
  </si>
  <si>
    <t>Portafolio A</t>
  </si>
  <si>
    <t>San Marino</t>
  </si>
  <si>
    <t>San Vicente y las Granadinas</t>
  </si>
  <si>
    <t>Santa Elena</t>
  </si>
  <si>
    <t>Santa Lucía</t>
  </si>
  <si>
    <t>Santo Tomé y Príncipe</t>
  </si>
  <si>
    <t>Senegal</t>
  </si>
  <si>
    <t>Seychelles</t>
  </si>
  <si>
    <t>Sierra Leona</t>
  </si>
  <si>
    <t>Singapur</t>
  </si>
  <si>
    <t>Sri Lanka</t>
  </si>
  <si>
    <t>Sudáfrica</t>
  </si>
  <si>
    <t>Sudán del Sur</t>
  </si>
  <si>
    <t>Suecia</t>
  </si>
  <si>
    <t>Suiza</t>
  </si>
  <si>
    <t>Suriname</t>
  </si>
  <si>
    <t>Swazilandia</t>
  </si>
  <si>
    <t>Tailandia</t>
  </si>
  <si>
    <t>Taiwan</t>
  </si>
  <si>
    <t>Tanzania</t>
  </si>
  <si>
    <t>Tayikistán</t>
  </si>
  <si>
    <t>Togo</t>
  </si>
  <si>
    <t>Tonga</t>
  </si>
  <si>
    <t>Trinidad y Tobago</t>
  </si>
  <si>
    <t>Túnez</t>
  </si>
  <si>
    <t>Vender el 100% de los fondos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</si>
  <si>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</si>
  <si>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</si>
  <si>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</si>
  <si>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</si>
  <si>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</si>
  <si>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</si>
  <si>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</si>
  <si>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</si>
  <si>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Zambia</t>
  </si>
  <si>
    <t xml:space="preserve">Datos Titular </t>
  </si>
  <si>
    <t>Rut</t>
  </si>
  <si>
    <t>Profesión del Cliente</t>
  </si>
  <si>
    <t>Antigüedad laboral (en años)</t>
  </si>
  <si>
    <t>EXPLICAR Detalle</t>
  </si>
  <si>
    <t>Origen de los fondos</t>
  </si>
  <si>
    <t>Identificación fiscal (rut)</t>
  </si>
  <si>
    <t>Individual</t>
  </si>
  <si>
    <t>Apoderado para enviar órdenes (Averta Support)</t>
  </si>
  <si>
    <t>Mail autorizado (Averta Support)</t>
  </si>
  <si>
    <t>Fee anual (%management fee)</t>
  </si>
  <si>
    <t>Dealing Fee (poner 0 USD)</t>
  </si>
  <si>
    <t xml:space="preserve">Tipo de documento </t>
  </si>
  <si>
    <t>Número de documento (rut)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</si>
</sst>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 %&quot;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333333"/>
      <name val="Nexa-Book"/>
    </font>
    <font>
      <sz val="11"/>
      <color theme="1"/>
      <name val="Segoe UI"/>
      <family val="2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FS Elliot Pro"/>
      <family val="3"/>
    </font>
    <font>
      <sz val="11"/>
      <color theme="1"/>
      <name val="FS Elliot Pro"/>
      <family val="3"/>
    </font>
    <font>
      <sz val="11"/>
      <color theme="0"/>
      <name val="FS Elliot Pro"/>
      <family val="3"/>
    </font>
    <font>
      <b/>
      <sz val="11"/>
      <color theme="1"/>
      <name val="FS Elliot Pro"/>
      <family val="3"/>
    </font>
    <font>
      <b/>
      <sz val="12"/>
      <color theme="1"/>
      <name val="FS Elliot Pro"/>
      <family val="3"/>
    </font>
    <font>
      <b/>
      <sz val="14"/>
      <color theme="1"/>
      <name val="FS Elliot Pro"/>
      <family val="3"/>
    </font>
    <font>
      <b/>
      <sz val="20"/>
      <color theme="1"/>
      <name val="FS Elliot Pro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3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0" fontId="3" fillId="4" borderId="0" xfId="0" applyFont="1" applyFill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7" fillId="0" borderId="0" xfId="0" applyFont="1" applyAlignment="1">
      <alignment horizontal="left" vertical="center" wrapText="1" indent="1"/>
    </xf>
    <xf numFmtId="0" fontId="0" fillId="4" borderId="3" xfId="0" applyFill="1" applyBorder="1"/>
    <xf numFmtId="0" fontId="0" fillId="2" borderId="5" xfId="0" applyFill="1" applyBorder="1" applyAlignment="1">
      <alignment horizontal="left"/>
    </xf>
    <xf numFmtId="0" fontId="0" fillId="3" borderId="5" xfId="0" applyFill="1" applyBorder="1" applyAlignment="1">
      <alignment wrapText="1"/>
    </xf>
    <xf numFmtId="0" fontId="0" fillId="2" borderId="6" xfId="0" applyFill="1" applyBorder="1"/>
    <xf numFmtId="0" fontId="4" fillId="2" borderId="0" xfId="0" applyFont="1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7" xfId="0" applyFill="1" applyBorder="1"/>
    <xf numFmtId="3" fontId="0" fillId="2" borderId="3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3" borderId="7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left"/>
    </xf>
    <xf numFmtId="0" fontId="0" fillId="6" borderId="8" xfId="0" applyFill="1" applyBorder="1" applyAlignment="1">
      <alignment horizontal="center"/>
    </xf>
    <xf numFmtId="14" fontId="0" fillId="6" borderId="8" xfId="0" applyNumberFormat="1" applyFill="1" applyBorder="1" applyAlignment="1">
      <alignment horizontal="left"/>
    </xf>
    <xf numFmtId="14" fontId="0" fillId="6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center"/>
    </xf>
    <xf numFmtId="0" fontId="0" fillId="6" borderId="8" xfId="0" applyFill="1" applyBorder="1"/>
    <xf numFmtId="0" fontId="0" fillId="6" borderId="9" xfId="0" applyFill="1" applyBorder="1" applyAlignment="1">
      <alignment horizontal="left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horizontal="left"/>
    </xf>
    <xf numFmtId="0" fontId="3" fillId="4" borderId="0" xfId="0" applyFont="1" applyFill="1" applyAlignment="1">
      <alignment horizontal="left" wrapText="1"/>
    </xf>
    <xf numFmtId="0" fontId="0" fillId="4" borderId="1" xfId="0" applyFill="1" applyBorder="1" applyAlignment="1">
      <alignment wrapText="1"/>
    </xf>
    <xf numFmtId="0" fontId="6" fillId="4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3" fillId="4" borderId="2" xfId="0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0" fillId="7" borderId="0" xfId="0" applyFill="1" applyAlignment="1">
      <alignment horizontal="left"/>
    </xf>
    <xf numFmtId="0" fontId="1" fillId="5" borderId="0" xfId="0" applyFont="1" applyFill="1" applyAlignment="1">
      <alignment wrapText="1"/>
    </xf>
    <xf numFmtId="0" fontId="12" fillId="2" borderId="0" xfId="0" applyFont="1" applyFill="1"/>
    <xf numFmtId="0" fontId="13" fillId="2" borderId="0" xfId="0" applyFont="1" applyFill="1"/>
    <xf numFmtId="0" fontId="12" fillId="5" borderId="3" xfId="0" applyFont="1" applyFill="1" applyBorder="1"/>
    <xf numFmtId="0" fontId="12" fillId="5" borderId="3" xfId="0" applyFont="1" applyFill="1" applyBorder="1" applyAlignment="1">
      <alignment horizontal="left"/>
    </xf>
    <xf numFmtId="0" fontId="12" fillId="5" borderId="0" xfId="0" applyFont="1" applyFill="1"/>
    <xf numFmtId="0" fontId="12" fillId="5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1" fillId="2" borderId="0" xfId="0" applyFont="1" applyFill="1"/>
    <xf numFmtId="0" fontId="14" fillId="3" borderId="0" xfId="0" applyFont="1" applyFill="1" applyAlignment="1">
      <alignment wrapText="1"/>
    </xf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12" fillId="0" borderId="0" xfId="0" applyFont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4" fillId="3" borderId="0" xfId="0" applyFont="1" applyFill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4" fillId="2" borderId="0" xfId="0" applyFont="1" applyFill="1" applyAlignment="1">
      <alignment vertical="top"/>
    </xf>
    <xf numFmtId="0" fontId="11" fillId="2" borderId="0" xfId="0" applyFont="1" applyFill="1" applyAlignment="1">
      <alignment horizontal="center"/>
    </xf>
    <xf numFmtId="0" fontId="12" fillId="3" borderId="1" xfId="0" applyFont="1" applyFill="1" applyBorder="1"/>
    <xf numFmtId="0" fontId="12" fillId="6" borderId="1" xfId="0" applyFont="1" applyFill="1" applyBorder="1" applyAlignment="1">
      <alignment horizontal="left"/>
    </xf>
    <xf numFmtId="0" fontId="12" fillId="2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3" borderId="3" xfId="0" applyFont="1" applyFill="1" applyBorder="1"/>
    <xf numFmtId="0" fontId="12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5" fillId="2" borderId="0" xfId="0" applyFont="1" applyFill="1"/>
    <xf numFmtId="14" fontId="12" fillId="2" borderId="3" xfId="0" applyNumberFormat="1" applyFont="1" applyFill="1" applyBorder="1" applyAlignment="1">
      <alignment horizontal="left"/>
    </xf>
    <xf numFmtId="0" fontId="12" fillId="3" borderId="3" xfId="0" applyFont="1" applyFill="1" applyBorder="1" applyAlignment="1">
      <alignment wrapText="1"/>
    </xf>
    <xf numFmtId="0" fontId="16" fillId="3" borderId="2" xfId="0" applyFont="1" applyFill="1" applyBorder="1" applyAlignment="1">
      <alignment horizontal="center"/>
    </xf>
    <xf numFmtId="0" fontId="16" fillId="2" borderId="0" xfId="0" applyFont="1" applyFill="1"/>
    <xf numFmtId="1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wrapText="1"/>
    </xf>
    <xf numFmtId="0" fontId="12" fillId="3" borderId="10" xfId="0" applyFont="1" applyFill="1" applyBorder="1" applyAlignment="1">
      <alignment wrapText="1"/>
    </xf>
    <xf numFmtId="0" fontId="12" fillId="2" borderId="0" xfId="0" applyFont="1" applyFill="1" applyAlignment="1">
      <alignment wrapText="1"/>
    </xf>
    <xf numFmtId="0" fontId="12" fillId="2" borderId="3" xfId="0" applyFont="1" applyFill="1" applyBorder="1"/>
    <xf numFmtId="0" fontId="15" fillId="2" borderId="0" xfId="0" applyFont="1" applyFill="1" applyAlignment="1">
      <alignment horizontal="center" wrapText="1"/>
    </xf>
    <xf numFmtId="0" fontId="12" fillId="6" borderId="1" xfId="0" applyFont="1" applyFill="1" applyBorder="1" applyAlignment="1">
      <alignment horizontal="center"/>
    </xf>
    <xf numFmtId="0" fontId="14" fillId="2" borderId="0" xfId="0" applyFont="1" applyFill="1"/>
    <xf numFmtId="14" fontId="12" fillId="6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3" borderId="7" xfId="0" applyFont="1" applyFill="1" applyBorder="1"/>
    <xf numFmtId="0" fontId="15" fillId="2" borderId="0" xfId="0" applyFont="1" applyFill="1" applyAlignment="1">
      <alignment horizontal="center"/>
    </xf>
    <xf numFmtId="0" fontId="12" fillId="3" borderId="7" xfId="0" applyFont="1" applyFill="1" applyBorder="1" applyAlignment="1">
      <alignment wrapText="1"/>
    </xf>
    <xf numFmtId="0" fontId="12" fillId="6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left" wrapText="1"/>
    </xf>
    <xf numFmtId="0" fontId="16" fillId="2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2" fillId="2" borderId="0" xfId="0" applyFont="1" applyFill="1" applyProtection="1">
      <protection hidden="1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2" fillId="6" borderId="10" xfId="0" applyFont="1" applyFill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/>
    </xf>
    <xf numFmtId="0" fontId="14" fillId="3" borderId="0" xfId="0" applyFont="1" applyFill="1" applyAlignment="1">
      <alignment horizontal="left" wrapText="1"/>
    </xf>
    <xf numFmtId="0" fontId="11" fillId="5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  <border>
        <left/>
        <right/>
        <top/>
        <bottom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14</xdr:row>
      <xdr:rowOff>15240</xdr:rowOff>
    </xdr:from>
    <xdr:ext cx="2421255" cy="1285817"/>
    <xdr:pic>
      <xdr:nvPicPr>
        <xdr:cNvPr id="2" name="Imagen 1">
          <a:extLst>
            <a:ext uri="{FF2B5EF4-FFF2-40B4-BE49-F238E27FC236}">
              <a16:creationId xmlns:a16="http://schemas.microsoft.com/office/drawing/2014/main" id="{E273D080-E9CA-49EB-8A20-BA7DDA0A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682240"/>
          <a:ext cx="2421255" cy="1285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220980</xdr:colOff>
      <xdr:row>16</xdr:row>
      <xdr:rowOff>251460</xdr:rowOff>
    </xdr:from>
    <xdr:ext cx="2156460" cy="1143648"/>
    <xdr:pic>
      <xdr:nvPicPr>
        <xdr:cNvPr id="3" name="Imagen 2">
          <a:extLst>
            <a:ext uri="{FF2B5EF4-FFF2-40B4-BE49-F238E27FC236}">
              <a16:creationId xmlns:a16="http://schemas.microsoft.com/office/drawing/2014/main" id="{47CCD762-F900-420B-A961-DF4FDA670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3242310"/>
          <a:ext cx="2156460" cy="11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40</xdr:row>
      <xdr:rowOff>15239</xdr:rowOff>
    </xdr:from>
    <xdr:to>
      <xdr:col>0</xdr:col>
      <xdr:colOff>4154154</xdr:colOff>
      <xdr:row>41</xdr:row>
      <xdr:rowOff>275657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D1473153-55B4-4321-8E1A-272DFC91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8228600"/>
          <a:ext cx="3225196" cy="198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220980</xdr:colOff>
      <xdr:row>42</xdr:row>
      <xdr:rowOff>251459</xdr:rowOff>
    </xdr:from>
    <xdr:to>
      <xdr:col>0</xdr:col>
      <xdr:colOff>3250560</xdr:colOff>
      <xdr:row>43</xdr:row>
      <xdr:rowOff>86504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D7598115-EF9A-4757-8DEC-BB13EB2C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0307361"/>
          <a:ext cx="3029580" cy="1606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76910</xdr:colOff>
      <xdr:row>19</xdr:row>
      <xdr:rowOff>14642</xdr:rowOff>
    </xdr:from>
    <xdr:to>
      <xdr:col>2</xdr:col>
      <xdr:colOff>2004515</xdr:colOff>
      <xdr:row>20</xdr:row>
      <xdr:rowOff>71082</xdr:rowOff>
    </xdr:to>
    <xdr:sp macro="" textlink="">
      <xdr:nvSpPr>
        <xdr:cNvPr id="215" name="Rectángulo 2">
          <a:extLst>
            <a:ext uri="{FF2B5EF4-FFF2-40B4-BE49-F238E27FC236}">
              <a16:creationId xmlns:a16="http://schemas.microsoft.com/office/drawing/2014/main" id="{60E086B4-CDC2-43D9-A024-8FA3A1F2C327}"/>
            </a:ext>
          </a:extLst>
        </xdr:cNvPr>
        <xdr:cNvSpPr/>
      </xdr:nvSpPr>
      <xdr:spPr>
        <a:xfrm>
          <a:off x="7398365" y="3753560"/>
          <a:ext cx="1927605" cy="2412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Rep Code es el Id del asesor</a:t>
          </a:r>
        </a:p>
      </xdr:txBody>
    </xdr:sp>
    <xdr:clientData/>
  </xdr:twoCellAnchor>
  <xdr:twoCellAnchor>
    <xdr:from>
      <xdr:col>2</xdr:col>
      <xdr:colOff>93638</xdr:colOff>
      <xdr:row>122</xdr:row>
      <xdr:rowOff>42933</xdr:rowOff>
    </xdr:from>
    <xdr:to>
      <xdr:col>2</xdr:col>
      <xdr:colOff>1549589</xdr:colOff>
      <xdr:row>123</xdr:row>
      <xdr:rowOff>113732</xdr:rowOff>
    </xdr:to>
    <xdr:sp macro="" textlink="">
      <xdr:nvSpPr>
        <xdr:cNvPr id="213" name="Rectángulo 3">
          <a:extLst>
            <a:ext uri="{FF2B5EF4-FFF2-40B4-BE49-F238E27FC236}">
              <a16:creationId xmlns:a16="http://schemas.microsoft.com/office/drawing/2014/main" id="{79D781C6-5247-4DD8-B9C7-572447A4CE6F}"/>
            </a:ext>
          </a:extLst>
        </xdr:cNvPr>
        <xdr:cNvSpPr/>
      </xdr:nvSpPr>
      <xdr:spPr>
        <a:xfrm>
          <a:off x="7415093" y="43502523"/>
          <a:ext cx="1455951" cy="2556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Poner datos del asesor</a:t>
          </a:r>
        </a:p>
      </xdr:txBody>
    </xdr:sp>
    <xdr:clientData/>
  </xdr:twoCellAnchor>
  <xdr:twoCellAnchor>
    <xdr:from>
      <xdr:col>0</xdr:col>
      <xdr:colOff>127948</xdr:colOff>
      <xdr:row>1</xdr:row>
      <xdr:rowOff>14216</xdr:rowOff>
    </xdr:from>
    <xdr:to>
      <xdr:col>2</xdr:col>
      <xdr:colOff>0</xdr:colOff>
      <xdr:row>14</xdr:row>
      <xdr:rowOff>74635</xdr:rowOff>
    </xdr:to>
    <xdr:sp macro="" textlink="">
      <xdr:nvSpPr>
        <xdr:cNvPr id="241" name="Rectángulo 5">
          <a:extLst>
            <a:ext uri="{FF2B5EF4-FFF2-40B4-BE49-F238E27FC236}">
              <a16:creationId xmlns:a16="http://schemas.microsoft.com/office/drawing/2014/main" id="{C643A520-58E7-41B1-A9F5-38B4D09D0530}"/>
            </a:ext>
          </a:extLst>
        </xdr:cNvPr>
        <xdr:cNvSpPr/>
      </xdr:nvSpPr>
      <xdr:spPr>
        <a:xfrm>
          <a:off x="127948" y="199029"/>
          <a:ext cx="7193507" cy="246299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s-ES" sz="1100" b="1" u="sng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Información a adjuntar Persona Natural: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buFont typeface="Symbol" panose="05050102010706020507" pitchFamily="18" charset="2"/>
            <a:buChar char="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ID vigente del titular - cédula de identidad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buFont typeface="Symbol" panose="05050102010706020507" pitchFamily="18" charset="2"/>
            <a:buChar char="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Evidencia de domicilio vigente del titular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buFont typeface="Symbol" panose="05050102010706020507" pitchFamily="18" charset="2"/>
            <a:buChar char="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Estado de cuenta actual desde donde se transferirán los fondos, que sustente el monto de la inversión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buFont typeface="Symbol" panose="05050102010706020507" pitchFamily="18" charset="2"/>
            <a:buChar char="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Evidenciar como se generaron los fondos a invertir, por ejemplo: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742950" lvl="1" indent="-285750">
            <a:lnSpc>
              <a:spcPct val="107000"/>
            </a:lnSpc>
            <a:buFont typeface="Courier New" panose="02070309020205020404" pitchFamily="49" charset="0"/>
            <a:buChar char="o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Venta de propiedad – presentar contrato de compraventa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742950" lvl="1" indent="-285750">
            <a:lnSpc>
              <a:spcPct val="107000"/>
            </a:lnSpc>
            <a:buFont typeface="Courier New" panose="02070309020205020404" pitchFamily="49" charset="0"/>
            <a:buChar char="o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Herencia – presentar adjudicación por sucesión 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742950" lvl="1" indent="-285750">
            <a:lnSpc>
              <a:spcPct val="107000"/>
            </a:lnSpc>
            <a:buFont typeface="Courier New" panose="02070309020205020404" pitchFamily="49" charset="0"/>
            <a:buChar char="o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Ingresos regulares – declaración jurada o recibos de ingresos regulares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742950" lvl="1" indent="-285750">
            <a:lnSpc>
              <a:spcPct val="107000"/>
            </a:lnSpc>
            <a:buFont typeface="Courier New" panose="02070309020205020404" pitchFamily="49" charset="0"/>
            <a:buChar char="o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Profesión del cliente – ingresos regulares / declaración jurada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s-ES" sz="11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Solo se aceptará la presentación de declaración jurada del titular como evidencia válida de sus ingresos regulares.  </a:t>
          </a:r>
          <a:endParaRPr lang="es-CL" sz="11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72929</xdr:colOff>
      <xdr:row>15</xdr:row>
      <xdr:rowOff>252342</xdr:rowOff>
    </xdr:from>
    <xdr:to>
      <xdr:col>2</xdr:col>
      <xdr:colOff>2000534</xdr:colOff>
      <xdr:row>18</xdr:row>
      <xdr:rowOff>28434</xdr:rowOff>
    </xdr:to>
    <xdr:sp macro="" textlink="">
      <xdr:nvSpPr>
        <xdr:cNvPr id="212" name="Rectángulo 6">
          <a:extLst>
            <a:ext uri="{FF2B5EF4-FFF2-40B4-BE49-F238E27FC236}">
              <a16:creationId xmlns:a16="http://schemas.microsoft.com/office/drawing/2014/main" id="{5BAC7CB7-09CE-4D82-9591-1A6737C3C583}"/>
            </a:ext>
          </a:extLst>
        </xdr:cNvPr>
        <xdr:cNvSpPr/>
      </xdr:nvSpPr>
      <xdr:spPr>
        <a:xfrm>
          <a:off x="7394384" y="3024543"/>
          <a:ext cx="1927605" cy="4442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/>
            <a:t>Individual:</a:t>
          </a:r>
          <a:r>
            <a:rPr lang="es-CL" sz="1100" baseline="0"/>
            <a:t> Persona Natural</a:t>
          </a:r>
        </a:p>
        <a:p>
          <a:pPr algn="l"/>
          <a:r>
            <a:rPr lang="es-CL" sz="1100" b="1" baseline="0"/>
            <a:t>Corporativo</a:t>
          </a:r>
          <a:r>
            <a:rPr lang="es-CL" sz="1100" baseline="0"/>
            <a:t>: Persona Jurídica</a:t>
          </a:r>
        </a:p>
      </xdr:txBody>
    </xdr:sp>
    <xdr:clientData/>
  </xdr:twoCellAnchor>
  <xdr:twoCellAnchor>
    <xdr:from>
      <xdr:col>0</xdr:col>
      <xdr:colOff>1610846</xdr:colOff>
      <xdr:row>144</xdr:row>
      <xdr:rowOff>126066</xdr:rowOff>
    </xdr:from>
    <xdr:to>
      <xdr:col>2</xdr:col>
      <xdr:colOff>1764176</xdr:colOff>
      <xdr:row>152</xdr:row>
      <xdr:rowOff>75288</xdr:rowOff>
    </xdr:to>
    <xdr:sp macro="" textlink="">
      <xdr:nvSpPr>
        <xdr:cNvPr id="3" name="Rectángulo 5">
          <a:extLst>
            <a:ext uri="{FF2B5EF4-FFF2-40B4-BE49-F238E27FC236}">
              <a16:creationId xmlns:a16="http://schemas.microsoft.com/office/drawing/2014/main" id="{BAA57622-68A6-4693-BFBB-8FC9B1577B51}"/>
            </a:ext>
          </a:extLst>
        </xdr:cNvPr>
        <xdr:cNvSpPr/>
      </xdr:nvSpPr>
      <xdr:spPr>
        <a:xfrm>
          <a:off x="1610846" y="50062279"/>
          <a:ext cx="7675279" cy="1518046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s-CL" sz="1400"/>
            <a:t>“</a:t>
          </a:r>
          <a:r>
            <a:rPr lang="es-CL" sz="1400" i="1"/>
            <a:t>Autorizo el tratamiento de mis datos personales con la finalidad de gestionar mi enrolamiento en la plataforma Stonex y en los sistemas de AIVA, así como para permitir la correcta administración y monitoreo de mis inversiones.  El tratamiento de mis datos se realizará únicamente mientras mantenga vigente mi relación con los servicios contratados o mientras resulte necesario para la adecuada gestión de mis inversiones. El responsable del tratamiento se obliga a utilizar mis datos exclusivamente para las finalidades señaladas y conforme a la normativa aplicable en materia de protección de datos personales."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220980</xdr:colOff>
      <xdr:row>94</xdr:row>
      <xdr:rowOff>251460</xdr:rowOff>
    </xdr:from>
    <xdr:to>
      <xdr:col>6</xdr:col>
      <xdr:colOff>91440</xdr:colOff>
      <xdr:row>147</xdr:row>
      <xdr:rowOff>137808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38A41-156D-4755-B3DB-2AEF36DD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5385435"/>
          <a:ext cx="2156460" cy="11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22</xdr:row>
      <xdr:rowOff>15240</xdr:rowOff>
    </xdr:from>
    <xdr:to>
      <xdr:col>0</xdr:col>
      <xdr:colOff>2489835</xdr:colOff>
      <xdr:row>23</xdr:row>
      <xdr:rowOff>8970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D069D0-4AD5-4EBB-90CE-36B5C0D0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3291840"/>
          <a:ext cx="2421255" cy="1289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220980</xdr:colOff>
      <xdr:row>24</xdr:row>
      <xdr:rowOff>251460</xdr:rowOff>
    </xdr:from>
    <xdr:to>
      <xdr:col>0</xdr:col>
      <xdr:colOff>2377440</xdr:colOff>
      <xdr:row>24</xdr:row>
      <xdr:rowOff>1395108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6FF8B-6100-4CCC-8B3B-663791F4D41A}"/>
            </a:ext>
            <a:ext uri="{147F2762-F138-4A5C-976F-8EAC2B608ADB}">
              <a16:predDERef xmlns:a16="http://schemas.microsoft.com/office/drawing/2014/main" pred="{A3D069D0-4AD5-4EBB-90CE-36B5C0D0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5128260"/>
          <a:ext cx="2156460" cy="11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104957</xdr:rowOff>
    </xdr:from>
    <xdr:to>
      <xdr:col>1</xdr:col>
      <xdr:colOff>2850336</xdr:colOff>
      <xdr:row>193</xdr:row>
      <xdr:rowOff>121884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B93FC8FF-8319-28B4-7FCD-3520127E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975986"/>
          <a:ext cx="6326961" cy="401742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DE8D-A354-4A6C-9FE1-EF151A58D5FC}">
  <dimension ref="A2:Y166"/>
  <sheetViews>
    <sheetView topLeftCell="A45" zoomScale="115" zoomScaleNormal="115" workbookViewId="0">
      <selection activeCell="D27" sqref="D27"/>
    </sheetView>
  </sheetViews>
  <sheetFormatPr baseColWidth="10" defaultColWidth="11.5703125" defaultRowHeight="15"/>
  <cols>
    <col min="1" max="1" width="49.140625" style="2" customWidth="1"/>
    <col min="2" max="2" width="47.85546875" style="22" customWidth="1"/>
    <col min="3" max="3" width="44.7109375" style="2" customWidth="1"/>
    <col min="4" max="4" width="39.7109375" style="2" customWidth="1"/>
    <col min="5" max="5" width="42.85546875" style="2" customWidth="1"/>
    <col min="6" max="6" width="52.42578125" style="2" customWidth="1"/>
    <col min="7" max="7" width="48" style="2" customWidth="1"/>
    <col min="8" max="8" width="28" style="2" customWidth="1"/>
    <col min="9" max="9" width="55.5703125" style="2" customWidth="1"/>
    <col min="10" max="10" width="26.85546875" style="2" customWidth="1"/>
    <col min="11" max="11" width="28.42578125" style="2" customWidth="1"/>
    <col min="12" max="12" width="42.140625" style="2" customWidth="1"/>
    <col min="13" max="19" width="11.5703125" style="2"/>
    <col min="20" max="20" width="110.5703125" style="20" customWidth="1"/>
    <col min="21" max="23" width="11.5703125" style="20"/>
    <col min="24" max="16384" width="11.5703125" style="2"/>
  </cols>
  <sheetData>
    <row r="2" spans="1:25" ht="24">
      <c r="A2" s="7" t="s">
        <v>0</v>
      </c>
    </row>
    <row r="3" spans="1:25" ht="6" customHeight="1"/>
    <row r="4" spans="1:25">
      <c r="A4" s="13" t="s">
        <v>1</v>
      </c>
      <c r="B4" s="23"/>
      <c r="C4" s="14"/>
      <c r="D4" s="14"/>
    </row>
    <row r="5" spans="1:25" ht="28.9" customHeight="1">
      <c r="A5" s="171" t="s">
        <v>2</v>
      </c>
      <c r="B5" s="171"/>
      <c r="D5" s="45" t="s">
        <v>3</v>
      </c>
      <c r="T5" s="20" t="s">
        <v>1</v>
      </c>
    </row>
    <row r="6" spans="1:25">
      <c r="A6" s="13" t="s">
        <v>4</v>
      </c>
      <c r="B6" s="23"/>
      <c r="C6" s="14"/>
      <c r="D6" s="23"/>
      <c r="T6" s="20" t="s">
        <v>2</v>
      </c>
    </row>
    <row r="7" spans="1:25" ht="25.9" customHeight="1">
      <c r="A7" s="172" t="s">
        <v>5</v>
      </c>
      <c r="B7" s="172"/>
      <c r="D7" s="45" t="s">
        <v>3</v>
      </c>
      <c r="T7" s="20" t="s">
        <v>6</v>
      </c>
    </row>
    <row r="8" spans="1:25">
      <c r="A8" s="13" t="s">
        <v>7</v>
      </c>
      <c r="B8" s="23"/>
      <c r="C8" s="14"/>
      <c r="D8" s="23"/>
      <c r="T8" s="20" t="s">
        <v>8</v>
      </c>
    </row>
    <row r="9" spans="1:25" ht="28.9" customHeight="1">
      <c r="A9" s="173" t="s">
        <v>9</v>
      </c>
      <c r="B9" s="173"/>
      <c r="D9" s="45" t="s">
        <v>3</v>
      </c>
      <c r="T9" s="20" t="s">
        <v>10</v>
      </c>
    </row>
    <row r="10" spans="1:25">
      <c r="A10" s="13" t="s">
        <v>11</v>
      </c>
      <c r="B10" s="23"/>
      <c r="C10" s="14"/>
      <c r="D10" s="23"/>
      <c r="T10" s="20" t="s">
        <v>12</v>
      </c>
    </row>
    <row r="11" spans="1:25" ht="24.75" customHeight="1">
      <c r="A11" s="173" t="s">
        <v>13</v>
      </c>
      <c r="B11" s="173"/>
      <c r="D11" s="45" t="s">
        <v>3</v>
      </c>
      <c r="T11" s="20" t="s">
        <v>14</v>
      </c>
    </row>
    <row r="12" spans="1:25">
      <c r="A12" s="16" t="s">
        <v>15</v>
      </c>
      <c r="B12" s="23"/>
      <c r="C12" s="14"/>
      <c r="D12" s="23"/>
      <c r="T12" s="20" t="s">
        <v>4</v>
      </c>
    </row>
    <row r="13" spans="1:25" ht="15.75" customHeight="1">
      <c r="A13" s="174" t="s">
        <v>16</v>
      </c>
      <c r="B13" s="174"/>
      <c r="T13" s="20" t="s">
        <v>17</v>
      </c>
    </row>
    <row r="14" spans="1:25">
      <c r="A14" s="13" t="s">
        <v>18</v>
      </c>
      <c r="B14" s="23"/>
      <c r="C14" s="14"/>
      <c r="D14" s="14"/>
      <c r="T14" s="20" t="s">
        <v>6</v>
      </c>
    </row>
    <row r="15" spans="1:25" ht="102" customHeight="1">
      <c r="B15" s="24" t="s">
        <v>19</v>
      </c>
      <c r="D15" s="32" t="s">
        <v>3</v>
      </c>
      <c r="T15" s="20" t="s">
        <v>20</v>
      </c>
    </row>
    <row r="16" spans="1:25" ht="24">
      <c r="B16" s="25"/>
      <c r="T16" s="20" t="s">
        <v>21</v>
      </c>
      <c r="X16" s="170" t="s">
        <v>22</v>
      </c>
      <c r="Y16" s="170"/>
    </row>
    <row r="17" spans="1:25" ht="115.15" customHeight="1">
      <c r="A17" s="19" t="s">
        <v>23</v>
      </c>
      <c r="B17" s="24" t="s">
        <v>24</v>
      </c>
      <c r="D17" s="32" t="s">
        <v>3</v>
      </c>
      <c r="T17" s="20" t="s">
        <v>25</v>
      </c>
      <c r="X17" s="10" t="s">
        <v>26</v>
      </c>
      <c r="Y17" s="8"/>
    </row>
    <row r="18" spans="1:25">
      <c r="T18" s="20" t="s">
        <v>27</v>
      </c>
      <c r="X18" s="10" t="s">
        <v>28</v>
      </c>
      <c r="Y18" s="8"/>
    </row>
    <row r="19" spans="1:25" ht="24" customHeight="1">
      <c r="A19" s="16" t="s">
        <v>29</v>
      </c>
      <c r="B19" s="23"/>
      <c r="C19" s="14"/>
      <c r="D19" s="14"/>
      <c r="T19" s="20" t="s">
        <v>7</v>
      </c>
      <c r="X19" s="10" t="s">
        <v>30</v>
      </c>
      <c r="Y19" s="8"/>
    </row>
    <row r="20" spans="1:25" ht="95.25" customHeight="1">
      <c r="A20" s="15" t="s">
        <v>31</v>
      </c>
      <c r="D20" s="32" t="s">
        <v>3</v>
      </c>
      <c r="T20" s="20" t="s">
        <v>9</v>
      </c>
      <c r="X20" s="10" t="s">
        <v>32</v>
      </c>
      <c r="Y20" s="8"/>
    </row>
    <row r="21" spans="1:25" ht="24">
      <c r="A21" s="170" t="s">
        <v>33</v>
      </c>
      <c r="B21" s="170"/>
      <c r="C21" s="175" t="s">
        <v>34</v>
      </c>
      <c r="D21" s="175"/>
      <c r="E21" s="175" t="s">
        <v>35</v>
      </c>
      <c r="F21" s="175"/>
      <c r="G21" s="175" t="s">
        <v>36</v>
      </c>
      <c r="H21" s="175"/>
      <c r="I21" s="175" t="s">
        <v>37</v>
      </c>
      <c r="J21" s="175"/>
      <c r="X21" s="10" t="s">
        <v>38</v>
      </c>
      <c r="Y21" s="8"/>
    </row>
    <row r="22" spans="1:25" s="7" customFormat="1" ht="17.25" customHeight="1">
      <c r="A22" s="36" t="s">
        <v>39</v>
      </c>
      <c r="B22" s="38"/>
      <c r="C22" s="36" t="s">
        <v>39</v>
      </c>
      <c r="D22" s="38"/>
      <c r="E22" s="36" t="s">
        <v>39</v>
      </c>
      <c r="F22" s="38"/>
      <c r="G22" s="36" t="s">
        <v>39</v>
      </c>
      <c r="H22" s="38"/>
      <c r="I22" s="36" t="s">
        <v>39</v>
      </c>
      <c r="J22" s="38"/>
      <c r="N22" s="2"/>
      <c r="O22" s="2"/>
      <c r="P22" s="2"/>
      <c r="T22" s="20"/>
      <c r="U22" s="20"/>
      <c r="V22" s="20"/>
      <c r="W22" s="20"/>
      <c r="X22" s="11" t="s">
        <v>40</v>
      </c>
      <c r="Y22" s="8"/>
    </row>
    <row r="23" spans="1:25">
      <c r="A23" s="36" t="s">
        <v>41</v>
      </c>
      <c r="B23" s="38"/>
      <c r="C23" s="36" t="s">
        <v>41</v>
      </c>
      <c r="D23" s="38"/>
      <c r="E23" s="36" t="s">
        <v>41</v>
      </c>
      <c r="F23" s="38"/>
      <c r="G23" s="36" t="s">
        <v>41</v>
      </c>
      <c r="H23" s="38"/>
      <c r="I23" s="36" t="s">
        <v>41</v>
      </c>
      <c r="J23" s="38"/>
      <c r="X23" s="10" t="s">
        <v>42</v>
      </c>
      <c r="Y23" s="8"/>
    </row>
    <row r="24" spans="1:25">
      <c r="A24" s="36" t="s">
        <v>43</v>
      </c>
      <c r="B24" s="38"/>
      <c r="C24" s="36" t="s">
        <v>43</v>
      </c>
      <c r="D24" s="38"/>
      <c r="E24" s="36" t="s">
        <v>43</v>
      </c>
      <c r="F24" s="38"/>
      <c r="G24" s="36" t="s">
        <v>43</v>
      </c>
      <c r="H24" s="38"/>
      <c r="I24" s="36" t="s">
        <v>43</v>
      </c>
      <c r="J24" s="38"/>
      <c r="X24" s="10" t="s">
        <v>44</v>
      </c>
      <c r="Y24" s="8"/>
    </row>
    <row r="25" spans="1:25">
      <c r="A25" s="36" t="s">
        <v>45</v>
      </c>
      <c r="B25" s="39"/>
      <c r="C25" s="36" t="s">
        <v>45</v>
      </c>
      <c r="D25" s="39"/>
      <c r="E25" s="36" t="s">
        <v>45</v>
      </c>
      <c r="F25" s="39"/>
      <c r="G25" s="36" t="s">
        <v>45</v>
      </c>
      <c r="H25" s="39"/>
      <c r="I25" s="36" t="s">
        <v>45</v>
      </c>
      <c r="J25" s="39"/>
      <c r="X25" s="10" t="s">
        <v>46</v>
      </c>
      <c r="Y25" s="8"/>
    </row>
    <row r="26" spans="1:25" ht="20.25" customHeight="1">
      <c r="A26" s="36" t="s">
        <v>32</v>
      </c>
      <c r="B26" s="38"/>
      <c r="C26" s="36" t="s">
        <v>32</v>
      </c>
      <c r="D26" s="38"/>
      <c r="E26" s="36" t="s">
        <v>32</v>
      </c>
      <c r="F26" s="38"/>
      <c r="G26" s="36" t="s">
        <v>32</v>
      </c>
      <c r="H26" s="38"/>
      <c r="I26" s="36" t="s">
        <v>32</v>
      </c>
      <c r="J26" s="38"/>
      <c r="X26" s="10" t="s">
        <v>47</v>
      </c>
      <c r="Y26" s="8"/>
    </row>
    <row r="27" spans="1:25" ht="16.5" customHeight="1">
      <c r="A27" s="36" t="s">
        <v>48</v>
      </c>
      <c r="B27" s="38" t="s">
        <v>3</v>
      </c>
      <c r="C27" s="36" t="s">
        <v>48</v>
      </c>
      <c r="D27" s="38" t="s">
        <v>3</v>
      </c>
      <c r="E27" s="36" t="s">
        <v>48</v>
      </c>
      <c r="F27" s="38" t="s">
        <v>3</v>
      </c>
      <c r="G27" s="36" t="s">
        <v>48</v>
      </c>
      <c r="H27" s="38" t="s">
        <v>3</v>
      </c>
      <c r="I27" s="36" t="s">
        <v>48</v>
      </c>
      <c r="J27" s="38" t="s">
        <v>3</v>
      </c>
      <c r="X27" s="10" t="s">
        <v>49</v>
      </c>
      <c r="Y27" s="26" t="s">
        <v>6</v>
      </c>
    </row>
    <row r="28" spans="1:25">
      <c r="A28" s="36" t="s">
        <v>50</v>
      </c>
      <c r="B28" s="38"/>
      <c r="C28" s="36" t="s">
        <v>50</v>
      </c>
      <c r="D28" s="38"/>
      <c r="E28" s="36" t="s">
        <v>50</v>
      </c>
      <c r="F28" s="38"/>
      <c r="G28" s="36" t="s">
        <v>50</v>
      </c>
      <c r="H28" s="38"/>
      <c r="I28" s="36" t="s">
        <v>50</v>
      </c>
      <c r="J28" s="38"/>
      <c r="X28" s="10" t="s">
        <v>51</v>
      </c>
      <c r="Y28" s="26" t="s">
        <v>6</v>
      </c>
    </row>
    <row r="29" spans="1:25">
      <c r="A29" s="36" t="s">
        <v>52</v>
      </c>
      <c r="B29" s="38"/>
      <c r="C29" s="36" t="s">
        <v>52</v>
      </c>
      <c r="D29" s="38"/>
      <c r="E29" s="36" t="s">
        <v>52</v>
      </c>
      <c r="F29" s="38"/>
      <c r="G29" s="36" t="s">
        <v>52</v>
      </c>
      <c r="H29" s="38"/>
      <c r="I29" s="36" t="s">
        <v>52</v>
      </c>
      <c r="J29" s="38"/>
      <c r="X29" s="10" t="s">
        <v>53</v>
      </c>
      <c r="Y29" s="8"/>
    </row>
    <row r="30" spans="1:25">
      <c r="A30" s="36" t="s">
        <v>54</v>
      </c>
      <c r="B30" s="40"/>
      <c r="C30" s="36" t="s">
        <v>54</v>
      </c>
      <c r="D30" s="40"/>
      <c r="E30" s="36" t="s">
        <v>54</v>
      </c>
      <c r="F30" s="40"/>
      <c r="G30" s="36" t="s">
        <v>54</v>
      </c>
      <c r="H30" s="40"/>
      <c r="I30" s="36" t="s">
        <v>54</v>
      </c>
      <c r="J30" s="40"/>
      <c r="X30" s="10" t="s">
        <v>55</v>
      </c>
      <c r="Y30" s="8"/>
    </row>
    <row r="31" spans="1:25" ht="50.25" customHeight="1">
      <c r="A31" s="37" t="s">
        <v>40</v>
      </c>
      <c r="B31" s="38"/>
      <c r="C31" s="37" t="s">
        <v>40</v>
      </c>
      <c r="D31" s="38"/>
      <c r="E31" s="37" t="s">
        <v>40</v>
      </c>
      <c r="F31" s="38"/>
      <c r="G31" s="37" t="s">
        <v>40</v>
      </c>
      <c r="H31" s="38"/>
      <c r="I31" s="37" t="s">
        <v>40</v>
      </c>
      <c r="J31" s="38"/>
      <c r="X31" s="10" t="s">
        <v>56</v>
      </c>
      <c r="Y31" s="26" t="s">
        <v>6</v>
      </c>
    </row>
    <row r="32" spans="1:25">
      <c r="A32" s="36" t="s">
        <v>57</v>
      </c>
      <c r="B32" s="38"/>
      <c r="C32" s="36" t="s">
        <v>57</v>
      </c>
      <c r="D32" s="38"/>
      <c r="E32" s="36" t="s">
        <v>57</v>
      </c>
      <c r="F32" s="38"/>
      <c r="G32" s="36" t="s">
        <v>57</v>
      </c>
      <c r="H32" s="38"/>
      <c r="I32" s="36" t="s">
        <v>57</v>
      </c>
      <c r="J32" s="38"/>
      <c r="X32" s="10" t="s">
        <v>58</v>
      </c>
      <c r="Y32" s="26" t="s">
        <v>6</v>
      </c>
    </row>
    <row r="33" spans="1:25">
      <c r="A33" s="36" t="s">
        <v>44</v>
      </c>
      <c r="B33" s="38"/>
      <c r="C33" s="36" t="s">
        <v>44</v>
      </c>
      <c r="D33" s="38"/>
      <c r="E33" s="36" t="s">
        <v>44</v>
      </c>
      <c r="F33" s="38"/>
      <c r="G33" s="36" t="s">
        <v>44</v>
      </c>
      <c r="H33" s="38"/>
      <c r="I33" s="36" t="s">
        <v>44</v>
      </c>
      <c r="J33" s="38"/>
    </row>
    <row r="34" spans="1:25" ht="18.75">
      <c r="A34" s="36" t="s">
        <v>47</v>
      </c>
      <c r="B34" s="46"/>
      <c r="C34" s="36" t="s">
        <v>47</v>
      </c>
      <c r="D34" s="46"/>
      <c r="E34" s="36" t="s">
        <v>47</v>
      </c>
      <c r="F34" s="46"/>
      <c r="G34" s="36" t="s">
        <v>47</v>
      </c>
      <c r="H34" s="46"/>
      <c r="I34" s="36" t="s">
        <v>47</v>
      </c>
      <c r="J34" s="46"/>
      <c r="X34" s="176" t="s">
        <v>59</v>
      </c>
      <c r="Y34" s="176"/>
    </row>
    <row r="35" spans="1:25">
      <c r="A35" s="36" t="s">
        <v>60</v>
      </c>
      <c r="B35" s="38" t="s">
        <v>3</v>
      </c>
      <c r="C35" s="36" t="s">
        <v>60</v>
      </c>
      <c r="D35" s="38" t="s">
        <v>3</v>
      </c>
      <c r="E35" s="36" t="s">
        <v>60</v>
      </c>
      <c r="F35" s="38" t="s">
        <v>3</v>
      </c>
      <c r="G35" s="36" t="s">
        <v>60</v>
      </c>
      <c r="H35" s="38" t="s">
        <v>3</v>
      </c>
      <c r="I35" s="36" t="s">
        <v>60</v>
      </c>
      <c r="J35" s="38" t="s">
        <v>3</v>
      </c>
      <c r="X35" s="10" t="s">
        <v>61</v>
      </c>
      <c r="Y35" s="8" t="s">
        <v>3</v>
      </c>
    </row>
    <row r="36" spans="1:25">
      <c r="A36" s="36" t="s">
        <v>51</v>
      </c>
      <c r="B36" s="38"/>
      <c r="C36" s="36" t="s">
        <v>51</v>
      </c>
      <c r="D36" s="38"/>
      <c r="E36" s="36" t="s">
        <v>51</v>
      </c>
      <c r="F36" s="38"/>
      <c r="G36" s="36" t="s">
        <v>51</v>
      </c>
      <c r="H36" s="38"/>
      <c r="I36" s="36" t="s">
        <v>51</v>
      </c>
      <c r="J36" s="38"/>
      <c r="X36" s="10" t="s">
        <v>62</v>
      </c>
      <c r="Y36" s="8"/>
    </row>
    <row r="37" spans="1:25">
      <c r="A37" s="36" t="s">
        <v>53</v>
      </c>
      <c r="B37" s="38"/>
      <c r="C37" s="36" t="s">
        <v>53</v>
      </c>
      <c r="D37" s="38"/>
      <c r="E37" s="36" t="s">
        <v>53</v>
      </c>
      <c r="F37" s="38"/>
      <c r="G37" s="36" t="s">
        <v>53</v>
      </c>
      <c r="H37" s="38"/>
      <c r="I37" s="36" t="s">
        <v>53</v>
      </c>
      <c r="J37" s="38"/>
      <c r="X37" s="10" t="s">
        <v>63</v>
      </c>
      <c r="Y37" s="8"/>
    </row>
    <row r="38" spans="1:25">
      <c r="A38" s="36" t="s">
        <v>55</v>
      </c>
      <c r="B38" s="38"/>
      <c r="C38" s="36" t="s">
        <v>55</v>
      </c>
      <c r="D38" s="38"/>
      <c r="E38" s="36" t="s">
        <v>55</v>
      </c>
      <c r="F38" s="38"/>
      <c r="G38" s="36" t="s">
        <v>55</v>
      </c>
      <c r="H38" s="38"/>
      <c r="I38" s="36" t="s">
        <v>55</v>
      </c>
      <c r="J38" s="38"/>
      <c r="X38" s="10" t="s">
        <v>64</v>
      </c>
      <c r="Y38" s="8"/>
    </row>
    <row r="39" spans="1:25" ht="17.25" customHeight="1">
      <c r="A39" s="36" t="s">
        <v>56</v>
      </c>
      <c r="B39" s="38" t="s">
        <v>3</v>
      </c>
      <c r="C39" s="36" t="s">
        <v>56</v>
      </c>
      <c r="D39" s="38" t="s">
        <v>3</v>
      </c>
      <c r="E39" s="36" t="s">
        <v>56</v>
      </c>
      <c r="F39" s="38" t="s">
        <v>3</v>
      </c>
      <c r="G39" s="36" t="s">
        <v>56</v>
      </c>
      <c r="H39" s="38" t="s">
        <v>3</v>
      </c>
      <c r="I39" s="36" t="s">
        <v>56</v>
      </c>
      <c r="J39" s="38" t="s">
        <v>3</v>
      </c>
      <c r="X39" s="11" t="s">
        <v>65</v>
      </c>
      <c r="Y39" s="9"/>
    </row>
    <row r="40" spans="1:25" s="1" customFormat="1" ht="18.75">
      <c r="A40" s="36" t="s">
        <v>58</v>
      </c>
      <c r="B40" s="38" t="s">
        <v>3</v>
      </c>
      <c r="C40" s="36" t="s">
        <v>58</v>
      </c>
      <c r="D40" s="38" t="s">
        <v>3</v>
      </c>
      <c r="E40" s="36" t="s">
        <v>58</v>
      </c>
      <c r="F40" s="38" t="s">
        <v>3</v>
      </c>
      <c r="G40" s="36" t="s">
        <v>58</v>
      </c>
      <c r="H40" s="38" t="s">
        <v>3</v>
      </c>
      <c r="I40" s="36" t="s">
        <v>58</v>
      </c>
      <c r="J40" s="38" t="s">
        <v>3</v>
      </c>
      <c r="N40" s="2"/>
      <c r="O40" s="2"/>
      <c r="P40" s="2"/>
      <c r="T40" s="20"/>
      <c r="U40" s="20"/>
      <c r="V40" s="20"/>
      <c r="W40" s="20"/>
      <c r="X40" s="10" t="s">
        <v>66</v>
      </c>
      <c r="Y40" s="8"/>
    </row>
    <row r="41" spans="1:25">
      <c r="A41" s="36" t="s">
        <v>67</v>
      </c>
      <c r="B41" s="38" t="s">
        <v>3</v>
      </c>
      <c r="C41" s="36" t="s">
        <v>67</v>
      </c>
      <c r="D41" s="38" t="s">
        <v>3</v>
      </c>
      <c r="E41" s="36" t="s">
        <v>67</v>
      </c>
      <c r="F41" s="38" t="s">
        <v>3</v>
      </c>
      <c r="G41" s="36" t="s">
        <v>67</v>
      </c>
      <c r="H41" s="38" t="s">
        <v>3</v>
      </c>
      <c r="I41" s="36" t="s">
        <v>67</v>
      </c>
      <c r="J41" s="38" t="s">
        <v>3</v>
      </c>
      <c r="X41" s="10" t="s">
        <v>68</v>
      </c>
      <c r="Y41" s="8"/>
    </row>
    <row r="42" spans="1:25" ht="18" customHeight="1">
      <c r="A42" s="36" t="s">
        <v>61</v>
      </c>
      <c r="B42" s="41" t="s">
        <v>3</v>
      </c>
      <c r="C42" s="36" t="s">
        <v>61</v>
      </c>
      <c r="D42" s="41" t="s">
        <v>3</v>
      </c>
      <c r="E42" s="36" t="s">
        <v>61</v>
      </c>
      <c r="F42" s="41" t="s">
        <v>3</v>
      </c>
      <c r="G42" s="36" t="s">
        <v>61</v>
      </c>
      <c r="H42" s="41" t="s">
        <v>3</v>
      </c>
      <c r="I42" s="36" t="s">
        <v>61</v>
      </c>
      <c r="J42" s="41" t="s">
        <v>3</v>
      </c>
      <c r="X42" s="11" t="s">
        <v>69</v>
      </c>
      <c r="Y42" s="9"/>
    </row>
    <row r="43" spans="1:25">
      <c r="A43" s="50" t="s">
        <v>70</v>
      </c>
      <c r="B43" s="38" t="s">
        <v>71</v>
      </c>
      <c r="C43" s="36" t="s">
        <v>70</v>
      </c>
      <c r="D43" s="38" t="s">
        <v>3</v>
      </c>
      <c r="E43" s="36" t="s">
        <v>70</v>
      </c>
      <c r="F43" s="38" t="s">
        <v>3</v>
      </c>
      <c r="G43" s="36" t="s">
        <v>70</v>
      </c>
      <c r="H43" s="38" t="s">
        <v>3</v>
      </c>
      <c r="I43" s="36" t="s">
        <v>70</v>
      </c>
      <c r="J43" s="38" t="s">
        <v>3</v>
      </c>
      <c r="X43" s="10" t="s">
        <v>44</v>
      </c>
      <c r="Y43" s="8"/>
    </row>
    <row r="44" spans="1:25" ht="18.75" customHeight="1">
      <c r="A44" s="36" t="s">
        <v>46</v>
      </c>
      <c r="B44" s="38"/>
      <c r="C44" s="36" t="s">
        <v>46</v>
      </c>
      <c r="D44" s="38"/>
      <c r="E44" s="36" t="s">
        <v>46</v>
      </c>
      <c r="F44" s="38"/>
      <c r="G44" s="36" t="s">
        <v>46</v>
      </c>
      <c r="H44" s="38"/>
      <c r="I44" s="36" t="s">
        <v>46</v>
      </c>
      <c r="J44" s="38"/>
      <c r="X44" s="10" t="s">
        <v>72</v>
      </c>
      <c r="Y44" s="8"/>
    </row>
    <row r="45" spans="1:25" s="3" customFormat="1" ht="27" customHeight="1">
      <c r="A45" s="52" t="s">
        <v>73</v>
      </c>
      <c r="B45" s="51" t="s">
        <v>74</v>
      </c>
      <c r="C45" s="37" t="s">
        <v>73</v>
      </c>
      <c r="D45" s="38" t="s">
        <v>75</v>
      </c>
      <c r="E45" s="37" t="s">
        <v>73</v>
      </c>
      <c r="F45" s="38" t="s">
        <v>75</v>
      </c>
      <c r="G45" s="37" t="s">
        <v>73</v>
      </c>
      <c r="H45" s="38" t="s">
        <v>75</v>
      </c>
      <c r="I45" s="37" t="s">
        <v>73</v>
      </c>
      <c r="J45" s="38" t="s">
        <v>75</v>
      </c>
      <c r="N45" s="2"/>
      <c r="O45" s="2"/>
      <c r="P45" s="2"/>
      <c r="T45" s="20"/>
      <c r="U45" s="20"/>
      <c r="V45" s="20"/>
      <c r="W45" s="20"/>
      <c r="X45" s="10" t="s">
        <v>61</v>
      </c>
      <c r="Y45" s="8" t="s">
        <v>6</v>
      </c>
    </row>
    <row r="46" spans="1:25" ht="26.25" customHeight="1">
      <c r="A46" s="53" t="str">
        <f>IF(B45="Si","Cargo público desempeñado y período de tiempo","")</f>
        <v>Cargo público desempeñado y período de tiempo</v>
      </c>
      <c r="B46" s="55"/>
      <c r="C46" s="53" t="str">
        <f>IF(D45="Si","Cargo público desempeñado y período de tiempo","")</f>
        <v/>
      </c>
      <c r="E46" s="53" t="str">
        <f>IF(F45="Si","Cargo público desempeñado y período de tiempo","")</f>
        <v/>
      </c>
      <c r="G46" s="53" t="str">
        <f>IF(H45="Si","Cargo público desempeñado y período de tiempo","")</f>
        <v/>
      </c>
      <c r="I46" s="53" t="str">
        <f>IF(J45="Si","Cargo público desempeñado y período de tiempo","")</f>
        <v/>
      </c>
      <c r="X46" s="10" t="s">
        <v>76</v>
      </c>
      <c r="Y46" s="26" t="s">
        <v>6</v>
      </c>
    </row>
    <row r="47" spans="1:25" ht="22.5" customHeight="1">
      <c r="A47" s="62" t="str">
        <f>IF(B43="Casado/a"," Datos Cónyuge","")</f>
        <v xml:space="preserve"> Datos Cónyuge</v>
      </c>
      <c r="F47" s="3"/>
      <c r="X47" s="11" t="s">
        <v>77</v>
      </c>
      <c r="Y47" s="26" t="s">
        <v>6</v>
      </c>
    </row>
    <row r="48" spans="1:25" s="3" customFormat="1" ht="15.75" customHeight="1">
      <c r="A48" s="3" t="str">
        <f>IF(B43="Casado/a"," Nombres","")</f>
        <v xml:space="preserve"> Nombres</v>
      </c>
      <c r="B48" s="54"/>
      <c r="C48" s="2"/>
      <c r="D48" s="2"/>
      <c r="E48" s="2"/>
      <c r="F48" s="2"/>
      <c r="N48" s="2"/>
      <c r="O48" s="2"/>
      <c r="P48" s="2"/>
      <c r="T48" s="20"/>
      <c r="U48" s="20"/>
      <c r="V48" s="20"/>
      <c r="W48" s="20"/>
      <c r="X48" s="11" t="s">
        <v>78</v>
      </c>
      <c r="Y48" s="26" t="s">
        <v>6</v>
      </c>
    </row>
    <row r="49" spans="1:23">
      <c r="A49" s="3" t="str">
        <f>IF(B43="Casado/a"," Apellidos","")</f>
        <v xml:space="preserve"> Apellidos</v>
      </c>
    </row>
    <row r="50" spans="1:23">
      <c r="A50" s="2" t="str">
        <f>IF(B43="Casado/a"," Fecha de nacimiento","")</f>
        <v xml:space="preserve"> Fecha de nacimiento</v>
      </c>
    </row>
    <row r="51" spans="1:23">
      <c r="A51" s="2" t="str">
        <f>IF(B43="Casado/a"," País emisor del documento","")</f>
        <v xml:space="preserve"> País emisor del documento</v>
      </c>
    </row>
    <row r="52" spans="1:23">
      <c r="A52" s="2" t="str">
        <f>IF(B43="Casado/a"," Tipo de documento","")</f>
        <v xml:space="preserve"> Tipo de documento</v>
      </c>
    </row>
    <row r="53" spans="1:23">
      <c r="A53" s="2" t="str">
        <f>IF(B43="Casado/a"," Número de documento","")</f>
        <v xml:space="preserve"> Número de documento</v>
      </c>
    </row>
    <row r="54" spans="1:23">
      <c r="A54" s="2" t="str">
        <f>IF(B43="Casado/a"," Nacionalidad","")</f>
        <v xml:space="preserve"> Nacionalidad</v>
      </c>
    </row>
    <row r="55" spans="1:23">
      <c r="A55" s="2" t="str">
        <f>IF(B43="Casado/a"," Situación laboral","")</f>
        <v xml:space="preserve"> Situación laboral</v>
      </c>
    </row>
    <row r="57" spans="1:23" ht="18.75">
      <c r="A57" s="1" t="s">
        <v>79</v>
      </c>
      <c r="B57" s="4"/>
      <c r="C57" s="1"/>
      <c r="D57" s="1"/>
      <c r="E57" s="1"/>
      <c r="F57" s="1"/>
    </row>
    <row r="58" spans="1:23" ht="141.75" customHeight="1">
      <c r="A58" s="42" t="s">
        <v>80</v>
      </c>
      <c r="B58" s="21"/>
      <c r="C58" s="4"/>
      <c r="D58" s="4"/>
      <c r="E58" s="4"/>
    </row>
    <row r="59" spans="1:23" ht="5.25" customHeight="1">
      <c r="A59" s="4"/>
      <c r="B59" s="21"/>
      <c r="C59" s="4"/>
      <c r="D59" s="4"/>
      <c r="E59" s="4"/>
    </row>
    <row r="60" spans="1:23" ht="56.25" customHeight="1">
      <c r="A60" s="11" t="s">
        <v>81</v>
      </c>
      <c r="B60" s="35" t="b">
        <v>0</v>
      </c>
      <c r="C60" s="4"/>
      <c r="D60" s="4"/>
      <c r="E60" s="4"/>
    </row>
    <row r="61" spans="1:23" ht="32.25" customHeight="1">
      <c r="A61" s="11" t="s">
        <v>82</v>
      </c>
      <c r="B61" s="35" t="b">
        <v>0</v>
      </c>
    </row>
    <row r="62" spans="1:23" s="3" customFormat="1" ht="32.25">
      <c r="A62" s="11" t="s">
        <v>83</v>
      </c>
      <c r="B62" s="35" t="b">
        <v>0</v>
      </c>
      <c r="C62" s="2"/>
      <c r="D62" s="2"/>
      <c r="E62" s="2"/>
      <c r="F62" s="2"/>
      <c r="G62" s="1"/>
      <c r="H62" s="1"/>
      <c r="N62" s="2"/>
      <c r="O62" s="2"/>
      <c r="P62" s="2"/>
      <c r="T62" s="20" t="s">
        <v>24</v>
      </c>
      <c r="U62" s="20"/>
      <c r="V62" s="20"/>
      <c r="W62" s="20"/>
    </row>
    <row r="63" spans="1:23" ht="62.25">
      <c r="A63" s="11" t="s">
        <v>84</v>
      </c>
      <c r="B63" s="35" t="b">
        <v>0</v>
      </c>
    </row>
    <row r="64" spans="1:23" s="1" customFormat="1" ht="18.75">
      <c r="A64" s="3"/>
      <c r="B64" s="22"/>
      <c r="C64" s="2"/>
      <c r="D64" s="2"/>
      <c r="E64" s="2"/>
      <c r="F64" s="2"/>
      <c r="G64" s="2"/>
      <c r="H64" s="2"/>
      <c r="N64" s="2"/>
      <c r="O64" s="2"/>
      <c r="P64" s="2"/>
      <c r="T64" s="20"/>
      <c r="U64" s="20"/>
      <c r="V64" s="20"/>
      <c r="W64" s="20"/>
    </row>
    <row r="65" spans="1:23" ht="15.75">
      <c r="A65" s="29" t="s">
        <v>85</v>
      </c>
      <c r="B65" s="29"/>
    </row>
    <row r="66" spans="1:23" ht="15.75">
      <c r="A66" s="10" t="s">
        <v>86</v>
      </c>
      <c r="B66" s="43"/>
      <c r="C66" s="5"/>
      <c r="D66" s="5"/>
      <c r="E66" s="5"/>
    </row>
    <row r="67" spans="1:23">
      <c r="A67" s="10" t="s">
        <v>87</v>
      </c>
      <c r="B67" s="34" t="s">
        <v>3</v>
      </c>
    </row>
    <row r="68" spans="1:23">
      <c r="A68" s="10" t="s">
        <v>88</v>
      </c>
      <c r="B68" s="34" t="s">
        <v>3</v>
      </c>
    </row>
    <row r="69" spans="1:23">
      <c r="A69" s="10" t="s">
        <v>26</v>
      </c>
      <c r="B69" s="26"/>
    </row>
    <row r="70" spans="1:23">
      <c r="A70" s="10" t="s">
        <v>28</v>
      </c>
      <c r="B70" s="26"/>
      <c r="T70" s="20" t="s">
        <v>6</v>
      </c>
    </row>
    <row r="71" spans="1:23">
      <c r="A71" s="10" t="s">
        <v>30</v>
      </c>
      <c r="T71" s="20" t="s">
        <v>89</v>
      </c>
    </row>
    <row r="72" spans="1:23" ht="18.75">
      <c r="A72" s="10" t="s">
        <v>32</v>
      </c>
      <c r="B72" s="26"/>
      <c r="F72" s="1"/>
      <c r="T72" s="20" t="s">
        <v>90</v>
      </c>
    </row>
    <row r="73" spans="1:23" ht="15.75">
      <c r="A73" s="10" t="s">
        <v>38</v>
      </c>
      <c r="B73" s="26"/>
      <c r="F73" s="4"/>
      <c r="T73" s="20" t="s">
        <v>91</v>
      </c>
    </row>
    <row r="74" spans="1:23" ht="15.75">
      <c r="A74" s="10" t="s">
        <v>42</v>
      </c>
      <c r="B74" s="26"/>
      <c r="F74" s="4"/>
      <c r="T74" s="20" t="s">
        <v>92</v>
      </c>
    </row>
    <row r="75" spans="1:23" ht="15.75">
      <c r="A75" s="10" t="s">
        <v>47</v>
      </c>
      <c r="B75" s="27"/>
      <c r="F75" s="4"/>
      <c r="T75" s="20" t="s">
        <v>93</v>
      </c>
    </row>
    <row r="76" spans="1:23">
      <c r="A76" s="10" t="s">
        <v>49</v>
      </c>
      <c r="B76" s="34" t="s">
        <v>3</v>
      </c>
      <c r="T76" s="20" t="s">
        <v>29</v>
      </c>
    </row>
    <row r="77" spans="1:23" ht="18.75">
      <c r="A77" s="10" t="s">
        <v>51</v>
      </c>
      <c r="B77" s="34" t="s">
        <v>3</v>
      </c>
      <c r="G77" s="1"/>
      <c r="H77" s="1"/>
      <c r="T77" s="20" t="s">
        <v>31</v>
      </c>
    </row>
    <row r="78" spans="1:23" ht="15.75">
      <c r="A78" s="10" t="s">
        <v>53</v>
      </c>
      <c r="B78" s="26"/>
      <c r="G78" s="5"/>
      <c r="H78" s="5"/>
      <c r="T78" s="20" t="s">
        <v>6</v>
      </c>
    </row>
    <row r="79" spans="1:23" s="1" customFormat="1" ht="31.5" customHeight="1">
      <c r="A79" s="2"/>
      <c r="B79" s="22"/>
      <c r="C79" s="2"/>
      <c r="D79" s="2"/>
      <c r="E79" s="2"/>
      <c r="F79" s="2"/>
      <c r="G79" s="5"/>
      <c r="H79" s="5"/>
      <c r="N79" s="2"/>
      <c r="O79" s="2"/>
      <c r="P79" s="2"/>
      <c r="T79" s="20" t="s">
        <v>94</v>
      </c>
      <c r="U79" s="20"/>
      <c r="V79" s="20"/>
      <c r="W79" s="20"/>
    </row>
    <row r="80" spans="1:23" s="5" customFormat="1" ht="25.5" customHeight="1">
      <c r="A80" s="29" t="s">
        <v>95</v>
      </c>
      <c r="B80" s="29"/>
      <c r="C80" s="2"/>
      <c r="D80" s="2"/>
      <c r="E80" s="2"/>
      <c r="F80" s="2"/>
      <c r="N80" s="2"/>
      <c r="O80" s="2"/>
      <c r="P80" s="2"/>
      <c r="T80" s="20" t="s">
        <v>96</v>
      </c>
      <c r="U80" s="20"/>
      <c r="V80" s="20"/>
      <c r="W80" s="20"/>
    </row>
    <row r="81" spans="1:23" s="5" customFormat="1" ht="17.25" customHeight="1">
      <c r="A81" s="10" t="s">
        <v>86</v>
      </c>
      <c r="B81" s="43"/>
      <c r="G81" s="2"/>
      <c r="H81" s="2"/>
      <c r="N81" s="2"/>
      <c r="O81" s="2"/>
      <c r="P81" s="2"/>
      <c r="T81" s="20" t="s">
        <v>97</v>
      </c>
      <c r="U81" s="20"/>
      <c r="V81" s="20"/>
      <c r="W81" s="20"/>
    </row>
    <row r="82" spans="1:23" s="5" customFormat="1" ht="24" customHeight="1">
      <c r="A82" s="10" t="s">
        <v>87</v>
      </c>
      <c r="B82" s="34" t="s">
        <v>3</v>
      </c>
      <c r="C82" s="2"/>
      <c r="D82" s="2"/>
      <c r="E82" s="2"/>
      <c r="F82" s="2"/>
      <c r="G82" s="2"/>
      <c r="H82" s="2"/>
      <c r="N82" s="2"/>
      <c r="O82" s="2"/>
      <c r="P82" s="2"/>
      <c r="T82" s="20" t="s">
        <v>98</v>
      </c>
      <c r="U82" s="20"/>
      <c r="V82" s="20"/>
      <c r="W82" s="20"/>
    </row>
    <row r="83" spans="1:23">
      <c r="A83" s="10" t="s">
        <v>88</v>
      </c>
      <c r="B83" s="34" t="s">
        <v>3</v>
      </c>
      <c r="T83" s="20" t="s">
        <v>99</v>
      </c>
    </row>
    <row r="84" spans="1:23">
      <c r="A84" s="10" t="s">
        <v>26</v>
      </c>
      <c r="B84" s="34"/>
    </row>
    <row r="85" spans="1:23">
      <c r="A85" s="10" t="s">
        <v>28</v>
      </c>
      <c r="B85" s="34"/>
    </row>
    <row r="86" spans="1:23" ht="15.75">
      <c r="A86" s="10" t="s">
        <v>30</v>
      </c>
      <c r="B86" s="45"/>
      <c r="G86" s="5"/>
      <c r="H86" s="5"/>
    </row>
    <row r="87" spans="1:23">
      <c r="A87" s="10" t="s">
        <v>32</v>
      </c>
      <c r="B87" s="34"/>
    </row>
    <row r="88" spans="1:23" s="5" customFormat="1" ht="15.75">
      <c r="A88" s="10" t="s">
        <v>38</v>
      </c>
      <c r="B88" s="34"/>
      <c r="C88" s="2"/>
      <c r="D88" s="2"/>
      <c r="E88" s="2"/>
      <c r="F88" s="2"/>
      <c r="G88" s="2"/>
      <c r="H88" s="2"/>
      <c r="N88" s="2"/>
      <c r="O88" s="2"/>
      <c r="P88" s="2"/>
      <c r="T88" s="20"/>
      <c r="U88" s="20"/>
      <c r="V88" s="20"/>
      <c r="W88" s="20"/>
    </row>
    <row r="89" spans="1:23">
      <c r="A89" s="10" t="s">
        <v>42</v>
      </c>
      <c r="B89" s="34"/>
    </row>
    <row r="90" spans="1:23">
      <c r="A90" s="10" t="s">
        <v>47</v>
      </c>
      <c r="B90" s="46"/>
    </row>
    <row r="91" spans="1:23">
      <c r="A91" s="10" t="s">
        <v>49</v>
      </c>
      <c r="B91" s="34" t="s">
        <v>3</v>
      </c>
    </row>
    <row r="92" spans="1:23">
      <c r="A92" s="10" t="s">
        <v>51</v>
      </c>
      <c r="B92" s="34" t="s">
        <v>3</v>
      </c>
    </row>
    <row r="93" spans="1:23">
      <c r="A93" s="10" t="s">
        <v>53</v>
      </c>
      <c r="B93" s="34"/>
    </row>
    <row r="94" spans="1:23">
      <c r="B94" s="45"/>
    </row>
    <row r="95" spans="1:23" ht="18.75">
      <c r="A95" s="30" t="s">
        <v>100</v>
      </c>
      <c r="B95" s="30"/>
    </row>
    <row r="96" spans="1:23" ht="30.75">
      <c r="A96" s="33" t="s">
        <v>101</v>
      </c>
      <c r="B96" s="58"/>
      <c r="C96" s="1"/>
      <c r="D96" s="1"/>
      <c r="E96" s="1"/>
      <c r="F96" s="5"/>
    </row>
    <row r="97" spans="1:23">
      <c r="A97" s="56" t="s">
        <v>102</v>
      </c>
      <c r="B97" s="39" t="s">
        <v>3</v>
      </c>
      <c r="C97" s="6"/>
      <c r="D97" s="6"/>
      <c r="E97" s="6"/>
    </row>
    <row r="98" spans="1:23">
      <c r="A98" s="56" t="s">
        <v>103</v>
      </c>
      <c r="B98" s="39" t="s">
        <v>3</v>
      </c>
    </row>
    <row r="99" spans="1:23">
      <c r="A99" s="56" t="s">
        <v>104</v>
      </c>
      <c r="B99" s="39" t="s">
        <v>3</v>
      </c>
    </row>
    <row r="100" spans="1:23">
      <c r="A100" s="56" t="s">
        <v>105</v>
      </c>
      <c r="B100" s="39" t="s">
        <v>3</v>
      </c>
    </row>
    <row r="101" spans="1:23" ht="15.75">
      <c r="A101" s="56" t="s">
        <v>106</v>
      </c>
      <c r="B101" s="39" t="s">
        <v>3</v>
      </c>
      <c r="G101" s="5"/>
      <c r="H101" s="5"/>
    </row>
    <row r="102" spans="1:23">
      <c r="A102" s="56" t="s">
        <v>107</v>
      </c>
      <c r="B102" s="39" t="s">
        <v>3</v>
      </c>
    </row>
    <row r="103" spans="1:23" s="5" customFormat="1" ht="15.75">
      <c r="B103" s="47"/>
      <c r="C103" s="2"/>
      <c r="D103" s="2"/>
      <c r="E103" s="2"/>
      <c r="F103" s="2"/>
      <c r="G103" s="2"/>
      <c r="H103" s="2"/>
      <c r="N103" s="2"/>
      <c r="O103" s="2"/>
      <c r="P103" s="2"/>
      <c r="T103" s="20"/>
      <c r="U103" s="20"/>
      <c r="V103" s="20"/>
      <c r="W103" s="20"/>
    </row>
    <row r="104" spans="1:23" ht="18.75">
      <c r="A104" s="31" t="s">
        <v>107</v>
      </c>
      <c r="B104" s="30"/>
    </row>
    <row r="105" spans="1:23">
      <c r="A105" s="56" t="s">
        <v>108</v>
      </c>
      <c r="B105" s="39"/>
    </row>
    <row r="106" spans="1:23">
      <c r="A106" s="56" t="s">
        <v>109</v>
      </c>
      <c r="B106" s="39"/>
    </row>
    <row r="107" spans="1:23" ht="18.75">
      <c r="A107" s="56" t="s">
        <v>110</v>
      </c>
      <c r="B107" s="39"/>
      <c r="C107" s="1"/>
    </row>
    <row r="108" spans="1:23">
      <c r="A108" s="56" t="s">
        <v>111</v>
      </c>
      <c r="B108" s="39" t="s">
        <v>3</v>
      </c>
    </row>
    <row r="109" spans="1:23">
      <c r="A109" s="56" t="s">
        <v>112</v>
      </c>
      <c r="B109" s="39" t="s">
        <v>3</v>
      </c>
    </row>
    <row r="110" spans="1:23">
      <c r="A110" s="56" t="s">
        <v>113</v>
      </c>
      <c r="B110" s="39" t="s">
        <v>3</v>
      </c>
    </row>
    <row r="111" spans="1:23">
      <c r="A111" s="56" t="s">
        <v>114</v>
      </c>
      <c r="B111" s="57" t="s">
        <v>3</v>
      </c>
    </row>
    <row r="112" spans="1:23">
      <c r="A112" s="2" t="str">
        <f>IF(B111="Si","Periodicidad de aportes","")</f>
        <v/>
      </c>
    </row>
    <row r="113" spans="1:23">
      <c r="A113" s="2" t="str">
        <f>IF(B111="Si","Montos aproximados de aportes adicionales","")</f>
        <v/>
      </c>
    </row>
    <row r="116" spans="1:23" ht="21.75" customHeight="1">
      <c r="H116" s="1"/>
    </row>
    <row r="117" spans="1:23" ht="30">
      <c r="A117" s="59" t="s">
        <v>115</v>
      </c>
      <c r="B117" s="39" t="s">
        <v>3</v>
      </c>
      <c r="H117" s="6"/>
    </row>
    <row r="118" spans="1:23" s="1" customFormat="1" ht="18.75">
      <c r="A118" s="56" t="s">
        <v>116</v>
      </c>
      <c r="B118" s="39"/>
      <c r="C118" s="2"/>
      <c r="F118" s="2"/>
      <c r="G118" s="2"/>
      <c r="H118" s="2"/>
      <c r="N118" s="2"/>
      <c r="O118" s="2"/>
      <c r="P118" s="2"/>
      <c r="T118" s="20"/>
      <c r="U118" s="20"/>
      <c r="V118" s="20"/>
      <c r="W118" s="20"/>
    </row>
    <row r="119" spans="1:23" s="6" customFormat="1" ht="15" customHeight="1">
      <c r="A119" s="56" t="s">
        <v>117</v>
      </c>
      <c r="B119" s="39" t="s">
        <v>3</v>
      </c>
      <c r="C119" s="2"/>
      <c r="F119" s="2"/>
      <c r="G119" s="2"/>
      <c r="H119" s="2"/>
      <c r="N119" s="2"/>
      <c r="O119" s="2"/>
      <c r="P119" s="2"/>
      <c r="T119" s="20"/>
      <c r="U119" s="20"/>
      <c r="V119" s="20"/>
      <c r="W119" s="20"/>
    </row>
    <row r="120" spans="1:23">
      <c r="A120" s="56" t="s">
        <v>116</v>
      </c>
      <c r="B120" s="39"/>
    </row>
    <row r="121" spans="1:23">
      <c r="A121" s="56" t="s">
        <v>118</v>
      </c>
      <c r="B121" s="39" t="s">
        <v>3</v>
      </c>
    </row>
    <row r="122" spans="1:23">
      <c r="A122" s="2" t="str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/>
    </row>
    <row r="123" spans="1:23">
      <c r="A123" s="2" t="str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 spans="1:23">
      <c r="A124" s="2" t="str">
        <f>IF(B121="Donación","Relación con el donante","")</f>
        <v/>
      </c>
    </row>
    <row r="125" spans="1:23">
      <c r="A125" s="56" t="s">
        <v>119</v>
      </c>
      <c r="B125" s="39"/>
    </row>
    <row r="126" spans="1:23">
      <c r="A126" s="56" t="s">
        <v>120</v>
      </c>
      <c r="B126" s="39"/>
    </row>
    <row r="127" spans="1:23" ht="18.75">
      <c r="A127" s="59" t="s">
        <v>121</v>
      </c>
      <c r="B127" s="60"/>
      <c r="G127" s="1"/>
      <c r="H127" s="1"/>
    </row>
    <row r="128" spans="1:23">
      <c r="A128" s="56" t="s">
        <v>122</v>
      </c>
      <c r="B128" s="39" t="s">
        <v>3</v>
      </c>
    </row>
    <row r="129" spans="1:23" s="1" customFormat="1" ht="18.75">
      <c r="A129" s="56" t="s">
        <v>123</v>
      </c>
      <c r="B129" s="39"/>
      <c r="C129" s="2"/>
      <c r="D129" s="2"/>
      <c r="E129" s="2"/>
      <c r="F129" s="2"/>
      <c r="G129" s="2"/>
      <c r="H129" s="2"/>
      <c r="N129" s="2"/>
      <c r="O129" s="2"/>
      <c r="P129" s="2"/>
      <c r="T129" s="20"/>
      <c r="U129" s="20"/>
      <c r="V129" s="20"/>
      <c r="W129" s="20"/>
    </row>
    <row r="130" spans="1:23">
      <c r="A130" s="56" t="s">
        <v>124</v>
      </c>
      <c r="B130" s="39"/>
    </row>
    <row r="131" spans="1:23">
      <c r="A131" s="56" t="s">
        <v>125</v>
      </c>
      <c r="B131" s="39" t="s">
        <v>3</v>
      </c>
    </row>
    <row r="132" spans="1:23">
      <c r="A132" s="56"/>
      <c r="B132" s="39"/>
    </row>
    <row r="136" spans="1:23" ht="18.75">
      <c r="A136" s="44" t="s">
        <v>126</v>
      </c>
      <c r="B136" s="31"/>
    </row>
    <row r="137" spans="1:23">
      <c r="A137" s="10" t="s">
        <v>48</v>
      </c>
      <c r="B137" s="34" t="s">
        <v>3</v>
      </c>
      <c r="F137" s="3"/>
    </row>
    <row r="138" spans="1:23">
      <c r="A138" s="10" t="s">
        <v>52</v>
      </c>
      <c r="B138" s="26"/>
    </row>
    <row r="139" spans="1:23">
      <c r="A139" s="10" t="s">
        <v>127</v>
      </c>
      <c r="B139" s="26"/>
    </row>
    <row r="140" spans="1:23">
      <c r="A140" s="10" t="s">
        <v>128</v>
      </c>
      <c r="B140" s="26"/>
    </row>
    <row r="142" spans="1:23">
      <c r="G142" s="3"/>
      <c r="H142" s="3"/>
    </row>
    <row r="144" spans="1:23" s="3" customFormat="1">
      <c r="C144" s="2"/>
      <c r="D144" s="2"/>
      <c r="E144" s="2"/>
      <c r="F144" s="2"/>
      <c r="G144" s="2"/>
      <c r="H144" s="2"/>
      <c r="T144" s="20"/>
      <c r="U144" s="20"/>
      <c r="V144" s="20"/>
      <c r="W144" s="20"/>
    </row>
    <row r="145" spans="1:6" ht="18.75">
      <c r="A145" s="31" t="s">
        <v>129</v>
      </c>
      <c r="B145" s="31"/>
      <c r="C145" s="1"/>
      <c r="D145" s="1"/>
      <c r="E145" s="1"/>
    </row>
    <row r="146" spans="1:6">
      <c r="A146" s="10" t="s">
        <v>26</v>
      </c>
      <c r="B146" s="26"/>
      <c r="C146" s="3"/>
      <c r="D146" s="3"/>
      <c r="E146" s="3"/>
    </row>
    <row r="147" spans="1:6">
      <c r="A147" s="10" t="s">
        <v>28</v>
      </c>
      <c r="B147" s="26"/>
      <c r="C147" s="3"/>
      <c r="D147" s="3"/>
      <c r="E147" s="3"/>
    </row>
    <row r="148" spans="1:6">
      <c r="A148" s="10" t="s">
        <v>130</v>
      </c>
      <c r="B148" s="34" t="s">
        <v>3</v>
      </c>
      <c r="C148" s="3"/>
      <c r="D148" s="3"/>
      <c r="E148" s="3"/>
    </row>
    <row r="149" spans="1:6">
      <c r="A149" s="10" t="s">
        <v>50</v>
      </c>
      <c r="B149" s="26"/>
    </row>
    <row r="150" spans="1:6">
      <c r="A150" s="10" t="s">
        <v>52</v>
      </c>
      <c r="B150" s="26"/>
    </row>
    <row r="151" spans="1:6">
      <c r="A151" s="10" t="s">
        <v>131</v>
      </c>
      <c r="B151" s="26"/>
    </row>
    <row r="152" spans="1:6">
      <c r="A152" s="10" t="s">
        <v>44</v>
      </c>
      <c r="B152" s="26"/>
    </row>
    <row r="153" spans="1:6">
      <c r="A153" s="10"/>
      <c r="B153" s="26"/>
    </row>
    <row r="154" spans="1:6" ht="18.75">
      <c r="A154" s="10" t="s">
        <v>26</v>
      </c>
      <c r="B154" s="26"/>
      <c r="C154" s="1"/>
      <c r="D154" s="1"/>
      <c r="E154" s="1"/>
    </row>
    <row r="155" spans="1:6">
      <c r="A155" s="10" t="s">
        <v>28</v>
      </c>
      <c r="B155" s="26"/>
      <c r="C155" s="3"/>
      <c r="D155" s="3"/>
      <c r="E155" s="3"/>
    </row>
    <row r="156" spans="1:6">
      <c r="A156" s="10" t="s">
        <v>130</v>
      </c>
      <c r="B156" s="26"/>
      <c r="C156" s="3"/>
      <c r="D156" s="3"/>
      <c r="E156" s="3"/>
    </row>
    <row r="157" spans="1:6">
      <c r="A157" s="10" t="s">
        <v>50</v>
      </c>
      <c r="B157" s="26"/>
      <c r="C157" s="3"/>
      <c r="D157" s="3"/>
      <c r="E157" s="3"/>
    </row>
    <row r="158" spans="1:6">
      <c r="A158" s="10" t="s">
        <v>52</v>
      </c>
      <c r="B158" s="26"/>
    </row>
    <row r="159" spans="1:6">
      <c r="A159" s="10" t="s">
        <v>131</v>
      </c>
      <c r="B159" s="26"/>
    </row>
    <row r="160" spans="1:6" ht="18.75">
      <c r="A160" s="10" t="s">
        <v>44</v>
      </c>
      <c r="B160" s="26"/>
      <c r="F160" s="1"/>
    </row>
    <row r="161" spans="1:8">
      <c r="F161" s="3"/>
    </row>
    <row r="162" spans="1:8" ht="18.75">
      <c r="A162" s="31" t="s">
        <v>132</v>
      </c>
      <c r="B162" s="31"/>
      <c r="F162" s="3"/>
    </row>
    <row r="163" spans="1:8">
      <c r="A163" s="12" t="s">
        <v>133</v>
      </c>
      <c r="B163" s="48" t="s">
        <v>3</v>
      </c>
      <c r="F163" s="3"/>
    </row>
    <row r="164" spans="1:8">
      <c r="A164" s="12" t="s">
        <v>134</v>
      </c>
      <c r="B164" s="46"/>
    </row>
    <row r="165" spans="1:8" ht="30">
      <c r="A165" s="12" t="s">
        <v>135</v>
      </c>
      <c r="B165" s="28"/>
      <c r="G165" s="1"/>
      <c r="H165" s="1"/>
    </row>
    <row r="166" spans="1:8">
      <c r="G166" s="3"/>
      <c r="H166" s="3"/>
    </row>
  </sheetData>
  <mergeCells count="12">
    <mergeCell ref="I21:J21"/>
    <mergeCell ref="C21:D21"/>
    <mergeCell ref="X16:Y16"/>
    <mergeCell ref="X34:Y34"/>
    <mergeCell ref="E21:F21"/>
    <mergeCell ref="G21:H21"/>
    <mergeCell ref="A21:B21"/>
    <mergeCell ref="A5:B5"/>
    <mergeCell ref="A7:B7"/>
    <mergeCell ref="A9:B9"/>
    <mergeCell ref="A11:B11"/>
    <mergeCell ref="A13:B13"/>
  </mergeCells>
  <conditionalFormatting sqref="B46">
    <cfRule type="cellIs" dxfId="134" priority="35" operator="equal">
      <formula>$A$46&lt;&gt;"Cargo público desempeñado y período de tiempo"</formula>
    </cfRule>
  </conditionalFormatting>
  <conditionalFormatting sqref="B48">
    <cfRule type="cellIs" dxfId="133" priority="8" operator="equal">
      <formula>$A$48&lt;&gt;" Nombres"</formula>
    </cfRule>
  </conditionalFormatting>
  <conditionalFormatting sqref="B49">
    <cfRule type="cellIs" dxfId="132" priority="7" operator="equal">
      <formula>$A$49&lt;&gt;" Apellidos"</formula>
    </cfRule>
  </conditionalFormatting>
  <conditionalFormatting sqref="B50">
    <cfRule type="cellIs" dxfId="131" priority="6" operator="equal">
      <formula>$A$50&lt;&gt;" Fecha de nacimiento"</formula>
    </cfRule>
  </conditionalFormatting>
  <conditionalFormatting sqref="B51">
    <cfRule type="cellIs" dxfId="130" priority="5" operator="equal">
      <formula>$A$51&lt;&gt;" País emisor del documento"</formula>
    </cfRule>
  </conditionalFormatting>
  <conditionalFormatting sqref="B52">
    <cfRule type="cellIs" dxfId="129" priority="4" operator="equal">
      <formula>$A$52&lt;&gt;" Tipo de documento"</formula>
    </cfRule>
  </conditionalFormatting>
  <conditionalFormatting sqref="B53">
    <cfRule type="cellIs" dxfId="128" priority="3" operator="equal">
      <formula>$A$53&lt;&gt;" Número de documento"</formula>
    </cfRule>
  </conditionalFormatting>
  <conditionalFormatting sqref="B54">
    <cfRule type="cellIs" dxfId="127" priority="2" operator="equal">
      <formula>$A$54&lt;&gt;" Nacionalidad"</formula>
    </cfRule>
  </conditionalFormatting>
  <conditionalFormatting sqref="B55">
    <cfRule type="cellIs" dxfId="126" priority="1" operator="equal">
      <formula>$A$55&lt;&gt;" Situación laboral"</formula>
    </cfRule>
  </conditionalFormatting>
  <conditionalFormatting sqref="B112">
    <cfRule type="cellIs" dxfId="125" priority="26" operator="equal">
      <formula>$A$112&lt;&gt;"Periodicidad de aportes"</formula>
    </cfRule>
  </conditionalFormatting>
  <conditionalFormatting sqref="B113">
    <cfRule type="cellIs" dxfId="124" priority="23" operator="equal">
      <formula>$A$113&lt;&gt;"Montos aproximados de aportes adicionales"</formula>
    </cfRule>
  </conditionalFormatting>
  <conditionalFormatting sqref="B122">
    <cfRule type="expression" dxfId="123" priority="19">
      <formula>$A$122&lt;&gt;""</formula>
    </cfRule>
  </conditionalFormatting>
  <conditionalFormatting sqref="B123">
    <cfRule type="expression" dxfId="122" priority="18">
      <formula>$A$123&lt;&gt;""</formula>
    </cfRule>
  </conditionalFormatting>
  <conditionalFormatting sqref="B124">
    <cfRule type="expression" dxfId="121" priority="17">
      <formula>$A$124&lt;&gt;""</formula>
    </cfRule>
  </conditionalFormatting>
  <conditionalFormatting sqref="D46">
    <cfRule type="cellIs" dxfId="119" priority="33" operator="equal">
      <formula>$C$46&lt;&gt;"Cargo público desempeñado y período de tiempo"</formula>
    </cfRule>
  </conditionalFormatting>
  <conditionalFormatting sqref="F46">
    <cfRule type="cellIs" dxfId="117" priority="29" operator="equal">
      <formula>$E$46&lt;&gt;"Cargo público desempeñado y período de tiempo"</formula>
    </cfRule>
  </conditionalFormatting>
  <conditionalFormatting sqref="H46">
    <cfRule type="cellIs" dxfId="115" priority="28" operator="equal">
      <formula>$G$46&lt;&gt;"Cargo público desempeñado y período de tiempo"</formula>
    </cfRule>
  </conditionalFormatting>
  <conditionalFormatting sqref="J46">
    <cfRule type="cellIs" dxfId="113" priority="27" operator="equal">
      <formula>$I$46&lt;&gt;"Cargo público desempeñado y período de tiempo"</formula>
    </cfRule>
  </conditionalFormatting>
  <dataValidations count="2">
    <dataValidation allowBlank="1" showInputMessage="1" showErrorMessage="1" promptTitle="Formato" prompt="dd/mm/año" sqref="B90 B34 D34 B164 F34 H34 J34" xr:uid="{EDDC274E-C0CA-4601-A799-3CDB41AE92F7}"/>
    <dataValidation type="whole" operator="lessThanOrEqual" allowBlank="1" showInputMessage="1" showErrorMessage="1" errorTitle="No válido" error="Valor mayor a 100. No escriba el porcentaje" sqref="B66 B81" xr:uid="{C2ECC259-5FD0-43D9-AB39-9F144CA89745}">
      <formula1>100</formula1>
    </dataValidation>
  </dataValidations>
  <pageMargins left="0.7" right="0.7" top="0.75" bottom="0.75" header="0.3" footer="0.3"/>
  <headerFooter>
    <oddFooter>&amp;L_x000D_&amp;1#&amp;"FS Elliot Pro"&amp;9&amp;K737373 Classification: Internal Use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id="{F60838C1-F6A3-44EC-8042-539B486EDEA0}">
            <xm:f>NOT(ISERROR(SEARCH($A$46,A46)))</xm:f>
            <xm:f>$A$46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A46</xm:sqref>
        </x14:conditionalFormatting>
        <x14:conditionalFormatting xmlns:xm="http://schemas.microsoft.com/office/excel/2006/main">
          <x14:cfRule type="containsText" priority="16" operator="containsText" id="{46F6C40B-B319-49ED-A6D1-373292EC204C}">
            <xm:f>NOT(ISERROR(SEARCH($A$48,A48)))</xm:f>
            <xm:f>$A$48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A48:A49</xm:sqref>
        </x14:conditionalFormatting>
        <x14:conditionalFormatting xmlns:xm="http://schemas.microsoft.com/office/excel/2006/main">
          <x14:cfRule type="containsText" priority="15" operator="containsText" id="{D9590A7D-9BA5-480A-A0CA-9AA7C19B995D}">
            <xm:f>NOT(ISERROR(SEARCH($A$49,A49)))</xm:f>
            <xm:f>$A$49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A49</xm:sqref>
        </x14:conditionalFormatting>
        <x14:conditionalFormatting xmlns:xm="http://schemas.microsoft.com/office/excel/2006/main">
          <x14:cfRule type="containsText" priority="14" operator="containsText" id="{D5611B33-EA8C-4CFF-B767-10191CD6B7AC}">
            <xm:f>NOT(ISERROR(SEARCH($A$50,A50)))</xm:f>
            <xm:f>$A$50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A50</xm:sqref>
        </x14:conditionalFormatting>
        <x14:conditionalFormatting xmlns:xm="http://schemas.microsoft.com/office/excel/2006/main">
          <x14:cfRule type="containsText" priority="13" operator="containsText" id="{DD41CD89-B065-4671-AA97-2679058508F2}">
            <xm:f>NOT(ISERROR(SEARCH($A$51,A51)))</xm:f>
            <xm:f>$A$51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A51</xm:sqref>
        </x14:conditionalFormatting>
        <x14:conditionalFormatting xmlns:xm="http://schemas.microsoft.com/office/excel/2006/main">
          <x14:cfRule type="containsText" priority="12" operator="containsText" id="{94234B7C-D83B-4DAE-99F1-DE5F4AA03473}">
            <xm:f>NOT(ISERROR(SEARCH($A$52,A52)))</xm:f>
            <xm:f>$A$52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A52</xm:sqref>
        </x14:conditionalFormatting>
        <x14:conditionalFormatting xmlns:xm="http://schemas.microsoft.com/office/excel/2006/main">
          <x14:cfRule type="containsText" priority="11" operator="containsText" id="{1B189236-AAF8-41D6-9BE4-B226ECA866FD}">
            <xm:f>NOT(ISERROR(SEARCH($A$53,A53)))</xm:f>
            <xm:f>$A$53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A53</xm:sqref>
        </x14:conditionalFormatting>
        <x14:conditionalFormatting xmlns:xm="http://schemas.microsoft.com/office/excel/2006/main">
          <x14:cfRule type="containsText" priority="10" operator="containsText" id="{85623004-A6BA-41A3-8DAA-D0DC832F49D6}">
            <xm:f>NOT(ISERROR(SEARCH($A$54,A54)))</xm:f>
            <xm:f>$A$54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A54</xm:sqref>
        </x14:conditionalFormatting>
        <x14:conditionalFormatting xmlns:xm="http://schemas.microsoft.com/office/excel/2006/main">
          <x14:cfRule type="containsText" priority="9" operator="containsText" id="{62CF2BA2-7AA8-4840-997A-E119E5B74607}">
            <xm:f>NOT(ISERROR(SEARCH($A$55,A55)))</xm:f>
            <xm:f>$A$55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A55</xm:sqref>
        </x14:conditionalFormatting>
        <x14:conditionalFormatting xmlns:xm="http://schemas.microsoft.com/office/excel/2006/main">
          <x14:cfRule type="containsText" priority="25" operator="containsText" id="{FA3147E1-33C5-44AD-A539-758CC4F8A88B}">
            <xm:f>NOT(ISERROR(SEARCH($A$112,A112)))</xm:f>
            <xm:f>$A$112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A112</xm:sqref>
        </x14:conditionalFormatting>
        <x14:conditionalFormatting xmlns:xm="http://schemas.microsoft.com/office/excel/2006/main">
          <x14:cfRule type="containsText" priority="24" operator="containsText" id="{70BC9A15-F89A-46A7-90F8-17B0A6412141}">
            <xm:f>NOT(ISERROR(SEARCH($A$113,A113)))</xm:f>
            <xm:f>$A$113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A113</xm:sqref>
        </x14:conditionalFormatting>
        <x14:conditionalFormatting xmlns:xm="http://schemas.microsoft.com/office/excel/2006/main">
          <x14:cfRule type="containsText" priority="22" operator="containsText" id="{A874D276-3BAF-439F-9EDC-9F1ED7B256C6}">
            <xm:f>NOT(ISERROR(SEARCH($A$122,A122)))</xm:f>
            <xm:f>$A$122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A122</xm:sqref>
        </x14:conditionalFormatting>
        <x14:conditionalFormatting xmlns:xm="http://schemas.microsoft.com/office/excel/2006/main">
          <x14:cfRule type="containsText" priority="21" operator="containsText" id="{953C5CF6-90EC-4545-9388-6E78E2D72FBB}">
            <xm:f>NOT(ISERROR(SEARCH($A$123,A123)))</xm:f>
            <xm:f>$A$123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A123</xm:sqref>
        </x14:conditionalFormatting>
        <x14:conditionalFormatting xmlns:xm="http://schemas.microsoft.com/office/excel/2006/main">
          <x14:cfRule type="containsText" priority="20" operator="containsText" id="{71B9BA4A-EA90-4829-9BCE-B1867818BEBA}">
            <xm:f>NOT(ISERROR(SEARCH($A$124,A124)))</xm:f>
            <xm:f>$A$124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A124</xm:sqref>
        </x14:conditionalFormatting>
        <x14:conditionalFormatting xmlns:xm="http://schemas.microsoft.com/office/excel/2006/main">
          <x14:cfRule type="containsText" priority="34" operator="containsText" id="{BDD75E10-4AF8-4D66-A433-E74889B63A57}">
            <xm:f>NOT(ISERROR(SEARCH($C$46,C46)))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C46</xm:sqref>
        </x14:conditionalFormatting>
        <x14:conditionalFormatting xmlns:xm="http://schemas.microsoft.com/office/excel/2006/main">
          <x14:cfRule type="containsText" priority="32" operator="containsText" id="{4C947EA3-BEDF-467E-88C8-D392780928EC}">
            <xm:f>NOT(ISERROR(SEARCH($C$46,E46)))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E46</xm:sqref>
        </x14:conditionalFormatting>
        <x14:conditionalFormatting xmlns:xm="http://schemas.microsoft.com/office/excel/2006/main">
          <x14:cfRule type="containsText" priority="31" operator="containsText" id="{5C4AC60B-4E2B-49AA-8373-11111FF81786}">
            <xm:f>NOT(ISERROR(SEARCH($C$46,G46)))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G46</xm:sqref>
        </x14:conditionalFormatting>
        <x14:conditionalFormatting xmlns:xm="http://schemas.microsoft.com/office/excel/2006/main">
          <x14:cfRule type="containsText" priority="30" operator="containsText" id="{6687DCE6-F155-4167-91D0-EB8048E114F3}">
            <xm:f>NOT(ISERROR(SEARCH($C$46,I46)))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C3BF-48F5-4EC9-967F-D9A422867360}">
  <sheetPr codeName="Hoja2"/>
  <dimension ref="A16:Y146"/>
  <sheetViews>
    <sheetView tabSelected="1" zoomScale="84" zoomScaleNormal="85" workbookViewId="0">
      <selection activeCell="C94" sqref="C94"/>
    </sheetView>
  </sheetViews>
  <sheetFormatPr baseColWidth="10" defaultColWidth="11.5703125" defaultRowHeight="15"/>
  <cols>
    <col min="1" max="1" width="64.85546875" style="100" customWidth="1"/>
    <col min="2" max="2" width="47.85546875" style="106" customWidth="1"/>
    <col min="3" max="3" width="52" style="100" customWidth="1"/>
    <col min="4" max="4" width="42.28515625" style="100" customWidth="1"/>
    <col min="5" max="5" width="43.42578125" style="100" customWidth="1"/>
    <col min="6" max="6" width="22.140625" style="100" customWidth="1"/>
    <col min="7" max="7" width="48" style="100" customWidth="1"/>
    <col min="8" max="8" width="28" style="100" customWidth="1"/>
    <col min="9" max="9" width="55.5703125" style="100" customWidth="1"/>
    <col min="10" max="10" width="26.85546875" style="100" customWidth="1"/>
    <col min="11" max="11" width="28.42578125" style="100" customWidth="1"/>
    <col min="12" max="12" width="42.140625" style="100" customWidth="1"/>
    <col min="13" max="19" width="11.5703125" style="100"/>
    <col min="20" max="20" width="110.5703125" style="101" customWidth="1"/>
    <col min="21" max="23" width="11.5703125" style="101"/>
    <col min="24" max="16384" width="11.5703125" style="100"/>
  </cols>
  <sheetData>
    <row r="16" spans="1:2" ht="24">
      <c r="A16" s="167" t="s">
        <v>136</v>
      </c>
      <c r="B16" s="167"/>
    </row>
    <row r="17" spans="1:4">
      <c r="A17" s="102" t="s">
        <v>137</v>
      </c>
      <c r="B17" s="165" t="s">
        <v>567</v>
      </c>
    </row>
    <row r="18" spans="1:4">
      <c r="A18" s="104"/>
      <c r="B18" s="105"/>
    </row>
    <row r="19" spans="1:4" ht="24">
      <c r="A19" s="167" t="s">
        <v>141</v>
      </c>
      <c r="B19" s="167"/>
    </row>
    <row r="20" spans="1:4">
      <c r="A20" s="102" t="s">
        <v>142</v>
      </c>
      <c r="B20" s="103"/>
    </row>
    <row r="21" spans="1:4">
      <c r="A21" s="102" t="s">
        <v>143</v>
      </c>
      <c r="B21" s="103"/>
    </row>
    <row r="22" spans="1:4">
      <c r="A22" s="102" t="s">
        <v>44</v>
      </c>
      <c r="B22" s="103"/>
    </row>
    <row r="26" spans="1:4" ht="1.5" customHeight="1"/>
    <row r="27" spans="1:4" hidden="1"/>
    <row r="28" spans="1:4" ht="27">
      <c r="A28" s="156" t="s">
        <v>0</v>
      </c>
    </row>
    <row r="29" spans="1:4" ht="3.75" customHeight="1"/>
    <row r="30" spans="1:4" ht="24.75" customHeight="1">
      <c r="A30" s="108" t="s">
        <v>1</v>
      </c>
      <c r="B30" s="109"/>
      <c r="C30" s="110"/>
      <c r="D30" s="110"/>
    </row>
    <row r="31" spans="1:4" ht="68.25" customHeight="1">
      <c r="A31" s="111" t="s">
        <v>2</v>
      </c>
      <c r="B31" s="111"/>
      <c r="D31" s="118" t="s">
        <v>3</v>
      </c>
    </row>
    <row r="32" spans="1:4">
      <c r="A32" s="108" t="s">
        <v>4</v>
      </c>
      <c r="B32" s="109"/>
      <c r="C32" s="110"/>
      <c r="D32" s="109"/>
    </row>
    <row r="33" spans="1:25" ht="45">
      <c r="A33" s="113" t="s">
        <v>5</v>
      </c>
      <c r="B33" s="113"/>
      <c r="D33" s="118" t="s">
        <v>3</v>
      </c>
    </row>
    <row r="34" spans="1:25" ht="21" customHeight="1">
      <c r="A34" s="108" t="s">
        <v>7</v>
      </c>
      <c r="B34" s="109"/>
      <c r="C34" s="110"/>
      <c r="D34" s="109"/>
    </row>
    <row r="35" spans="1:25" ht="60">
      <c r="A35" s="114" t="s">
        <v>9</v>
      </c>
      <c r="B35" s="114"/>
      <c r="D35" s="118" t="s">
        <v>3</v>
      </c>
    </row>
    <row r="36" spans="1:25" ht="28.9" customHeight="1">
      <c r="A36" s="108" t="s">
        <v>11</v>
      </c>
      <c r="B36" s="109"/>
      <c r="C36" s="110"/>
      <c r="D36" s="109"/>
      <c r="T36" s="101" t="s">
        <v>1</v>
      </c>
    </row>
    <row r="37" spans="1:25" ht="43.5" customHeight="1">
      <c r="A37" s="114" t="s">
        <v>13</v>
      </c>
      <c r="B37" s="114"/>
      <c r="D37" s="118" t="s">
        <v>3</v>
      </c>
      <c r="T37" s="101" t="s">
        <v>2</v>
      </c>
    </row>
    <row r="38" spans="1:25" ht="25.9" customHeight="1">
      <c r="A38" s="115" t="s">
        <v>15</v>
      </c>
      <c r="B38" s="109"/>
      <c r="C38" s="110"/>
      <c r="D38" s="157"/>
      <c r="T38" s="101" t="s">
        <v>6</v>
      </c>
    </row>
    <row r="39" spans="1:25" ht="34.5" customHeight="1">
      <c r="A39" s="114" t="s">
        <v>16</v>
      </c>
      <c r="B39" s="116"/>
      <c r="D39" s="118" t="s">
        <v>3</v>
      </c>
      <c r="T39" s="101" t="s">
        <v>8</v>
      </c>
    </row>
    <row r="40" spans="1:25" ht="28.9" customHeight="1">
      <c r="A40" s="166" t="s">
        <v>18</v>
      </c>
      <c r="B40" s="109"/>
      <c r="C40" s="110"/>
      <c r="D40" s="158"/>
      <c r="T40" s="101" t="s">
        <v>10</v>
      </c>
    </row>
    <row r="41" spans="1:25" ht="135">
      <c r="B41" s="117" t="s">
        <v>19</v>
      </c>
      <c r="D41" s="118" t="s">
        <v>3</v>
      </c>
      <c r="T41" s="101" t="s">
        <v>12</v>
      </c>
    </row>
    <row r="42" spans="1:25" ht="51.75" customHeight="1">
      <c r="B42" s="119"/>
      <c r="T42" s="101" t="s">
        <v>14</v>
      </c>
    </row>
    <row r="43" spans="1:25" ht="139.5" customHeight="1">
      <c r="A43" s="120" t="s">
        <v>23</v>
      </c>
      <c r="B43" s="117" t="s">
        <v>24</v>
      </c>
      <c r="D43" s="118" t="s">
        <v>3</v>
      </c>
      <c r="T43" s="101" t="s">
        <v>4</v>
      </c>
    </row>
    <row r="44" spans="1:25" ht="17.25" customHeight="1">
      <c r="T44" s="101" t="s">
        <v>17</v>
      </c>
    </row>
    <row r="45" spans="1:25">
      <c r="A45" s="115" t="s">
        <v>29</v>
      </c>
      <c r="B45" s="109"/>
      <c r="C45" s="110"/>
      <c r="D45" s="110"/>
      <c r="T45" s="101" t="s">
        <v>6</v>
      </c>
    </row>
    <row r="46" spans="1:25" ht="100.5" customHeight="1">
      <c r="A46" s="111" t="s">
        <v>31</v>
      </c>
      <c r="D46" s="118" t="s">
        <v>3</v>
      </c>
      <c r="T46" s="101" t="s">
        <v>20</v>
      </c>
    </row>
    <row r="47" spans="1:25" ht="25.5" customHeight="1">
      <c r="A47" s="114"/>
      <c r="D47" s="116"/>
    </row>
    <row r="48" spans="1:25" ht="31.5" customHeight="1">
      <c r="A48" s="156" t="s">
        <v>33</v>
      </c>
      <c r="B48" s="121"/>
      <c r="T48" s="101" t="s">
        <v>21</v>
      </c>
      <c r="X48" s="168" t="s">
        <v>22</v>
      </c>
      <c r="Y48" s="168"/>
    </row>
    <row r="49" spans="1:25" ht="22.5" customHeight="1">
      <c r="A49" s="122" t="s">
        <v>39</v>
      </c>
      <c r="B49" s="123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T49" s="101" t="s">
        <v>25</v>
      </c>
      <c r="X49" s="122" t="s">
        <v>26</v>
      </c>
      <c r="Y49" s="124"/>
    </row>
    <row r="50" spans="1:25">
      <c r="A50" s="122" t="s">
        <v>41</v>
      </c>
      <c r="B50" s="123"/>
      <c r="T50" s="101" t="s">
        <v>27</v>
      </c>
      <c r="X50" s="122" t="s">
        <v>28</v>
      </c>
      <c r="Y50" s="124"/>
    </row>
    <row r="51" spans="1:25" ht="24" customHeight="1">
      <c r="A51" s="122" t="s">
        <v>43</v>
      </c>
      <c r="B51" s="123"/>
      <c r="T51" s="101" t="s">
        <v>7</v>
      </c>
      <c r="X51" s="122" t="s">
        <v>30</v>
      </c>
      <c r="Y51" s="124"/>
    </row>
    <row r="52" spans="1:25">
      <c r="A52" s="122" t="s">
        <v>45</v>
      </c>
      <c r="B52" s="123"/>
      <c r="T52" s="101" t="s">
        <v>9</v>
      </c>
      <c r="X52" s="122" t="s">
        <v>32</v>
      </c>
      <c r="Y52" s="124"/>
    </row>
    <row r="53" spans="1:25">
      <c r="A53" s="122" t="s">
        <v>32</v>
      </c>
      <c r="B53" s="123"/>
      <c r="X53" s="122" t="s">
        <v>38</v>
      </c>
      <c r="Y53" s="124"/>
    </row>
    <row r="54" spans="1:25" s="107" customFormat="1" ht="17.25" customHeight="1">
      <c r="A54" s="122" t="s">
        <v>48</v>
      </c>
      <c r="B54" s="141" t="s">
        <v>3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N54" s="169" t="s">
        <v>34</v>
      </c>
      <c r="O54" s="169"/>
      <c r="P54" s="169" t="s">
        <v>35</v>
      </c>
      <c r="Q54" s="169"/>
      <c r="R54" s="169" t="s">
        <v>36</v>
      </c>
      <c r="S54" s="169"/>
      <c r="T54" s="169" t="s">
        <v>37</v>
      </c>
      <c r="U54" s="169"/>
      <c r="V54" s="101"/>
      <c r="W54" s="101"/>
      <c r="X54" s="125" t="s">
        <v>40</v>
      </c>
      <c r="Y54" s="124"/>
    </row>
    <row r="55" spans="1:25">
      <c r="A55" s="122" t="s">
        <v>50</v>
      </c>
      <c r="B55" s="141"/>
      <c r="N55" s="126" t="s">
        <v>39</v>
      </c>
      <c r="O55" s="127"/>
      <c r="P55" s="126" t="s">
        <v>39</v>
      </c>
      <c r="Q55" s="127"/>
      <c r="R55" s="126" t="s">
        <v>39</v>
      </c>
      <c r="S55" s="127"/>
      <c r="T55" s="126" t="s">
        <v>39</v>
      </c>
      <c r="U55" s="127"/>
      <c r="X55" s="122" t="s">
        <v>42</v>
      </c>
      <c r="Y55" s="124"/>
    </row>
    <row r="56" spans="1:25">
      <c r="A56" s="122" t="s">
        <v>52</v>
      </c>
      <c r="B56" s="141"/>
      <c r="N56" s="126" t="s">
        <v>41</v>
      </c>
      <c r="O56" s="127"/>
      <c r="P56" s="126" t="s">
        <v>41</v>
      </c>
      <c r="Q56" s="127"/>
      <c r="R56" s="126" t="s">
        <v>41</v>
      </c>
      <c r="S56" s="127"/>
      <c r="T56" s="126" t="s">
        <v>41</v>
      </c>
      <c r="U56" s="127"/>
      <c r="X56" s="122" t="s">
        <v>44</v>
      </c>
      <c r="Y56" s="124"/>
    </row>
    <row r="57" spans="1:25">
      <c r="A57" s="122" t="s">
        <v>54</v>
      </c>
      <c r="B57" s="141"/>
      <c r="D57" s="154"/>
      <c r="N57" s="126" t="s">
        <v>43</v>
      </c>
      <c r="O57" s="127"/>
      <c r="P57" s="126" t="s">
        <v>43</v>
      </c>
      <c r="Q57" s="127"/>
      <c r="R57" s="126" t="s">
        <v>43</v>
      </c>
      <c r="S57" s="127"/>
      <c r="T57" s="126" t="s">
        <v>43</v>
      </c>
      <c r="U57" s="127"/>
      <c r="X57" s="122" t="s">
        <v>46</v>
      </c>
      <c r="Y57" s="124"/>
    </row>
    <row r="58" spans="1:25" ht="35.25" customHeight="1">
      <c r="A58" s="125" t="s">
        <v>40</v>
      </c>
      <c r="B58" s="141"/>
      <c r="N58" s="126" t="s">
        <v>45</v>
      </c>
      <c r="O58" s="128"/>
      <c r="P58" s="126" t="s">
        <v>45</v>
      </c>
      <c r="Q58" s="128"/>
      <c r="R58" s="126" t="s">
        <v>45</v>
      </c>
      <c r="S58" s="128"/>
      <c r="T58" s="126" t="s">
        <v>45</v>
      </c>
      <c r="U58" s="128"/>
      <c r="X58" s="122" t="s">
        <v>47</v>
      </c>
      <c r="Y58" s="124"/>
    </row>
    <row r="59" spans="1:25" ht="16.5" customHeight="1">
      <c r="A59" s="122" t="s">
        <v>57</v>
      </c>
      <c r="B59" s="141"/>
      <c r="N59" s="126" t="s">
        <v>32</v>
      </c>
      <c r="O59" s="127"/>
      <c r="P59" s="126" t="s">
        <v>32</v>
      </c>
      <c r="Q59" s="127"/>
      <c r="R59" s="126" t="s">
        <v>32</v>
      </c>
      <c r="S59" s="127"/>
      <c r="T59" s="126" t="s">
        <v>32</v>
      </c>
      <c r="U59" s="127"/>
      <c r="X59" s="122" t="s">
        <v>49</v>
      </c>
      <c r="Y59" s="129" t="s">
        <v>6</v>
      </c>
    </row>
    <row r="60" spans="1:25">
      <c r="A60" s="122" t="s">
        <v>44</v>
      </c>
      <c r="B60" s="141"/>
      <c r="N60" s="126" t="s">
        <v>48</v>
      </c>
      <c r="O60" s="127" t="s">
        <v>3</v>
      </c>
      <c r="P60" s="126" t="s">
        <v>48</v>
      </c>
      <c r="Q60" s="127" t="s">
        <v>3</v>
      </c>
      <c r="R60" s="126" t="s">
        <v>48</v>
      </c>
      <c r="S60" s="127" t="s">
        <v>3</v>
      </c>
      <c r="T60" s="126" t="s">
        <v>48</v>
      </c>
      <c r="U60" s="127" t="s">
        <v>3</v>
      </c>
      <c r="X60" s="122" t="s">
        <v>51</v>
      </c>
      <c r="Y60" s="129" t="s">
        <v>6</v>
      </c>
    </row>
    <row r="61" spans="1:25">
      <c r="A61" s="122" t="s">
        <v>47</v>
      </c>
      <c r="B61" s="141"/>
      <c r="N61" s="126" t="s">
        <v>50</v>
      </c>
      <c r="O61" s="127"/>
      <c r="P61" s="126" t="s">
        <v>50</v>
      </c>
      <c r="Q61" s="127"/>
      <c r="R61" s="126" t="s">
        <v>50</v>
      </c>
      <c r="S61" s="127"/>
      <c r="T61" s="126" t="s">
        <v>50</v>
      </c>
      <c r="U61" s="127"/>
      <c r="X61" s="122" t="s">
        <v>53</v>
      </c>
      <c r="Y61" s="124"/>
    </row>
    <row r="62" spans="1:25">
      <c r="A62" s="122" t="s">
        <v>60</v>
      </c>
      <c r="B62" s="141" t="s">
        <v>3</v>
      </c>
      <c r="C62" s="144"/>
      <c r="D62" s="144"/>
      <c r="N62" s="126" t="s">
        <v>52</v>
      </c>
      <c r="O62" s="127"/>
      <c r="P62" s="126" t="s">
        <v>52</v>
      </c>
      <c r="Q62" s="127"/>
      <c r="R62" s="126" t="s">
        <v>52</v>
      </c>
      <c r="S62" s="127"/>
      <c r="T62" s="126" t="s">
        <v>52</v>
      </c>
      <c r="U62" s="127"/>
      <c r="X62" s="122" t="s">
        <v>55</v>
      </c>
      <c r="Y62" s="124"/>
    </row>
    <row r="63" spans="1:25" ht="33.75" customHeight="1">
      <c r="A63" s="122" t="s">
        <v>572</v>
      </c>
      <c r="B63" s="141" t="s">
        <v>3</v>
      </c>
      <c r="C63" s="140" t="str">
        <f>IF(OR(B68="Empleado/Independiente",B68="No empleado",B68="Retirado"),"Responda las siguientes preguntas sobre su situación laboral :","")</f>
        <v/>
      </c>
      <c r="D63" s="144"/>
      <c r="N63" s="126" t="s">
        <v>54</v>
      </c>
      <c r="O63" s="131"/>
      <c r="P63" s="126" t="s">
        <v>54</v>
      </c>
      <c r="Q63" s="131"/>
      <c r="R63" s="126" t="s">
        <v>54</v>
      </c>
      <c r="S63" s="131"/>
      <c r="T63" s="126" t="s">
        <v>54</v>
      </c>
      <c r="U63" s="131"/>
      <c r="X63" s="122" t="s">
        <v>56</v>
      </c>
      <c r="Y63" s="129" t="s">
        <v>6</v>
      </c>
    </row>
    <row r="64" spans="1:25" ht="20.25" customHeight="1">
      <c r="A64" s="122" t="s">
        <v>573</v>
      </c>
      <c r="B64" s="141"/>
      <c r="C64" s="144" t="str">
        <f>IF(B68="Empleado/Independiente","Cargo",IF(OR(B68="No empleado",B68="Retirado"),"Cargo (Último trabajo)",""))</f>
        <v/>
      </c>
      <c r="D64" s="144"/>
      <c r="N64" s="132" t="s">
        <v>40</v>
      </c>
      <c r="O64" s="127"/>
      <c r="P64" s="132" t="s">
        <v>40</v>
      </c>
      <c r="Q64" s="127"/>
      <c r="R64" s="132" t="s">
        <v>40</v>
      </c>
      <c r="S64" s="127"/>
      <c r="T64" s="132" t="s">
        <v>40</v>
      </c>
      <c r="U64" s="127"/>
      <c r="X64" s="122" t="s">
        <v>58</v>
      </c>
      <c r="Y64" s="129" t="s">
        <v>6</v>
      </c>
    </row>
    <row r="65" spans="1:25">
      <c r="A65" s="122" t="s">
        <v>566</v>
      </c>
      <c r="B65" s="141"/>
      <c r="C65" s="144" t="str">
        <f>IF(B68="Empleado/Independiente","Empresa",IF(OR(B68="No empleado",B68="Retirado"),"Empresa (Último trabajo)",""))</f>
        <v/>
      </c>
      <c r="D65" s="144"/>
      <c r="N65" s="126" t="s">
        <v>57</v>
      </c>
      <c r="O65" s="127"/>
      <c r="P65" s="126" t="s">
        <v>57</v>
      </c>
      <c r="Q65" s="127"/>
      <c r="R65" s="126" t="s">
        <v>57</v>
      </c>
      <c r="S65" s="127"/>
      <c r="T65" s="126" t="s">
        <v>57</v>
      </c>
      <c r="U65" s="127"/>
    </row>
    <row r="66" spans="1:25" ht="18.75">
      <c r="A66" s="122" t="s">
        <v>56</v>
      </c>
      <c r="B66" s="141" t="s">
        <v>3</v>
      </c>
      <c r="C66" s="144" t="str">
        <f>IF(B68="Empleado/Independiente","Rubro de la empresa",IF(OR(B68="No empleado",B68="Retirado"),"Rubro de la Empresa (Último trabajo)",""))</f>
        <v/>
      </c>
      <c r="D66" s="144"/>
      <c r="N66" s="126" t="s">
        <v>44</v>
      </c>
      <c r="O66" s="127"/>
      <c r="P66" s="126" t="s">
        <v>44</v>
      </c>
      <c r="Q66" s="127"/>
      <c r="R66" s="126" t="s">
        <v>44</v>
      </c>
      <c r="S66" s="127"/>
      <c r="T66" s="126" t="s">
        <v>44</v>
      </c>
      <c r="U66" s="127"/>
      <c r="X66" s="133" t="s">
        <v>59</v>
      </c>
      <c r="Y66" s="133"/>
    </row>
    <row r="67" spans="1:25" ht="18.75">
      <c r="A67" s="122" t="s">
        <v>58</v>
      </c>
      <c r="B67" s="141" t="s">
        <v>3</v>
      </c>
      <c r="C67" s="144" t="str">
        <f>IF(B68="Empleado/Independiente","País empresa","")</f>
        <v/>
      </c>
      <c r="D67" s="144" t="s">
        <v>3</v>
      </c>
      <c r="E67" s="134"/>
      <c r="F67" s="134"/>
      <c r="G67" s="134"/>
      <c r="H67" s="134"/>
      <c r="I67" s="134"/>
      <c r="J67" s="134"/>
      <c r="K67" s="134"/>
      <c r="L67" s="134"/>
      <c r="N67" s="126" t="s">
        <v>47</v>
      </c>
      <c r="O67" s="135"/>
      <c r="P67" s="126" t="s">
        <v>47</v>
      </c>
      <c r="Q67" s="135"/>
      <c r="R67" s="126" t="s">
        <v>47</v>
      </c>
      <c r="S67" s="135"/>
      <c r="T67" s="126" t="s">
        <v>47</v>
      </c>
      <c r="U67" s="135"/>
      <c r="X67" s="122" t="s">
        <v>61</v>
      </c>
      <c r="Y67" s="124" t="s">
        <v>3</v>
      </c>
    </row>
    <row r="68" spans="1:25">
      <c r="A68" s="122" t="s">
        <v>67</v>
      </c>
      <c r="B68" s="141" t="s">
        <v>3</v>
      </c>
      <c r="C68" s="144" t="str">
        <f>IF(B68="Empleado/Independiente","Provincia empresa","")</f>
        <v/>
      </c>
      <c r="D68" s="144"/>
      <c r="N68" s="126" t="s">
        <v>60</v>
      </c>
      <c r="O68" s="127" t="s">
        <v>3</v>
      </c>
      <c r="P68" s="126" t="s">
        <v>60</v>
      </c>
      <c r="Q68" s="127" t="s">
        <v>3</v>
      </c>
      <c r="R68" s="126" t="s">
        <v>60</v>
      </c>
      <c r="S68" s="127" t="s">
        <v>3</v>
      </c>
      <c r="T68" s="126" t="s">
        <v>60</v>
      </c>
      <c r="U68" s="127" t="s">
        <v>3</v>
      </c>
      <c r="X68" s="122" t="s">
        <v>62</v>
      </c>
      <c r="Y68" s="124"/>
    </row>
    <row r="69" spans="1:25">
      <c r="A69" s="122" t="s">
        <v>61</v>
      </c>
      <c r="B69" s="141" t="s">
        <v>3</v>
      </c>
      <c r="C69" s="144" t="str">
        <f>IF(B68="Empleado/Independiente","Ciudad empresa","")</f>
        <v/>
      </c>
      <c r="D69" s="144"/>
      <c r="N69" s="126" t="s">
        <v>51</v>
      </c>
      <c r="O69" s="127"/>
      <c r="P69" s="126" t="s">
        <v>51</v>
      </c>
      <c r="Q69" s="127"/>
      <c r="R69" s="126" t="s">
        <v>51</v>
      </c>
      <c r="S69" s="127"/>
      <c r="T69" s="126" t="s">
        <v>51</v>
      </c>
      <c r="U69" s="127"/>
      <c r="X69" s="122" t="s">
        <v>63</v>
      </c>
      <c r="Y69" s="124"/>
    </row>
    <row r="70" spans="1:25">
      <c r="A70" s="122" t="s">
        <v>70</v>
      </c>
      <c r="B70" s="141" t="s">
        <v>3</v>
      </c>
      <c r="C70" s="144" t="str">
        <f>IF(B68="Empleado/Independiente","Dirección empresa","")</f>
        <v/>
      </c>
      <c r="D70" s="144"/>
      <c r="N70" s="126" t="s">
        <v>53</v>
      </c>
      <c r="O70" s="127"/>
      <c r="P70" s="126" t="s">
        <v>53</v>
      </c>
      <c r="Q70" s="127"/>
      <c r="R70" s="126" t="s">
        <v>53</v>
      </c>
      <c r="S70" s="127"/>
      <c r="T70" s="126" t="s">
        <v>53</v>
      </c>
      <c r="U70" s="127"/>
      <c r="X70" s="122" t="s">
        <v>64</v>
      </c>
      <c r="Y70" s="124"/>
    </row>
    <row r="71" spans="1:25" ht="17.25" customHeight="1">
      <c r="A71" s="122" t="s">
        <v>46</v>
      </c>
      <c r="B71" s="141"/>
      <c r="C71" s="144" t="str">
        <f>IF(B68="Empleado/Independiente","Código postal empresa","")</f>
        <v/>
      </c>
      <c r="D71" s="144"/>
      <c r="N71" s="126" t="s">
        <v>55</v>
      </c>
      <c r="O71" s="127"/>
      <c r="P71" s="126" t="s">
        <v>55</v>
      </c>
      <c r="Q71" s="127"/>
      <c r="R71" s="126" t="s">
        <v>55</v>
      </c>
      <c r="S71" s="127"/>
      <c r="T71" s="126" t="s">
        <v>55</v>
      </c>
      <c r="U71" s="127"/>
      <c r="X71" s="125" t="s">
        <v>65</v>
      </c>
      <c r="Y71" s="136"/>
    </row>
    <row r="72" spans="1:25" s="134" customFormat="1" ht="30.75">
      <c r="A72" s="137" t="s">
        <v>73</v>
      </c>
      <c r="B72" s="159" t="s">
        <v>3</v>
      </c>
      <c r="C72" s="144" t="str">
        <f>IF(B68="Empleado/Independiente","Número de contacto empresa","")</f>
        <v/>
      </c>
      <c r="D72" s="160"/>
      <c r="E72" s="100"/>
      <c r="F72" s="100"/>
      <c r="G72" s="100"/>
      <c r="H72" s="138"/>
      <c r="I72" s="138"/>
      <c r="J72" s="138"/>
      <c r="K72" s="138"/>
      <c r="L72" s="138"/>
      <c r="N72" s="126" t="s">
        <v>56</v>
      </c>
      <c r="O72" s="127" t="s">
        <v>3</v>
      </c>
      <c r="P72" s="126" t="s">
        <v>56</v>
      </c>
      <c r="Q72" s="127" t="s">
        <v>3</v>
      </c>
      <c r="R72" s="126" t="s">
        <v>56</v>
      </c>
      <c r="S72" s="127" t="s">
        <v>3</v>
      </c>
      <c r="T72" s="126" t="s">
        <v>56</v>
      </c>
      <c r="U72" s="127" t="s">
        <v>3</v>
      </c>
      <c r="V72" s="101"/>
      <c r="W72" s="101"/>
      <c r="X72" s="122" t="s">
        <v>66</v>
      </c>
      <c r="Y72" s="124"/>
    </row>
    <row r="73" spans="1:25">
      <c r="A73" s="138" t="str">
        <f>IF(B72="Si","Cargo público desempeñado y período de tiempo","")</f>
        <v/>
      </c>
      <c r="B73" s="160"/>
      <c r="C73" s="144" t="str">
        <f>IF(B68="Empleado/Independiente","E-mail Empresa","")</f>
        <v/>
      </c>
      <c r="D73" s="144"/>
      <c r="G73" s="100" t="str">
        <f>IF(S78="Si","Cargo público desempeñado y período de tiempo","")</f>
        <v/>
      </c>
      <c r="I73" s="100" t="str">
        <f>IF(U78="Si","Cargo público desempeñado y período de tiempo","")</f>
        <v/>
      </c>
      <c r="N73" s="126" t="s">
        <v>58</v>
      </c>
      <c r="O73" s="127" t="s">
        <v>3</v>
      </c>
      <c r="P73" s="126" t="s">
        <v>58</v>
      </c>
      <c r="Q73" s="127" t="s">
        <v>3</v>
      </c>
      <c r="R73" s="126" t="s">
        <v>58</v>
      </c>
      <c r="S73" s="127" t="s">
        <v>3</v>
      </c>
      <c r="T73" s="126" t="s">
        <v>58</v>
      </c>
      <c r="U73" s="127" t="s">
        <v>3</v>
      </c>
      <c r="X73" s="122" t="s">
        <v>68</v>
      </c>
      <c r="Y73" s="124"/>
    </row>
    <row r="74" spans="1:25" ht="23.25" customHeight="1">
      <c r="A74" s="137" t="s">
        <v>78</v>
      </c>
      <c r="B74" s="159" t="s">
        <v>3</v>
      </c>
      <c r="C74" s="144" t="str">
        <f>IF(B68="Empleado/Independiente","Página web de la empresa","")</f>
        <v/>
      </c>
      <c r="D74" s="144"/>
      <c r="E74" s="155"/>
      <c r="N74" s="126" t="s">
        <v>67</v>
      </c>
      <c r="O74" s="127" t="s">
        <v>3</v>
      </c>
      <c r="P74" s="126" t="s">
        <v>67</v>
      </c>
      <c r="Q74" s="127" t="s">
        <v>3</v>
      </c>
      <c r="R74" s="126" t="s">
        <v>67</v>
      </c>
      <c r="S74" s="127" t="s">
        <v>3</v>
      </c>
      <c r="T74" s="126" t="s">
        <v>67</v>
      </c>
      <c r="U74" s="127" t="s">
        <v>3</v>
      </c>
      <c r="X74" s="125" t="s">
        <v>69</v>
      </c>
      <c r="Y74" s="136"/>
    </row>
    <row r="75" spans="1:25" ht="21" customHeight="1">
      <c r="B75" s="100"/>
      <c r="C75" s="138"/>
      <c r="D75" s="138"/>
      <c r="E75" s="138"/>
      <c r="F75" s="138"/>
      <c r="G75" s="138" t="str">
        <f>IF(S76="Casado/a"," Nombres","")</f>
        <v/>
      </c>
      <c r="H75" s="138"/>
      <c r="I75" s="138" t="str">
        <f>IF(U76="Casado/a"," Nombres","")</f>
        <v/>
      </c>
      <c r="J75" s="138"/>
      <c r="K75" s="138"/>
      <c r="L75" s="138"/>
      <c r="N75" s="126" t="s">
        <v>61</v>
      </c>
      <c r="O75" s="139" t="s">
        <v>3</v>
      </c>
      <c r="P75" s="126" t="s">
        <v>61</v>
      </c>
      <c r="Q75" s="139" t="s">
        <v>3</v>
      </c>
      <c r="R75" s="126" t="s">
        <v>61</v>
      </c>
      <c r="S75" s="139" t="s">
        <v>3</v>
      </c>
      <c r="T75" s="126" t="s">
        <v>61</v>
      </c>
      <c r="U75" s="139" t="s">
        <v>3</v>
      </c>
      <c r="X75" s="122" t="s">
        <v>44</v>
      </c>
      <c r="Y75" s="124"/>
    </row>
    <row r="76" spans="1:25" ht="28.5" customHeight="1">
      <c r="A76" s="156" t="str">
        <f>IF(B70="Casado/a"," Datos Cónyuge","")</f>
        <v/>
      </c>
      <c r="G76" s="100" t="str">
        <f>IF(S76="Casado/a"," Apellidos","")</f>
        <v/>
      </c>
      <c r="I76" s="100" t="str">
        <f>IF(U76="Casado/a"," Apellidos","")</f>
        <v/>
      </c>
      <c r="N76" s="126" t="s">
        <v>70</v>
      </c>
      <c r="O76" s="127" t="s">
        <v>3</v>
      </c>
      <c r="P76" s="126" t="s">
        <v>70</v>
      </c>
      <c r="Q76" s="127" t="s">
        <v>3</v>
      </c>
      <c r="R76" s="126" t="s">
        <v>70</v>
      </c>
      <c r="S76" s="127" t="s">
        <v>3</v>
      </c>
      <c r="T76" s="126" t="s">
        <v>70</v>
      </c>
      <c r="U76" s="127" t="s">
        <v>145</v>
      </c>
      <c r="X76" s="122" t="s">
        <v>72</v>
      </c>
      <c r="Y76" s="124"/>
    </row>
    <row r="77" spans="1:25" s="138" customFormat="1" ht="27" customHeight="1">
      <c r="A77" s="106" t="str">
        <f>IF(B70="Casado/a"," Nombres","")</f>
        <v/>
      </c>
      <c r="B77" s="106"/>
      <c r="C77" s="100" t="str">
        <f>IF(B70="Casado/a"," Fecha de nacimiento","")</f>
        <v/>
      </c>
      <c r="D77" s="106"/>
      <c r="E77" s="144" t="str">
        <f>IF(B79="Empleado/Independiente","Cargo",IF(OR(B79="No empleado",B79="Retirado"),"Cargo (Último trabajo)",""))</f>
        <v/>
      </c>
      <c r="F77" s="100"/>
      <c r="G77" s="100" t="str">
        <f>IF(S76="Casado/a"," Situación laboral","")</f>
        <v/>
      </c>
      <c r="H77" s="100"/>
      <c r="I77" s="100" t="str">
        <f>IF(U76="Casado/a"," Situación laboral","")</f>
        <v/>
      </c>
      <c r="J77" s="100"/>
      <c r="K77" s="100"/>
      <c r="L77" s="100"/>
      <c r="N77" s="126" t="s">
        <v>46</v>
      </c>
      <c r="O77" s="127"/>
      <c r="P77" s="126" t="s">
        <v>46</v>
      </c>
      <c r="Q77" s="127"/>
      <c r="R77" s="126" t="s">
        <v>46</v>
      </c>
      <c r="S77" s="127"/>
      <c r="T77" s="126" t="s">
        <v>46</v>
      </c>
      <c r="U77" s="127"/>
      <c r="V77" s="101"/>
      <c r="W77" s="101"/>
      <c r="X77" s="122" t="s">
        <v>61</v>
      </c>
      <c r="Y77" s="124" t="s">
        <v>6</v>
      </c>
    </row>
    <row r="78" spans="1:25" ht="26.25" customHeight="1">
      <c r="A78" s="106" t="str">
        <f>IF(B70="Casado/a"," Apellidos","")</f>
        <v/>
      </c>
      <c r="C78" s="100" t="str">
        <f>IF(B70="Casado/a"," País emisor del documento","")</f>
        <v/>
      </c>
      <c r="D78" s="112" t="s">
        <v>3</v>
      </c>
      <c r="E78" s="144" t="str">
        <f>IF(B79="Empleado/Independiente","Empresa",IF(OR(B79="No empleado",B79="Retirado"),"Empresa (Último trabajo)",""))</f>
        <v/>
      </c>
      <c r="I78" s="134"/>
      <c r="J78" s="134"/>
      <c r="K78" s="134"/>
      <c r="L78" s="134"/>
      <c r="N78" s="132" t="s">
        <v>73</v>
      </c>
      <c r="O78" s="127" t="s">
        <v>75</v>
      </c>
      <c r="P78" s="132" t="s">
        <v>73</v>
      </c>
      <c r="Q78" s="127" t="s">
        <v>75</v>
      </c>
      <c r="R78" s="132" t="s">
        <v>73</v>
      </c>
      <c r="S78" s="127" t="s">
        <v>75</v>
      </c>
      <c r="T78" s="132" t="s">
        <v>73</v>
      </c>
      <c r="U78" s="127" t="s">
        <v>75</v>
      </c>
      <c r="X78" s="122" t="s">
        <v>76</v>
      </c>
      <c r="Y78" s="129" t="s">
        <v>6</v>
      </c>
    </row>
    <row r="79" spans="1:25" ht="34.5" customHeight="1">
      <c r="A79" s="106" t="str">
        <f>IF(B70="Casado/a"," Situación laboral","")</f>
        <v/>
      </c>
      <c r="B79" s="116" t="s">
        <v>3</v>
      </c>
      <c r="C79" s="100" t="str">
        <f>IF(B70="Casado/a"," Tipo de documento","")</f>
        <v/>
      </c>
      <c r="D79" s="112" t="s">
        <v>147</v>
      </c>
      <c r="E79" s="144" t="str">
        <f>IF(B79="Empleado/Independiente","Rubro de la empresa",IF(OR(B79="No empleado",B79="Retirado"),"Rubro de la Empresa (Último trabajo)",""))</f>
        <v/>
      </c>
      <c r="X79" s="125" t="s">
        <v>77</v>
      </c>
      <c r="Y79" s="129" t="s">
        <v>6</v>
      </c>
    </row>
    <row r="80" spans="1:25" s="138" customFormat="1" ht="17.25" customHeight="1">
      <c r="A80" s="138" t="str">
        <f>IF(B70="Casado/a"," Nacionalidad","")</f>
        <v/>
      </c>
      <c r="B80" s="112" t="s">
        <v>3</v>
      </c>
      <c r="C80" s="100" t="str">
        <f>IF(B70="Casado/a"," Número de documento","")</f>
        <v/>
      </c>
      <c r="D80" s="106"/>
      <c r="E80" s="130"/>
      <c r="F80" s="100"/>
      <c r="G80" s="100"/>
      <c r="H80" s="100"/>
      <c r="I80" s="100"/>
      <c r="J80" s="100"/>
      <c r="K80" s="100"/>
      <c r="L80" s="100"/>
      <c r="N80" s="100"/>
      <c r="O80" s="100"/>
      <c r="P80" s="100"/>
      <c r="T80" s="101"/>
      <c r="U80" s="101"/>
      <c r="V80" s="101"/>
      <c r="W80" s="101"/>
      <c r="X80" s="125" t="s">
        <v>78</v>
      </c>
      <c r="Y80" s="129" t="s">
        <v>6</v>
      </c>
    </row>
    <row r="81" spans="1:23">
      <c r="B81" s="144"/>
    </row>
    <row r="82" spans="1:23" ht="27">
      <c r="A82" s="156" t="s">
        <v>100</v>
      </c>
      <c r="B82" s="150"/>
    </row>
    <row r="83" spans="1:23" ht="30.75">
      <c r="A83" s="152" t="s">
        <v>101</v>
      </c>
      <c r="B83" s="153"/>
      <c r="C83" s="134"/>
      <c r="D83" s="134"/>
    </row>
    <row r="84" spans="1:23">
      <c r="A84" s="145" t="s">
        <v>102</v>
      </c>
      <c r="B84" s="141" t="s">
        <v>3</v>
      </c>
      <c r="C84" s="142"/>
      <c r="D84" s="142"/>
    </row>
    <row r="85" spans="1:23" s="130" customFormat="1" ht="15.75">
      <c r="A85" s="145" t="s">
        <v>103</v>
      </c>
      <c r="B85" s="141" t="s">
        <v>3</v>
      </c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N85" s="100"/>
      <c r="O85" s="100"/>
      <c r="P85" s="100"/>
      <c r="T85" s="101"/>
      <c r="U85" s="101"/>
      <c r="V85" s="101"/>
      <c r="W85" s="101"/>
    </row>
    <row r="86" spans="1:23">
      <c r="A86" s="145" t="s">
        <v>104</v>
      </c>
      <c r="B86" s="141" t="s">
        <v>3</v>
      </c>
    </row>
    <row r="87" spans="1:23">
      <c r="A87" s="145" t="s">
        <v>105</v>
      </c>
      <c r="B87" s="141" t="s">
        <v>3</v>
      </c>
    </row>
    <row r="88" spans="1:23">
      <c r="A88" s="145" t="s">
        <v>106</v>
      </c>
      <c r="B88" s="141" t="s">
        <v>3</v>
      </c>
    </row>
    <row r="89" spans="1:23">
      <c r="A89" s="145" t="s">
        <v>107</v>
      </c>
      <c r="B89" s="141" t="s">
        <v>3</v>
      </c>
    </row>
    <row r="90" spans="1:23" ht="15.75">
      <c r="A90" s="130"/>
      <c r="B90" s="146"/>
    </row>
    <row r="91" spans="1:23" ht="27">
      <c r="A91" s="163" t="s">
        <v>107</v>
      </c>
      <c r="B91" s="150"/>
    </row>
    <row r="92" spans="1:23">
      <c r="A92" s="145" t="s">
        <v>108</v>
      </c>
      <c r="B92" s="141" t="s">
        <v>3</v>
      </c>
    </row>
    <row r="93" spans="1:23" ht="18.75">
      <c r="A93" s="145" t="s">
        <v>109</v>
      </c>
      <c r="B93" s="141" t="s">
        <v>3</v>
      </c>
      <c r="H93" s="134"/>
    </row>
    <row r="94" spans="1:23" ht="18.75">
      <c r="A94" s="145" t="s">
        <v>110</v>
      </c>
      <c r="B94" s="141"/>
      <c r="C94" s="134"/>
      <c r="H94" s="142"/>
    </row>
    <row r="95" spans="1:23" ht="18.75">
      <c r="A95" s="145" t="s">
        <v>111</v>
      </c>
      <c r="B95" s="141" t="s">
        <v>3</v>
      </c>
      <c r="E95" s="134"/>
      <c r="I95" s="134"/>
      <c r="J95" s="134"/>
      <c r="K95" s="134"/>
      <c r="L95" s="134"/>
    </row>
    <row r="96" spans="1:23">
      <c r="A96" s="145" t="s">
        <v>112</v>
      </c>
      <c r="B96" s="141"/>
      <c r="E96" s="142"/>
      <c r="I96" s="142"/>
      <c r="J96" s="142"/>
      <c r="K96" s="142"/>
      <c r="L96" s="142"/>
    </row>
    <row r="97" spans="1:12">
      <c r="A97" s="145" t="s">
        <v>113</v>
      </c>
      <c r="B97" s="141" t="s">
        <v>3</v>
      </c>
    </row>
    <row r="98" spans="1:12" ht="21.75" customHeight="1">
      <c r="A98" s="145" t="s">
        <v>114</v>
      </c>
      <c r="B98" s="141" t="s">
        <v>3</v>
      </c>
    </row>
    <row r="99" spans="1:12">
      <c r="A99" s="100" t="str">
        <f>IF(B98="Si","Periodicidad de aportes","")</f>
        <v/>
      </c>
      <c r="B99" s="144" t="s">
        <v>3</v>
      </c>
    </row>
    <row r="100" spans="1:12">
      <c r="A100" s="100" t="str">
        <f>IF(B98="Si","Montos aproximados de aportes adicionales","")</f>
        <v/>
      </c>
      <c r="B100" s="144" t="s">
        <v>3</v>
      </c>
    </row>
    <row r="101" spans="1:12" ht="30.75">
      <c r="A101" s="147" t="s">
        <v>115</v>
      </c>
      <c r="B101" s="141" t="s">
        <v>3</v>
      </c>
      <c r="G101" s="134"/>
      <c r="H101" s="134"/>
    </row>
    <row r="102" spans="1:12" ht="18.75">
      <c r="A102" s="145" t="s">
        <v>116</v>
      </c>
      <c r="B102" s="141"/>
      <c r="D102" s="134"/>
    </row>
    <row r="103" spans="1:12" ht="18.75">
      <c r="A103" s="145" t="s">
        <v>117</v>
      </c>
      <c r="B103" s="141" t="s">
        <v>3</v>
      </c>
      <c r="D103" s="142"/>
      <c r="I103" s="134"/>
      <c r="J103" s="134"/>
      <c r="K103" s="134"/>
      <c r="L103" s="134"/>
    </row>
    <row r="104" spans="1:12">
      <c r="A104" s="145" t="s">
        <v>118</v>
      </c>
      <c r="B104" s="141" t="s">
        <v>3</v>
      </c>
    </row>
    <row r="105" spans="1:12">
      <c r="C105" s="100" t="str">
        <f>IF(OR(B104="Arrendamientos",B104="Bonos",B104="Dividendos",B104="Divorcio",B104="Venta de empresa",B104="Venta de inmuebles",B104="Patrimonio familiar",B104="Herencia",B104="Donación"),"Monto recibido (USD)",IF(B104="Profesión del cliente","Antigüedad laboral (en años)",""))</f>
        <v/>
      </c>
      <c r="D105" s="106"/>
    </row>
    <row r="106" spans="1:12">
      <c r="C106" s="100" t="str">
        <f>IF(OR(B104="Arrendamientos",B104="Bonos",B104="Dividendos",B104="Divorcio",B104="Venta de empresa",B104="Venta de inmuebles",B104="Herencia",B104="Donación"),"Fecha en la que se recibió",IF(B104="Patrimonio familiar","Cantidad de años en los que fue generado el patrimonio",""))</f>
        <v/>
      </c>
      <c r="D106" s="106"/>
    </row>
    <row r="107" spans="1:12">
      <c r="A107" s="145" t="s">
        <v>568</v>
      </c>
      <c r="B107" s="141"/>
      <c r="C107" s="100" t="str">
        <f>IF(B104="Donación","Relación con el donante","")</f>
        <v/>
      </c>
      <c r="D107" s="106"/>
    </row>
    <row r="108" spans="1:12">
      <c r="A108" s="145" t="s">
        <v>569</v>
      </c>
      <c r="B108" s="141"/>
    </row>
    <row r="109" spans="1:12">
      <c r="A109" s="147" t="s">
        <v>121</v>
      </c>
      <c r="B109" s="141"/>
      <c r="F109" s="138"/>
    </row>
    <row r="110" spans="1:12">
      <c r="A110" s="145" t="s">
        <v>122</v>
      </c>
      <c r="B110" s="141" t="s">
        <v>3</v>
      </c>
    </row>
    <row r="111" spans="1:12">
      <c r="A111" s="145" t="s">
        <v>570</v>
      </c>
      <c r="B111" s="141"/>
    </row>
    <row r="112" spans="1:12">
      <c r="A112" s="145" t="s">
        <v>571</v>
      </c>
      <c r="B112" s="141"/>
    </row>
    <row r="113" spans="1:23">
      <c r="A113" s="145" t="s">
        <v>125</v>
      </c>
      <c r="B113" s="141" t="s">
        <v>3</v>
      </c>
    </row>
    <row r="114" spans="1:23">
      <c r="B114" s="100"/>
      <c r="G114" s="138"/>
      <c r="H114" s="138"/>
    </row>
    <row r="116" spans="1:23" ht="48">
      <c r="A116" s="164" t="s">
        <v>126</v>
      </c>
      <c r="B116" s="151"/>
      <c r="E116" s="138"/>
    </row>
    <row r="117" spans="1:23">
      <c r="A117" s="122" t="s">
        <v>48</v>
      </c>
      <c r="B117" s="141" t="s">
        <v>3</v>
      </c>
      <c r="E117" s="138"/>
    </row>
    <row r="118" spans="1:23">
      <c r="A118" s="122" t="s">
        <v>52</v>
      </c>
      <c r="B118" s="141"/>
      <c r="E118" s="138"/>
    </row>
    <row r="119" spans="1:23" s="138" customFormat="1">
      <c r="A119" s="122" t="s">
        <v>127</v>
      </c>
      <c r="B119" s="141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T119" s="101"/>
      <c r="U119" s="101"/>
      <c r="V119" s="101"/>
      <c r="W119" s="101"/>
    </row>
    <row r="120" spans="1:23">
      <c r="A120" s="122" t="s">
        <v>128</v>
      </c>
      <c r="B120" s="141"/>
    </row>
    <row r="122" spans="1:23" ht="27">
      <c r="A122" s="163" t="s">
        <v>129</v>
      </c>
      <c r="B122" s="151"/>
      <c r="C122" s="134"/>
      <c r="D122" s="134"/>
      <c r="E122" s="138"/>
    </row>
    <row r="123" spans="1:23">
      <c r="A123" s="162" t="s">
        <v>26</v>
      </c>
      <c r="B123" s="123"/>
      <c r="C123" s="138"/>
      <c r="D123" s="138"/>
      <c r="E123" s="138"/>
    </row>
    <row r="124" spans="1:23">
      <c r="A124" s="162" t="s">
        <v>28</v>
      </c>
      <c r="B124" s="123"/>
      <c r="C124" s="138"/>
      <c r="D124" s="138"/>
      <c r="E124" s="138"/>
    </row>
    <row r="125" spans="1:23">
      <c r="A125" s="162" t="s">
        <v>130</v>
      </c>
      <c r="B125" s="141" t="s">
        <v>3</v>
      </c>
      <c r="C125" s="138"/>
      <c r="D125" s="138"/>
    </row>
    <row r="126" spans="1:23">
      <c r="A126" s="162" t="s">
        <v>50</v>
      </c>
      <c r="B126" s="123"/>
    </row>
    <row r="127" spans="1:23" ht="18.75">
      <c r="A127" s="162" t="s">
        <v>52</v>
      </c>
      <c r="B127" s="123"/>
      <c r="F127" s="134"/>
    </row>
    <row r="128" spans="1:23">
      <c r="A128" s="162" t="s">
        <v>131</v>
      </c>
      <c r="B128" s="123"/>
      <c r="F128" s="138"/>
    </row>
    <row r="129" spans="1:23">
      <c r="A129" s="162" t="s">
        <v>44</v>
      </c>
      <c r="B129" s="123"/>
      <c r="F129" s="138"/>
    </row>
    <row r="130" spans="1:23" ht="18.75">
      <c r="A130" s="162" t="s">
        <v>26</v>
      </c>
      <c r="B130" s="123"/>
      <c r="C130" s="134"/>
      <c r="D130" s="134"/>
    </row>
    <row r="131" spans="1:23" ht="18.75">
      <c r="A131" s="162" t="s">
        <v>28</v>
      </c>
      <c r="B131" s="123"/>
      <c r="C131" s="138"/>
      <c r="D131" s="138"/>
      <c r="G131" s="134"/>
      <c r="H131" s="134"/>
    </row>
    <row r="132" spans="1:23">
      <c r="A132" s="162" t="s">
        <v>130</v>
      </c>
      <c r="B132" s="123"/>
      <c r="C132" s="138"/>
      <c r="D132" s="138"/>
      <c r="G132" s="138"/>
      <c r="H132" s="138"/>
    </row>
    <row r="133" spans="1:23" ht="18.75">
      <c r="A133" s="162" t="s">
        <v>50</v>
      </c>
      <c r="B133" s="123"/>
      <c r="C133" s="138"/>
      <c r="D133" s="138"/>
      <c r="F133" s="134"/>
      <c r="G133" s="138"/>
      <c r="H133" s="138"/>
      <c r="I133" s="134"/>
      <c r="J133" s="134"/>
      <c r="K133" s="134"/>
      <c r="L133" s="134"/>
    </row>
    <row r="134" spans="1:23">
      <c r="A134" s="162" t="s">
        <v>52</v>
      </c>
      <c r="B134" s="123"/>
      <c r="F134" s="138"/>
      <c r="G134" s="138"/>
      <c r="H134" s="138"/>
      <c r="I134" s="138"/>
      <c r="J134" s="138"/>
      <c r="K134" s="138"/>
      <c r="L134" s="138"/>
    </row>
    <row r="135" spans="1:23">
      <c r="A135" s="162" t="s">
        <v>131</v>
      </c>
      <c r="B135" s="123"/>
      <c r="F135" s="138"/>
      <c r="I135" s="138"/>
      <c r="J135" s="138"/>
      <c r="K135" s="138"/>
      <c r="L135" s="138"/>
    </row>
    <row r="136" spans="1:23">
      <c r="A136" s="162" t="s">
        <v>44</v>
      </c>
      <c r="B136" s="123"/>
      <c r="F136" s="138"/>
      <c r="I136" s="138"/>
      <c r="J136" s="138"/>
      <c r="K136" s="138"/>
      <c r="L136" s="138"/>
    </row>
    <row r="138" spans="1:23" s="134" customFormat="1" ht="27">
      <c r="A138" s="163" t="s">
        <v>132</v>
      </c>
      <c r="B138" s="151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T138" s="101"/>
      <c r="U138" s="101"/>
      <c r="V138" s="101"/>
      <c r="W138" s="101"/>
    </row>
    <row r="139" spans="1:23" s="138" customFormat="1">
      <c r="A139" s="161" t="s">
        <v>133</v>
      </c>
      <c r="B139" s="148" t="s">
        <v>3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T139" s="101"/>
      <c r="U139" s="101"/>
      <c r="V139" s="101"/>
      <c r="W139" s="101"/>
    </row>
    <row r="140" spans="1:23" s="138" customFormat="1">
      <c r="A140" s="161" t="s">
        <v>134</v>
      </c>
      <c r="B140" s="143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T140" s="101"/>
      <c r="U140" s="101"/>
      <c r="V140" s="101"/>
      <c r="W140" s="101"/>
    </row>
    <row r="141" spans="1:23" s="138" customFormat="1">
      <c r="A141" s="161" t="s">
        <v>135</v>
      </c>
      <c r="B141" s="149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T141" s="101"/>
      <c r="U141" s="101"/>
      <c r="V141" s="101"/>
      <c r="W141" s="101"/>
    </row>
    <row r="142" spans="1:23">
      <c r="B142" s="100"/>
    </row>
    <row r="143" spans="1:23">
      <c r="B143" s="100"/>
    </row>
    <row r="144" spans="1:23">
      <c r="B144" s="100"/>
    </row>
    <row r="145" spans="2:2">
      <c r="B145" s="100"/>
    </row>
    <row r="146" spans="2:2">
      <c r="B146" s="100"/>
    </row>
  </sheetData>
  <protectedRanges>
    <protectedRange sqref="B99:B100" name="Rango8"/>
    <protectedRange sqref="D31:D148" name="Rango1"/>
    <protectedRange sqref="A17:B22" name="Rango2"/>
    <protectedRange sqref="B49:B141" name="Rango3"/>
    <protectedRange sqref="D49:D1048576" name="Rango4"/>
    <protectedRange sqref="F77:F79" name="Rango7"/>
  </protectedRanges>
  <mergeCells count="7">
    <mergeCell ref="A16:B16"/>
    <mergeCell ref="A19:B19"/>
    <mergeCell ref="X48:Y48"/>
    <mergeCell ref="P54:Q54"/>
    <mergeCell ref="R54:S54"/>
    <mergeCell ref="T54:U54"/>
    <mergeCell ref="N54:O54"/>
  </mergeCells>
  <conditionalFormatting sqref="B73">
    <cfRule type="cellIs" dxfId="104" priority="49" operator="equal">
      <formula>$A$73&lt;&gt;"Cargo público desempeñado y período de tiempo"</formula>
    </cfRule>
  </conditionalFormatting>
  <conditionalFormatting sqref="B77">
    <cfRule type="cellIs" dxfId="103" priority="53" operator="equal">
      <formula>$A$77&lt;&gt;" Nombres"</formula>
    </cfRule>
  </conditionalFormatting>
  <conditionalFormatting sqref="B78">
    <cfRule type="cellIs" dxfId="102" priority="29" operator="equal">
      <formula>$A$78&lt;&gt;" Apellidos"</formula>
    </cfRule>
  </conditionalFormatting>
  <conditionalFormatting sqref="B79">
    <cfRule type="cellIs" dxfId="101" priority="150" operator="equal">
      <formula>$B$79</formula>
    </cfRule>
  </conditionalFormatting>
  <conditionalFormatting sqref="B80">
    <cfRule type="cellIs" dxfId="98" priority="25" operator="equal">
      <formula>$B$80</formula>
    </cfRule>
  </conditionalFormatting>
  <conditionalFormatting sqref="B99:B100">
    <cfRule type="expression" dxfId="96" priority="2">
      <formula>$A$99&lt;&gt;""</formula>
    </cfRule>
    <cfRule type="cellIs" dxfId="95" priority="126" operator="equal">
      <formula>$A$99&lt;&gt;"Periodicidad de aportes"</formula>
    </cfRule>
  </conditionalFormatting>
  <conditionalFormatting sqref="B106">
    <cfRule type="expression" dxfId="94" priority="118">
      <formula>$A$106&lt;&gt;""</formula>
    </cfRule>
  </conditionalFormatting>
  <conditionalFormatting sqref="D64">
    <cfRule type="expression" dxfId="75" priority="14">
      <formula>$C$64&lt;&gt;""</formula>
    </cfRule>
  </conditionalFormatting>
  <conditionalFormatting sqref="D64:D66">
    <cfRule type="expression" dxfId="74" priority="61">
      <formula>$C$64&lt;&gt;""</formula>
    </cfRule>
  </conditionalFormatting>
  <conditionalFormatting sqref="D65">
    <cfRule type="expression" dxfId="73" priority="13">
      <formula>$C$65&lt;&gt;""</formula>
    </cfRule>
    <cfRule type="cellIs" dxfId="72" priority="62" operator="equal">
      <formula>$C$65&lt;&gt;"Empresa"</formula>
    </cfRule>
  </conditionalFormatting>
  <conditionalFormatting sqref="D66">
    <cfRule type="expression" dxfId="71" priority="12">
      <formula>$C$66&lt;&gt;""</formula>
    </cfRule>
  </conditionalFormatting>
  <conditionalFormatting sqref="D67">
    <cfRule type="expression" dxfId="70" priority="11">
      <formula>$C$67&lt;&gt;""</formula>
    </cfRule>
    <cfRule type="expression" dxfId="69" priority="58">
      <formula>$C$67=""</formula>
    </cfRule>
  </conditionalFormatting>
  <conditionalFormatting sqref="D67:D74">
    <cfRule type="expression" dxfId="68" priority="57">
      <formula>$C$67&lt;&gt;""</formula>
    </cfRule>
  </conditionalFormatting>
  <conditionalFormatting sqref="D68">
    <cfRule type="expression" dxfId="67" priority="10">
      <formula>$C$68&lt;&gt;""</formula>
    </cfRule>
  </conditionalFormatting>
  <conditionalFormatting sqref="D69">
    <cfRule type="expression" dxfId="66" priority="9">
      <formula>$C$69&lt;&gt;""</formula>
    </cfRule>
  </conditionalFormatting>
  <conditionalFormatting sqref="D70">
    <cfRule type="expression" dxfId="65" priority="8">
      <formula>$C$70&lt;&gt;""</formula>
    </cfRule>
  </conditionalFormatting>
  <conditionalFormatting sqref="D71">
    <cfRule type="expression" dxfId="64" priority="7">
      <formula>$C$71&lt;&gt;""</formula>
    </cfRule>
  </conditionalFormatting>
  <conditionalFormatting sqref="D72">
    <cfRule type="expression" dxfId="63" priority="6">
      <formula>$C$72&lt;&gt;""</formula>
    </cfRule>
  </conditionalFormatting>
  <conditionalFormatting sqref="D73">
    <cfRule type="expression" dxfId="62" priority="5">
      <formula>$C$73&lt;&gt;""</formula>
    </cfRule>
    <cfRule type="cellIs" dxfId="61" priority="140" operator="equal">
      <formula>$C$68&lt;&gt;"Cargo público desempeñado y período de tiempo"</formula>
    </cfRule>
  </conditionalFormatting>
  <conditionalFormatting sqref="D74">
    <cfRule type="expression" dxfId="60" priority="4">
      <formula>$C$74&lt;&gt;""</formula>
    </cfRule>
  </conditionalFormatting>
  <conditionalFormatting sqref="D75">
    <cfRule type="cellIs" dxfId="59" priority="141" operator="equal">
      <formula>$C$70&lt;&gt;" Nombres"</formula>
    </cfRule>
  </conditionalFormatting>
  <conditionalFormatting sqref="D76">
    <cfRule type="cellIs" dxfId="58" priority="142" operator="equal">
      <formula>$C$71&lt;&gt;" Apellidos"</formula>
    </cfRule>
  </conditionalFormatting>
  <conditionalFormatting sqref="D77">
    <cfRule type="cellIs" dxfId="57" priority="42" operator="equal">
      <formula>$A$77&lt;&gt;" Nombres"</formula>
    </cfRule>
  </conditionalFormatting>
  <conditionalFormatting sqref="D78">
    <cfRule type="cellIs" dxfId="55" priority="24" operator="equal">
      <formula>$D$78</formula>
    </cfRule>
  </conditionalFormatting>
  <conditionalFormatting sqref="D79">
    <cfRule type="cellIs" dxfId="53" priority="22" operator="equal">
      <formula>$D$79</formula>
    </cfRule>
  </conditionalFormatting>
  <conditionalFormatting sqref="D80">
    <cfRule type="cellIs" dxfId="52" priority="41" operator="equal">
      <formula>$A$78&lt;&gt;" Apellidos"</formula>
    </cfRule>
  </conditionalFormatting>
  <conditionalFormatting sqref="D105">
    <cfRule type="expression" dxfId="51" priority="45">
      <formula>$C$105&lt;&gt;""</formula>
    </cfRule>
  </conditionalFormatting>
  <conditionalFormatting sqref="D106">
    <cfRule type="expression" dxfId="50" priority="44">
      <formula>$C$106&lt;&gt;""</formula>
    </cfRule>
  </conditionalFormatting>
  <conditionalFormatting sqref="D107">
    <cfRule type="expression" dxfId="49" priority="43">
      <formula>$C$107&lt;&gt;""</formula>
    </cfRule>
  </conditionalFormatting>
  <conditionalFormatting sqref="E77:E79">
    <cfRule type="expression" dxfId="48" priority="17">
      <formula>$B$79&lt;&gt;"Seleccione una opción"</formula>
    </cfRule>
    <cfRule type="expression" dxfId="47" priority="15">
      <formula>$B$79="Estudiante"</formula>
    </cfRule>
  </conditionalFormatting>
  <conditionalFormatting sqref="F73">
    <cfRule type="cellIs" dxfId="46" priority="129" operator="equal">
      <formula>$E$73&lt;&gt;"Cargo público desempeñado y período de tiempo"</formula>
    </cfRule>
  </conditionalFormatting>
  <conditionalFormatting sqref="F75">
    <cfRule type="cellIs" dxfId="45" priority="89" operator="equal">
      <formula>$E$75&lt;&gt;" Nombres"</formula>
    </cfRule>
  </conditionalFormatting>
  <conditionalFormatting sqref="F76">
    <cfRule type="cellIs" dxfId="44" priority="88" operator="equal">
      <formula>$E$76&lt;&gt;" Apellidos"</formula>
    </cfRule>
  </conditionalFormatting>
  <conditionalFormatting sqref="F77">
    <cfRule type="cellIs" dxfId="43" priority="87" operator="equal">
      <formula>$E$77&lt;&gt;" Situación laboral"</formula>
    </cfRule>
  </conditionalFormatting>
  <conditionalFormatting sqref="F77:F79">
    <cfRule type="expression" dxfId="42" priority="16">
      <formula>$E$77&lt;&gt;""</formula>
    </cfRule>
  </conditionalFormatting>
  <conditionalFormatting sqref="H73">
    <cfRule type="cellIs" dxfId="41" priority="128" operator="equal">
      <formula>$G$73&lt;&gt;"Cargo público desempeñado y período de tiempo"</formula>
    </cfRule>
  </conditionalFormatting>
  <conditionalFormatting sqref="H75">
    <cfRule type="cellIs" dxfId="40" priority="83" operator="equal">
      <formula>$G$75&lt;&gt;" Nombres"</formula>
    </cfRule>
  </conditionalFormatting>
  <conditionalFormatting sqref="H76">
    <cfRule type="cellIs" dxfId="39" priority="82" operator="equal">
      <formula>$G$76&lt;&gt; " Apellidos"</formula>
    </cfRule>
  </conditionalFormatting>
  <conditionalFormatting sqref="H77">
    <cfRule type="cellIs" dxfId="38" priority="81" operator="equal">
      <formula>$G$77&lt;&gt;" Situación laboral"</formula>
    </cfRule>
  </conditionalFormatting>
  <conditionalFormatting sqref="J73">
    <cfRule type="cellIs" dxfId="37" priority="127" operator="equal">
      <formula>$I$73&lt;&gt;"Cargo público desempeñado y período de tiempo"</formula>
    </cfRule>
  </conditionalFormatting>
  <conditionalFormatting sqref="J75">
    <cfRule type="cellIs" dxfId="36" priority="77" operator="equal">
      <formula>$I$75&lt;&gt;" Nombres"</formula>
    </cfRule>
  </conditionalFormatting>
  <conditionalFormatting sqref="J76">
    <cfRule type="cellIs" dxfId="35" priority="76" operator="equal">
      <formula>$I$76&lt;&gt;" Apellidos"</formula>
    </cfRule>
  </conditionalFormatting>
  <conditionalFormatting sqref="J77">
    <cfRule type="cellIs" dxfId="34" priority="75" operator="equal">
      <formula>$I$77&lt;&gt;" Situación laboral"</formula>
    </cfRule>
  </conditionalFormatting>
  <dataValidations count="1">
    <dataValidation allowBlank="1" showInputMessage="1" showErrorMessage="1" promptTitle="Formato" prompt="dd/mm/año" sqref="B61 O67 B140 Q67 S67 U67" xr:uid="{EDDC274E-C0CA-4601-A799-3CDB41AE92F7}"/>
  </dataValidations>
  <pageMargins left="0.7" right="0.7" top="0.75" bottom="0.75" header="0.3" footer="0.3"/>
  <headerFooter>
    <oddFooter>&amp;L_x000D_&amp;1#&amp;"FS Elliot Pro"&amp;9&amp;K737373 Classification: Internal Use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" operator="containsText" id="{F46CD23C-2A0E-410C-850C-89CFA0F75483}">
            <xm:f>NOT(ISERROR(SEARCH($A$73,A73)))</xm:f>
            <xm:f>$A$73</xm:f>
            <x14:dxf>
              <fill>
                <patternFill>
                  <bgColor theme="0" tint="-0.34998626667073579"/>
                </patternFill>
              </fill>
            </x14:dxf>
          </x14:cfRule>
          <xm:sqref>A73</xm:sqref>
        </x14:conditionalFormatting>
        <x14:conditionalFormatting xmlns:xm="http://schemas.microsoft.com/office/excel/2006/main">
          <x14:cfRule type="containsText" priority="56" operator="containsText" id="{BD7DEE1B-AA01-4325-BFE0-244DD9AA452B}">
            <xm:f>NOT(ISERROR(SEARCH($A$77,A77)))</xm:f>
            <xm:f>$A$77</xm:f>
            <x14:dxf>
              <fill>
                <patternFill>
                  <bgColor theme="0" tint="-0.499984740745262"/>
                </patternFill>
              </fill>
            </x14:dxf>
          </x14:cfRule>
          <xm:sqref>A77</xm:sqref>
        </x14:conditionalFormatting>
        <x14:conditionalFormatting xmlns:xm="http://schemas.microsoft.com/office/excel/2006/main">
          <x14:cfRule type="containsText" priority="55" operator="containsText" id="{151DBC03-E040-4555-9E8A-1EA420C66019}">
            <xm:f>NOT(ISERROR(SEARCH($A$78,A78)))</xm:f>
            <xm:f>$A$78</xm:f>
            <x14:dxf>
              <fill>
                <patternFill>
                  <bgColor theme="0" tint="-0.499984740745262"/>
                </patternFill>
              </fill>
            </x14:dxf>
          </x14:cfRule>
          <xm:sqref>A78</xm:sqref>
        </x14:conditionalFormatting>
        <x14:conditionalFormatting xmlns:xm="http://schemas.microsoft.com/office/excel/2006/main">
          <x14:cfRule type="containsText" priority="54" operator="containsText" id="{52518F16-2B20-45B1-A412-F8B4D0A3223E}">
            <xm:f>NOT(ISERROR(SEARCH($A$79,A79)))</xm:f>
            <xm:f>$A$79</xm:f>
            <x14:dxf>
              <fill>
                <patternFill>
                  <bgColor theme="0" tint="-0.499984740745262"/>
                </patternFill>
              </fill>
            </x14:dxf>
          </x14:cfRule>
          <xm:sqref>A79</xm:sqref>
        </x14:conditionalFormatting>
        <x14:conditionalFormatting xmlns:xm="http://schemas.microsoft.com/office/excel/2006/main">
          <x14:cfRule type="containsText" priority="33" operator="containsText" id="{9DA3D270-0166-4FC3-B2F5-4E3238604FE4}">
            <xm:f>NOT(ISERROR(SEARCH($A$80,A80)))</xm:f>
            <xm:f>$A$80</xm:f>
            <x14:dxf>
              <fill>
                <patternFill>
                  <bgColor theme="0" tint="-0.499984740745262"/>
                </patternFill>
              </fill>
            </x14:dxf>
          </x14:cfRule>
          <xm:sqref>A80</xm:sqref>
        </x14:conditionalFormatting>
        <x14:conditionalFormatting xmlns:xm="http://schemas.microsoft.com/office/excel/2006/main">
          <x14:cfRule type="containsText" priority="3" operator="containsText" id="{3D135BC2-FDB2-402E-B7DC-19AA1199D6DC}">
            <xm:f>NOT(ISERROR(SEARCH($A$99,A99)))</xm:f>
            <xm:f>$A$99</xm:f>
            <x14:dxf>
              <fill>
                <patternFill>
                  <bgColor theme="0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A99</xm:sqref>
        </x14:conditionalFormatting>
        <x14:conditionalFormatting xmlns:xm="http://schemas.microsoft.com/office/excel/2006/main">
          <x14:cfRule type="containsText" priority="125" operator="containsText" id="{5D4D5EE7-8520-4D0E-B91C-5A1856433882}">
            <xm:f>NOT(ISERROR(SEARCH($A$100,A99)))</xm:f>
            <xm:f>$A$100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A99:A100</xm:sqref>
        </x14:conditionalFormatting>
        <x14:conditionalFormatting xmlns:xm="http://schemas.microsoft.com/office/excel/2006/main">
          <x14:cfRule type="containsText" priority="122" operator="containsText" id="{E2CA6729-6790-4FD3-AFBC-2F810A9EE1C7}">
            <xm:f>NOT(ISERROR(SEARCH($A$106,A106)))</xm:f>
            <xm:f>$A$106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A106</xm:sqref>
        </x14:conditionalFormatting>
        <x14:conditionalFormatting xmlns:xm="http://schemas.microsoft.com/office/excel/2006/main">
          <x14:cfRule type="containsText" priority="27" operator="containsText" id="{CC0979AE-F294-42C8-A21E-55E9E1EEBF82}">
            <xm:f>NOT(ISERROR(SEARCH($A$79,B79)))</xm:f>
            <xm:f>$A$79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B79</xm:sqref>
        </x14:conditionalFormatting>
        <x14:conditionalFormatting xmlns:xm="http://schemas.microsoft.com/office/excel/2006/main">
          <x14:cfRule type="containsText" priority="20" operator="containsText" id="{8E0FF209-654A-446C-B427-F3D4F9A24179}">
            <xm:f>NOT(ISERROR(SEARCH($A$80,B80)))</xm:f>
            <xm:f>$A$80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B80</xm:sqref>
        </x14:conditionalFormatting>
        <x14:conditionalFormatting xmlns:xm="http://schemas.microsoft.com/office/excel/2006/main">
          <x14:cfRule type="containsText" priority="1" operator="containsText" id="{8EB9DD2F-5914-42DE-922B-232FF66A8BAD}">
            <xm:f>NOT(ISERROR(SEARCH($A$99,B99)))</xm:f>
            <xm:f>$A$99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B99:B100</xm:sqref>
        </x14:conditionalFormatting>
        <x14:conditionalFormatting xmlns:xm="http://schemas.microsoft.com/office/excel/2006/main">
          <x14:cfRule type="containsText" priority="74" operator="containsText" id="{95838FC1-E71B-427B-9BB4-CE827B1EDBEF}">
            <xm:f>NOT(ISERROR(SEARCH($C$64,C64)))</xm:f>
            <xm:f>$C$64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C64</xm:sqref>
        </x14:conditionalFormatting>
        <x14:conditionalFormatting xmlns:xm="http://schemas.microsoft.com/office/excel/2006/main">
          <x14:cfRule type="containsText" priority="73" operator="containsText" id="{D9C24ED9-7794-4E33-BA98-E84A074FC284}">
            <xm:f>NOT(ISERROR(SEARCH($C$65,C65)))</xm:f>
            <xm:f>$C$65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C65</xm:sqref>
        </x14:conditionalFormatting>
        <x14:conditionalFormatting xmlns:xm="http://schemas.microsoft.com/office/excel/2006/main">
          <x14:cfRule type="containsText" priority="72" operator="containsText" id="{A26D96E9-1B70-490F-9867-E554E1B5C130}">
            <xm:f>NOT(ISERROR(SEARCH($C$66,C66)))</xm:f>
            <xm:f>$C$66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C66</xm:sqref>
        </x14:conditionalFormatting>
        <x14:conditionalFormatting xmlns:xm="http://schemas.microsoft.com/office/excel/2006/main">
          <x14:cfRule type="containsText" priority="71" operator="containsText" id="{21D992B4-B491-44DD-8A9B-FA9F19C52704}">
            <xm:f>NOT(ISERROR(SEARCH($C$67,C67)))</xm:f>
            <xm:f>$C$67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C67</xm:sqref>
        </x14:conditionalFormatting>
        <x14:conditionalFormatting xmlns:xm="http://schemas.microsoft.com/office/excel/2006/main">
          <x14:cfRule type="containsText" priority="70" operator="containsText" id="{870CEE57-1BF5-43EF-9641-E7E65ADDC06F}">
            <xm:f>NOT(ISERROR(SEARCH($C$68,C68)))</xm:f>
            <xm:f>$C$68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C68 G73 I73</xm:sqref>
        </x14:conditionalFormatting>
        <x14:conditionalFormatting xmlns:xm="http://schemas.microsoft.com/office/excel/2006/main">
          <x14:cfRule type="containsText" priority="69" operator="containsText" id="{933C4B8D-5DCC-4D7D-8765-985D15943DA1}">
            <xm:f>NOT(ISERROR(SEARCH($C$69,C69)))</xm:f>
            <xm:f>$C$69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C69</xm:sqref>
        </x14:conditionalFormatting>
        <x14:conditionalFormatting xmlns:xm="http://schemas.microsoft.com/office/excel/2006/main">
          <x14:cfRule type="containsText" priority="68" operator="containsText" id="{502A77F3-DE7F-484C-B8BA-62185B30AB18}">
            <xm:f>NOT(ISERROR(SEARCH($C$70,C70)))</xm:f>
            <xm:f>$C$70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C70 G75 I75</xm:sqref>
        </x14:conditionalFormatting>
        <x14:conditionalFormatting xmlns:xm="http://schemas.microsoft.com/office/excel/2006/main">
          <x14:cfRule type="containsText" priority="67" operator="containsText" id="{C27F1DEB-C63F-4D2C-9DF8-910EBA52FD67}">
            <xm:f>NOT(ISERROR(SEARCH($C$71,C71)))</xm:f>
            <xm:f>$C$71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C71 G76 I76</xm:sqref>
        </x14:conditionalFormatting>
        <x14:conditionalFormatting xmlns:xm="http://schemas.microsoft.com/office/excel/2006/main">
          <x14:cfRule type="containsText" priority="66" operator="containsText" id="{20C40446-99BE-4E6B-BFC5-53C4081FC287}">
            <xm:f>NOT(ISERROR(SEARCH($C$72,C72)))</xm:f>
            <xm:f>$C$72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C72 G77 I77</xm:sqref>
        </x14:conditionalFormatting>
        <x14:conditionalFormatting xmlns:xm="http://schemas.microsoft.com/office/excel/2006/main">
          <x14:cfRule type="containsText" priority="65" operator="containsText" id="{1016D7F5-EC89-495C-A6AD-C2A4F0E79F22}">
            <xm:f>NOT(ISERROR(SEARCH($C$73,C73)))</xm:f>
            <xm:f>$C$73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C73</xm:sqref>
        </x14:conditionalFormatting>
        <x14:conditionalFormatting xmlns:xm="http://schemas.microsoft.com/office/excel/2006/main">
          <x14:cfRule type="containsText" priority="64" operator="containsText" id="{80E52573-982E-4474-9E26-CD6352C9B33F}">
            <xm:f>NOT(ISERROR(SEARCH($C$74,C74)))</xm:f>
            <xm:f>$C$74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C74</xm:sqref>
        </x14:conditionalFormatting>
        <x14:conditionalFormatting xmlns:xm="http://schemas.microsoft.com/office/excel/2006/main">
          <x14:cfRule type="containsText" priority="37" operator="containsText" id="{D8E05506-8207-42D2-9B93-085A94593686}">
            <xm:f>NOT(ISERROR(SEARCH($C$77,C77)))</xm:f>
            <xm:f>$C$77</xm:f>
            <x14:dxf>
              <fill>
                <patternFill>
                  <bgColor theme="0" tint="-0.34998626667073579"/>
                </patternFill>
              </fill>
            </x14:dxf>
          </x14:cfRule>
          <xm:sqref>C77</xm:sqref>
        </x14:conditionalFormatting>
        <x14:conditionalFormatting xmlns:xm="http://schemas.microsoft.com/office/excel/2006/main">
          <x14:cfRule type="containsText" priority="36" operator="containsText" id="{B51A17DD-1A8A-4420-87BF-68DD19068EA9}">
            <xm:f>NOT(ISERROR(SEARCH($C$78,C78)))</xm:f>
            <xm:f>$C$78</xm:f>
            <x14:dxf>
              <fill>
                <patternFill>
                  <bgColor theme="0" tint="-0.34998626667073579"/>
                </patternFill>
              </fill>
            </x14:dxf>
          </x14:cfRule>
          <xm:sqref>C78</xm:sqref>
        </x14:conditionalFormatting>
        <x14:conditionalFormatting xmlns:xm="http://schemas.microsoft.com/office/excel/2006/main">
          <x14:cfRule type="containsText" priority="35" operator="containsText" id="{DEA98858-2535-4080-BFD4-F1EEBA7DEF6F}">
            <xm:f>NOT(ISERROR(SEARCH($C$79,C79)))</xm:f>
            <xm:f>$C$79</xm:f>
            <x14:dxf>
              <fill>
                <patternFill>
                  <bgColor theme="0" tint="-0.34998626667073579"/>
                </patternFill>
              </fill>
            </x14:dxf>
          </x14:cfRule>
          <xm:sqref>C79</xm:sqref>
        </x14:conditionalFormatting>
        <x14:conditionalFormatting xmlns:xm="http://schemas.microsoft.com/office/excel/2006/main">
          <x14:cfRule type="containsText" priority="34" operator="containsText" id="{607DD237-F072-4291-BBF9-45EF606F84D4}">
            <xm:f>NOT(ISERROR(SEARCH($C$80,C80)))</xm:f>
            <xm:f>$C$80</xm:f>
            <x14:dxf>
              <fill>
                <patternFill>
                  <bgColor theme="0" tint="-0.34998626667073579"/>
                </patternFill>
              </fill>
            </x14:dxf>
          </x14:cfRule>
          <xm:sqref>C80</xm:sqref>
        </x14:conditionalFormatting>
        <x14:conditionalFormatting xmlns:xm="http://schemas.microsoft.com/office/excel/2006/main">
          <x14:cfRule type="containsText" priority="48" operator="containsText" id="{5AC16B4A-913D-4C78-9CB1-D79D603CA69A}">
            <xm:f>NOT(ISERROR(SEARCH($C$105,C105)))</xm:f>
            <xm:f>$C$105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C105</xm:sqref>
        </x14:conditionalFormatting>
        <x14:conditionalFormatting xmlns:xm="http://schemas.microsoft.com/office/excel/2006/main">
          <x14:cfRule type="containsText" priority="47" operator="containsText" id="{3EE57EB4-CF7E-459B-BC21-83E1A0A42DF2}">
            <xm:f>NOT(ISERROR(SEARCH($C$106,C106)))</xm:f>
            <xm:f>$C$106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C106</xm:sqref>
        </x14:conditionalFormatting>
        <x14:conditionalFormatting xmlns:xm="http://schemas.microsoft.com/office/excel/2006/main">
          <x14:cfRule type="containsText" priority="46" operator="containsText" id="{C4B07F7C-CA83-432F-8CA9-CD7F01AAA70D}">
            <xm:f>NOT(ISERROR(SEARCH($C$107,C107)))</xm:f>
            <xm:f>$C$107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C107</xm:sqref>
        </x14:conditionalFormatting>
        <x14:conditionalFormatting xmlns:xm="http://schemas.microsoft.com/office/excel/2006/main">
          <x14:cfRule type="containsText" priority="23" operator="containsText" id="{F91145B8-2F12-401F-92FF-BBBD08A405A8}">
            <xm:f>NOT(ISERROR(SEARCH($C$78,D78)))</xm:f>
            <xm:f>$C$78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D78</xm:sqref>
        </x14:conditionalFormatting>
        <x14:conditionalFormatting xmlns:xm="http://schemas.microsoft.com/office/excel/2006/main">
          <x14:cfRule type="containsText" priority="21" operator="containsText" id="{CC9C9455-DCF9-40D1-A1F1-23A40B6A2C87}">
            <xm:f>NOT(ISERROR(SEARCH($C$79,D79)))</xm:f>
            <xm:f>$C$79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D79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promptTitle="Elija aquí" xr:uid="{E3D7DA4C-3EBC-4A00-A7E8-1062E4AF9775}">
          <x14:formula1>
            <xm:f>'NO BORRAR'!$B$2:$B$4</xm:f>
          </x14:formula1>
          <xm:sqref>Y60 O65 B63 Q65 S65 U65 D79</xm:sqref>
        </x14:dataValidation>
        <x14:dataValidation type="list" allowBlank="1" showInputMessage="1" showErrorMessage="1" xr:uid="{7EF774D1-764B-4D54-9C3A-F442076E570F}">
          <x14:formula1>
            <xm:f>'NO BORRAR'!$E$2:$E$4</xm:f>
          </x14:formula1>
          <xm:sqref>Y79:Y80 B72 O78 B98 Q78 S78 U78 B74</xm:sqref>
        </x14:dataValidation>
        <x14:dataValidation type="list" allowBlank="1" showInputMessage="1" showErrorMessage="1" xr:uid="{66499231-E266-4BEB-9D3E-D30DEE732FA0}">
          <x14:formula1>
            <xm:f>'NO BORRAR'!$B$7:$B$12</xm:f>
          </x14:formula1>
          <xm:sqref>Y78 B70 O76 Q76 S76 U76</xm:sqref>
        </x14:dataValidation>
        <x14:dataValidation type="list" allowBlank="1" showInputMessage="1" showErrorMessage="1" xr:uid="{601718A8-3E02-4FF2-AC53-D1F05F210881}">
          <x14:formula1>
            <xm:f>'NO BORRAR'!$C$7:$C$11</xm:f>
          </x14:formula1>
          <xm:sqref>B68 O74 Q74 S74 U74 B79</xm:sqref>
        </x14:dataValidation>
        <x14:dataValidation type="list" allowBlank="1" showInputMessage="1" showErrorMessage="1" xr:uid="{09F9B7C0-5684-49BF-A742-26771F5306D0}">
          <x14:formula1>
            <xm:f>'NO BORRAR'!$B$18:$B$21</xm:f>
          </x14:formula1>
          <xm:sqref>G89 B92</xm:sqref>
        </x14:dataValidation>
        <x14:dataValidation type="list" allowBlank="1" showInputMessage="1" showErrorMessage="1" xr:uid="{CA5F4657-DDA3-4187-9E75-898A0B30D6ED}">
          <x14:formula1>
            <xm:f>'NO BORRAR'!$B$23:$B$30</xm:f>
          </x14:formula1>
          <xm:sqref>G90:G91 G94 B93 B95 B97</xm:sqref>
        </x14:dataValidation>
        <x14:dataValidation type="list" allowBlank="1" showInputMessage="1" showErrorMessage="1" xr:uid="{81A5F1C4-C8C6-47D4-A3DC-E639DDD9CD85}">
          <x14:formula1>
            <xm:f>'NO BORRAR'!$C$33:$C$40</xm:f>
          </x14:formula1>
          <xm:sqref>G95 B101</xm:sqref>
        </x14:dataValidation>
        <x14:dataValidation type="list" allowBlank="1" showInputMessage="1" showErrorMessage="1" xr:uid="{5FC85F87-14C6-43B7-B672-94FE401802CD}">
          <x14:formula1>
            <xm:f>'NO BORRAR'!$E$33:$E$44</xm:f>
          </x14:formula1>
          <xm:sqref>G98 B104</xm:sqref>
        </x14:dataValidation>
        <x14:dataValidation type="list" allowBlank="1" showInputMessage="1" showErrorMessage="1" xr:uid="{C228F58C-53AF-47C4-BE99-7E61A99EEBEB}">
          <x14:formula1>
            <xm:f>'NO BORRAR'!$H$33:$H$38</xm:f>
          </x14:formula1>
          <xm:sqref>B113</xm:sqref>
        </x14:dataValidation>
        <x14:dataValidation type="list" allowBlank="1" showInputMessage="1" showErrorMessage="1" xr:uid="{D1AEC446-A373-42AD-824D-71EF82A6BD65}">
          <x14:formula1>
            <xm:f>'NO BORRAR'!$J$33:$J$38</xm:f>
          </x14:formula1>
          <xm:sqref>B139</xm:sqref>
        </x14:dataValidation>
        <x14:dataValidation type="list" allowBlank="1" showInputMessage="1" showErrorMessage="1" xr:uid="{64916E6F-50B6-4D20-A1C4-DAD591E742EA}">
          <x14:formula1>
            <xm:f>'NO BORRAR'!$N$15:$N$200</xm:f>
          </x14:formula1>
          <xm:sqref>Y59 Y63:Y64 O60 B117 B103 U57 B66:B67 B62 U68:U69 O64 O72:O73 O57 O68:O69 B54 B125 Q60 Q64 Q72:Q73 Q57 Q68:Q69 S60 S64 S72:S73 S57 S68:S69 U60 U64 U72:U73 B80 D78</xm:sqref>
        </x14:dataValidation>
        <x14:dataValidation type="list" allowBlank="1" showInputMessage="1" showErrorMessage="1" xr:uid="{0BE15CC1-02F6-46DF-9789-24B68BC0C9BD}">
          <x14:formula1>
            <xm:f>'NO BORRAR'!$S$15:$S$146</xm:f>
          </x14:formula1>
          <xm:sqref>Y77 Y67 B69 O75 Q75 S75 U75</xm:sqref>
        </x14:dataValidation>
        <x14:dataValidation type="list" allowBlank="1" showInputMessage="1" showErrorMessage="1" xr:uid="{3551F6D8-4774-49CE-A0CE-0C6E77ACAC5F}">
          <x14:formula1>
            <xm:f>'NO BORRAR'!$I$13:$I$17</xm:f>
          </x14:formula1>
          <xm:sqref>B84:B89</xm:sqref>
        </x14:dataValidation>
        <x14:dataValidation type="list" allowBlank="1" showInputMessage="1" showErrorMessage="1" xr:uid="{C558F666-0ABF-4904-8844-55902B242D54}">
          <x14:formula1>
            <xm:f>'NO BORRAR'!$G$6:$G$8</xm:f>
          </x14:formula1>
          <xm:sqref>B110</xm:sqref>
        </x14:dataValidation>
        <x14:dataValidation type="list" allowBlank="1" showInputMessage="1" showErrorMessage="1" xr:uid="{F34771F4-833F-40E2-8CD6-2DB3C0F2C6FD}">
          <x14:formula1>
            <xm:f>'NO BORRAR'!$B$70:$B$74</xm:f>
          </x14:formula1>
          <xm:sqref>D31</xm:sqref>
        </x14:dataValidation>
        <x14:dataValidation type="list" allowBlank="1" showInputMessage="1" showErrorMessage="1" xr:uid="{4213C2DC-B430-4CC1-807F-5246A37F9BE4}">
          <x14:formula1>
            <xm:f>'NO BORRAR'!$F$69:$F$73</xm:f>
          </x14:formula1>
          <xm:sqref>D33</xm:sqref>
        </x14:dataValidation>
        <x14:dataValidation type="list" allowBlank="1" showInputMessage="1" showErrorMessage="1" xr:uid="{7024241D-00A2-4891-A073-4DC727A0CF70}">
          <x14:formula1>
            <xm:f>'NO BORRAR'!$B$80:$B$84</xm:f>
          </x14:formula1>
          <xm:sqref>D35</xm:sqref>
        </x14:dataValidation>
        <x14:dataValidation type="list" allowBlank="1" showInputMessage="1" showErrorMessage="1" xr:uid="{355E4D5D-D74E-43CA-B93D-FC1358E88186}">
          <x14:formula1>
            <xm:f>'NO BORRAR'!$G$54:$G$59</xm:f>
          </x14:formula1>
          <xm:sqref>D37</xm:sqref>
        </x14:dataValidation>
        <x14:dataValidation type="list" allowBlank="1" showInputMessage="1" showErrorMessage="1" xr:uid="{7D523EEE-8601-43EF-92EA-178456ACBE6D}">
          <x14:formula1>
            <xm:f>'NO BORRAR'!$C$61:$C$65</xm:f>
          </x14:formula1>
          <xm:sqref>D39</xm:sqref>
        </x14:dataValidation>
        <x14:dataValidation type="list" allowBlank="1" showInputMessage="1" showErrorMessage="1" xr:uid="{26339DCF-2CEC-4E4E-8B33-63C134581CBB}">
          <x14:formula1>
            <xm:f>'NO BORRAR'!$I$158:$I$161</xm:f>
          </x14:formula1>
          <xm:sqref>D41</xm:sqref>
        </x14:dataValidation>
        <x14:dataValidation type="list" allowBlank="1" showInputMessage="1" showErrorMessage="1" xr:uid="{F2D1933B-9CF8-47A7-BACB-C79F2E2EB028}">
          <x14:formula1>
            <xm:f>'NO BORRAR'!$I$167:$I$172</xm:f>
          </x14:formula1>
          <xm:sqref>D43</xm:sqref>
        </x14:dataValidation>
        <x14:dataValidation type="list" allowBlank="1" showInputMessage="1" showErrorMessage="1" xr:uid="{DB370D6B-556A-4312-B7C9-DBD3A977FCE4}">
          <x14:formula1>
            <xm:f>'NO BORRAR'!$I$191:$I$196</xm:f>
          </x14:formula1>
          <xm:sqref>D46:D47</xm:sqref>
        </x14:dataValidation>
        <x14:dataValidation type="list" allowBlank="1" showInputMessage="1" showErrorMessage="1" xr:uid="{11F5563A-F89A-4015-908A-0B3FE36212A2}">
          <x14:formula1>
            <xm:f>'NO BORRAR'!$G$13:$G$16</xm:f>
          </x14:formula1>
          <xm:sqref>B99</xm:sqref>
        </x14:dataValidation>
        <x14:dataValidation type="list" allowBlank="1" showInputMessage="1" showErrorMessage="1" xr:uid="{D7425D40-6B4A-4CCC-8589-F63454784B25}">
          <x14:formula1>
            <xm:f>IF(C67="País empresa",'NO BORRAR'!$N$15:$N$200,"")</xm:f>
          </x14:formula1>
          <xm:sqref>D67</xm:sqref>
        </x14:dataValidation>
        <x14:dataValidation type="list" allowBlank="1" showInputMessage="1" showErrorMessage="1" xr:uid="{F3FD92DE-B405-4972-8E67-EC1EECE0F8F3}">
          <x14:formula1>
            <xm:f>'NO BORRAR'!$G$19:$G$25</xm:f>
          </x14:formula1>
          <xm:sqref>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8796-D378-41B4-960F-11D95E29DBE8}">
  <sheetPr codeName="Hoja1"/>
  <dimension ref="A1:S200"/>
  <sheetViews>
    <sheetView workbookViewId="0">
      <selection activeCell="B2" sqref="B2:B4"/>
    </sheetView>
  </sheetViews>
  <sheetFormatPr baseColWidth="10" defaultColWidth="11.42578125" defaultRowHeight="15"/>
  <cols>
    <col min="7" max="7" width="61.42578125" customWidth="1"/>
  </cols>
  <sheetData>
    <row r="1" spans="1:19">
      <c r="A1" t="s">
        <v>146</v>
      </c>
      <c r="I1" t="s">
        <v>137</v>
      </c>
    </row>
    <row r="2" spans="1:19">
      <c r="B2" t="s">
        <v>3</v>
      </c>
      <c r="E2" t="s">
        <v>3</v>
      </c>
      <c r="J2" t="s">
        <v>147</v>
      </c>
    </row>
    <row r="3" spans="1:19">
      <c r="B3" t="s">
        <v>147</v>
      </c>
      <c r="E3" t="s">
        <v>74</v>
      </c>
      <c r="I3" t="s">
        <v>3</v>
      </c>
    </row>
    <row r="4" spans="1:19">
      <c r="B4" t="s">
        <v>148</v>
      </c>
      <c r="E4" t="s">
        <v>75</v>
      </c>
      <c r="I4" t="s">
        <v>138</v>
      </c>
    </row>
    <row r="5" spans="1:19">
      <c r="I5" t="s">
        <v>149</v>
      </c>
    </row>
    <row r="6" spans="1:19">
      <c r="G6" t="s">
        <v>3</v>
      </c>
    </row>
    <row r="7" spans="1:19">
      <c r="B7" t="s">
        <v>3</v>
      </c>
      <c r="C7" t="s">
        <v>3</v>
      </c>
      <c r="G7" t="s">
        <v>150</v>
      </c>
    </row>
    <row r="8" spans="1:19">
      <c r="B8" t="s">
        <v>145</v>
      </c>
      <c r="C8" t="s">
        <v>144</v>
      </c>
      <c r="G8" t="s">
        <v>151</v>
      </c>
    </row>
    <row r="9" spans="1:19">
      <c r="B9" t="s">
        <v>71</v>
      </c>
      <c r="C9" t="s">
        <v>152</v>
      </c>
    </row>
    <row r="10" spans="1:19">
      <c r="B10" t="s">
        <v>153</v>
      </c>
      <c r="C10" t="s">
        <v>154</v>
      </c>
    </row>
    <row r="11" spans="1:19">
      <c r="B11" t="s">
        <v>155</v>
      </c>
      <c r="C11" t="s">
        <v>156</v>
      </c>
    </row>
    <row r="12" spans="1:19">
      <c r="B12" t="s">
        <v>157</v>
      </c>
    </row>
    <row r="13" spans="1:19">
      <c r="G13" t="s">
        <v>3</v>
      </c>
      <c r="I13" t="s">
        <v>3</v>
      </c>
    </row>
    <row r="14" spans="1:19">
      <c r="B14" t="s">
        <v>3</v>
      </c>
      <c r="E14" t="s">
        <v>3</v>
      </c>
      <c r="G14" t="s">
        <v>158</v>
      </c>
      <c r="I14" t="s">
        <v>159</v>
      </c>
    </row>
    <row r="15" spans="1:19">
      <c r="B15" t="s">
        <v>160</v>
      </c>
      <c r="E15" t="s">
        <v>161</v>
      </c>
      <c r="G15" t="s">
        <v>162</v>
      </c>
      <c r="I15" t="s">
        <v>163</v>
      </c>
      <c r="N15" t="s">
        <v>3</v>
      </c>
      <c r="S15" t="s">
        <v>3</v>
      </c>
    </row>
    <row r="16" spans="1:19">
      <c r="B16" t="s">
        <v>164</v>
      </c>
      <c r="E16" t="s">
        <v>165</v>
      </c>
      <c r="G16" t="s">
        <v>166</v>
      </c>
      <c r="I16" t="s">
        <v>167</v>
      </c>
      <c r="N16" t="s">
        <v>168</v>
      </c>
      <c r="S16" t="s">
        <v>169</v>
      </c>
    </row>
    <row r="17" spans="2:19">
      <c r="E17" t="s">
        <v>170</v>
      </c>
      <c r="I17" t="s">
        <v>171</v>
      </c>
      <c r="N17" t="s">
        <v>172</v>
      </c>
      <c r="S17" t="s">
        <v>173</v>
      </c>
    </row>
    <row r="18" spans="2:19">
      <c r="B18" t="s">
        <v>3</v>
      </c>
      <c r="E18" t="s">
        <v>174</v>
      </c>
      <c r="N18" t="s">
        <v>175</v>
      </c>
      <c r="S18" t="s">
        <v>176</v>
      </c>
    </row>
    <row r="19" spans="2:19">
      <c r="B19" t="s">
        <v>177</v>
      </c>
      <c r="E19" t="s">
        <v>178</v>
      </c>
      <c r="G19" t="s">
        <v>3</v>
      </c>
      <c r="N19" t="s">
        <v>179</v>
      </c>
      <c r="S19" t="s">
        <v>180</v>
      </c>
    </row>
    <row r="20" spans="2:19" ht="16.5">
      <c r="B20" t="s">
        <v>181</v>
      </c>
      <c r="E20" t="s">
        <v>182</v>
      </c>
      <c r="G20" t="s">
        <v>183</v>
      </c>
      <c r="J20" s="61" t="s">
        <v>184</v>
      </c>
      <c r="N20" t="s">
        <v>185</v>
      </c>
      <c r="S20" t="s">
        <v>186</v>
      </c>
    </row>
    <row r="21" spans="2:19">
      <c r="B21" t="s">
        <v>187</v>
      </c>
      <c r="E21" t="s">
        <v>188</v>
      </c>
      <c r="G21" t="s">
        <v>189</v>
      </c>
      <c r="N21" t="s">
        <v>190</v>
      </c>
      <c r="S21" t="s">
        <v>191</v>
      </c>
    </row>
    <row r="22" spans="2:19">
      <c r="E22" t="s">
        <v>192</v>
      </c>
      <c r="G22" t="s">
        <v>193</v>
      </c>
      <c r="N22" t="s">
        <v>194</v>
      </c>
      <c r="S22" t="s">
        <v>195</v>
      </c>
    </row>
    <row r="23" spans="2:19">
      <c r="B23" t="s">
        <v>3</v>
      </c>
      <c r="E23" t="s">
        <v>196</v>
      </c>
      <c r="G23" t="s">
        <v>197</v>
      </c>
      <c r="N23" t="s">
        <v>198</v>
      </c>
      <c r="S23" t="s">
        <v>199</v>
      </c>
    </row>
    <row r="24" spans="2:19">
      <c r="B24" t="s">
        <v>200</v>
      </c>
      <c r="E24" t="s">
        <v>201</v>
      </c>
      <c r="G24" t="s">
        <v>202</v>
      </c>
      <c r="N24" t="s">
        <v>203</v>
      </c>
      <c r="S24" t="s">
        <v>204</v>
      </c>
    </row>
    <row r="25" spans="2:19">
      <c r="B25" t="s">
        <v>205</v>
      </c>
      <c r="E25" t="s">
        <v>157</v>
      </c>
      <c r="G25" t="s">
        <v>206</v>
      </c>
      <c r="N25" t="s">
        <v>207</v>
      </c>
      <c r="S25" t="s">
        <v>208</v>
      </c>
    </row>
    <row r="26" spans="2:19">
      <c r="B26" t="s">
        <v>209</v>
      </c>
      <c r="E26" t="s">
        <v>210</v>
      </c>
      <c r="N26" t="s">
        <v>211</v>
      </c>
      <c r="S26" t="s">
        <v>212</v>
      </c>
    </row>
    <row r="27" spans="2:19">
      <c r="B27" t="s">
        <v>213</v>
      </c>
      <c r="E27" t="s">
        <v>214</v>
      </c>
      <c r="N27" t="s">
        <v>215</v>
      </c>
      <c r="S27" t="s">
        <v>216</v>
      </c>
    </row>
    <row r="28" spans="2:19">
      <c r="B28" t="s">
        <v>217</v>
      </c>
      <c r="E28" t="s">
        <v>218</v>
      </c>
      <c r="N28" t="s">
        <v>219</v>
      </c>
      <c r="S28" t="s">
        <v>220</v>
      </c>
    </row>
    <row r="29" spans="2:19">
      <c r="B29" t="s">
        <v>221</v>
      </c>
      <c r="E29" t="s">
        <v>222</v>
      </c>
      <c r="N29" t="s">
        <v>223</v>
      </c>
      <c r="S29" t="s">
        <v>224</v>
      </c>
    </row>
    <row r="30" spans="2:19">
      <c r="B30" t="s">
        <v>225</v>
      </c>
      <c r="E30" t="s">
        <v>226</v>
      </c>
      <c r="N30" t="s">
        <v>223</v>
      </c>
      <c r="S30" t="s">
        <v>227</v>
      </c>
    </row>
    <row r="31" spans="2:19">
      <c r="N31" t="s">
        <v>228</v>
      </c>
      <c r="S31" t="s">
        <v>229</v>
      </c>
    </row>
    <row r="32" spans="2:19">
      <c r="N32" t="s">
        <v>230</v>
      </c>
      <c r="S32" t="s">
        <v>231</v>
      </c>
    </row>
    <row r="33" spans="3:19">
      <c r="C33" t="s">
        <v>3</v>
      </c>
      <c r="E33" t="s">
        <v>3</v>
      </c>
      <c r="H33" t="s">
        <v>3</v>
      </c>
      <c r="J33" t="s">
        <v>3</v>
      </c>
      <c r="N33" t="s">
        <v>232</v>
      </c>
      <c r="S33" t="s">
        <v>233</v>
      </c>
    </row>
    <row r="34" spans="3:19">
      <c r="C34" t="s">
        <v>234</v>
      </c>
      <c r="E34" t="s">
        <v>235</v>
      </c>
      <c r="H34" t="s">
        <v>236</v>
      </c>
      <c r="J34" t="s">
        <v>237</v>
      </c>
      <c r="N34" t="s">
        <v>238</v>
      </c>
      <c r="S34" t="s">
        <v>239</v>
      </c>
    </row>
    <row r="35" spans="3:19">
      <c r="C35" t="s">
        <v>240</v>
      </c>
      <c r="E35" t="s">
        <v>241</v>
      </c>
      <c r="H35" t="s">
        <v>242</v>
      </c>
      <c r="J35" t="s">
        <v>243</v>
      </c>
      <c r="N35" t="s">
        <v>244</v>
      </c>
      <c r="S35" t="s">
        <v>245</v>
      </c>
    </row>
    <row r="36" spans="3:19">
      <c r="C36" t="s">
        <v>246</v>
      </c>
      <c r="E36" t="s">
        <v>247</v>
      </c>
      <c r="H36" t="s">
        <v>248</v>
      </c>
      <c r="J36" t="s">
        <v>249</v>
      </c>
      <c r="N36" t="s">
        <v>250</v>
      </c>
      <c r="S36" t="s">
        <v>251</v>
      </c>
    </row>
    <row r="37" spans="3:19">
      <c r="C37" t="s">
        <v>252</v>
      </c>
      <c r="E37" t="s">
        <v>253</v>
      </c>
      <c r="H37" t="s">
        <v>254</v>
      </c>
      <c r="J37" t="s">
        <v>255</v>
      </c>
      <c r="N37" t="s">
        <v>256</v>
      </c>
      <c r="S37" t="s">
        <v>257</v>
      </c>
    </row>
    <row r="38" spans="3:19">
      <c r="C38" t="s">
        <v>258</v>
      </c>
      <c r="E38" t="s">
        <v>259</v>
      </c>
      <c r="H38" t="s">
        <v>260</v>
      </c>
      <c r="J38" t="s">
        <v>261</v>
      </c>
      <c r="N38" t="s">
        <v>262</v>
      </c>
      <c r="S38" t="s">
        <v>263</v>
      </c>
    </row>
    <row r="39" spans="3:19">
      <c r="C39" t="s">
        <v>264</v>
      </c>
      <c r="E39" t="s">
        <v>265</v>
      </c>
      <c r="N39" t="s">
        <v>266</v>
      </c>
      <c r="S39" t="s">
        <v>267</v>
      </c>
    </row>
    <row r="40" spans="3:19">
      <c r="C40" t="s">
        <v>268</v>
      </c>
      <c r="E40" t="s">
        <v>269</v>
      </c>
      <c r="N40" t="s">
        <v>270</v>
      </c>
      <c r="S40" t="s">
        <v>271</v>
      </c>
    </row>
    <row r="41" spans="3:19">
      <c r="E41" t="s">
        <v>272</v>
      </c>
      <c r="N41" t="s">
        <v>273</v>
      </c>
      <c r="S41" t="s">
        <v>274</v>
      </c>
    </row>
    <row r="42" spans="3:19">
      <c r="E42" t="s">
        <v>275</v>
      </c>
      <c r="N42" t="s">
        <v>276</v>
      </c>
      <c r="S42" t="s">
        <v>277</v>
      </c>
    </row>
    <row r="43" spans="3:19">
      <c r="E43" t="s">
        <v>278</v>
      </c>
      <c r="N43" t="s">
        <v>279</v>
      </c>
      <c r="S43" t="s">
        <v>280</v>
      </c>
    </row>
    <row r="44" spans="3:19">
      <c r="E44" t="s">
        <v>281</v>
      </c>
      <c r="N44" t="s">
        <v>282</v>
      </c>
      <c r="S44" t="s">
        <v>283</v>
      </c>
    </row>
    <row r="45" spans="3:19">
      <c r="N45" t="s">
        <v>284</v>
      </c>
      <c r="S45" t="s">
        <v>285</v>
      </c>
    </row>
    <row r="46" spans="3:19">
      <c r="N46" t="s">
        <v>286</v>
      </c>
      <c r="S46" t="s">
        <v>287</v>
      </c>
    </row>
    <row r="47" spans="3:19">
      <c r="N47" t="s">
        <v>288</v>
      </c>
      <c r="S47" t="s">
        <v>289</v>
      </c>
    </row>
    <row r="48" spans="3:19">
      <c r="C48" t="s">
        <v>3</v>
      </c>
      <c r="N48" t="s">
        <v>290</v>
      </c>
      <c r="S48" t="s">
        <v>291</v>
      </c>
    </row>
    <row r="49" spans="3:19" ht="28.5">
      <c r="C49" s="49" t="s">
        <v>292</v>
      </c>
      <c r="N49" t="s">
        <v>293</v>
      </c>
      <c r="S49" t="s">
        <v>294</v>
      </c>
    </row>
    <row r="50" spans="3:19" ht="28.5">
      <c r="C50" s="49" t="s">
        <v>10</v>
      </c>
      <c r="N50" t="s">
        <v>295</v>
      </c>
      <c r="S50" t="s">
        <v>296</v>
      </c>
    </row>
    <row r="51" spans="3:19" ht="28.5">
      <c r="C51" s="49" t="s">
        <v>12</v>
      </c>
      <c r="N51" t="s">
        <v>297</v>
      </c>
      <c r="S51" t="s">
        <v>298</v>
      </c>
    </row>
    <row r="52" spans="3:19" ht="28.5">
      <c r="C52" s="49" t="s">
        <v>14</v>
      </c>
      <c r="N52" t="s">
        <v>299</v>
      </c>
      <c r="S52" t="s">
        <v>300</v>
      </c>
    </row>
    <row r="53" spans="3:19">
      <c r="N53" t="s">
        <v>301</v>
      </c>
      <c r="S53" t="s">
        <v>302</v>
      </c>
    </row>
    <row r="54" spans="3:19">
      <c r="G54" t="s">
        <v>3</v>
      </c>
      <c r="N54" t="s">
        <v>303</v>
      </c>
      <c r="S54" t="s">
        <v>304</v>
      </c>
    </row>
    <row r="55" spans="3:19" ht="28.5">
      <c r="G55" s="49" t="s">
        <v>305</v>
      </c>
      <c r="N55" t="s">
        <v>306</v>
      </c>
      <c r="S55" t="s">
        <v>307</v>
      </c>
    </row>
    <row r="56" spans="3:19" ht="28.5">
      <c r="G56" s="49" t="s">
        <v>308</v>
      </c>
      <c r="N56" t="s">
        <v>309</v>
      </c>
      <c r="S56" t="s">
        <v>310</v>
      </c>
    </row>
    <row r="57" spans="3:19" ht="42.75">
      <c r="G57" s="49" t="s">
        <v>311</v>
      </c>
      <c r="N57" t="s">
        <v>312</v>
      </c>
      <c r="S57" t="s">
        <v>313</v>
      </c>
    </row>
    <row r="58" spans="3:19" ht="42.75">
      <c r="G58" s="49" t="s">
        <v>314</v>
      </c>
      <c r="N58" t="s">
        <v>315</v>
      </c>
      <c r="S58" t="s">
        <v>316</v>
      </c>
    </row>
    <row r="59" spans="3:19" ht="42.75">
      <c r="G59" s="49" t="s">
        <v>317</v>
      </c>
      <c r="N59" t="s">
        <v>318</v>
      </c>
      <c r="S59" t="s">
        <v>319</v>
      </c>
    </row>
    <row r="60" spans="3:19">
      <c r="N60" t="s">
        <v>320</v>
      </c>
      <c r="S60" t="s">
        <v>321</v>
      </c>
    </row>
    <row r="61" spans="3:19">
      <c r="C61" t="s">
        <v>3</v>
      </c>
      <c r="N61" t="s">
        <v>322</v>
      </c>
      <c r="S61" t="s">
        <v>323</v>
      </c>
    </row>
    <row r="62" spans="3:19" ht="99.75">
      <c r="C62" s="49" t="s">
        <v>324</v>
      </c>
      <c r="N62" t="s">
        <v>325</v>
      </c>
      <c r="S62" t="s">
        <v>326</v>
      </c>
    </row>
    <row r="63" spans="3:19" ht="114">
      <c r="C63" s="49" t="s">
        <v>327</v>
      </c>
      <c r="N63" t="s">
        <v>328</v>
      </c>
      <c r="S63" t="s">
        <v>329</v>
      </c>
    </row>
    <row r="64" spans="3:19" ht="142.5">
      <c r="C64" s="49" t="s">
        <v>330</v>
      </c>
      <c r="N64" t="s">
        <v>331</v>
      </c>
      <c r="S64" t="s">
        <v>332</v>
      </c>
    </row>
    <row r="65" spans="2:19" ht="99.75">
      <c r="C65" s="49" t="s">
        <v>333</v>
      </c>
      <c r="N65" t="s">
        <v>334</v>
      </c>
      <c r="S65" t="s">
        <v>335</v>
      </c>
    </row>
    <row r="66" spans="2:19">
      <c r="N66" t="s">
        <v>336</v>
      </c>
      <c r="S66" t="s">
        <v>337</v>
      </c>
    </row>
    <row r="67" spans="2:19">
      <c r="N67" t="s">
        <v>338</v>
      </c>
      <c r="S67" t="s">
        <v>339</v>
      </c>
    </row>
    <row r="68" spans="2:19">
      <c r="N68" t="s">
        <v>340</v>
      </c>
      <c r="S68" t="s">
        <v>341</v>
      </c>
    </row>
    <row r="69" spans="2:19">
      <c r="F69" t="s">
        <v>3</v>
      </c>
      <c r="N69" t="s">
        <v>342</v>
      </c>
      <c r="S69" t="s">
        <v>343</v>
      </c>
    </row>
    <row r="70" spans="2:19">
      <c r="B70" t="s">
        <v>3</v>
      </c>
      <c r="F70" t="s">
        <v>344</v>
      </c>
      <c r="N70" t="s">
        <v>345</v>
      </c>
      <c r="S70" t="s">
        <v>346</v>
      </c>
    </row>
    <row r="71" spans="2:19">
      <c r="B71" t="s">
        <v>8</v>
      </c>
      <c r="F71" t="s">
        <v>21</v>
      </c>
      <c r="N71" t="s">
        <v>347</v>
      </c>
      <c r="S71" t="s">
        <v>348</v>
      </c>
    </row>
    <row r="72" spans="2:19">
      <c r="B72" t="s">
        <v>10</v>
      </c>
      <c r="F72" t="s">
        <v>25</v>
      </c>
      <c r="N72" t="s">
        <v>349</v>
      </c>
      <c r="S72" t="s">
        <v>350</v>
      </c>
    </row>
    <row r="73" spans="2:19">
      <c r="B73" t="s">
        <v>12</v>
      </c>
      <c r="F73" t="s">
        <v>27</v>
      </c>
      <c r="N73" t="s">
        <v>351</v>
      </c>
      <c r="S73" t="s">
        <v>352</v>
      </c>
    </row>
    <row r="74" spans="2:19">
      <c r="B74" t="s">
        <v>14</v>
      </c>
      <c r="N74" t="s">
        <v>353</v>
      </c>
      <c r="S74" t="s">
        <v>354</v>
      </c>
    </row>
    <row r="75" spans="2:19">
      <c r="N75" t="s">
        <v>355</v>
      </c>
      <c r="S75" t="s">
        <v>356</v>
      </c>
    </row>
    <row r="76" spans="2:19">
      <c r="N76" t="s">
        <v>357</v>
      </c>
      <c r="S76" t="s">
        <v>358</v>
      </c>
    </row>
    <row r="77" spans="2:19">
      <c r="N77" t="s">
        <v>359</v>
      </c>
      <c r="S77" t="s">
        <v>360</v>
      </c>
    </row>
    <row r="78" spans="2:19">
      <c r="N78" t="s">
        <v>361</v>
      </c>
      <c r="S78" t="s">
        <v>154</v>
      </c>
    </row>
    <row r="79" spans="2:19">
      <c r="N79" t="s">
        <v>362</v>
      </c>
      <c r="S79" t="s">
        <v>363</v>
      </c>
    </row>
    <row r="80" spans="2:19" ht="24">
      <c r="B80" t="s">
        <v>3</v>
      </c>
      <c r="D80" s="7"/>
      <c r="E80" s="22"/>
      <c r="F80" s="2"/>
      <c r="G80" s="2"/>
      <c r="N80" t="s">
        <v>364</v>
      </c>
      <c r="S80" t="s">
        <v>365</v>
      </c>
    </row>
    <row r="81" spans="2:19" ht="28.5">
      <c r="B81" s="49" t="s">
        <v>366</v>
      </c>
      <c r="D81" s="2"/>
      <c r="E81" s="22"/>
      <c r="F81" s="2"/>
      <c r="G81" s="2"/>
      <c r="N81" t="s">
        <v>367</v>
      </c>
      <c r="S81" t="s">
        <v>368</v>
      </c>
    </row>
    <row r="82" spans="2:19" ht="42.75">
      <c r="B82" s="49" t="s">
        <v>369</v>
      </c>
      <c r="D82" s="13"/>
      <c r="E82" s="23"/>
      <c r="F82" s="14"/>
      <c r="G82" s="14"/>
      <c r="N82" t="s">
        <v>370</v>
      </c>
      <c r="S82" t="s">
        <v>371</v>
      </c>
    </row>
    <row r="83" spans="2:19" ht="42.75">
      <c r="B83" s="49" t="s">
        <v>372</v>
      </c>
      <c r="D83" s="171"/>
      <c r="E83" s="171"/>
      <c r="F83" s="2"/>
      <c r="G83" s="2"/>
      <c r="N83" t="s">
        <v>373</v>
      </c>
      <c r="S83" t="s">
        <v>374</v>
      </c>
    </row>
    <row r="84" spans="2:19" ht="28.5">
      <c r="B84" s="49" t="s">
        <v>375</v>
      </c>
      <c r="D84" s="13"/>
      <c r="E84" s="23"/>
      <c r="F84" s="14"/>
      <c r="G84" s="14"/>
      <c r="N84" t="s">
        <v>376</v>
      </c>
      <c r="S84" t="s">
        <v>377</v>
      </c>
    </row>
    <row r="85" spans="2:19">
      <c r="D85" s="172"/>
      <c r="E85" s="172"/>
      <c r="F85" s="2"/>
      <c r="G85" s="2"/>
      <c r="N85" t="s">
        <v>378</v>
      </c>
      <c r="S85" t="s">
        <v>379</v>
      </c>
    </row>
    <row r="86" spans="2:19">
      <c r="D86" s="13"/>
      <c r="E86" s="23"/>
      <c r="F86" s="14"/>
      <c r="G86" s="14"/>
      <c r="N86" t="s">
        <v>380</v>
      </c>
      <c r="S86" t="s">
        <v>381</v>
      </c>
    </row>
    <row r="87" spans="2:19">
      <c r="D87" s="173"/>
      <c r="E87" s="173"/>
      <c r="F87" s="2"/>
      <c r="G87" s="2"/>
      <c r="N87" t="s">
        <v>382</v>
      </c>
      <c r="S87" t="s">
        <v>383</v>
      </c>
    </row>
    <row r="88" spans="2:19">
      <c r="D88" s="13"/>
      <c r="E88" s="23"/>
      <c r="F88" s="14"/>
      <c r="G88" s="14"/>
      <c r="N88" t="s">
        <v>384</v>
      </c>
      <c r="S88" t="s">
        <v>385</v>
      </c>
    </row>
    <row r="89" spans="2:19">
      <c r="D89" s="173"/>
      <c r="E89" s="173"/>
      <c r="F89" s="2"/>
      <c r="G89" s="2"/>
      <c r="N89" t="s">
        <v>386</v>
      </c>
      <c r="S89" t="s">
        <v>387</v>
      </c>
    </row>
    <row r="90" spans="2:19">
      <c r="D90" s="16"/>
      <c r="E90" s="23"/>
      <c r="F90" s="14"/>
      <c r="G90" s="14"/>
      <c r="N90" t="s">
        <v>388</v>
      </c>
      <c r="S90" t="s">
        <v>389</v>
      </c>
    </row>
    <row r="91" spans="2:19">
      <c r="D91" s="174"/>
      <c r="E91" s="174"/>
      <c r="F91" s="2"/>
      <c r="G91" s="2"/>
      <c r="N91" t="s">
        <v>390</v>
      </c>
      <c r="S91" t="s">
        <v>391</v>
      </c>
    </row>
    <row r="92" spans="2:19">
      <c r="D92" s="13"/>
      <c r="E92" s="23"/>
      <c r="F92" s="14"/>
      <c r="G92" s="14"/>
      <c r="N92" t="s">
        <v>392</v>
      </c>
      <c r="S92" t="s">
        <v>393</v>
      </c>
    </row>
    <row r="93" spans="2:19">
      <c r="D93" s="2"/>
      <c r="E93" s="24"/>
      <c r="F93" s="2"/>
      <c r="G93" s="17"/>
      <c r="N93" t="s">
        <v>394</v>
      </c>
      <c r="S93" t="s">
        <v>395</v>
      </c>
    </row>
    <row r="94" spans="2:19">
      <c r="D94" s="2"/>
      <c r="E94" s="25"/>
      <c r="F94" s="2"/>
      <c r="G94" s="2"/>
      <c r="N94" t="s">
        <v>396</v>
      </c>
      <c r="S94" t="s">
        <v>397</v>
      </c>
    </row>
    <row r="95" spans="2:19">
      <c r="D95" s="19"/>
      <c r="E95" s="24"/>
      <c r="F95" s="2"/>
      <c r="G95" s="17"/>
      <c r="N95" t="s">
        <v>398</v>
      </c>
      <c r="S95" t="s">
        <v>399</v>
      </c>
    </row>
    <row r="96" spans="2:19">
      <c r="D96" s="2"/>
      <c r="E96" s="22"/>
      <c r="F96" s="2"/>
      <c r="G96" s="2"/>
      <c r="N96" t="s">
        <v>400</v>
      </c>
      <c r="S96" t="s">
        <v>401</v>
      </c>
    </row>
    <row r="97" spans="4:19">
      <c r="D97" s="16"/>
      <c r="E97" s="23"/>
      <c r="F97" s="14"/>
      <c r="G97" s="14"/>
      <c r="N97" t="s">
        <v>402</v>
      </c>
      <c r="S97" t="s">
        <v>403</v>
      </c>
    </row>
    <row r="98" spans="4:19">
      <c r="D98" s="15"/>
      <c r="E98" s="22"/>
      <c r="F98" s="2"/>
      <c r="G98" s="18"/>
      <c r="N98" t="s">
        <v>404</v>
      </c>
      <c r="S98" t="s">
        <v>405</v>
      </c>
    </row>
    <row r="99" spans="4:19">
      <c r="N99" t="s">
        <v>406</v>
      </c>
      <c r="S99" t="s">
        <v>407</v>
      </c>
    </row>
    <row r="100" spans="4:19">
      <c r="N100" t="s">
        <v>408</v>
      </c>
      <c r="S100" t="s">
        <v>409</v>
      </c>
    </row>
    <row r="101" spans="4:19">
      <c r="N101" t="s">
        <v>410</v>
      </c>
      <c r="S101" t="s">
        <v>411</v>
      </c>
    </row>
    <row r="102" spans="4:19">
      <c r="N102" t="s">
        <v>412</v>
      </c>
      <c r="S102" t="s">
        <v>413</v>
      </c>
    </row>
    <row r="103" spans="4:19">
      <c r="N103" t="s">
        <v>414</v>
      </c>
      <c r="S103" t="s">
        <v>415</v>
      </c>
    </row>
    <row r="104" spans="4:19">
      <c r="N104" t="s">
        <v>416</v>
      </c>
      <c r="S104" t="s">
        <v>417</v>
      </c>
    </row>
    <row r="105" spans="4:19">
      <c r="N105" t="s">
        <v>418</v>
      </c>
      <c r="S105" t="s">
        <v>419</v>
      </c>
    </row>
    <row r="106" spans="4:19">
      <c r="N106" t="s">
        <v>420</v>
      </c>
      <c r="S106" t="s">
        <v>421</v>
      </c>
    </row>
    <row r="107" spans="4:19">
      <c r="N107" t="s">
        <v>422</v>
      </c>
      <c r="S107" t="s">
        <v>423</v>
      </c>
    </row>
    <row r="108" spans="4:19">
      <c r="N108" t="s">
        <v>424</v>
      </c>
      <c r="S108" t="s">
        <v>425</v>
      </c>
    </row>
    <row r="109" spans="4:19">
      <c r="N109" t="s">
        <v>426</v>
      </c>
      <c r="S109" t="s">
        <v>427</v>
      </c>
    </row>
    <row r="110" spans="4:19">
      <c r="N110" t="s">
        <v>428</v>
      </c>
      <c r="S110" t="s">
        <v>429</v>
      </c>
    </row>
    <row r="111" spans="4:19">
      <c r="N111" t="s">
        <v>430</v>
      </c>
      <c r="S111" t="s">
        <v>431</v>
      </c>
    </row>
    <row r="112" spans="4:19">
      <c r="N112" t="s">
        <v>432</v>
      </c>
      <c r="S112" t="s">
        <v>433</v>
      </c>
    </row>
    <row r="113" spans="14:19">
      <c r="N113" t="s">
        <v>434</v>
      </c>
      <c r="S113" t="s">
        <v>435</v>
      </c>
    </row>
    <row r="114" spans="14:19">
      <c r="N114" t="s">
        <v>436</v>
      </c>
      <c r="S114" t="s">
        <v>437</v>
      </c>
    </row>
    <row r="115" spans="14:19">
      <c r="N115" t="s">
        <v>438</v>
      </c>
      <c r="S115" t="s">
        <v>439</v>
      </c>
    </row>
    <row r="116" spans="14:19">
      <c r="N116" t="s">
        <v>440</v>
      </c>
      <c r="S116" t="s">
        <v>441</v>
      </c>
    </row>
    <row r="117" spans="14:19">
      <c r="N117" t="s">
        <v>442</v>
      </c>
      <c r="S117" t="s">
        <v>443</v>
      </c>
    </row>
    <row r="118" spans="14:19">
      <c r="N118" t="s">
        <v>444</v>
      </c>
      <c r="S118" t="s">
        <v>445</v>
      </c>
    </row>
    <row r="119" spans="14:19">
      <c r="N119" t="s">
        <v>446</v>
      </c>
      <c r="S119" t="s">
        <v>447</v>
      </c>
    </row>
    <row r="120" spans="14:19">
      <c r="N120" t="s">
        <v>448</v>
      </c>
      <c r="S120" t="s">
        <v>449</v>
      </c>
    </row>
    <row r="121" spans="14:19">
      <c r="N121" t="s">
        <v>450</v>
      </c>
      <c r="S121" t="s">
        <v>451</v>
      </c>
    </row>
    <row r="122" spans="14:19">
      <c r="N122" t="s">
        <v>452</v>
      </c>
      <c r="S122" t="s">
        <v>453</v>
      </c>
    </row>
    <row r="123" spans="14:19">
      <c r="N123" t="s">
        <v>454</v>
      </c>
      <c r="S123" t="s">
        <v>455</v>
      </c>
    </row>
    <row r="124" spans="14:19">
      <c r="N124" t="s">
        <v>456</v>
      </c>
      <c r="S124" t="s">
        <v>457</v>
      </c>
    </row>
    <row r="125" spans="14:19">
      <c r="N125" t="s">
        <v>458</v>
      </c>
      <c r="S125" t="s">
        <v>459</v>
      </c>
    </row>
    <row r="126" spans="14:19">
      <c r="N126" t="s">
        <v>460</v>
      </c>
      <c r="S126" t="s">
        <v>461</v>
      </c>
    </row>
    <row r="127" spans="14:19">
      <c r="N127" t="s">
        <v>462</v>
      </c>
      <c r="S127" t="s">
        <v>463</v>
      </c>
    </row>
    <row r="128" spans="14:19">
      <c r="N128" t="s">
        <v>464</v>
      </c>
      <c r="S128" t="s">
        <v>465</v>
      </c>
    </row>
    <row r="129" spans="14:19">
      <c r="N129" t="s">
        <v>466</v>
      </c>
      <c r="S129" t="s">
        <v>467</v>
      </c>
    </row>
    <row r="130" spans="14:19">
      <c r="N130" t="s">
        <v>468</v>
      </c>
      <c r="S130" t="s">
        <v>469</v>
      </c>
    </row>
    <row r="131" spans="14:19">
      <c r="N131" t="s">
        <v>470</v>
      </c>
      <c r="S131" t="s">
        <v>471</v>
      </c>
    </row>
    <row r="132" spans="14:19">
      <c r="N132" t="s">
        <v>472</v>
      </c>
      <c r="S132" t="s">
        <v>473</v>
      </c>
    </row>
    <row r="133" spans="14:19">
      <c r="N133" t="s">
        <v>474</v>
      </c>
      <c r="S133" t="s">
        <v>475</v>
      </c>
    </row>
    <row r="134" spans="14:19">
      <c r="N134" t="s">
        <v>476</v>
      </c>
      <c r="S134" t="s">
        <v>477</v>
      </c>
    </row>
    <row r="135" spans="14:19">
      <c r="N135" t="s">
        <v>478</v>
      </c>
      <c r="S135" t="s">
        <v>479</v>
      </c>
    </row>
    <row r="136" spans="14:19">
      <c r="N136" t="s">
        <v>480</v>
      </c>
      <c r="S136" t="s">
        <v>481</v>
      </c>
    </row>
    <row r="137" spans="14:19">
      <c r="N137" t="s">
        <v>482</v>
      </c>
      <c r="S137" t="s">
        <v>483</v>
      </c>
    </row>
    <row r="138" spans="14:19">
      <c r="N138" t="s">
        <v>484</v>
      </c>
      <c r="S138" t="s">
        <v>485</v>
      </c>
    </row>
    <row r="139" spans="14:19">
      <c r="N139" t="s">
        <v>486</v>
      </c>
      <c r="S139" t="s">
        <v>487</v>
      </c>
    </row>
    <row r="140" spans="14:19">
      <c r="N140" t="s">
        <v>488</v>
      </c>
      <c r="S140" t="s">
        <v>489</v>
      </c>
    </row>
    <row r="141" spans="14:19">
      <c r="N141" t="s">
        <v>490</v>
      </c>
      <c r="S141" t="s">
        <v>491</v>
      </c>
    </row>
    <row r="142" spans="14:19">
      <c r="N142" t="s">
        <v>492</v>
      </c>
      <c r="S142" t="s">
        <v>493</v>
      </c>
    </row>
    <row r="143" spans="14:19">
      <c r="N143" t="s">
        <v>494</v>
      </c>
      <c r="S143" t="s">
        <v>495</v>
      </c>
    </row>
    <row r="144" spans="14:19">
      <c r="N144" t="s">
        <v>496</v>
      </c>
      <c r="S144" t="s">
        <v>497</v>
      </c>
    </row>
    <row r="145" spans="9:19">
      <c r="N145" t="s">
        <v>498</v>
      </c>
      <c r="S145" t="s">
        <v>499</v>
      </c>
    </row>
    <row r="146" spans="9:19">
      <c r="N146" t="s">
        <v>500</v>
      </c>
      <c r="S146" t="s">
        <v>501</v>
      </c>
    </row>
    <row r="147" spans="9:19">
      <c r="N147" t="s">
        <v>502</v>
      </c>
    </row>
    <row r="148" spans="9:19">
      <c r="N148" t="s">
        <v>503</v>
      </c>
    </row>
    <row r="149" spans="9:19">
      <c r="N149" t="s">
        <v>504</v>
      </c>
    </row>
    <row r="150" spans="9:19">
      <c r="N150" t="s">
        <v>505</v>
      </c>
    </row>
    <row r="151" spans="9:19">
      <c r="N151" t="s">
        <v>506</v>
      </c>
    </row>
    <row r="152" spans="9:19">
      <c r="N152" t="s">
        <v>507</v>
      </c>
    </row>
    <row r="153" spans="9:19">
      <c r="N153" t="s">
        <v>508</v>
      </c>
    </row>
    <row r="154" spans="9:19">
      <c r="N154" t="s">
        <v>509</v>
      </c>
    </row>
    <row r="155" spans="9:19">
      <c r="N155" t="s">
        <v>510</v>
      </c>
    </row>
    <row r="156" spans="9:19">
      <c r="N156" t="s">
        <v>511</v>
      </c>
    </row>
    <row r="157" spans="9:19">
      <c r="N157" t="s">
        <v>512</v>
      </c>
    </row>
    <row r="158" spans="9:19">
      <c r="I158" t="s">
        <v>3</v>
      </c>
      <c r="N158" t="s">
        <v>513</v>
      </c>
    </row>
    <row r="159" spans="9:19" ht="28.5">
      <c r="I159" s="49" t="s">
        <v>514</v>
      </c>
      <c r="N159" t="s">
        <v>513</v>
      </c>
    </row>
    <row r="160" spans="9:19" ht="28.5">
      <c r="I160" s="49" t="s">
        <v>515</v>
      </c>
      <c r="N160" t="s">
        <v>516</v>
      </c>
    </row>
    <row r="161" spans="9:14" ht="28.5">
      <c r="I161" s="49" t="s">
        <v>517</v>
      </c>
      <c r="N161" t="s">
        <v>518</v>
      </c>
    </row>
    <row r="162" spans="9:14">
      <c r="N162" t="s">
        <v>519</v>
      </c>
    </row>
    <row r="163" spans="9:14">
      <c r="N163" t="s">
        <v>520</v>
      </c>
    </row>
    <row r="164" spans="9:14">
      <c r="N164" t="s">
        <v>521</v>
      </c>
    </row>
    <row r="165" spans="9:14">
      <c r="N165" t="s">
        <v>522</v>
      </c>
    </row>
    <row r="166" spans="9:14">
      <c r="N166" t="s">
        <v>523</v>
      </c>
    </row>
    <row r="167" spans="9:14">
      <c r="I167" t="s">
        <v>3</v>
      </c>
      <c r="N167" t="s">
        <v>524</v>
      </c>
    </row>
    <row r="168" spans="9:14" ht="28.5">
      <c r="I168" s="49" t="s">
        <v>525</v>
      </c>
      <c r="N168" t="s">
        <v>526</v>
      </c>
    </row>
    <row r="169" spans="9:14" ht="28.5">
      <c r="I169" s="49" t="s">
        <v>90</v>
      </c>
      <c r="N169" t="s">
        <v>527</v>
      </c>
    </row>
    <row r="170" spans="9:14" ht="28.5">
      <c r="I170" s="49" t="s">
        <v>91</v>
      </c>
      <c r="N170" t="s">
        <v>528</v>
      </c>
    </row>
    <row r="171" spans="9:14" ht="28.5">
      <c r="I171" s="49" t="s">
        <v>92</v>
      </c>
      <c r="N171" t="s">
        <v>529</v>
      </c>
    </row>
    <row r="172" spans="9:14" ht="28.5">
      <c r="I172" s="49" t="s">
        <v>93</v>
      </c>
      <c r="N172" t="s">
        <v>530</v>
      </c>
    </row>
    <row r="173" spans="9:14">
      <c r="N173" t="s">
        <v>531</v>
      </c>
    </row>
    <row r="174" spans="9:14">
      <c r="N174" t="s">
        <v>532</v>
      </c>
    </row>
    <row r="175" spans="9:14">
      <c r="N175" t="s">
        <v>533</v>
      </c>
    </row>
    <row r="176" spans="9:14">
      <c r="N176" t="s">
        <v>534</v>
      </c>
    </row>
    <row r="177" spans="9:14">
      <c r="N177" t="s">
        <v>535</v>
      </c>
    </row>
    <row r="178" spans="9:14">
      <c r="N178" t="s">
        <v>536</v>
      </c>
    </row>
    <row r="179" spans="9:14">
      <c r="N179" t="s">
        <v>537</v>
      </c>
    </row>
    <row r="180" spans="9:14">
      <c r="N180" t="s">
        <v>538</v>
      </c>
    </row>
    <row r="181" spans="9:14">
      <c r="N181" t="s">
        <v>539</v>
      </c>
    </row>
    <row r="182" spans="9:14">
      <c r="N182" t="s">
        <v>540</v>
      </c>
    </row>
    <row r="183" spans="9:14">
      <c r="N183" t="s">
        <v>541</v>
      </c>
    </row>
    <row r="184" spans="9:14">
      <c r="N184" t="s">
        <v>542</v>
      </c>
    </row>
    <row r="185" spans="9:14">
      <c r="N185" t="s">
        <v>543</v>
      </c>
    </row>
    <row r="186" spans="9:14">
      <c r="N186" t="s">
        <v>544</v>
      </c>
    </row>
    <row r="187" spans="9:14">
      <c r="N187" t="s">
        <v>545</v>
      </c>
    </row>
    <row r="188" spans="9:14">
      <c r="N188" t="s">
        <v>546</v>
      </c>
    </row>
    <row r="189" spans="9:14">
      <c r="N189" t="s">
        <v>547</v>
      </c>
    </row>
    <row r="190" spans="9:14">
      <c r="N190" t="s">
        <v>548</v>
      </c>
    </row>
    <row r="191" spans="9:14">
      <c r="I191" t="s">
        <v>3</v>
      </c>
      <c r="N191" t="s">
        <v>549</v>
      </c>
    </row>
    <row r="192" spans="9:14" ht="57">
      <c r="I192" s="49" t="s">
        <v>550</v>
      </c>
      <c r="N192" t="s">
        <v>551</v>
      </c>
    </row>
    <row r="193" spans="9:14" ht="57">
      <c r="I193" s="49" t="s">
        <v>96</v>
      </c>
      <c r="N193" t="s">
        <v>552</v>
      </c>
    </row>
    <row r="194" spans="9:14" ht="85.5">
      <c r="I194" s="49" t="s">
        <v>97</v>
      </c>
      <c r="N194" t="s">
        <v>553</v>
      </c>
    </row>
    <row r="195" spans="9:14" ht="256.5">
      <c r="I195" s="49" t="s">
        <v>98</v>
      </c>
      <c r="N195" t="s">
        <v>554</v>
      </c>
    </row>
    <row r="196" spans="9:14" ht="28.5">
      <c r="I196" s="49" t="s">
        <v>99</v>
      </c>
      <c r="N196" t="s">
        <v>555</v>
      </c>
    </row>
    <row r="197" spans="9:14">
      <c r="N197" t="s">
        <v>556</v>
      </c>
    </row>
    <row r="198" spans="9:14">
      <c r="N198" t="s">
        <v>557</v>
      </c>
    </row>
    <row r="199" spans="9:14">
      <c r="N199" t="s">
        <v>558</v>
      </c>
    </row>
    <row r="200" spans="9:14">
      <c r="N200" t="s">
        <v>559</v>
      </c>
    </row>
  </sheetData>
  <mergeCells count="5">
    <mergeCell ref="D83:E83"/>
    <mergeCell ref="D85:E85"/>
    <mergeCell ref="D87:E87"/>
    <mergeCell ref="D89:E89"/>
    <mergeCell ref="D91:E91"/>
  </mergeCells>
  <dataValidations count="8">
    <dataValidation allowBlank="1" showInputMessage="1" showErrorMessage="1" promptTitle="Elija aquí" sqref="B3:B4" xr:uid="{09408F74-F2CD-45B6-9B9A-CFF794EE34A5}"/>
    <dataValidation type="list" allowBlank="1" showInputMessage="1" showErrorMessage="1" sqref="G98" xr:uid="{92A7F4F6-29BF-4767-B1DC-F49DCB6D676E}">
      <formula1>$T$70:$T$75</formula1>
    </dataValidation>
    <dataValidation type="list" allowBlank="1" showInputMessage="1" showErrorMessage="1" sqref="G95" xr:uid="{D1043140-2BA3-49AD-AAA4-2B4D74AE0A11}">
      <formula1>$T$62:$T$67</formula1>
    </dataValidation>
    <dataValidation type="list" allowBlank="1" showInputMessage="1" showErrorMessage="1" sqref="G93" xr:uid="{78AF3522-AEAE-47A6-8B5D-E3F71BD7C87D}">
      <formula1>$T$49:$T$52</formula1>
    </dataValidation>
    <dataValidation type="list" allowBlank="1" showInputMessage="1" showErrorMessage="1" sqref="G91" xr:uid="{2BCCBE3F-DD8E-4DEA-AEF1-CAE316402B45}">
      <formula1>$T$36:$T$40</formula1>
    </dataValidation>
    <dataValidation type="list" allowBlank="1" showInputMessage="1" showErrorMessage="1" sqref="G89" xr:uid="{A73073D6-3237-4477-9DD4-3A3F2B7AA0C9}">
      <formula1>$T$28:$T$33</formula1>
    </dataValidation>
    <dataValidation type="list" allowBlank="1" showInputMessage="1" showErrorMessage="1" sqref="G87 G83" xr:uid="{BB031BE1-77FE-411E-B0FF-AD50B68D7439}">
      <formula1>$C$48:$C$52</formula1>
    </dataValidation>
    <dataValidation type="list" allowBlank="1" showInputMessage="1" showErrorMessage="1" sqref="G85" xr:uid="{FD563D3F-F454-4EF8-ADDE-E8A83BCC571A}">
      <formula1>$T$14:$T$18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8A65-8393-443C-AEA6-3CDA10AAB735}">
  <dimension ref="A1:Y170"/>
  <sheetViews>
    <sheetView topLeftCell="A38" zoomScale="71" zoomScaleNormal="100" workbookViewId="0">
      <selection activeCell="B49" sqref="B49"/>
    </sheetView>
  </sheetViews>
  <sheetFormatPr baseColWidth="10" defaultColWidth="11.5703125" defaultRowHeight="15"/>
  <cols>
    <col min="1" max="1" width="52.140625" style="2" customWidth="1"/>
    <col min="2" max="2" width="47.85546875" style="22" customWidth="1"/>
    <col min="3" max="3" width="45.85546875" style="2" customWidth="1"/>
    <col min="4" max="4" width="39.7109375" style="2" customWidth="1"/>
    <col min="5" max="5" width="42.85546875" style="2" customWidth="1"/>
    <col min="6" max="6" width="52.42578125" style="2" customWidth="1"/>
    <col min="7" max="7" width="48" style="2" customWidth="1"/>
    <col min="8" max="8" width="28" style="2" customWidth="1"/>
    <col min="9" max="9" width="55.5703125" style="2" customWidth="1"/>
    <col min="10" max="10" width="26.85546875" style="2" customWidth="1"/>
    <col min="11" max="11" width="28.42578125" style="2" customWidth="1"/>
    <col min="12" max="12" width="42.140625" style="2" customWidth="1"/>
    <col min="13" max="19" width="9.140625" style="2"/>
    <col min="20" max="20" width="110.5703125" style="20" customWidth="1"/>
    <col min="21" max="23" width="11.5703125" style="20"/>
    <col min="24" max="16384" width="11.5703125" style="2"/>
  </cols>
  <sheetData>
    <row r="1" spans="1:20" ht="24">
      <c r="A1" s="177" t="s">
        <v>136</v>
      </c>
      <c r="B1" s="177"/>
    </row>
    <row r="2" spans="1:20">
      <c r="A2" s="64" t="s">
        <v>137</v>
      </c>
      <c r="B2" s="65"/>
      <c r="C2" s="66" t="s">
        <v>139</v>
      </c>
    </row>
    <row r="3" spans="1:20">
      <c r="A3" s="66"/>
      <c r="B3" s="67"/>
      <c r="C3" s="66" t="s">
        <v>140</v>
      </c>
    </row>
    <row r="4" spans="1:20" ht="24">
      <c r="A4" s="177" t="s">
        <v>141</v>
      </c>
      <c r="B4" s="177"/>
    </row>
    <row r="5" spans="1:20">
      <c r="A5" s="64" t="s">
        <v>142</v>
      </c>
      <c r="B5" s="65"/>
    </row>
    <row r="6" spans="1:20">
      <c r="A6" s="64" t="s">
        <v>143</v>
      </c>
      <c r="B6" s="65"/>
    </row>
    <row r="7" spans="1:20">
      <c r="A7" s="64" t="s">
        <v>44</v>
      </c>
      <c r="B7" s="65"/>
    </row>
    <row r="10" spans="1:20" ht="24">
      <c r="A10" s="7" t="s">
        <v>0</v>
      </c>
    </row>
    <row r="11" spans="1:20" ht="6" customHeight="1"/>
    <row r="12" spans="1:20">
      <c r="A12" s="13" t="s">
        <v>1</v>
      </c>
      <c r="B12" s="23"/>
      <c r="C12" s="14"/>
      <c r="D12" s="14"/>
    </row>
    <row r="13" spans="1:20" ht="28.9" customHeight="1">
      <c r="A13" s="171" t="s">
        <v>2</v>
      </c>
      <c r="B13" s="171"/>
      <c r="D13" s="68" t="s">
        <v>8</v>
      </c>
      <c r="T13" s="20" t="s">
        <v>1</v>
      </c>
    </row>
    <row r="14" spans="1:20">
      <c r="A14" s="13" t="s">
        <v>4</v>
      </c>
      <c r="B14" s="23"/>
      <c r="C14" s="14"/>
      <c r="D14" s="23"/>
      <c r="T14" s="20" t="s">
        <v>2</v>
      </c>
    </row>
    <row r="15" spans="1:20" ht="25.9" customHeight="1">
      <c r="A15" s="172" t="s">
        <v>5</v>
      </c>
      <c r="B15" s="172"/>
      <c r="D15" s="68" t="s">
        <v>344</v>
      </c>
      <c r="T15" s="20" t="s">
        <v>6</v>
      </c>
    </row>
    <row r="16" spans="1:20">
      <c r="A16" s="13" t="s">
        <v>7</v>
      </c>
      <c r="B16" s="23"/>
      <c r="C16" s="14"/>
      <c r="D16" s="23"/>
      <c r="T16" s="20" t="s">
        <v>8</v>
      </c>
    </row>
    <row r="17" spans="1:25" ht="28.9" customHeight="1">
      <c r="A17" s="173" t="s">
        <v>9</v>
      </c>
      <c r="B17" s="173"/>
      <c r="D17" s="68" t="s">
        <v>366</v>
      </c>
      <c r="T17" s="20" t="s">
        <v>10</v>
      </c>
    </row>
    <row r="18" spans="1:25">
      <c r="A18" s="13" t="s">
        <v>11</v>
      </c>
      <c r="B18" s="23"/>
      <c r="C18" s="14"/>
      <c r="D18" s="23"/>
      <c r="T18" s="20" t="s">
        <v>12</v>
      </c>
    </row>
    <row r="19" spans="1:25" ht="24.75" customHeight="1">
      <c r="A19" s="173" t="s">
        <v>13</v>
      </c>
      <c r="B19" s="173"/>
      <c r="D19" s="68" t="s">
        <v>308</v>
      </c>
      <c r="T19" s="20" t="s">
        <v>14</v>
      </c>
    </row>
    <row r="20" spans="1:25">
      <c r="A20" s="16" t="s">
        <v>15</v>
      </c>
      <c r="B20" s="23"/>
      <c r="C20" s="14"/>
      <c r="D20" s="23"/>
      <c r="T20" s="20" t="s">
        <v>4</v>
      </c>
    </row>
    <row r="21" spans="1:25" ht="15.75" customHeight="1">
      <c r="A21" s="174" t="s">
        <v>16</v>
      </c>
      <c r="B21" s="174"/>
      <c r="D21" s="68" t="s">
        <v>324</v>
      </c>
      <c r="T21" s="20" t="s">
        <v>17</v>
      </c>
    </row>
    <row r="22" spans="1:25">
      <c r="A22" s="13" t="s">
        <v>18</v>
      </c>
      <c r="B22" s="23"/>
      <c r="C22" s="14"/>
      <c r="D22" s="14"/>
      <c r="T22" s="20" t="s">
        <v>6</v>
      </c>
    </row>
    <row r="23" spans="1:25" ht="102" customHeight="1">
      <c r="B23" s="24" t="s">
        <v>19</v>
      </c>
      <c r="D23" s="69" t="s">
        <v>514</v>
      </c>
      <c r="T23" s="20" t="s">
        <v>20</v>
      </c>
    </row>
    <row r="24" spans="1:25" ht="24">
      <c r="B24" s="25"/>
      <c r="T24" s="20" t="s">
        <v>21</v>
      </c>
      <c r="X24" s="170" t="s">
        <v>22</v>
      </c>
      <c r="Y24" s="170"/>
    </row>
    <row r="25" spans="1:25" ht="115.15" customHeight="1">
      <c r="A25" s="19" t="s">
        <v>23</v>
      </c>
      <c r="B25" s="24" t="s">
        <v>24</v>
      </c>
      <c r="D25" s="69" t="s">
        <v>525</v>
      </c>
      <c r="T25" s="20" t="s">
        <v>25</v>
      </c>
      <c r="X25" s="10" t="s">
        <v>26</v>
      </c>
      <c r="Y25" s="8"/>
    </row>
    <row r="26" spans="1:25">
      <c r="T26" s="20" t="s">
        <v>27</v>
      </c>
      <c r="X26" s="10" t="s">
        <v>28</v>
      </c>
      <c r="Y26" s="8"/>
    </row>
    <row r="27" spans="1:25" ht="24" customHeight="1">
      <c r="A27" s="16" t="s">
        <v>29</v>
      </c>
      <c r="B27" s="23"/>
      <c r="C27" s="14"/>
      <c r="D27" s="14"/>
      <c r="T27" s="20" t="s">
        <v>7</v>
      </c>
      <c r="X27" s="10" t="s">
        <v>30</v>
      </c>
      <c r="Y27" s="8"/>
    </row>
    <row r="28" spans="1:25" ht="95.25" customHeight="1">
      <c r="A28" s="15" t="s">
        <v>31</v>
      </c>
      <c r="D28" s="69" t="s">
        <v>550</v>
      </c>
      <c r="T28" s="20" t="s">
        <v>9</v>
      </c>
      <c r="X28" s="10" t="s">
        <v>32</v>
      </c>
      <c r="Y28" s="8"/>
    </row>
    <row r="29" spans="1:25" ht="24">
      <c r="A29" s="170" t="s">
        <v>560</v>
      </c>
      <c r="B29" s="170"/>
      <c r="C29" s="178"/>
      <c r="D29" s="178"/>
      <c r="E29" s="178"/>
      <c r="F29" s="178"/>
      <c r="G29" s="178"/>
      <c r="H29" s="178"/>
      <c r="I29" s="178"/>
      <c r="J29" s="178"/>
      <c r="X29" s="10" t="s">
        <v>38</v>
      </c>
      <c r="Y29" s="8"/>
    </row>
    <row r="30" spans="1:25" s="7" customFormat="1" ht="17.25" customHeight="1">
      <c r="A30" s="36" t="s">
        <v>39</v>
      </c>
      <c r="B30" s="70"/>
      <c r="C30" s="2"/>
      <c r="D30" s="22"/>
      <c r="E30" s="2"/>
      <c r="F30" s="22"/>
      <c r="G30" s="2"/>
      <c r="H30" s="22"/>
      <c r="I30" s="2"/>
      <c r="J30" s="22"/>
      <c r="N30" s="2"/>
      <c r="O30" s="2"/>
      <c r="P30" s="2"/>
      <c r="T30" s="20"/>
      <c r="U30" s="20"/>
      <c r="V30" s="20"/>
      <c r="W30" s="20"/>
      <c r="X30" s="11" t="s">
        <v>40</v>
      </c>
      <c r="Y30" s="8"/>
    </row>
    <row r="31" spans="1:25">
      <c r="A31" s="36" t="s">
        <v>41</v>
      </c>
      <c r="B31" s="70"/>
      <c r="D31" s="22"/>
      <c r="F31" s="22"/>
      <c r="H31" s="22"/>
      <c r="J31" s="22"/>
      <c r="X31" s="10" t="s">
        <v>42</v>
      </c>
      <c r="Y31" s="8"/>
    </row>
    <row r="32" spans="1:25">
      <c r="A32" s="36" t="s">
        <v>43</v>
      </c>
      <c r="B32" s="70"/>
      <c r="D32" s="22"/>
      <c r="F32" s="22"/>
      <c r="H32" s="22"/>
      <c r="J32" s="22"/>
      <c r="X32" s="10" t="s">
        <v>44</v>
      </c>
      <c r="Y32" s="8"/>
    </row>
    <row r="33" spans="1:25">
      <c r="A33" s="36" t="s">
        <v>45</v>
      </c>
      <c r="B33" s="71"/>
      <c r="D33" s="22"/>
      <c r="F33" s="22"/>
      <c r="H33" s="22"/>
      <c r="J33" s="45"/>
      <c r="X33" s="10" t="s">
        <v>46</v>
      </c>
      <c r="Y33" s="8"/>
    </row>
    <row r="34" spans="1:25" ht="20.25" customHeight="1">
      <c r="A34" s="36" t="s">
        <v>32</v>
      </c>
      <c r="B34" s="70"/>
      <c r="D34" s="22"/>
      <c r="F34" s="22"/>
      <c r="H34" s="22"/>
      <c r="J34" s="22"/>
      <c r="X34" s="10" t="s">
        <v>47</v>
      </c>
      <c r="Y34" s="8"/>
    </row>
    <row r="35" spans="1:25" ht="16.5" customHeight="1">
      <c r="A35" s="36" t="s">
        <v>48</v>
      </c>
      <c r="B35" s="70" t="s">
        <v>3</v>
      </c>
      <c r="D35" s="22"/>
      <c r="F35" s="22"/>
      <c r="H35" s="22"/>
      <c r="J35" s="22"/>
      <c r="X35" s="10" t="s">
        <v>49</v>
      </c>
      <c r="Y35" s="26" t="s">
        <v>6</v>
      </c>
    </row>
    <row r="36" spans="1:25">
      <c r="A36" s="36" t="s">
        <v>50</v>
      </c>
      <c r="B36" s="70"/>
      <c r="D36" s="22"/>
      <c r="F36" s="22"/>
      <c r="H36" s="22"/>
      <c r="J36" s="22"/>
      <c r="X36" s="10" t="s">
        <v>51</v>
      </c>
      <c r="Y36" s="26" t="s">
        <v>6</v>
      </c>
    </row>
    <row r="37" spans="1:25">
      <c r="A37" s="36" t="s">
        <v>52</v>
      </c>
      <c r="B37" s="70"/>
      <c r="D37" s="22"/>
      <c r="F37" s="22"/>
      <c r="H37" s="22"/>
      <c r="J37" s="22"/>
      <c r="X37" s="10" t="s">
        <v>53</v>
      </c>
      <c r="Y37" s="8"/>
    </row>
    <row r="38" spans="1:25">
      <c r="A38" s="36" t="s">
        <v>54</v>
      </c>
      <c r="B38" s="72"/>
      <c r="D38" s="22"/>
      <c r="F38" s="22"/>
      <c r="H38" s="22"/>
      <c r="J38" s="76"/>
      <c r="X38" s="10" t="s">
        <v>55</v>
      </c>
      <c r="Y38" s="8"/>
    </row>
    <row r="39" spans="1:25" ht="33.75" customHeight="1">
      <c r="A39" s="37" t="s">
        <v>40</v>
      </c>
      <c r="B39" s="70"/>
      <c r="C39" s="3"/>
      <c r="D39" s="22"/>
      <c r="F39" s="22"/>
      <c r="H39" s="22"/>
      <c r="I39" s="3"/>
      <c r="J39" s="22"/>
      <c r="X39" s="10" t="s">
        <v>56</v>
      </c>
      <c r="Y39" s="26" t="s">
        <v>6</v>
      </c>
    </row>
    <row r="40" spans="1:25">
      <c r="A40" s="36" t="s">
        <v>57</v>
      </c>
      <c r="B40" s="70"/>
      <c r="D40" s="22"/>
      <c r="F40" s="22"/>
      <c r="H40" s="22"/>
      <c r="J40" s="22"/>
      <c r="X40" s="10" t="s">
        <v>58</v>
      </c>
      <c r="Y40" s="26" t="s">
        <v>6</v>
      </c>
    </row>
    <row r="41" spans="1:25">
      <c r="A41" s="36" t="s">
        <v>44</v>
      </c>
      <c r="B41" s="70"/>
      <c r="D41" s="22"/>
      <c r="F41" s="22"/>
      <c r="H41" s="22"/>
      <c r="J41" s="22"/>
    </row>
    <row r="42" spans="1:25" ht="18.75">
      <c r="A42" s="36" t="s">
        <v>47</v>
      </c>
      <c r="B42" s="73"/>
      <c r="D42" s="22"/>
      <c r="F42" s="22"/>
      <c r="H42" s="22"/>
      <c r="J42" s="77"/>
      <c r="X42" s="176" t="s">
        <v>59</v>
      </c>
      <c r="Y42" s="176"/>
    </row>
    <row r="43" spans="1:25">
      <c r="A43" s="36" t="s">
        <v>60</v>
      </c>
      <c r="B43" s="70" t="s">
        <v>3</v>
      </c>
      <c r="D43" s="22"/>
      <c r="F43" s="22"/>
      <c r="H43" s="22"/>
      <c r="J43" s="22"/>
      <c r="X43" s="10" t="s">
        <v>61</v>
      </c>
      <c r="Y43" s="8" t="s">
        <v>3</v>
      </c>
    </row>
    <row r="44" spans="1:25">
      <c r="A44" s="36" t="s">
        <v>51</v>
      </c>
      <c r="B44" s="74" t="s">
        <v>147</v>
      </c>
      <c r="D44" s="22"/>
      <c r="F44" s="22"/>
      <c r="H44" s="22"/>
      <c r="J44" s="22"/>
      <c r="X44" s="10" t="s">
        <v>62</v>
      </c>
      <c r="Y44" s="8"/>
    </row>
    <row r="45" spans="1:25">
      <c r="A45" s="36" t="s">
        <v>53</v>
      </c>
      <c r="B45" s="70"/>
      <c r="C45" s="2" t="s">
        <v>561</v>
      </c>
      <c r="D45" s="22"/>
      <c r="F45" s="22"/>
      <c r="H45" s="22"/>
      <c r="J45" s="22"/>
      <c r="X45" s="10" t="s">
        <v>63</v>
      </c>
      <c r="Y45" s="8"/>
    </row>
    <row r="46" spans="1:25">
      <c r="A46" s="36" t="s">
        <v>55</v>
      </c>
      <c r="B46" s="70"/>
      <c r="C46" s="2" t="s">
        <v>561</v>
      </c>
      <c r="D46" s="22"/>
      <c r="F46" s="22"/>
      <c r="H46" s="22"/>
      <c r="J46" s="22"/>
      <c r="X46" s="10" t="s">
        <v>64</v>
      </c>
      <c r="Y46" s="8"/>
    </row>
    <row r="47" spans="1:25" ht="17.25" customHeight="1">
      <c r="A47" s="36" t="s">
        <v>56</v>
      </c>
      <c r="B47" s="70" t="s">
        <v>3</v>
      </c>
      <c r="D47" s="22"/>
      <c r="F47" s="22"/>
      <c r="H47" s="22"/>
      <c r="J47" s="22"/>
      <c r="X47" s="11" t="s">
        <v>65</v>
      </c>
      <c r="Y47" s="9"/>
    </row>
    <row r="48" spans="1:25" s="1" customFormat="1" ht="18.75">
      <c r="A48" s="36" t="s">
        <v>58</v>
      </c>
      <c r="B48" s="70" t="s">
        <v>3</v>
      </c>
      <c r="C48" s="2"/>
      <c r="D48" s="22"/>
      <c r="E48" s="2"/>
      <c r="F48" s="22"/>
      <c r="G48" s="2"/>
      <c r="H48" s="22"/>
      <c r="I48" s="2"/>
      <c r="J48" s="22"/>
      <c r="N48" s="2"/>
      <c r="O48" s="2"/>
      <c r="P48" s="2"/>
      <c r="T48" s="20"/>
      <c r="U48" s="20"/>
      <c r="V48" s="20"/>
      <c r="W48" s="20"/>
      <c r="X48" s="10" t="s">
        <v>66</v>
      </c>
      <c r="Y48" s="8"/>
    </row>
    <row r="49" spans="1:25">
      <c r="A49" s="50" t="s">
        <v>67</v>
      </c>
      <c r="B49" s="70" t="s">
        <v>154</v>
      </c>
      <c r="C49" s="99" t="str">
        <f>IF(OR(B49="Empleado/Independiente",B49="No empleado",B49="Retirado"),"Responda las siguientes preguntas sobre su situación laboral :","")</f>
        <v/>
      </c>
      <c r="D49" s="22"/>
      <c r="F49" s="22"/>
      <c r="H49" s="22"/>
      <c r="J49" s="22"/>
      <c r="X49" s="10" t="s">
        <v>68</v>
      </c>
      <c r="Y49" s="8"/>
    </row>
    <row r="50" spans="1:25" ht="18" customHeight="1">
      <c r="A50" s="36" t="s">
        <v>61</v>
      </c>
      <c r="B50" s="78" t="s">
        <v>3</v>
      </c>
      <c r="C50" s="66" t="str">
        <f>IF(B49="Empleado/Independiente","Cargo",IF(OR(B49="No empleado",B49="Retirado"),"Cargo (Último trabajo)",""))</f>
        <v/>
      </c>
      <c r="D50" s="22"/>
      <c r="H50" s="22"/>
      <c r="X50" s="11" t="s">
        <v>69</v>
      </c>
      <c r="Y50" s="9"/>
    </row>
    <row r="51" spans="1:25">
      <c r="A51" s="36" t="s">
        <v>70</v>
      </c>
      <c r="B51" s="70" t="s">
        <v>71</v>
      </c>
      <c r="C51" s="66" t="str">
        <f>IF(B49="Empleado/Independiente","Empresa",IF(OR(B49="No empleado",B49="Retirado"),"Empresa (Último trabajo)",""))</f>
        <v/>
      </c>
      <c r="D51" s="22"/>
      <c r="F51" s="22"/>
      <c r="H51" s="22"/>
      <c r="J51" s="22"/>
      <c r="X51" s="10" t="s">
        <v>44</v>
      </c>
      <c r="Y51" s="8"/>
    </row>
    <row r="52" spans="1:25" ht="18.75" customHeight="1">
      <c r="A52" s="36" t="s">
        <v>46</v>
      </c>
      <c r="B52" s="70"/>
      <c r="C52" s="66" t="str">
        <f>IF(B49="Empleado/Independiente","Rubro de la empresa",IF(OR(B49="No empleado",B49="Retirado"),"Rubro de la Empresa (Último trabajo)",""))</f>
        <v/>
      </c>
      <c r="D52" s="22"/>
      <c r="F52" s="22"/>
      <c r="H52" s="22"/>
      <c r="J52" s="22"/>
      <c r="X52" s="10" t="s">
        <v>72</v>
      </c>
      <c r="Y52" s="8"/>
    </row>
    <row r="53" spans="1:25" s="3" customFormat="1" ht="27" customHeight="1">
      <c r="A53" s="52" t="s">
        <v>73</v>
      </c>
      <c r="B53" s="79" t="s">
        <v>74</v>
      </c>
      <c r="C53" s="66" t="str">
        <f>IF(B49="Empleado/Independiente","País empresa","")</f>
        <v/>
      </c>
      <c r="D53" s="22"/>
      <c r="E53" s="2"/>
      <c r="F53" s="22"/>
      <c r="G53" s="2"/>
      <c r="H53" s="22"/>
      <c r="J53" s="22"/>
      <c r="N53" s="2"/>
      <c r="O53" s="2"/>
      <c r="P53" s="2"/>
      <c r="T53" s="20"/>
      <c r="U53" s="20"/>
      <c r="V53" s="20"/>
      <c r="W53" s="20"/>
      <c r="X53" s="10" t="s">
        <v>61</v>
      </c>
      <c r="Y53" s="8" t="s">
        <v>6</v>
      </c>
    </row>
    <row r="54" spans="1:25" ht="26.25" customHeight="1">
      <c r="A54" s="80" t="s">
        <v>78</v>
      </c>
      <c r="B54" s="81" t="s">
        <v>74</v>
      </c>
      <c r="C54" s="66" t="str">
        <f>IF(B49="Empleado/Independiente","Provincia empresa","")</f>
        <v/>
      </c>
      <c r="D54" s="22"/>
      <c r="H54" s="22"/>
      <c r="I54" s="2" t="str">
        <f>IF(J53="Si","Cargo público desempeñado y período de tiempo","")</f>
        <v/>
      </c>
      <c r="X54" s="10" t="s">
        <v>76</v>
      </c>
      <c r="Y54" s="26" t="s">
        <v>6</v>
      </c>
    </row>
    <row r="55" spans="1:25" ht="34.5" customHeight="1">
      <c r="A55" s="75" t="str">
        <f>IF(B51="Casado/a"," Datos Cónyuge","")</f>
        <v xml:space="preserve"> Datos Cónyuge</v>
      </c>
      <c r="C55" s="66" t="str">
        <f>IF(B49="Empleado/Independiente","Ciudad empresa","")</f>
        <v/>
      </c>
      <c r="D55" s="22"/>
      <c r="G55" s="63" t="str">
        <f>IF(H51="Casado/a"," Datos Cónyuge","")</f>
        <v/>
      </c>
      <c r="H55" s="22"/>
      <c r="I55" s="63" t="str">
        <f>IF(J51="Casado/a"," Datos Cónyuge","")</f>
        <v/>
      </c>
      <c r="X55" s="11" t="s">
        <v>77</v>
      </c>
      <c r="Y55" s="26" t="s">
        <v>6</v>
      </c>
    </row>
    <row r="56" spans="1:25" s="3" customFormat="1" ht="17.25" customHeight="1">
      <c r="A56" s="3" t="str">
        <f>IF(B51="Casado/a"," Nombres","")</f>
        <v xml:space="preserve"> Nombres</v>
      </c>
      <c r="B56" s="54"/>
      <c r="C56" s="66" t="str">
        <f>IF(B49="Empleado/Independiente","Dirección empresa","")</f>
        <v/>
      </c>
      <c r="D56" s="22"/>
      <c r="E56" s="2"/>
      <c r="G56" s="3" t="str">
        <f>IF(H51="Casado/a"," Nombres","")</f>
        <v/>
      </c>
      <c r="H56" s="22"/>
      <c r="I56" s="3" t="str">
        <f>IF(J51="Casado/a"," Nombres","")</f>
        <v/>
      </c>
      <c r="N56" s="2"/>
      <c r="O56" s="2"/>
      <c r="P56" s="2"/>
      <c r="T56" s="20"/>
      <c r="U56" s="20"/>
      <c r="V56" s="20"/>
      <c r="W56" s="20"/>
      <c r="X56" s="11" t="s">
        <v>78</v>
      </c>
      <c r="Y56" s="26" t="s">
        <v>6</v>
      </c>
    </row>
    <row r="57" spans="1:25" ht="18.75" customHeight="1">
      <c r="A57" s="3" t="str">
        <f>IF(B51="Casado/a"," Apellidos","")</f>
        <v xml:space="preserve"> Apellidos</v>
      </c>
      <c r="C57" s="66" t="str">
        <f>IF(B49="Empleado/Independiente","Código postal empresa","")</f>
        <v/>
      </c>
      <c r="D57" s="22"/>
      <c r="G57" s="2" t="str">
        <f>IF(H51="Casado/a"," Apellidos","")</f>
        <v/>
      </c>
      <c r="H57" s="22"/>
      <c r="I57" s="2" t="str">
        <f>IF(J51="Casado/a"," Apellidos","")</f>
        <v/>
      </c>
    </row>
    <row r="58" spans="1:25">
      <c r="A58" s="2" t="str">
        <f>IF(B51="Casado/a"," Situación laboral","")</f>
        <v xml:space="preserve"> Situación laboral</v>
      </c>
      <c r="C58" s="66" t="str">
        <f>IF(B49="Empleado/Independiente","Número de contacto empresa","")</f>
        <v/>
      </c>
      <c r="E58" s="2" t="str">
        <f>IF(F51="Casado/a"," Situación laboral","")</f>
        <v/>
      </c>
      <c r="G58" s="2" t="str">
        <f>IF(H51="Casado/a"," Situación laboral","")</f>
        <v/>
      </c>
      <c r="H58" s="22"/>
      <c r="I58" s="2" t="str">
        <f>IF(J51="Casado/a"," Situación laboral","")</f>
        <v/>
      </c>
    </row>
    <row r="59" spans="1:25" s="1" customFormat="1" ht="18.75">
      <c r="E59" s="2"/>
      <c r="F59" s="2"/>
      <c r="G59" s="2"/>
      <c r="H59" s="22"/>
      <c r="N59" s="2"/>
      <c r="O59" s="2"/>
      <c r="P59" s="2"/>
      <c r="T59" s="20"/>
      <c r="U59" s="20"/>
      <c r="V59" s="20"/>
      <c r="W59" s="20"/>
    </row>
    <row r="60" spans="1:25">
      <c r="H60" s="22"/>
    </row>
    <row r="61" spans="1:25" ht="18.75">
      <c r="A61" s="3"/>
      <c r="B61" s="54"/>
      <c r="E61" s="5"/>
      <c r="H61" s="22"/>
    </row>
    <row r="62" spans="1:25" ht="18.75">
      <c r="A62" s="1" t="s">
        <v>79</v>
      </c>
      <c r="B62" s="4"/>
      <c r="C62" s="1"/>
      <c r="D62" s="1"/>
      <c r="H62" s="22"/>
    </row>
    <row r="63" spans="1:25" ht="110.25">
      <c r="A63" s="42" t="s">
        <v>80</v>
      </c>
      <c r="B63" s="82"/>
      <c r="C63" s="4"/>
      <c r="D63" s="4"/>
      <c r="H63" s="22"/>
    </row>
    <row r="64" spans="1:25" ht="15.75">
      <c r="A64" s="42"/>
      <c r="B64" s="82"/>
      <c r="C64" s="4"/>
      <c r="D64" s="4"/>
      <c r="H64" s="22"/>
    </row>
    <row r="65" spans="1:23" ht="32.25">
      <c r="A65" s="83" t="s">
        <v>81</v>
      </c>
      <c r="B65" s="84" t="b">
        <v>0</v>
      </c>
      <c r="C65" s="4"/>
      <c r="D65" s="4"/>
      <c r="T65" s="20" t="s">
        <v>6</v>
      </c>
    </row>
    <row r="66" spans="1:23" ht="47.25">
      <c r="A66" s="83" t="s">
        <v>82</v>
      </c>
      <c r="B66" s="84" t="b">
        <v>0</v>
      </c>
      <c r="T66" s="20" t="s">
        <v>89</v>
      </c>
    </row>
    <row r="67" spans="1:23" ht="32.25">
      <c r="A67" s="83" t="s">
        <v>83</v>
      </c>
      <c r="B67" s="84" t="b">
        <v>0</v>
      </c>
      <c r="F67" s="1"/>
      <c r="T67" s="20" t="s">
        <v>90</v>
      </c>
    </row>
    <row r="68" spans="1:23" ht="62.25">
      <c r="A68" s="83" t="s">
        <v>84</v>
      </c>
      <c r="B68" s="84" t="b">
        <v>0</v>
      </c>
      <c r="F68" s="4"/>
      <c r="T68" s="20" t="s">
        <v>91</v>
      </c>
    </row>
    <row r="69" spans="1:23" ht="15.75">
      <c r="A69" s="85"/>
      <c r="B69" s="86"/>
      <c r="F69" s="4"/>
      <c r="T69" s="20" t="s">
        <v>92</v>
      </c>
    </row>
    <row r="70" spans="1:23" ht="15.75">
      <c r="A70" s="87" t="s">
        <v>85</v>
      </c>
      <c r="B70" s="87"/>
      <c r="F70" s="4"/>
      <c r="T70" s="20" t="s">
        <v>93</v>
      </c>
    </row>
    <row r="71" spans="1:23" ht="15.75">
      <c r="A71" s="88" t="s">
        <v>86</v>
      </c>
      <c r="B71" s="89"/>
      <c r="C71" s="5"/>
      <c r="D71" s="5"/>
      <c r="T71" s="20" t="s">
        <v>29</v>
      </c>
    </row>
    <row r="72" spans="1:23" ht="18.75">
      <c r="A72" s="88" t="s">
        <v>87</v>
      </c>
      <c r="B72" s="90" t="s">
        <v>3</v>
      </c>
      <c r="G72" s="1"/>
      <c r="H72" s="1"/>
      <c r="T72" s="20" t="s">
        <v>31</v>
      </c>
    </row>
    <row r="73" spans="1:23" ht="15.75">
      <c r="A73" s="88" t="s">
        <v>88</v>
      </c>
      <c r="B73" s="90" t="s">
        <v>3</v>
      </c>
      <c r="G73" s="5"/>
      <c r="H73" s="5"/>
      <c r="T73" s="20" t="s">
        <v>6</v>
      </c>
    </row>
    <row r="74" spans="1:23" s="1" customFormat="1" ht="31.5" customHeight="1">
      <c r="A74" s="88" t="s">
        <v>26</v>
      </c>
      <c r="B74" s="91"/>
      <c r="C74" s="2"/>
      <c r="D74" s="2"/>
      <c r="E74" s="2"/>
      <c r="F74" s="2"/>
      <c r="G74" s="5"/>
      <c r="H74" s="5"/>
      <c r="N74" s="2"/>
      <c r="O74" s="2"/>
      <c r="P74" s="2"/>
      <c r="T74" s="20" t="s">
        <v>94</v>
      </c>
      <c r="U74" s="20"/>
      <c r="V74" s="20"/>
      <c r="W74" s="20"/>
    </row>
    <row r="75" spans="1:23" s="5" customFormat="1" ht="25.5" customHeight="1">
      <c r="A75" s="88" t="s">
        <v>28</v>
      </c>
      <c r="B75" s="91"/>
      <c r="C75" s="2"/>
      <c r="D75" s="2"/>
      <c r="E75" s="2"/>
      <c r="F75" s="2"/>
      <c r="N75" s="2"/>
      <c r="O75" s="2"/>
      <c r="P75" s="2"/>
      <c r="T75" s="20" t="s">
        <v>96</v>
      </c>
      <c r="U75" s="20"/>
      <c r="V75" s="20"/>
      <c r="W75" s="20"/>
    </row>
    <row r="76" spans="1:23" s="5" customFormat="1" ht="17.25" customHeight="1">
      <c r="A76" s="88" t="s">
        <v>30</v>
      </c>
      <c r="B76" s="86"/>
      <c r="C76" s="2"/>
      <c r="D76" s="2"/>
      <c r="G76" s="2"/>
      <c r="H76" s="2"/>
      <c r="N76" s="2"/>
      <c r="O76" s="2"/>
      <c r="P76" s="2"/>
      <c r="T76" s="20" t="s">
        <v>97</v>
      </c>
      <c r="U76" s="20"/>
      <c r="V76" s="20"/>
      <c r="W76" s="20"/>
    </row>
    <row r="77" spans="1:23" s="5" customFormat="1" ht="24" customHeight="1">
      <c r="A77" s="88" t="s">
        <v>32</v>
      </c>
      <c r="B77" s="91"/>
      <c r="C77" s="2"/>
      <c r="D77" s="2"/>
      <c r="E77" s="2"/>
      <c r="F77" s="2"/>
      <c r="G77" s="2"/>
      <c r="H77" s="2"/>
      <c r="N77" s="2"/>
      <c r="O77" s="2"/>
      <c r="P77" s="2"/>
      <c r="T77" s="20" t="s">
        <v>98</v>
      </c>
      <c r="U77" s="20"/>
      <c r="V77" s="20"/>
      <c r="W77" s="20"/>
    </row>
    <row r="78" spans="1:23">
      <c r="A78" s="88" t="s">
        <v>38</v>
      </c>
      <c r="B78" s="91"/>
      <c r="T78" s="20" t="s">
        <v>99</v>
      </c>
    </row>
    <row r="79" spans="1:23">
      <c r="A79" s="88" t="s">
        <v>42</v>
      </c>
      <c r="B79" s="91"/>
    </row>
    <row r="80" spans="1:23">
      <c r="A80" s="88" t="s">
        <v>47</v>
      </c>
      <c r="B80" s="92"/>
    </row>
    <row r="81" spans="1:23" ht="15.75">
      <c r="A81" s="88" t="s">
        <v>49</v>
      </c>
      <c r="B81" s="90" t="s">
        <v>3</v>
      </c>
      <c r="G81" s="5"/>
      <c r="H81" s="5"/>
    </row>
    <row r="82" spans="1:23">
      <c r="A82" s="88" t="s">
        <v>51</v>
      </c>
      <c r="B82" s="90" t="s">
        <v>3</v>
      </c>
    </row>
    <row r="83" spans="1:23" s="5" customFormat="1" ht="15.75">
      <c r="A83" s="88" t="s">
        <v>53</v>
      </c>
      <c r="B83" s="91"/>
      <c r="C83" s="2"/>
      <c r="D83" s="2"/>
      <c r="E83" s="2"/>
      <c r="F83" s="2"/>
      <c r="G83" s="2"/>
      <c r="H83" s="2"/>
      <c r="N83" s="2"/>
      <c r="O83" s="2"/>
      <c r="P83" s="2"/>
      <c r="T83" s="20"/>
      <c r="U83" s="20"/>
      <c r="V83" s="20"/>
      <c r="W83" s="20"/>
    </row>
    <row r="84" spans="1:23">
      <c r="A84" s="93"/>
      <c r="B84" s="86"/>
    </row>
    <row r="85" spans="1:23" ht="15.75">
      <c r="A85" s="87" t="s">
        <v>95</v>
      </c>
      <c r="B85" s="87"/>
    </row>
    <row r="86" spans="1:23" ht="15.75">
      <c r="A86" s="88" t="s">
        <v>86</v>
      </c>
      <c r="B86" s="89"/>
      <c r="C86" s="5"/>
      <c r="D86" s="5"/>
    </row>
    <row r="87" spans="1:23">
      <c r="A87" s="88" t="s">
        <v>87</v>
      </c>
      <c r="B87" s="90" t="s">
        <v>3</v>
      </c>
    </row>
    <row r="88" spans="1:23">
      <c r="A88" s="88" t="s">
        <v>88</v>
      </c>
      <c r="B88" s="90" t="s">
        <v>3</v>
      </c>
    </row>
    <row r="89" spans="1:23">
      <c r="A89" s="88" t="s">
        <v>26</v>
      </c>
      <c r="B89" s="90"/>
    </row>
    <row r="90" spans="1:23">
      <c r="A90" s="88" t="s">
        <v>28</v>
      </c>
      <c r="B90" s="90"/>
    </row>
    <row r="91" spans="1:23" ht="18.75">
      <c r="A91" s="88" t="s">
        <v>30</v>
      </c>
      <c r="B91" s="94"/>
      <c r="E91" s="1"/>
      <c r="F91" s="5"/>
    </row>
    <row r="92" spans="1:23">
      <c r="A92" s="88" t="s">
        <v>32</v>
      </c>
      <c r="B92" s="90"/>
      <c r="E92" s="6"/>
    </row>
    <row r="93" spans="1:23">
      <c r="A93" s="88" t="s">
        <v>38</v>
      </c>
      <c r="B93" s="90"/>
    </row>
    <row r="94" spans="1:23">
      <c r="A94" s="88" t="s">
        <v>42</v>
      </c>
      <c r="B94" s="90"/>
    </row>
    <row r="95" spans="1:23">
      <c r="A95" s="88" t="s">
        <v>47</v>
      </c>
      <c r="B95" s="95"/>
    </row>
    <row r="96" spans="1:23" ht="15.75">
      <c r="A96" s="88" t="s">
        <v>49</v>
      </c>
      <c r="B96" s="90" t="s">
        <v>3</v>
      </c>
      <c r="G96" s="5"/>
      <c r="H96" s="5"/>
    </row>
    <row r="97" spans="1:23">
      <c r="A97" s="88" t="s">
        <v>51</v>
      </c>
      <c r="B97" s="90" t="s">
        <v>3</v>
      </c>
    </row>
    <row r="98" spans="1:23" s="5" customFormat="1" ht="15.75">
      <c r="A98" s="88" t="s">
        <v>53</v>
      </c>
      <c r="B98" s="90"/>
      <c r="C98" s="2"/>
      <c r="D98" s="2"/>
      <c r="E98" s="2"/>
      <c r="F98" s="2"/>
      <c r="G98" s="2"/>
      <c r="H98" s="2"/>
      <c r="N98" s="2"/>
      <c r="O98" s="2"/>
      <c r="P98" s="2"/>
      <c r="T98" s="20"/>
      <c r="U98" s="20"/>
      <c r="V98" s="20"/>
      <c r="W98" s="20"/>
    </row>
    <row r="99" spans="1:23">
      <c r="B99" s="45"/>
    </row>
    <row r="100" spans="1:23" ht="18.75">
      <c r="A100" s="30" t="s">
        <v>100</v>
      </c>
      <c r="B100" s="30"/>
    </row>
    <row r="101" spans="1:23" ht="30.75">
      <c r="A101" s="33" t="s">
        <v>101</v>
      </c>
      <c r="B101" s="58"/>
      <c r="C101" s="1"/>
      <c r="D101" s="1"/>
    </row>
    <row r="102" spans="1:23">
      <c r="A102" s="56" t="s">
        <v>102</v>
      </c>
      <c r="B102" s="39" t="s">
        <v>3</v>
      </c>
      <c r="C102" s="6"/>
      <c r="D102" s="6"/>
    </row>
    <row r="103" spans="1:23">
      <c r="A103" s="56" t="s">
        <v>103</v>
      </c>
      <c r="B103" s="39" t="s">
        <v>3</v>
      </c>
    </row>
    <row r="104" spans="1:23">
      <c r="A104" s="56" t="s">
        <v>104</v>
      </c>
      <c r="B104" s="39" t="s">
        <v>3</v>
      </c>
    </row>
    <row r="105" spans="1:23">
      <c r="A105" s="56" t="s">
        <v>105</v>
      </c>
      <c r="B105" s="39" t="s">
        <v>3</v>
      </c>
    </row>
    <row r="106" spans="1:23">
      <c r="A106" s="56" t="s">
        <v>106</v>
      </c>
      <c r="B106" s="39" t="s">
        <v>3</v>
      </c>
    </row>
    <row r="107" spans="1:23" ht="15.75">
      <c r="A107" s="5"/>
      <c r="B107" s="47"/>
    </row>
    <row r="108" spans="1:23" ht="18.75">
      <c r="A108" s="31" t="s">
        <v>107</v>
      </c>
      <c r="B108" s="30"/>
    </row>
    <row r="109" spans="1:23">
      <c r="A109" s="56" t="s">
        <v>108</v>
      </c>
      <c r="B109" s="39"/>
    </row>
    <row r="110" spans="1:23" ht="21.75" customHeight="1">
      <c r="A110" s="56" t="s">
        <v>109</v>
      </c>
      <c r="B110" s="39"/>
      <c r="H110" s="1"/>
    </row>
    <row r="111" spans="1:23" ht="18.75">
      <c r="A111" s="56" t="s">
        <v>110</v>
      </c>
      <c r="B111" s="39"/>
      <c r="C111" s="1"/>
      <c r="H111" s="6"/>
    </row>
    <row r="112" spans="1:23" s="1" customFormat="1" ht="18.75">
      <c r="A112" s="56" t="s">
        <v>111</v>
      </c>
      <c r="B112" s="39" t="s">
        <v>3</v>
      </c>
      <c r="C112" s="2"/>
      <c r="D112" s="2"/>
      <c r="F112" s="2"/>
      <c r="G112" s="2"/>
      <c r="H112" s="2"/>
      <c r="N112" s="2"/>
      <c r="O112" s="2"/>
      <c r="P112" s="2"/>
      <c r="T112" s="20"/>
      <c r="U112" s="20"/>
      <c r="V112" s="20"/>
      <c r="W112" s="20"/>
    </row>
    <row r="113" spans="1:23" s="6" customFormat="1" ht="15" customHeight="1">
      <c r="A113" s="56" t="s">
        <v>112</v>
      </c>
      <c r="B113" s="39"/>
      <c r="C113" s="2"/>
      <c r="D113" s="2"/>
      <c r="F113" s="2"/>
      <c r="G113" s="2"/>
      <c r="H113" s="2"/>
      <c r="N113" s="2"/>
      <c r="O113" s="2"/>
      <c r="P113" s="2"/>
      <c r="T113" s="20"/>
      <c r="U113" s="20"/>
      <c r="V113" s="20"/>
      <c r="W113" s="20"/>
    </row>
    <row r="114" spans="1:23">
      <c r="A114" s="56" t="s">
        <v>113</v>
      </c>
      <c r="B114" s="39" t="s">
        <v>3</v>
      </c>
    </row>
    <row r="115" spans="1:23">
      <c r="A115" s="56" t="s">
        <v>114</v>
      </c>
      <c r="B115" s="57" t="s">
        <v>75</v>
      </c>
    </row>
    <row r="116" spans="1:23">
      <c r="A116" s="2" t="str">
        <f>IF(B115="Si","Periodicidad de aportes","")</f>
        <v/>
      </c>
    </row>
    <row r="117" spans="1:23">
      <c r="A117" s="2" t="str">
        <f>IF(B115="Si","Montos aproximados de aportes adicionales","")</f>
        <v/>
      </c>
    </row>
    <row r="121" spans="1:23" ht="30.75">
      <c r="A121" s="59" t="s">
        <v>115</v>
      </c>
      <c r="B121" s="39" t="s">
        <v>3</v>
      </c>
      <c r="C121" s="6"/>
      <c r="D121" s="6"/>
      <c r="E121" s="6"/>
      <c r="G121" s="1"/>
      <c r="H121" s="1"/>
    </row>
    <row r="122" spans="1:23">
      <c r="A122" s="56" t="s">
        <v>116</v>
      </c>
      <c r="B122" s="39"/>
      <c r="C122" s="6"/>
      <c r="D122" s="3"/>
    </row>
    <row r="123" spans="1:23" s="1" customFormat="1" ht="18.75">
      <c r="A123" s="56" t="s">
        <v>117</v>
      </c>
      <c r="B123" s="39" t="s">
        <v>3</v>
      </c>
      <c r="C123" s="6"/>
      <c r="D123" s="2"/>
      <c r="E123" s="2"/>
      <c r="F123" s="2"/>
      <c r="G123" s="2"/>
      <c r="H123" s="2"/>
      <c r="N123" s="2"/>
      <c r="O123" s="2"/>
      <c r="P123" s="2"/>
      <c r="T123" s="20"/>
      <c r="U123" s="20"/>
      <c r="V123" s="20"/>
      <c r="W123" s="20"/>
    </row>
    <row r="124" spans="1:23">
      <c r="A124" s="56" t="s">
        <v>118</v>
      </c>
      <c r="B124" s="39" t="s">
        <v>3</v>
      </c>
      <c r="C124" s="6"/>
      <c r="G124" s="2" t="s">
        <v>562</v>
      </c>
    </row>
    <row r="125" spans="1:23">
      <c r="A125" s="2" t="str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/>
      <c r="D125" s="3"/>
      <c r="G125" s="2" t="s">
        <v>563</v>
      </c>
    </row>
    <row r="126" spans="1:23">
      <c r="A126" s="2" t="str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/>
    </row>
    <row r="127" spans="1:23">
      <c r="A127" s="2" t="str">
        <f>IF(B124="Donación","Relación con el donante","")</f>
        <v/>
      </c>
      <c r="C127" s="6"/>
    </row>
    <row r="128" spans="1:23">
      <c r="A128" s="56" t="s">
        <v>119</v>
      </c>
      <c r="B128" s="39"/>
      <c r="C128" s="3"/>
    </row>
    <row r="129" spans="1:23">
      <c r="A129" s="56" t="s">
        <v>120</v>
      </c>
      <c r="B129" s="39"/>
    </row>
    <row r="130" spans="1:23">
      <c r="A130" s="59" t="s">
        <v>121</v>
      </c>
      <c r="B130" s="60"/>
      <c r="F130" s="3"/>
    </row>
    <row r="131" spans="1:23">
      <c r="A131" s="56" t="s">
        <v>122</v>
      </c>
      <c r="B131" s="39" t="s">
        <v>151</v>
      </c>
      <c r="C131" s="96" t="s">
        <v>564</v>
      </c>
    </row>
    <row r="132" spans="1:23">
      <c r="A132" s="56" t="s">
        <v>123</v>
      </c>
      <c r="B132" s="39"/>
    </row>
    <row r="133" spans="1:23">
      <c r="A133" s="56" t="s">
        <v>124</v>
      </c>
      <c r="B133" s="39"/>
    </row>
    <row r="134" spans="1:23">
      <c r="A134" s="56" t="s">
        <v>125</v>
      </c>
      <c r="B134" s="39" t="s">
        <v>3</v>
      </c>
    </row>
    <row r="136" spans="1:23" s="3" customFormat="1">
      <c r="A136" s="2"/>
      <c r="B136" s="22"/>
      <c r="C136" s="2"/>
      <c r="D136" s="2"/>
      <c r="E136" s="2"/>
      <c r="F136" s="2"/>
      <c r="G136" s="2"/>
      <c r="H136" s="2"/>
      <c r="T136" s="20"/>
      <c r="U136" s="20"/>
      <c r="V136" s="20"/>
      <c r="W136" s="20"/>
    </row>
    <row r="137" spans="1:23" ht="18.75">
      <c r="E137" s="1"/>
    </row>
    <row r="138" spans="1:23" ht="18.75">
      <c r="A138" s="44" t="s">
        <v>126</v>
      </c>
      <c r="B138" s="31"/>
      <c r="E138" s="3"/>
    </row>
    <row r="139" spans="1:23">
      <c r="A139" s="10" t="s">
        <v>48</v>
      </c>
      <c r="B139" s="34" t="s">
        <v>168</v>
      </c>
      <c r="E139" s="3"/>
    </row>
    <row r="140" spans="1:23">
      <c r="A140" s="10" t="s">
        <v>52</v>
      </c>
      <c r="B140" s="26"/>
      <c r="E140" s="3"/>
    </row>
    <row r="141" spans="1:23">
      <c r="A141" s="10" t="s">
        <v>127</v>
      </c>
      <c r="B141" s="26"/>
    </row>
    <row r="142" spans="1:23">
      <c r="A142" s="10" t="s">
        <v>128</v>
      </c>
      <c r="B142" s="26"/>
    </row>
    <row r="146" spans="1:23" ht="18.75">
      <c r="A146" s="3"/>
      <c r="B146" s="3"/>
      <c r="E146" s="1"/>
    </row>
    <row r="147" spans="1:23" ht="18.75">
      <c r="A147" s="31" t="s">
        <v>129</v>
      </c>
      <c r="B147" s="31"/>
      <c r="C147" s="1"/>
      <c r="D147" s="1"/>
      <c r="E147" s="3"/>
    </row>
    <row r="148" spans="1:23">
      <c r="A148" s="10" t="s">
        <v>26</v>
      </c>
      <c r="B148" s="26"/>
      <c r="C148" s="3"/>
      <c r="D148" s="3"/>
      <c r="E148" s="3"/>
    </row>
    <row r="149" spans="1:23">
      <c r="A149" s="10" t="s">
        <v>28</v>
      </c>
      <c r="B149" s="26"/>
      <c r="C149" s="3"/>
      <c r="D149" s="3"/>
      <c r="E149" s="3"/>
    </row>
    <row r="150" spans="1:23">
      <c r="A150" s="10" t="s">
        <v>130</v>
      </c>
      <c r="B150" s="34" t="s">
        <v>3</v>
      </c>
      <c r="C150" s="3"/>
      <c r="D150" s="3"/>
    </row>
    <row r="151" spans="1:23">
      <c r="A151" s="10" t="s">
        <v>50</v>
      </c>
      <c r="B151" s="26"/>
    </row>
    <row r="152" spans="1:23" ht="18.75">
      <c r="A152" s="10" t="s">
        <v>52</v>
      </c>
      <c r="B152" s="26"/>
      <c r="F152" s="1"/>
    </row>
    <row r="153" spans="1:23">
      <c r="A153" s="10" t="s">
        <v>131</v>
      </c>
      <c r="B153" s="26"/>
      <c r="F153" s="3"/>
    </row>
    <row r="154" spans="1:23">
      <c r="A154" s="10" t="s">
        <v>44</v>
      </c>
      <c r="B154" s="26"/>
      <c r="F154" s="3"/>
    </row>
    <row r="155" spans="1:23">
      <c r="A155" s="10"/>
      <c r="B155" s="26"/>
      <c r="F155" s="3"/>
    </row>
    <row r="156" spans="1:23" ht="18.75">
      <c r="A156" s="10" t="s">
        <v>26</v>
      </c>
      <c r="B156" s="26"/>
      <c r="C156" s="1"/>
      <c r="D156" s="1"/>
    </row>
    <row r="157" spans="1:23" ht="18.75">
      <c r="A157" s="10" t="s">
        <v>28</v>
      </c>
      <c r="B157" s="26"/>
      <c r="C157" s="3"/>
      <c r="D157" s="3"/>
      <c r="G157" s="1"/>
      <c r="H157" s="1"/>
    </row>
    <row r="158" spans="1:23">
      <c r="A158" s="10" t="s">
        <v>130</v>
      </c>
      <c r="B158" s="26"/>
      <c r="C158" s="3"/>
      <c r="D158" s="3"/>
      <c r="G158" s="3"/>
      <c r="H158" s="3"/>
    </row>
    <row r="159" spans="1:23" s="1" customFormat="1" ht="18.75">
      <c r="A159" s="10" t="s">
        <v>50</v>
      </c>
      <c r="B159" s="26"/>
      <c r="C159" s="3"/>
      <c r="D159" s="3"/>
      <c r="E159" s="2"/>
      <c r="G159" s="3"/>
      <c r="H159" s="3"/>
      <c r="T159" s="20"/>
      <c r="U159" s="20"/>
      <c r="V159" s="20"/>
      <c r="W159" s="20"/>
    </row>
    <row r="160" spans="1:23" s="3" customFormat="1">
      <c r="A160" s="10" t="s">
        <v>52</v>
      </c>
      <c r="B160" s="26"/>
      <c r="C160" s="2"/>
      <c r="D160" s="2"/>
      <c r="E160" s="2"/>
      <c r="T160" s="20"/>
      <c r="U160" s="20"/>
      <c r="V160" s="20"/>
      <c r="W160" s="20"/>
    </row>
    <row r="161" spans="1:23" s="3" customFormat="1">
      <c r="A161" s="10" t="s">
        <v>131</v>
      </c>
      <c r="B161" s="26"/>
      <c r="C161" s="2"/>
      <c r="D161" s="2"/>
      <c r="E161" s="2"/>
      <c r="G161" s="2"/>
      <c r="H161" s="2"/>
      <c r="T161" s="20"/>
      <c r="U161" s="20"/>
      <c r="V161" s="20"/>
      <c r="W161" s="20"/>
    </row>
    <row r="162" spans="1:23" s="3" customFormat="1">
      <c r="A162" s="10" t="s">
        <v>44</v>
      </c>
      <c r="B162" s="26"/>
      <c r="C162" s="2"/>
      <c r="D162" s="2"/>
      <c r="E162" s="2"/>
      <c r="G162" s="2"/>
      <c r="H162" s="2"/>
      <c r="T162" s="20"/>
      <c r="U162" s="20"/>
      <c r="V162" s="20"/>
      <c r="W162" s="20"/>
    </row>
    <row r="164" spans="1:23" ht="18.75">
      <c r="A164" s="31" t="s">
        <v>132</v>
      </c>
      <c r="B164" s="31"/>
    </row>
    <row r="165" spans="1:23">
      <c r="A165" s="12" t="s">
        <v>133</v>
      </c>
      <c r="B165" s="48" t="s">
        <v>3</v>
      </c>
    </row>
    <row r="166" spans="1:23">
      <c r="A166" s="12" t="s">
        <v>134</v>
      </c>
      <c r="B166" s="46"/>
    </row>
    <row r="167" spans="1:23">
      <c r="A167" s="12" t="s">
        <v>135</v>
      </c>
      <c r="B167" s="28"/>
    </row>
    <row r="170" spans="1:23">
      <c r="A170" s="97"/>
      <c r="B170" s="98" t="s">
        <v>565</v>
      </c>
    </row>
  </sheetData>
  <mergeCells count="14">
    <mergeCell ref="A1:B1"/>
    <mergeCell ref="A29:B29"/>
    <mergeCell ref="A4:B4"/>
    <mergeCell ref="I29:J29"/>
    <mergeCell ref="X42:Y42"/>
    <mergeCell ref="A13:B13"/>
    <mergeCell ref="A15:B15"/>
    <mergeCell ref="A17:B17"/>
    <mergeCell ref="A19:B19"/>
    <mergeCell ref="A21:B21"/>
    <mergeCell ref="X24:Y24"/>
    <mergeCell ref="G29:H29"/>
    <mergeCell ref="E29:F29"/>
    <mergeCell ref="C29:D29"/>
  </mergeCells>
  <conditionalFormatting sqref="B54">
    <cfRule type="cellIs" dxfId="25" priority="49" operator="equal">
      <formula>$A$54&lt;&gt;"Cargo público desempeñado y período de tiempo"</formula>
    </cfRule>
  </conditionalFormatting>
  <conditionalFormatting sqref="B56">
    <cfRule type="cellIs" dxfId="24" priority="27" operator="equal">
      <formula>$A$56&lt;&gt;" Nombres"</formula>
    </cfRule>
  </conditionalFormatting>
  <conditionalFormatting sqref="B57">
    <cfRule type="cellIs" dxfId="23" priority="26" operator="equal">
      <formula>$A$57&lt;&gt;" Apellidos"</formula>
    </cfRule>
  </conditionalFormatting>
  <conditionalFormatting sqref="B58">
    <cfRule type="cellIs" dxfId="22" priority="25" operator="equal">
      <formula>$A$58&lt;&gt;" Situación laboral"</formula>
    </cfRule>
  </conditionalFormatting>
  <conditionalFormatting sqref="B116">
    <cfRule type="cellIs" dxfId="21" priority="40" operator="equal">
      <formula>$A$116&lt;&gt;"Periodicidad de aportes"</formula>
    </cfRule>
  </conditionalFormatting>
  <conditionalFormatting sqref="B117">
    <cfRule type="cellIs" dxfId="20" priority="37" operator="equal">
      <formula>$A$117&lt;&gt;"Montos aproximados de aportes adicionales"</formula>
    </cfRule>
  </conditionalFormatting>
  <conditionalFormatting sqref="B125">
    <cfRule type="expression" dxfId="19" priority="33">
      <formula>$A$125&lt;&gt;""</formula>
    </cfRule>
  </conditionalFormatting>
  <conditionalFormatting sqref="B126">
    <cfRule type="expression" dxfId="18" priority="32">
      <formula>$A$126&lt;&gt;""</formula>
    </cfRule>
  </conditionalFormatting>
  <conditionalFormatting sqref="B127">
    <cfRule type="expression" dxfId="17" priority="31">
      <formula>$A$127&lt;&gt;""</formula>
    </cfRule>
  </conditionalFormatting>
  <conditionalFormatting sqref="D58">
    <cfRule type="cellIs" dxfId="16" priority="19" operator="equal">
      <formula>$C$58&lt;&gt;" Situación laboral"</formula>
    </cfRule>
  </conditionalFormatting>
  <conditionalFormatting sqref="F54">
    <cfRule type="cellIs" dxfId="14" priority="43" operator="equal">
      <formula>$E$54&lt;&gt;"Cargo público desempeñado y período de tiempo"</formula>
    </cfRule>
  </conditionalFormatting>
  <conditionalFormatting sqref="F56">
    <cfRule type="cellIs" dxfId="13" priority="15" operator="equal">
      <formula>$E$56&lt;&gt;" Nombres"</formula>
    </cfRule>
  </conditionalFormatting>
  <conditionalFormatting sqref="F57">
    <cfRule type="cellIs" dxfId="12" priority="14" operator="equal">
      <formula>$E$57&lt;&gt;" Apellidos"</formula>
    </cfRule>
  </conditionalFormatting>
  <conditionalFormatting sqref="F58">
    <cfRule type="cellIs" dxfId="11" priority="13" operator="equal">
      <formula>$E$58&lt;&gt;" Situación laboral"</formula>
    </cfRule>
  </conditionalFormatting>
  <conditionalFormatting sqref="J54">
    <cfRule type="cellIs" dxfId="3" priority="41" operator="equal">
      <formula>$I$54&lt;&gt;"Cargo público desempeñado y período de tiempo"</formula>
    </cfRule>
  </conditionalFormatting>
  <conditionalFormatting sqref="J56">
    <cfRule type="cellIs" dxfId="2" priority="3" operator="equal">
      <formula>$I$56&lt;&gt;" Nombres"</formula>
    </cfRule>
  </conditionalFormatting>
  <conditionalFormatting sqref="J57">
    <cfRule type="cellIs" dxfId="1" priority="2" operator="equal">
      <formula>$I$57&lt;&gt;" Apellidos"</formula>
    </cfRule>
  </conditionalFormatting>
  <conditionalFormatting sqref="J58">
    <cfRule type="cellIs" dxfId="0" priority="1" operator="equal">
      <formula>$I$58&lt;&gt;" Situación laboral"</formula>
    </cfRule>
  </conditionalFormatting>
  <dataValidations count="2">
    <dataValidation allowBlank="1" showInputMessage="1" showErrorMessage="1" promptTitle="Formato" prompt="dd/mm/año" sqref="B95 B42 J42 B166" xr:uid="{5DF2387B-CEC0-49FC-87E9-C16B70E3C0D8}"/>
    <dataValidation type="whole" operator="lessThanOrEqual" allowBlank="1" showInputMessage="1" showErrorMessage="1" errorTitle="No válido" error="Valor mayor a 100. No escriba el porcentaje" sqref="B71 B86" xr:uid="{8FD71FFE-DAEA-4281-84A8-B735E26A8276}">
      <formula1>100</formula1>
    </dataValidation>
  </dataValidations>
  <pageMargins left="0.7" right="0.7" top="0.75" bottom="0.75" header="0.3" footer="0.3"/>
  <pageSetup paperSize="9" orientation="portrait" r:id="rId1"/>
  <headerFooter>
    <oddFooter>&amp;L_x000D_&amp;1#&amp;"FS Elliot Pro"&amp;9&amp;K737373 Classification: 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" operator="containsText" id="{D481EDBC-94B5-4271-8261-9838DFF49041}">
            <xm:f>NOT(ISERROR(SEARCH($A$56,A56)))</xm:f>
            <xm:f>$A$56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A56:A57</xm:sqref>
        </x14:conditionalFormatting>
        <x14:conditionalFormatting xmlns:xm="http://schemas.microsoft.com/office/excel/2006/main">
          <x14:cfRule type="containsText" priority="29" operator="containsText" id="{AFE05684-6554-45C6-A8A2-BE908595EA68}">
            <xm:f>NOT(ISERROR(SEARCH($A$57,A57)))</xm:f>
            <xm:f>$A$57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A57</xm:sqref>
        </x14:conditionalFormatting>
        <x14:conditionalFormatting xmlns:xm="http://schemas.microsoft.com/office/excel/2006/main">
          <x14:cfRule type="containsText" priority="28" operator="containsText" id="{E20EBA23-A41D-4B99-BA04-EED1B9926C34}">
            <xm:f>NOT(ISERROR(SEARCH($A$58,A58)))</xm:f>
            <xm:f>$A$58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A58</xm:sqref>
        </x14:conditionalFormatting>
        <x14:conditionalFormatting xmlns:xm="http://schemas.microsoft.com/office/excel/2006/main">
          <x14:cfRule type="containsText" priority="39" operator="containsText" id="{1798EC48-FF9A-47C4-AC8D-ADF6038B3431}">
            <xm:f>NOT(ISERROR(SEARCH($A$116,A116)))</xm:f>
            <xm:f>$A$116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A116</xm:sqref>
        </x14:conditionalFormatting>
        <x14:conditionalFormatting xmlns:xm="http://schemas.microsoft.com/office/excel/2006/main">
          <x14:cfRule type="containsText" priority="38" operator="containsText" id="{D065E9C8-BFCE-4746-84DD-85B4D8661FA0}">
            <xm:f>NOT(ISERROR(SEARCH($A$117,A117)))</xm:f>
            <xm:f>$A$117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A117</xm:sqref>
        </x14:conditionalFormatting>
        <x14:conditionalFormatting xmlns:xm="http://schemas.microsoft.com/office/excel/2006/main">
          <x14:cfRule type="containsText" priority="36" operator="containsText" id="{E8971EB2-8675-40D3-B9CC-3A8FDD6A5424}">
            <xm:f>NOT(ISERROR(SEARCH($A$125,A125)))</xm:f>
            <xm:f>$A$125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A125</xm:sqref>
        </x14:conditionalFormatting>
        <x14:conditionalFormatting xmlns:xm="http://schemas.microsoft.com/office/excel/2006/main">
          <x14:cfRule type="containsText" priority="35" operator="containsText" id="{5E56606C-A5CE-4D4C-A741-326C73378FA8}">
            <xm:f>NOT(ISERROR(SEARCH($A$126,A126)))</xm:f>
            <xm:f>$A$126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A126</xm:sqref>
        </x14:conditionalFormatting>
        <x14:conditionalFormatting xmlns:xm="http://schemas.microsoft.com/office/excel/2006/main">
          <x14:cfRule type="containsText" priority="34" operator="containsText" id="{58A5EDF2-ABD1-4C87-93B2-D9AE6372ED91}">
            <xm:f>NOT(ISERROR(SEARCH($A$127,A127)))</xm:f>
            <xm:f>$A$127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A127</xm:sqref>
        </x14:conditionalFormatting>
        <x14:conditionalFormatting xmlns:xm="http://schemas.microsoft.com/office/excel/2006/main">
          <x14:cfRule type="containsText" priority="16" operator="containsText" id="{B5B2BF38-1897-469E-A797-0E0E98558DB0}">
            <xm:f>NOT(ISERROR(SEARCH($C$58,E58)))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E58</xm:sqref>
        </x14:conditionalFormatting>
        <x14:conditionalFormatting xmlns:xm="http://schemas.microsoft.com/office/excel/2006/main">
          <x14:cfRule type="containsText" priority="12" operator="containsText" id="{4FDBB4E6-E69C-4817-8FBD-755EBFB78B61}">
            <xm:f>NOT(ISERROR(SEARCH($C$56,G56)))</xm:f>
            <xm:f>$C$56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G56</xm:sqref>
        </x14:conditionalFormatting>
        <x14:conditionalFormatting xmlns:xm="http://schemas.microsoft.com/office/excel/2006/main">
          <x14:cfRule type="containsText" priority="11" operator="containsText" id="{E4D4342E-FB81-4B30-85C2-219DDFF2DA65}">
            <xm:f>NOT(ISERROR(SEARCH($C$57,G57)))</xm:f>
            <xm:f>$C$57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G57</xm:sqref>
        </x14:conditionalFormatting>
        <x14:conditionalFormatting xmlns:xm="http://schemas.microsoft.com/office/excel/2006/main">
          <x14:cfRule type="containsText" priority="10" operator="containsText" id="{E9AF7BCE-B875-4114-87E1-EF2AA02F246E}">
            <xm:f>NOT(ISERROR(SEARCH($C$58,G58)))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G58</xm:sqref>
        </x14:conditionalFormatting>
        <x14:conditionalFormatting xmlns:xm="http://schemas.microsoft.com/office/excel/2006/main">
          <x14:cfRule type="containsText" priority="44" operator="containsText" id="{2047C99B-7F1A-4CC9-992C-8CC64F8F2AD0}">
            <xm:f>NOT(ISERROR(SEARCH($C$54,I54)))</xm:f>
            <xm:f>$C$54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I54</xm:sqref>
        </x14:conditionalFormatting>
        <x14:conditionalFormatting xmlns:xm="http://schemas.microsoft.com/office/excel/2006/main">
          <x14:cfRule type="containsText" priority="6" operator="containsText" id="{412CE406-BAC0-4E06-AC6A-4931C035F209}">
            <xm:f>NOT(ISERROR(SEARCH($C$56,I56)))</xm:f>
            <xm:f>$C$56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I56</xm:sqref>
        </x14:conditionalFormatting>
        <x14:conditionalFormatting xmlns:xm="http://schemas.microsoft.com/office/excel/2006/main">
          <x14:cfRule type="containsText" priority="5" operator="containsText" id="{D2F16378-A4EA-42E0-B3F3-B99C9B22479A}">
            <xm:f>NOT(ISERROR(SEARCH($C$57,I57)))</xm:f>
            <xm:f>$C$57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I57</xm:sqref>
        </x14:conditionalFormatting>
        <x14:conditionalFormatting xmlns:xm="http://schemas.microsoft.com/office/excel/2006/main">
          <x14:cfRule type="containsText" priority="4" operator="containsText" id="{BBC06CAA-D9B9-4114-A791-59B6B8D5D49A}">
            <xm:f>NOT(ISERROR(SEARCH($C$58,I58)))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EBA51E70-5C66-49B8-862D-858BA13382B5}">
          <x14:formula1>
            <xm:f>'NO BORRAR'!$G$19:$G$25</xm:f>
          </x14:formula1>
          <xm:sqref>B117</xm:sqref>
        </x14:dataValidation>
        <x14:dataValidation type="list" allowBlank="1" showInputMessage="1" showErrorMessage="1" xr:uid="{A85A6E4B-6A29-4A34-AC1A-69F475536C27}">
          <x14:formula1>
            <xm:f>'NO BORRAR'!$G$13:$G$16</xm:f>
          </x14:formula1>
          <xm:sqref>B116</xm:sqref>
        </x14:dataValidation>
        <x14:dataValidation type="list" allowBlank="1" showInputMessage="1" showErrorMessage="1" xr:uid="{35207AF7-908D-463A-8CD6-20D0D8710B7C}">
          <x14:formula1>
            <xm:f>'NO BORRAR'!$I$191:$I$196</xm:f>
          </x14:formula1>
          <xm:sqref>D28</xm:sqref>
        </x14:dataValidation>
        <x14:dataValidation type="list" allowBlank="1" showInputMessage="1" showErrorMessage="1" xr:uid="{E18CA503-DD9E-42B8-9208-D7669574324F}">
          <x14:formula1>
            <xm:f>'NO BORRAR'!$I$167:$I$172</xm:f>
          </x14:formula1>
          <xm:sqref>D25</xm:sqref>
        </x14:dataValidation>
        <x14:dataValidation type="list" allowBlank="1" showInputMessage="1" showErrorMessage="1" xr:uid="{4C7310F0-0E44-4F98-AB9D-D47B96C720A7}">
          <x14:formula1>
            <xm:f>'NO BORRAR'!$I$158:$I$161</xm:f>
          </x14:formula1>
          <xm:sqref>D23</xm:sqref>
        </x14:dataValidation>
        <x14:dataValidation type="list" allowBlank="1" showInputMessage="1" showErrorMessage="1" xr:uid="{A603A66E-D4F6-40B5-A620-A097C5C86652}">
          <x14:formula1>
            <xm:f>'NO BORRAR'!$C$61:$C$65</xm:f>
          </x14:formula1>
          <xm:sqref>D21</xm:sqref>
        </x14:dataValidation>
        <x14:dataValidation type="list" allowBlank="1" showInputMessage="1" showErrorMessage="1" xr:uid="{BE980970-5492-4B4C-AA15-1357B0EB9821}">
          <x14:formula1>
            <xm:f>'NO BORRAR'!$G$54:$G$59</xm:f>
          </x14:formula1>
          <xm:sqref>D19</xm:sqref>
        </x14:dataValidation>
        <x14:dataValidation type="list" allowBlank="1" showInputMessage="1" showErrorMessage="1" xr:uid="{DC7F676C-CB39-4823-80BE-48B58F286E5F}">
          <x14:formula1>
            <xm:f>'NO BORRAR'!$B$80:$B$84</xm:f>
          </x14:formula1>
          <xm:sqref>D17</xm:sqref>
        </x14:dataValidation>
        <x14:dataValidation type="list" allowBlank="1" showInputMessage="1" showErrorMessage="1" xr:uid="{B300E0BC-4271-4904-8389-5164BA0EBF05}">
          <x14:formula1>
            <xm:f>'NO BORRAR'!$F$69:$F$73</xm:f>
          </x14:formula1>
          <xm:sqref>D15</xm:sqref>
        </x14:dataValidation>
        <x14:dataValidation type="list" allowBlank="1" showInputMessage="1" showErrorMessage="1" xr:uid="{946E6E30-98B0-476F-99A7-357B869513B4}">
          <x14:formula1>
            <xm:f>'NO BORRAR'!$B$70:$B$74</xm:f>
          </x14:formula1>
          <xm:sqref>D13</xm:sqref>
        </x14:dataValidation>
        <x14:dataValidation type="list" allowBlank="1" showInputMessage="1" showErrorMessage="1" xr:uid="{716F54F7-4E1D-44D2-B930-A99EA4A9C61F}">
          <x14:formula1>
            <xm:f>'NO BORRAR'!$G$6:$G$8</xm:f>
          </x14:formula1>
          <xm:sqref>B131</xm:sqref>
        </x14:dataValidation>
        <x14:dataValidation type="list" allowBlank="1" showInputMessage="1" showErrorMessage="1" xr:uid="{608A787D-60F6-40A5-B5ED-E0920D242EF0}">
          <x14:formula1>
            <xm:f>'NO BORRAR'!$I$13:$I$17</xm:f>
          </x14:formula1>
          <xm:sqref>B102:B106</xm:sqref>
        </x14:dataValidation>
        <x14:dataValidation type="list" allowBlank="1" showInputMessage="1" showErrorMessage="1" xr:uid="{D545B052-A736-422A-9727-083A8B1A3B46}">
          <x14:formula1>
            <xm:f>'NO BORRAR'!$S$15:$S$146</xm:f>
          </x14:formula1>
          <xm:sqref>Y53 P48 Y43 B50 J50 F50</xm:sqref>
        </x14:dataValidation>
        <x14:dataValidation type="list" allowBlank="1" showInputMessage="1" showErrorMessage="1" xr:uid="{60549221-FA3D-418C-9223-A8171ED7825B}">
          <x14:formula1>
            <xm:f>'NO BORRAR'!$N$15:$N$200</xm:f>
          </x14:formula1>
          <xm:sqref>P40 P44:P45 P32 Y35 Y39:Y40 B81 J35 B139 B123 B39 B47:B48 B32 J43:J44 J39 J47:J48 J32 B43 B35 B96 B150</xm:sqref>
        </x14:dataValidation>
        <x14:dataValidation type="list" allowBlank="1" showInputMessage="1" showErrorMessage="1" xr:uid="{F573B45A-39E6-433B-B63D-043895D0CC7C}">
          <x14:formula1>
            <xm:f>'NO BORRAR'!$J$33:$J$38</xm:f>
          </x14:formula1>
          <xm:sqref>B165</xm:sqref>
        </x14:dataValidation>
        <x14:dataValidation type="list" allowBlank="1" showInputMessage="1" showErrorMessage="1" xr:uid="{6A901075-129F-4724-9999-52EEB736BB15}">
          <x14:formula1>
            <xm:f>'NO BORRAR'!$H$33:$H$38</xm:f>
          </x14:formula1>
          <xm:sqref>G118 B134</xm:sqref>
        </x14:dataValidation>
        <x14:dataValidation type="list" allowBlank="1" showInputMessage="1" showErrorMessage="1" xr:uid="{B50087C4-80F1-4F33-AE0E-CA8D27EFC3CE}">
          <x14:formula1>
            <xm:f>'NO BORRAR'!$E$33:$E$44</xm:f>
          </x14:formula1>
          <xm:sqref>G115 B124</xm:sqref>
        </x14:dataValidation>
        <x14:dataValidation type="list" allowBlank="1" showInputMessage="1" showErrorMessage="1" xr:uid="{4F4D58C7-00AC-4109-AE1D-E293DFCEEA83}">
          <x14:formula1>
            <xm:f>'NO BORRAR'!$C$33:$C$40</xm:f>
          </x14:formula1>
          <xm:sqref>G112 B121</xm:sqref>
        </x14:dataValidation>
        <x14:dataValidation type="list" allowBlank="1" showInputMessage="1" showErrorMessage="1" xr:uid="{3889C802-9C1E-477C-A78C-3166A86E34F2}">
          <x14:formula1>
            <xm:f>'NO BORRAR'!$B$23:$B$30</xm:f>
          </x14:formula1>
          <xm:sqref>G107:G108 G111 B110 B112 B114</xm:sqref>
        </x14:dataValidation>
        <x14:dataValidation type="list" allowBlank="1" showInputMessage="1" showErrorMessage="1" xr:uid="{34C76105-E29E-4B4F-B535-10EEDE7359AD}">
          <x14:formula1>
            <xm:f>'NO BORRAR'!$B$18:$B$21</xm:f>
          </x14:formula1>
          <xm:sqref>B109</xm:sqref>
        </x14:dataValidation>
        <x14:dataValidation type="list" allowBlank="1" showInputMessage="1" showErrorMessage="1" xr:uid="{56999BFD-F053-439D-9B98-D52109A3BB26}">
          <x14:formula1>
            <xm:f>'NO BORRAR'!$E$14:$E$30</xm:f>
          </x14:formula1>
          <xm:sqref>B73 B88</xm:sqref>
        </x14:dataValidation>
        <x14:dataValidation type="list" allowBlank="1" showInputMessage="1" showErrorMessage="1" xr:uid="{5065DFDA-109E-4FB0-9014-3D138B43C92C}">
          <x14:formula1>
            <xm:f>'NO BORRAR'!$B$14:$B$16</xm:f>
          </x14:formula1>
          <xm:sqref>B72 B87</xm:sqref>
        </x14:dataValidation>
        <x14:dataValidation type="list" allowBlank="1" showInputMessage="1" showErrorMessage="1" xr:uid="{0376EED1-2418-4061-837A-7C88E9D86AAB}">
          <x14:formula1>
            <xm:f>'NO BORRAR'!$C$7:$C$11</xm:f>
          </x14:formula1>
          <xm:sqref>B49 J49 F49</xm:sqref>
        </x14:dataValidation>
        <x14:dataValidation type="list" allowBlank="1" showInputMessage="1" showErrorMessage="1" xr:uid="{123190C1-960B-49C8-9369-529CC852FB3D}">
          <x14:formula1>
            <xm:f>'NO BORRAR'!$B$7:$B$12</xm:f>
          </x14:formula1>
          <xm:sqref>Y54 B51 J51 F51</xm:sqref>
        </x14:dataValidation>
        <x14:dataValidation type="list" allowBlank="1" showInputMessage="1" showErrorMessage="1" xr:uid="{8370D48B-D8B2-4B71-884E-0C26C6A400F3}">
          <x14:formula1>
            <xm:f>'NO BORRAR'!$E$2:$E$4</xm:f>
          </x14:formula1>
          <xm:sqref>Y55:Y56 B53 J53 B115 F53</xm:sqref>
        </x14:dataValidation>
        <x14:dataValidation type="list" allowBlank="1" showInputMessage="1" showErrorMessage="1" promptTitle="Elija aquí" xr:uid="{E17C864F-942E-4BE1-A88E-BA8B19C72C41}">
          <x14:formula1>
            <xm:f>'NO BORRAR'!$B$2:$B$4</xm:f>
          </x14:formula1>
          <xm:sqref>P41 Y36 J40 B82 B40 B97</xm:sqref>
        </x14:dataValidation>
        <x14:dataValidation type="list" allowBlank="1" showInputMessage="1" showErrorMessage="1" xr:uid="{A90B4724-7821-445F-B02C-B0C65E0D1F3D}">
          <x14:formula1>
            <xm:f>'NO BORRAR'!$J$2</xm:f>
          </x14:formula1>
          <xm:sqref>B44</xm:sqref>
        </x14:dataValidation>
        <x14:dataValidation type="list" allowBlank="1" showInputMessage="1" showErrorMessage="1" xr:uid="{08D0065C-630A-4DAD-82BB-7C6D8908FAF2}">
          <x14:formula1>
            <xm:f>'NO BORRAR'!$E$3:$E$4</xm:f>
          </x14:formula1>
          <xm:sqref>B54</xm:sqref>
        </x14:dataValidation>
        <x14:dataValidation type="list" allowBlank="1" showInputMessage="1" showErrorMessage="1" xr:uid="{5A3E302D-252A-4CC5-9F3E-2A31F4B807BA}">
          <x14:formula1>
            <xm:f>'NO BORRAR'!$I$4:$I$5</xm:f>
          </x14:formula1>
          <xm:sqref>B2 B5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715378-2c07-4910-9c64-dac0d6654783">
      <Terms xmlns="http://schemas.microsoft.com/office/infopath/2007/PartnerControls"/>
    </lcf76f155ced4ddcb4097134ff3c332f>
    <TaxCatchAll xmlns="b321ad9c-65f3-4b5a-ad5c-8eb431ac3f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786BBC8F5DB04AA8919A764AD278EE" ma:contentTypeVersion="19" ma:contentTypeDescription="Crear nuevo documento." ma:contentTypeScope="" ma:versionID="9d151df5c0bd59a5e8e94162f4f26499">
  <xsd:schema xmlns:xsd="http://www.w3.org/2001/XMLSchema" xmlns:xs="http://www.w3.org/2001/XMLSchema" xmlns:p="http://schemas.microsoft.com/office/2006/metadata/properties" xmlns:ns2="87715378-2c07-4910-9c64-dac0d6654783" xmlns:ns3="0a98fae2-955e-41ec-a18e-a3196134c94b" xmlns:ns4="b321ad9c-65f3-4b5a-ad5c-8eb431ac3fd0" targetNamespace="http://schemas.microsoft.com/office/2006/metadata/properties" ma:root="true" ma:fieldsID="85065b4f993e76b3397b61d2a4e6cfcf" ns2:_="" ns3:_="" ns4:_="">
    <xsd:import namespace="87715378-2c07-4910-9c64-dac0d6654783"/>
    <xsd:import namespace="0a98fae2-955e-41ec-a18e-a3196134c94b"/>
    <xsd:import namespace="b321ad9c-65f3-4b5a-ad5c-8eb431ac3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15378-2c07-4910-9c64-dac0d6654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13f235f5-6c35-4060-8631-19fa73a84a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8fae2-955e-41ec-a18e-a3196134c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1ad9c-65f3-4b5a-ad5c-8eb431ac3fd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6cfe60-88bf-4ed4-83a6-7c9ad3ae52fc}" ma:internalName="TaxCatchAll" ma:showField="CatchAllData" ma:web="0a98fae2-955e-41ec-a18e-a3196134c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24FB3-EA51-41BF-8496-A12BF516E4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5262FA-A72B-4C89-99CE-D42EFBCFF02B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0a98fae2-955e-41ec-a18e-a3196134c94b"/>
    <ds:schemaRef ds:uri="http://schemas.microsoft.com/office/2006/documentManagement/types"/>
    <ds:schemaRef ds:uri="http://purl.org/dc/terms/"/>
    <ds:schemaRef ds:uri="http://purl.org/dc/dcmitype/"/>
    <ds:schemaRef ds:uri="87715378-2c07-4910-9c64-dac0d6654783"/>
    <ds:schemaRef ds:uri="http://schemas.openxmlformats.org/package/2006/metadata/core-properties"/>
    <ds:schemaRef ds:uri="b321ad9c-65f3-4b5a-ad5c-8eb431ac3fd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773DDCB-D1D2-4EED-BB47-C5E0360CA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15378-2c07-4910-9c64-dac0d6654783"/>
    <ds:schemaRef ds:uri="0a98fae2-955e-41ec-a18e-a3196134c94b"/>
    <ds:schemaRef ds:uri="b321ad9c-65f3-4b5a-ad5c-8eb431ac3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Datos - solicitar a cliente (2)</vt:lpstr>
      <vt:lpstr>Datos - solicitar a cliente</vt:lpstr>
      <vt:lpstr>NO BORRAR</vt:lpstr>
      <vt:lpstr>Datos -con comentarios-</vt:lpstr>
      <vt:lpstr>'Datos - solicitar a cliente (2)'!Cuál_de_las_siguientes_opciones_mejor_describe_su_nivel_de_conocimiento_sobre_mercado_de_valores_y_sus_productos</vt:lpstr>
      <vt:lpstr>'Datos -con comentarios-'!Cuál_de_las_siguientes_opciones_mejor_describe_su_nivel_de_conocimiento_sobre_mercado_de_valores_y_sus_productos</vt:lpstr>
      <vt:lpstr>Cuál_de_las_siguientes_opciones_mejor_describe_su_nivel_de_conocimiento_sobre_mercado_de_valores_y_sus_productos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Camino</dc:creator>
  <cp:keywords/>
  <dc:description/>
  <cp:lastModifiedBy>Reinstein, Francisca</cp:lastModifiedBy>
  <cp:revision/>
  <dcterms:created xsi:type="dcterms:W3CDTF">2024-06-21T12:51:08Z</dcterms:created>
  <dcterms:modified xsi:type="dcterms:W3CDTF">2026-06-15T14:26:43Z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85edf-1344-4c6a-a94e-0a9833d749f3_Enabled">
    <vt:lpwstr>true</vt:lpwstr>
  </property>
  <property fmtid="{D5CDD505-2E9C-101B-9397-08002B2CF9AE}" pid="3" name="MSIP_Label_f1a85edf-1344-4c6a-a94e-0a9833d749f3_SetDate">
    <vt:lpwstr>2026-01-22T15:49:55Z</vt:lpwstr>
  </property>
  <property fmtid="{D5CDD505-2E9C-101B-9397-08002B2CF9AE}" pid="4" name="MSIP_Label_f1a85edf-1344-4c6a-a94e-0a9833d749f3_Method">
    <vt:lpwstr>Privileged</vt:lpwstr>
  </property>
  <property fmtid="{D5CDD505-2E9C-101B-9397-08002B2CF9AE}" pid="5" name="MSIP_Label_f1a85edf-1344-4c6a-a94e-0a9833d749f3_Name">
    <vt:lpwstr>Personal</vt:lpwstr>
  </property>
  <property fmtid="{D5CDD505-2E9C-101B-9397-08002B2CF9AE}" pid="6" name="MSIP_Label_f1a85edf-1344-4c6a-a94e-0a9833d749f3_SiteId">
    <vt:lpwstr>3bea478c-1684-4a8c-8e85-045ec54ba430</vt:lpwstr>
  </property>
  <property fmtid="{D5CDD505-2E9C-101B-9397-08002B2CF9AE}" pid="7" name="MSIP_Label_f1a85edf-1344-4c6a-a94e-0a9833d749f3_ActionId">
    <vt:lpwstr>45ff984f-977c-481d-9ea4-892cede5140f</vt:lpwstr>
  </property>
  <property fmtid="{D5CDD505-2E9C-101B-9397-08002B2CF9AE}" pid="8" name="MSIP_Label_f1a85edf-1344-4c6a-a94e-0a9833d749f3_ContentBits">
    <vt:lpwstr>2</vt:lpwstr>
  </property>
  <property fmtid="{D5CDD505-2E9C-101B-9397-08002B2CF9AE}" pid="9" name="MSIP_Label_f1a85edf-1344-4c6a-a94e-0a9833d749f3_Tag">
    <vt:lpwstr>10, 0, 1, 1</vt:lpwstr>
  </property>
  <property fmtid="{D5CDD505-2E9C-101B-9397-08002B2CF9AE}" pid="10" name="ContentTypeId">
    <vt:lpwstr>0x0101009B786BBC8F5DB04AA8919A764AD278EE</vt:lpwstr>
  </property>
  <property fmtid="{D5CDD505-2E9C-101B-9397-08002B2CF9AE}" pid="11" name="MediaServiceImageTags">
    <vt:lpwstr/>
  </property>
</Properties>
</file>