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ustomProperty2.bin" ContentType="application/vnd.openxmlformats-officedocument.spreadsheetml.customProperty"/>
  <Override PartName="/xl/drawings/drawing2.xml" ContentType="application/vnd.openxmlformats-officedocument.drawing+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0" codeName="{65C56A31-55D7-CBBD-CD37-7C71EA340FA4}"/>
  <workbookPr codeName="ThisWorkbook"/>
  <mc:AlternateContent xmlns:mc="http://schemas.openxmlformats.org/markup-compatibility/2006">
    <mc:Choice Requires="x15">
      <x15ac:absPath xmlns:x15ac="http://schemas.microsoft.com/office/spreadsheetml/2010/11/ac" url="/Users/a018986/Desktop/SImuladores Excel/Julio/"/>
    </mc:Choice>
  </mc:AlternateContent>
  <xr:revisionPtr revIDLastSave="0" documentId="13_ncr:1_{64A1E45D-B0AB-AA4F-BC59-E1B1EC1AF628}" xr6:coauthVersionLast="47" xr6:coauthVersionMax="47" xr10:uidLastSave="{00000000-0000-0000-0000-000000000000}"/>
  <workbookProtection workbookAlgorithmName="SHA-512" workbookHashValue="vgzZIn3DOF5taGcdRPfC9OCqw7RpLiHP3LfRVGAEiSZjx/3LtcDgL3e1iyJqO8up+4p5fcNblpfI7jAdwWxYuA==" workbookSaltValue="+g7+XjyIX2Q9O4RZCd48vQ==" workbookSpinCount="100000" lockStructure="1"/>
  <bookViews>
    <workbookView xWindow="-11220" yWindow="-28300" windowWidth="51200" windowHeight="28300" activeTab="1" xr2:uid="{00000000-000D-0000-FFFF-FFFF00000000}"/>
  </bookViews>
  <sheets>
    <sheet name="Antecedentes" sheetId="6" r:id="rId1"/>
    <sheet name="Deposito Convenido Anual" sheetId="2" r:id="rId2"/>
    <sheet name="UF" sheetId="8" state="hidden" r:id="rId3"/>
    <sheet name="Change Log" sheetId="7" state="hidden" r:id="rId4"/>
    <sheet name="ahorro oblg" sheetId="5" state="hidden" r:id="rId5"/>
    <sheet name="Impuesto" sheetId="4" state="hidden" r:id="rId6"/>
  </sheets>
  <definedNames>
    <definedName name="ahorroacum">'ahorro oblg'!$C$14:$H$493</definedName>
    <definedName name="CNU_H">Impuesto!$C$19</definedName>
    <definedName name="CNU_M">Impuesto!$C$20</definedName>
    <definedName name="cot_oblg">Antecedentes!$I$5</definedName>
    <definedName name="cotizacion_cesantia">'Deposito Convenido Anual'!$M$3</definedName>
    <definedName name="edadjub">'Deposito Convenido Anual'!$L$20</definedName>
    <definedName name="Monto_DC">'Deposito Convenido Anual'!$F$10</definedName>
    <definedName name="Sueldo_Bruto">'Deposito Convenido Anual'!$F$9</definedName>
    <definedName name="tabla">'Deposito Convenido Anual'!$D$17:$I$56</definedName>
    <definedName name="Tabla1">#REF!</definedName>
    <definedName name="tasa_com_AFP">'Deposito Convenido Anual'!$Q$3</definedName>
    <definedName name="tasa_dcto_AFP">'Deposito Convenido Anual'!$Q$1</definedName>
    <definedName name="tasa_dcto_Salud">'Deposito Convenido Anual'!$Q$2</definedName>
    <definedName name="tasa_imp">'Deposito Convenido Anual'!$S$1</definedName>
    <definedName name="tasa_imp_max">'Deposito Convenido Anual'!$P$17</definedName>
    <definedName name="TMg">Impuesto!$C$16</definedName>
    <definedName name="tope_APVB_mensual">'Deposito Convenido Anual'!$M$4</definedName>
    <definedName name="tope_DC_mensual">'Deposito Convenido Anual'!$Q$4</definedName>
    <definedName name="tope_imponible_mensual">'Deposito Convenido Anual'!$M$1</definedName>
    <definedName name="tope_imponible_mensual_cot_cesantia">'Deposito Convenido Anual'!$M$2</definedName>
    <definedName name="uf">Impuesto!$C$4</definedName>
    <definedName name="utm">Impuesto!$C$5</definedName>
    <definedName name="Valor_UF">'Deposito Convenido Anual'!$I$9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 i="2" l="1"/>
  <c r="I10" i="2"/>
  <c r="C5" i="4" s="1"/>
  <c r="L9" i="2" s="1"/>
  <c r="I9" i="2"/>
  <c r="C4" i="4" s="1"/>
  <c r="C9" i="4" s="1"/>
  <c r="C11" i="4" s="1"/>
  <c r="F12" i="2"/>
  <c r="F10" i="2"/>
  <c r="Q4" i="2"/>
  <c r="K6" i="6"/>
  <c r="K7" i="6"/>
  <c r="K8" i="6"/>
  <c r="K9" i="6"/>
  <c r="K10" i="6"/>
  <c r="K11" i="6"/>
  <c r="K12" i="6"/>
  <c r="K13" i="6"/>
  <c r="K14" i="6"/>
  <c r="K15" i="6"/>
  <c r="K16" i="6"/>
  <c r="K17" i="6"/>
  <c r="K18" i="6"/>
  <c r="K19" i="6"/>
  <c r="I11" i="2"/>
  <c r="F11" i="2"/>
  <c r="F9" i="2"/>
  <c r="D74" i="2"/>
  <c r="D75" i="2"/>
  <c r="X7" i="2"/>
  <c r="X8" i="2"/>
  <c r="X9" i="2"/>
  <c r="X10" i="2"/>
  <c r="X11" i="2"/>
  <c r="X12" i="2"/>
  <c r="X13" i="2"/>
  <c r="X14" i="2"/>
  <c r="X15" i="2"/>
  <c r="X16" i="2"/>
  <c r="C15" i="5"/>
  <c r="D15" i="5"/>
  <c r="D16" i="5"/>
  <c r="N11" i="2"/>
  <c r="N12" i="2"/>
  <c r="N13" i="2"/>
  <c r="N14" i="2"/>
  <c r="N15" i="2"/>
  <c r="N16" i="2"/>
  <c r="N17" i="2"/>
  <c r="E6" i="4"/>
  <c r="E7" i="4"/>
  <c r="E8" i="4"/>
  <c r="E9" i="4"/>
  <c r="E10" i="4"/>
  <c r="E11" i="4"/>
  <c r="E5" i="4"/>
  <c r="D73" i="2"/>
  <c r="D5" i="5"/>
  <c r="C62" i="2"/>
  <c r="G59" i="2"/>
  <c r="F60" i="2"/>
  <c r="L20" i="2"/>
  <c r="L22" i="2"/>
  <c r="C16" i="5"/>
  <c r="C17" i="5"/>
  <c r="D17" i="5"/>
  <c r="C8" i="4"/>
  <c r="D7" i="5"/>
  <c r="D80" i="2"/>
  <c r="C10" i="4"/>
  <c r="D18" i="5"/>
  <c r="C18" i="5"/>
  <c r="E14" i="5"/>
  <c r="E15" i="5"/>
  <c r="E16" i="5"/>
  <c r="E17" i="5"/>
  <c r="L18" i="2"/>
  <c r="D4" i="5" s="1"/>
  <c r="C19" i="5"/>
  <c r="D19" i="5"/>
  <c r="D20" i="5"/>
  <c r="C20" i="5"/>
  <c r="C21" i="5"/>
  <c r="D21" i="5"/>
  <c r="C22" i="5"/>
  <c r="D22" i="5"/>
  <c r="C23" i="5"/>
  <c r="D23" i="5"/>
  <c r="D24" i="5"/>
  <c r="C24" i="5"/>
  <c r="D25" i="5"/>
  <c r="C25" i="5"/>
  <c r="D26" i="5"/>
  <c r="C26" i="5"/>
  <c r="C27" i="5"/>
  <c r="D27" i="5"/>
  <c r="D28" i="5"/>
  <c r="C28" i="5"/>
  <c r="D29" i="5"/>
  <c r="C29" i="5"/>
  <c r="C30" i="5"/>
  <c r="D30" i="5"/>
  <c r="C31" i="5"/>
  <c r="D31" i="5"/>
  <c r="D32" i="5"/>
  <c r="C32" i="5"/>
  <c r="C33" i="5"/>
  <c r="D33" i="5"/>
  <c r="D34" i="5"/>
  <c r="C34" i="5"/>
  <c r="D35" i="5"/>
  <c r="C35" i="5"/>
  <c r="D36" i="5"/>
  <c r="C36" i="5"/>
  <c r="C37" i="5"/>
  <c r="D37" i="5"/>
  <c r="D38" i="5"/>
  <c r="C38" i="5"/>
  <c r="D39" i="5"/>
  <c r="C39" i="5"/>
  <c r="D40" i="5"/>
  <c r="C40" i="5"/>
  <c r="C41" i="5"/>
  <c r="D41" i="5"/>
  <c r="D42" i="5"/>
  <c r="C42" i="5"/>
  <c r="D43" i="5"/>
  <c r="C43" i="5"/>
  <c r="D44" i="5"/>
  <c r="C44" i="5"/>
  <c r="D45" i="5"/>
  <c r="C45" i="5"/>
  <c r="C46" i="5"/>
  <c r="D46" i="5"/>
  <c r="C47" i="5"/>
  <c r="D47" i="5"/>
  <c r="C48" i="5"/>
  <c r="D48" i="5"/>
  <c r="D49" i="5"/>
  <c r="C49" i="5"/>
  <c r="D50" i="5"/>
  <c r="C50" i="5"/>
  <c r="D51" i="5"/>
  <c r="C51" i="5"/>
  <c r="D52" i="5"/>
  <c r="C52" i="5"/>
  <c r="C53" i="5"/>
  <c r="D53" i="5"/>
  <c r="D54" i="5"/>
  <c r="C54" i="5"/>
  <c r="D55" i="5"/>
  <c r="C55" i="5"/>
  <c r="D56" i="5"/>
  <c r="C56" i="5"/>
  <c r="C57" i="5"/>
  <c r="D57" i="5"/>
  <c r="D58" i="5"/>
  <c r="C58" i="5"/>
  <c r="C59" i="5"/>
  <c r="D59" i="5"/>
  <c r="C60" i="5"/>
  <c r="D60" i="5"/>
  <c r="C61" i="5"/>
  <c r="D61" i="5"/>
  <c r="C62" i="5"/>
  <c r="D62" i="5"/>
  <c r="C63" i="5"/>
  <c r="D63" i="5"/>
  <c r="D64" i="5"/>
  <c r="C64" i="5"/>
  <c r="D65" i="5"/>
  <c r="C65" i="5"/>
  <c r="D66" i="5"/>
  <c r="C66" i="5"/>
  <c r="C67" i="5"/>
  <c r="D67" i="5"/>
  <c r="D68" i="5"/>
  <c r="C68" i="5"/>
  <c r="C69" i="5"/>
  <c r="D69" i="5"/>
  <c r="D70" i="5"/>
  <c r="C70" i="5"/>
  <c r="D71" i="5"/>
  <c r="C71" i="5"/>
  <c r="D72" i="5"/>
  <c r="C72" i="5"/>
  <c r="C73" i="5"/>
  <c r="D73" i="5"/>
  <c r="C74" i="5"/>
  <c r="D74" i="5"/>
  <c r="D75" i="5"/>
  <c r="C75" i="5"/>
  <c r="D76" i="5"/>
  <c r="C76" i="5"/>
  <c r="C77" i="5"/>
  <c r="D77" i="5"/>
  <c r="D78" i="5"/>
  <c r="C78" i="5"/>
  <c r="D79" i="5"/>
  <c r="C79" i="5"/>
  <c r="D80" i="5"/>
  <c r="C80" i="5"/>
  <c r="C81" i="5"/>
  <c r="D81" i="5"/>
  <c r="C82" i="5"/>
  <c r="D82" i="5"/>
  <c r="D83" i="5"/>
  <c r="C83" i="5"/>
  <c r="D84" i="5"/>
  <c r="C84" i="5"/>
  <c r="D85" i="5"/>
  <c r="C85" i="5"/>
  <c r="C86" i="5"/>
  <c r="D86" i="5"/>
  <c r="C87" i="5"/>
  <c r="D87" i="5"/>
  <c r="D88" i="5"/>
  <c r="C88" i="5"/>
  <c r="C89" i="5"/>
  <c r="D89" i="5"/>
  <c r="D90" i="5"/>
  <c r="C90" i="5"/>
  <c r="D91" i="5"/>
  <c r="C91" i="5"/>
  <c r="C92" i="5"/>
  <c r="D92" i="5"/>
  <c r="D93" i="5"/>
  <c r="C93" i="5"/>
  <c r="C94" i="5"/>
  <c r="D94" i="5"/>
  <c r="C95" i="5"/>
  <c r="D95" i="5"/>
  <c r="C96" i="5"/>
  <c r="D96" i="5"/>
  <c r="D97" i="5"/>
  <c r="C97" i="5"/>
  <c r="D98" i="5"/>
  <c r="C98" i="5"/>
  <c r="C99" i="5"/>
  <c r="D99" i="5"/>
  <c r="C100" i="5"/>
  <c r="D100" i="5"/>
  <c r="D101" i="5"/>
  <c r="C101" i="5"/>
  <c r="C102" i="5"/>
  <c r="D102" i="5"/>
  <c r="C103" i="5"/>
  <c r="D103" i="5"/>
  <c r="C104" i="5"/>
  <c r="D104" i="5"/>
  <c r="D105" i="5"/>
  <c r="C105" i="5"/>
  <c r="C106" i="5"/>
  <c r="D106" i="5"/>
  <c r="D107" i="5"/>
  <c r="C107" i="5"/>
  <c r="C108" i="5"/>
  <c r="D108" i="5"/>
  <c r="C109" i="5"/>
  <c r="D109" i="5"/>
  <c r="D110" i="5"/>
  <c r="C110" i="5"/>
  <c r="C111" i="5"/>
  <c r="D111" i="5"/>
  <c r="D112" i="5"/>
  <c r="C112" i="5"/>
  <c r="D113" i="5"/>
  <c r="C113" i="5"/>
  <c r="C114" i="5"/>
  <c r="D114" i="5"/>
  <c r="C115" i="5"/>
  <c r="D115" i="5"/>
  <c r="C116" i="5"/>
  <c r="D116" i="5"/>
  <c r="D117" i="5"/>
  <c r="C117" i="5"/>
  <c r="D118" i="5"/>
  <c r="C118" i="5"/>
  <c r="C119" i="5"/>
  <c r="D119" i="5"/>
  <c r="D120" i="5"/>
  <c r="C120" i="5"/>
  <c r="C121" i="5"/>
  <c r="D121" i="5"/>
  <c r="C122" i="5"/>
  <c r="D122" i="5"/>
  <c r="D123" i="5"/>
  <c r="C123" i="5"/>
  <c r="D124" i="5"/>
  <c r="C124" i="5"/>
  <c r="C125" i="5"/>
  <c r="D125" i="5"/>
  <c r="D126" i="5"/>
  <c r="C126" i="5"/>
  <c r="D127" i="5"/>
  <c r="C127" i="5"/>
  <c r="D128" i="5"/>
  <c r="C128" i="5"/>
  <c r="C129" i="5"/>
  <c r="D129" i="5"/>
  <c r="C130" i="5"/>
  <c r="D130" i="5"/>
  <c r="C131" i="5"/>
  <c r="D131" i="5"/>
  <c r="D132" i="5"/>
  <c r="C132" i="5"/>
  <c r="C133" i="5"/>
  <c r="D133" i="5"/>
  <c r="C134" i="5"/>
  <c r="D134" i="5"/>
  <c r="C135" i="5"/>
  <c r="D135" i="5"/>
  <c r="D136" i="5"/>
  <c r="C136" i="5"/>
  <c r="D137" i="5"/>
  <c r="C137" i="5"/>
  <c r="D138" i="5"/>
  <c r="C138" i="5"/>
  <c r="D139" i="5"/>
  <c r="C139" i="5"/>
  <c r="D140" i="5"/>
  <c r="C140" i="5"/>
  <c r="C141" i="5"/>
  <c r="D141" i="5"/>
  <c r="C142" i="5"/>
  <c r="D142" i="5"/>
  <c r="D143" i="5"/>
  <c r="C143" i="5"/>
  <c r="C144" i="5"/>
  <c r="D144" i="5"/>
  <c r="D145" i="5"/>
  <c r="C145" i="5"/>
  <c r="C146" i="5"/>
  <c r="D146" i="5"/>
  <c r="C147" i="5"/>
  <c r="D147" i="5"/>
  <c r="D148" i="5"/>
  <c r="C148" i="5"/>
  <c r="D149" i="5"/>
  <c r="C149" i="5"/>
  <c r="D150" i="5"/>
  <c r="C150" i="5"/>
  <c r="C151" i="5"/>
  <c r="D151" i="5"/>
  <c r="C152" i="5"/>
  <c r="D152" i="5"/>
  <c r="D153" i="5"/>
  <c r="C153" i="5"/>
  <c r="D154" i="5"/>
  <c r="C154" i="5"/>
  <c r="D155" i="5"/>
  <c r="C155" i="5"/>
  <c r="C156" i="5"/>
  <c r="D156" i="5"/>
  <c r="D157" i="5"/>
  <c r="C157" i="5"/>
  <c r="D158" i="5"/>
  <c r="C158" i="5"/>
  <c r="D159" i="5"/>
  <c r="C159" i="5"/>
  <c r="C160" i="5"/>
  <c r="D160" i="5"/>
  <c r="C161" i="5"/>
  <c r="D161" i="5"/>
  <c r="C162" i="5"/>
  <c r="D162" i="5"/>
  <c r="C163" i="5"/>
  <c r="D163" i="5"/>
  <c r="C164" i="5"/>
  <c r="D164" i="5"/>
  <c r="D165" i="5"/>
  <c r="C165" i="5"/>
  <c r="C166" i="5"/>
  <c r="D166" i="5"/>
  <c r="C167" i="5"/>
  <c r="D167" i="5"/>
  <c r="D168" i="5"/>
  <c r="C168" i="5"/>
  <c r="C169" i="5"/>
  <c r="D169" i="5"/>
  <c r="C170" i="5"/>
  <c r="D170" i="5"/>
  <c r="C171" i="5"/>
  <c r="D171" i="5"/>
  <c r="C172" i="5"/>
  <c r="D172" i="5"/>
  <c r="C173" i="5"/>
  <c r="D173" i="5"/>
  <c r="C174" i="5"/>
  <c r="D174" i="5"/>
  <c r="C175" i="5"/>
  <c r="D175" i="5"/>
  <c r="C176" i="5"/>
  <c r="D176" i="5"/>
  <c r="C177" i="5"/>
  <c r="D177" i="5"/>
  <c r="D178" i="5"/>
  <c r="C178" i="5"/>
  <c r="C179" i="5"/>
  <c r="D179" i="5"/>
  <c r="D180" i="5"/>
  <c r="C180" i="5"/>
  <c r="C181" i="5"/>
  <c r="D181" i="5"/>
  <c r="D182" i="5"/>
  <c r="C182" i="5"/>
  <c r="C183" i="5"/>
  <c r="D183" i="5"/>
  <c r="C184" i="5"/>
  <c r="D184" i="5"/>
  <c r="C185" i="5"/>
  <c r="D185" i="5"/>
  <c r="D186" i="5"/>
  <c r="C186" i="5"/>
  <c r="C187" i="5"/>
  <c r="D187" i="5"/>
  <c r="C188" i="5"/>
  <c r="D188" i="5"/>
  <c r="C189" i="5"/>
  <c r="D189" i="5"/>
  <c r="D190" i="5"/>
  <c r="C190" i="5"/>
  <c r="D191" i="5"/>
  <c r="C191" i="5"/>
  <c r="C192" i="5"/>
  <c r="D192" i="5"/>
  <c r="D193" i="5"/>
  <c r="C193" i="5"/>
  <c r="D194" i="5"/>
  <c r="C194" i="5"/>
  <c r="D195" i="5"/>
  <c r="C195" i="5"/>
  <c r="C196" i="5"/>
  <c r="D196" i="5"/>
  <c r="D197" i="5"/>
  <c r="C197" i="5"/>
  <c r="D198" i="5"/>
  <c r="C198" i="5"/>
  <c r="C199" i="5"/>
  <c r="D199" i="5"/>
  <c r="D200" i="5"/>
  <c r="C200" i="5"/>
  <c r="D201" i="5"/>
  <c r="C201" i="5"/>
  <c r="D202" i="5"/>
  <c r="C202" i="5"/>
  <c r="C203" i="5"/>
  <c r="D203" i="5"/>
  <c r="C204" i="5"/>
  <c r="D204" i="5"/>
  <c r="D205" i="5"/>
  <c r="C205" i="5"/>
  <c r="C206" i="5"/>
  <c r="D206" i="5"/>
  <c r="C207" i="5"/>
  <c r="D207" i="5"/>
  <c r="C208" i="5"/>
  <c r="D208" i="5"/>
  <c r="D209" i="5"/>
  <c r="C209" i="5"/>
  <c r="C210" i="5"/>
  <c r="D210" i="5"/>
  <c r="D211" i="5"/>
  <c r="C211" i="5"/>
  <c r="D212" i="5"/>
  <c r="C212" i="5"/>
  <c r="C213" i="5"/>
  <c r="D213" i="5"/>
  <c r="D214" i="5"/>
  <c r="C214" i="5"/>
  <c r="C215" i="5"/>
  <c r="D215" i="5"/>
  <c r="D216" i="5"/>
  <c r="C216" i="5"/>
  <c r="D217" i="5"/>
  <c r="C217" i="5"/>
  <c r="D218" i="5"/>
  <c r="C218" i="5"/>
  <c r="C219" i="5"/>
  <c r="D219" i="5"/>
  <c r="D220" i="5"/>
  <c r="C220" i="5"/>
  <c r="C221" i="5"/>
  <c r="D221" i="5"/>
  <c r="D222" i="5"/>
  <c r="C222" i="5"/>
  <c r="D223" i="5"/>
  <c r="C223" i="5"/>
  <c r="C224" i="5"/>
  <c r="D224" i="5"/>
  <c r="D225" i="5"/>
  <c r="C225" i="5"/>
  <c r="C226" i="5"/>
  <c r="D226" i="5"/>
  <c r="C227" i="5"/>
  <c r="D227" i="5"/>
  <c r="D228" i="5"/>
  <c r="C228" i="5"/>
  <c r="C229" i="5"/>
  <c r="D229" i="5"/>
  <c r="C230" i="5"/>
  <c r="D230" i="5"/>
  <c r="D231" i="5"/>
  <c r="C231" i="5"/>
  <c r="C232" i="5"/>
  <c r="D232" i="5"/>
  <c r="C233" i="5"/>
  <c r="D233" i="5"/>
  <c r="D234" i="5"/>
  <c r="C234" i="5"/>
  <c r="C235" i="5"/>
  <c r="D235" i="5"/>
  <c r="D236" i="5"/>
  <c r="C236" i="5"/>
  <c r="D237" i="5"/>
  <c r="C237" i="5"/>
  <c r="D238" i="5"/>
  <c r="C238" i="5"/>
  <c r="C239" i="5"/>
  <c r="D239" i="5"/>
  <c r="D240" i="5"/>
  <c r="C240" i="5"/>
  <c r="C241" i="5"/>
  <c r="D241" i="5"/>
  <c r="D242" i="5"/>
  <c r="C242" i="5"/>
  <c r="C243" i="5"/>
  <c r="D243" i="5"/>
  <c r="D244" i="5"/>
  <c r="C244" i="5"/>
  <c r="D245" i="5"/>
  <c r="C245" i="5"/>
  <c r="D246" i="5"/>
  <c r="C246" i="5"/>
  <c r="D247" i="5"/>
  <c r="C247" i="5"/>
  <c r="D248" i="5"/>
  <c r="C248" i="5"/>
  <c r="D249" i="5"/>
  <c r="C249" i="5"/>
  <c r="C250" i="5"/>
  <c r="D250" i="5"/>
  <c r="D251" i="5"/>
  <c r="C251" i="5"/>
  <c r="C252" i="5"/>
  <c r="D252" i="5"/>
  <c r="D253" i="5"/>
  <c r="C253" i="5"/>
  <c r="C254" i="5"/>
  <c r="D254" i="5"/>
  <c r="C255" i="5"/>
  <c r="D255" i="5"/>
  <c r="C256" i="5"/>
  <c r="D256" i="5"/>
  <c r="C257" i="5"/>
  <c r="D257" i="5"/>
  <c r="D258" i="5"/>
  <c r="C258" i="5"/>
  <c r="C259" i="5"/>
  <c r="D259" i="5"/>
  <c r="D260" i="5"/>
  <c r="C260" i="5"/>
  <c r="C261" i="5"/>
  <c r="D261" i="5"/>
  <c r="C262" i="5"/>
  <c r="D262" i="5"/>
  <c r="D263" i="5"/>
  <c r="C263" i="5"/>
  <c r="C264" i="5"/>
  <c r="D264" i="5"/>
  <c r="D265" i="5"/>
  <c r="C265" i="5"/>
  <c r="D266" i="5"/>
  <c r="C266" i="5"/>
  <c r="C267" i="5"/>
  <c r="D267" i="5"/>
  <c r="C268" i="5"/>
  <c r="D268" i="5"/>
  <c r="D269" i="5"/>
  <c r="C269" i="5"/>
  <c r="C270" i="5"/>
  <c r="D270" i="5"/>
  <c r="C271" i="5"/>
  <c r="D271" i="5"/>
  <c r="D272" i="5"/>
  <c r="C272" i="5"/>
  <c r="C273" i="5"/>
  <c r="D273" i="5"/>
  <c r="C274" i="5"/>
  <c r="D274" i="5"/>
  <c r="C275" i="5"/>
  <c r="D275" i="5"/>
  <c r="D276" i="5"/>
  <c r="C276" i="5"/>
  <c r="C277" i="5"/>
  <c r="D277" i="5"/>
  <c r="D278" i="5"/>
  <c r="C278" i="5"/>
  <c r="D279" i="5"/>
  <c r="C279" i="5"/>
  <c r="C280" i="5"/>
  <c r="D280" i="5"/>
  <c r="C281" i="5"/>
  <c r="D281" i="5"/>
  <c r="D282" i="5"/>
  <c r="C282" i="5"/>
  <c r="D283" i="5"/>
  <c r="C283" i="5"/>
  <c r="D284" i="5"/>
  <c r="C284" i="5"/>
  <c r="D285" i="5"/>
  <c r="C285" i="5"/>
  <c r="D286" i="5"/>
  <c r="C286" i="5"/>
  <c r="C287" i="5"/>
  <c r="D287" i="5"/>
  <c r="C288" i="5"/>
  <c r="D288" i="5"/>
  <c r="C289" i="5"/>
  <c r="D289" i="5"/>
  <c r="C290" i="5"/>
  <c r="D290" i="5"/>
  <c r="C291" i="5"/>
  <c r="D291" i="5"/>
  <c r="D292" i="5"/>
  <c r="C292" i="5"/>
  <c r="D293" i="5"/>
  <c r="C293" i="5"/>
  <c r="D294" i="5"/>
  <c r="C294" i="5"/>
  <c r="D295" i="5"/>
  <c r="C295" i="5"/>
  <c r="C296" i="5"/>
  <c r="D296" i="5"/>
  <c r="C297" i="5"/>
  <c r="D297" i="5"/>
  <c r="C298" i="5"/>
  <c r="D298" i="5"/>
  <c r="D299" i="5"/>
  <c r="C299" i="5"/>
  <c r="C300" i="5"/>
  <c r="D300" i="5"/>
  <c r="D301" i="5"/>
  <c r="C301" i="5"/>
  <c r="C302" i="5"/>
  <c r="D302" i="5"/>
  <c r="C303" i="5"/>
  <c r="D303" i="5"/>
  <c r="C304" i="5"/>
  <c r="D304" i="5"/>
  <c r="D305" i="5"/>
  <c r="C305" i="5"/>
  <c r="C306" i="5"/>
  <c r="D306" i="5"/>
  <c r="C307" i="5"/>
  <c r="D307" i="5"/>
  <c r="C308" i="5"/>
  <c r="D308" i="5"/>
  <c r="D309" i="5"/>
  <c r="C309" i="5"/>
  <c r="D310" i="5"/>
  <c r="C310" i="5"/>
  <c r="C311" i="5"/>
  <c r="D311" i="5"/>
  <c r="C312" i="5"/>
  <c r="D312" i="5"/>
  <c r="D313" i="5"/>
  <c r="C313" i="5"/>
  <c r="D314" i="5"/>
  <c r="C314" i="5"/>
  <c r="D315" i="5"/>
  <c r="C315" i="5"/>
  <c r="D316" i="5"/>
  <c r="C316" i="5"/>
  <c r="D317" i="5"/>
  <c r="C317" i="5"/>
  <c r="D318" i="5"/>
  <c r="C318" i="5"/>
  <c r="C319" i="5"/>
  <c r="D319" i="5"/>
  <c r="D320" i="5"/>
  <c r="C320" i="5"/>
  <c r="C321" i="5"/>
  <c r="D321" i="5"/>
  <c r="C322" i="5"/>
  <c r="D322" i="5"/>
  <c r="C323" i="5"/>
  <c r="D323" i="5"/>
  <c r="C324" i="5"/>
  <c r="D324" i="5"/>
  <c r="C325" i="5"/>
  <c r="D325" i="5"/>
  <c r="D326" i="5"/>
  <c r="C326" i="5"/>
  <c r="C327" i="5"/>
  <c r="D327" i="5"/>
  <c r="D328" i="5"/>
  <c r="C328" i="5"/>
  <c r="C329" i="5"/>
  <c r="D329" i="5"/>
  <c r="C330" i="5"/>
  <c r="D330" i="5"/>
  <c r="C331" i="5"/>
  <c r="D331" i="5"/>
  <c r="C332" i="5"/>
  <c r="D332" i="5"/>
  <c r="C333" i="5"/>
  <c r="D333" i="5"/>
  <c r="C334" i="5"/>
  <c r="D334" i="5"/>
  <c r="D335" i="5"/>
  <c r="C335" i="5"/>
  <c r="D336" i="5"/>
  <c r="C336" i="5"/>
  <c r="D337" i="5"/>
  <c r="C337" i="5"/>
  <c r="C338" i="5"/>
  <c r="D338" i="5"/>
  <c r="D339" i="5"/>
  <c r="C339" i="5"/>
  <c r="D340" i="5"/>
  <c r="C340" i="5"/>
  <c r="D341" i="5"/>
  <c r="C341" i="5"/>
  <c r="D342" i="5"/>
  <c r="C342" i="5"/>
  <c r="D343" i="5"/>
  <c r="C343" i="5"/>
  <c r="C344" i="5"/>
  <c r="D344" i="5"/>
  <c r="C345" i="5"/>
  <c r="D345" i="5"/>
  <c r="D346" i="5"/>
  <c r="C346" i="5"/>
  <c r="C347" i="5"/>
  <c r="D347" i="5"/>
  <c r="C348" i="5"/>
  <c r="D348" i="5"/>
  <c r="D349" i="5"/>
  <c r="C349" i="5"/>
  <c r="C350" i="5"/>
  <c r="D350" i="5"/>
  <c r="D351" i="5"/>
  <c r="C351" i="5"/>
  <c r="D352" i="5"/>
  <c r="C352" i="5"/>
  <c r="C353" i="5"/>
  <c r="D353" i="5"/>
  <c r="C354" i="5"/>
  <c r="D354" i="5"/>
  <c r="C355" i="5"/>
  <c r="D355" i="5"/>
  <c r="D356" i="5"/>
  <c r="C356" i="5"/>
  <c r="D357" i="5"/>
  <c r="C357" i="5"/>
  <c r="D358" i="5"/>
  <c r="C358" i="5"/>
  <c r="D359" i="5"/>
  <c r="C359" i="5"/>
  <c r="D360" i="5"/>
  <c r="C360" i="5"/>
  <c r="C361" i="5"/>
  <c r="D361" i="5"/>
  <c r="C362" i="5"/>
  <c r="D362" i="5"/>
  <c r="D363" i="5"/>
  <c r="C363" i="5"/>
  <c r="C364" i="5"/>
  <c r="D364" i="5"/>
  <c r="D365" i="5"/>
  <c r="C365" i="5"/>
  <c r="C366" i="5"/>
  <c r="D366" i="5"/>
  <c r="C367" i="5"/>
  <c r="D367" i="5"/>
  <c r="D368" i="5"/>
  <c r="C368" i="5"/>
  <c r="C369" i="5"/>
  <c r="D369" i="5"/>
  <c r="C370" i="5"/>
  <c r="D370" i="5"/>
  <c r="C371" i="5"/>
  <c r="D371" i="5"/>
  <c r="D372" i="5"/>
  <c r="C372" i="5"/>
  <c r="D373" i="5"/>
  <c r="C373" i="5"/>
  <c r="C374" i="5"/>
  <c r="D374" i="5"/>
  <c r="D375" i="5"/>
  <c r="C375" i="5"/>
  <c r="D376" i="5"/>
  <c r="C376" i="5"/>
  <c r="D377" i="5"/>
  <c r="C377" i="5"/>
  <c r="D378" i="5"/>
  <c r="C378" i="5"/>
  <c r="C379" i="5"/>
  <c r="D379" i="5"/>
  <c r="D380" i="5"/>
  <c r="C380" i="5"/>
  <c r="D381" i="5"/>
  <c r="C381" i="5"/>
  <c r="C382" i="5"/>
  <c r="D382" i="5"/>
  <c r="D383" i="5"/>
  <c r="C383" i="5"/>
  <c r="D384" i="5"/>
  <c r="C384" i="5"/>
  <c r="D385" i="5"/>
  <c r="C385" i="5"/>
  <c r="C386" i="5"/>
  <c r="D386" i="5"/>
  <c r="D387" i="5"/>
  <c r="C387" i="5"/>
  <c r="C388" i="5"/>
  <c r="D388" i="5"/>
  <c r="C389" i="5"/>
  <c r="D389" i="5"/>
  <c r="C390" i="5"/>
  <c r="D390" i="5"/>
  <c r="C391" i="5"/>
  <c r="D391" i="5"/>
  <c r="D392" i="5"/>
  <c r="C392" i="5"/>
  <c r="C393" i="5"/>
  <c r="D393" i="5"/>
  <c r="D394" i="5"/>
  <c r="C394" i="5"/>
  <c r="D395" i="5"/>
  <c r="C395" i="5"/>
  <c r="C396" i="5"/>
  <c r="D396" i="5"/>
  <c r="D397" i="5"/>
  <c r="C397" i="5"/>
  <c r="D398" i="5"/>
  <c r="C398" i="5"/>
  <c r="D399" i="5"/>
  <c r="C399" i="5"/>
  <c r="C400" i="5"/>
  <c r="D400" i="5"/>
  <c r="C401" i="5"/>
  <c r="D401" i="5"/>
  <c r="C402" i="5"/>
  <c r="D402" i="5"/>
  <c r="C403" i="5"/>
  <c r="D403" i="5"/>
  <c r="C404" i="5"/>
  <c r="D404" i="5"/>
  <c r="D405" i="5"/>
  <c r="C405" i="5"/>
  <c r="C406" i="5"/>
  <c r="D406" i="5"/>
  <c r="D407" i="5"/>
  <c r="C407" i="5"/>
  <c r="D408" i="5"/>
  <c r="C408" i="5"/>
  <c r="D409" i="5"/>
  <c r="C409" i="5"/>
  <c r="C410" i="5"/>
  <c r="D410" i="5"/>
  <c r="D411" i="5"/>
  <c r="C411" i="5"/>
  <c r="D412" i="5"/>
  <c r="C412" i="5"/>
  <c r="C413" i="5"/>
  <c r="D413" i="5"/>
  <c r="D414" i="5"/>
  <c r="C414" i="5"/>
  <c r="C415" i="5"/>
  <c r="D415" i="5"/>
  <c r="D416" i="5"/>
  <c r="C416" i="5"/>
  <c r="C417" i="5"/>
  <c r="D417" i="5"/>
  <c r="D418" i="5"/>
  <c r="C418" i="5"/>
  <c r="D419" i="5"/>
  <c r="C419" i="5"/>
  <c r="D420" i="5"/>
  <c r="C420" i="5"/>
  <c r="C421" i="5"/>
  <c r="D421" i="5"/>
  <c r="D422" i="5"/>
  <c r="C422" i="5"/>
  <c r="D423" i="5"/>
  <c r="C423" i="5"/>
  <c r="D424" i="5"/>
  <c r="C424" i="5"/>
  <c r="D425" i="5"/>
  <c r="C425" i="5"/>
  <c r="D426" i="5"/>
  <c r="C426" i="5"/>
  <c r="D427" i="5"/>
  <c r="C427" i="5"/>
  <c r="C428" i="5"/>
  <c r="D428" i="5"/>
  <c r="D429" i="5"/>
  <c r="C429" i="5"/>
  <c r="C430" i="5"/>
  <c r="D430" i="5"/>
  <c r="C431" i="5"/>
  <c r="D431" i="5"/>
  <c r="D432" i="5"/>
  <c r="C432" i="5"/>
  <c r="D433" i="5"/>
  <c r="C433" i="5"/>
  <c r="C434" i="5"/>
  <c r="D434" i="5"/>
  <c r="C435" i="5"/>
  <c r="D435" i="5"/>
  <c r="C436" i="5"/>
  <c r="D436" i="5"/>
  <c r="D437" i="5"/>
  <c r="C437" i="5"/>
  <c r="C438" i="5"/>
  <c r="D438" i="5"/>
  <c r="C439" i="5"/>
  <c r="D439" i="5"/>
  <c r="D440" i="5"/>
  <c r="C440" i="5"/>
  <c r="D441" i="5"/>
  <c r="C441" i="5"/>
  <c r="C442" i="5"/>
  <c r="D442" i="5"/>
  <c r="D443" i="5"/>
  <c r="C443" i="5"/>
  <c r="C444" i="5"/>
  <c r="D444" i="5"/>
  <c r="D445" i="5"/>
  <c r="C445" i="5"/>
  <c r="D446" i="5"/>
  <c r="C446" i="5"/>
  <c r="C447" i="5"/>
  <c r="D447" i="5"/>
  <c r="C448" i="5"/>
  <c r="D448" i="5"/>
  <c r="C449" i="5"/>
  <c r="D449" i="5"/>
  <c r="C450" i="5"/>
  <c r="D450" i="5"/>
  <c r="C451" i="5"/>
  <c r="D451" i="5"/>
  <c r="D452" i="5"/>
  <c r="C452" i="5"/>
  <c r="D453" i="5"/>
  <c r="C453" i="5"/>
  <c r="D454" i="5"/>
  <c r="C454" i="5"/>
  <c r="D455" i="5"/>
  <c r="C455" i="5"/>
  <c r="C456" i="5"/>
  <c r="D456" i="5"/>
  <c r="C457" i="5"/>
  <c r="D457" i="5"/>
  <c r="D458" i="5"/>
  <c r="C458" i="5"/>
  <c r="C459" i="5"/>
  <c r="D459" i="5"/>
  <c r="D460" i="5"/>
  <c r="C460" i="5"/>
  <c r="C461" i="5"/>
  <c r="D461" i="5"/>
  <c r="C462" i="5"/>
  <c r="D462" i="5"/>
  <c r="D463" i="5"/>
  <c r="C463" i="5"/>
  <c r="C464" i="5"/>
  <c r="D464" i="5"/>
  <c r="C465" i="5"/>
  <c r="D465" i="5"/>
  <c r="C466" i="5"/>
  <c r="D466" i="5"/>
  <c r="C467" i="5"/>
  <c r="D467" i="5"/>
  <c r="C468" i="5"/>
  <c r="D468" i="5"/>
  <c r="C469" i="5"/>
  <c r="D469" i="5"/>
  <c r="C470" i="5"/>
  <c r="D470" i="5"/>
  <c r="D471" i="5"/>
  <c r="C471" i="5"/>
  <c r="C472" i="5"/>
  <c r="D472" i="5"/>
  <c r="C473" i="5"/>
  <c r="D473" i="5"/>
  <c r="C474" i="5"/>
  <c r="D474" i="5"/>
  <c r="D475" i="5"/>
  <c r="C475" i="5"/>
  <c r="D476" i="5"/>
  <c r="C476" i="5"/>
  <c r="C477" i="5"/>
  <c r="D477" i="5"/>
  <c r="C478" i="5"/>
  <c r="D478" i="5"/>
  <c r="D479" i="5"/>
  <c r="C479" i="5"/>
  <c r="C480" i="5"/>
  <c r="D480" i="5"/>
  <c r="D481" i="5"/>
  <c r="C481" i="5"/>
  <c r="D482" i="5"/>
  <c r="C482" i="5"/>
  <c r="C483" i="5"/>
  <c r="D483" i="5"/>
  <c r="C484" i="5"/>
  <c r="D484" i="5"/>
  <c r="D485" i="5"/>
  <c r="C485" i="5"/>
  <c r="C486" i="5"/>
  <c r="D486" i="5"/>
  <c r="C487" i="5"/>
  <c r="D487" i="5"/>
  <c r="C488" i="5"/>
  <c r="D488" i="5"/>
  <c r="D489" i="5"/>
  <c r="C489" i="5"/>
  <c r="D490" i="5"/>
  <c r="C490" i="5"/>
  <c r="D491" i="5"/>
  <c r="C491" i="5"/>
  <c r="C492" i="5"/>
  <c r="D492" i="5"/>
  <c r="C493" i="5"/>
  <c r="D493"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L11" i="2" l="1"/>
  <c r="L10" i="2"/>
  <c r="D81" i="2"/>
  <c r="I6" i="6"/>
  <c r="D3" i="5"/>
  <c r="F74" i="5" s="1"/>
  <c r="C12" i="4"/>
  <c r="C14" i="4" s="1"/>
  <c r="C15" i="4" s="1"/>
  <c r="C16" i="4"/>
  <c r="L12" i="2" l="1"/>
  <c r="L14" i="2" s="1"/>
  <c r="L15" i="2" s="1"/>
  <c r="F15" i="2" s="1"/>
  <c r="F87" i="5"/>
  <c r="F137" i="5"/>
  <c r="F178" i="5"/>
  <c r="F211" i="5"/>
  <c r="F231" i="5"/>
  <c r="F282" i="5"/>
  <c r="F294" i="5"/>
  <c r="F356" i="5"/>
  <c r="F492" i="5"/>
  <c r="F41" i="5"/>
  <c r="F21" i="5"/>
  <c r="F62" i="5"/>
  <c r="F44" i="5"/>
  <c r="F22" i="5"/>
  <c r="F126" i="5"/>
  <c r="F77" i="5"/>
  <c r="F125" i="5"/>
  <c r="F161" i="5"/>
  <c r="F84" i="5"/>
  <c r="F212" i="5"/>
  <c r="F160" i="5"/>
  <c r="F120" i="5"/>
  <c r="F135" i="5"/>
  <c r="F70" i="5"/>
  <c r="F311" i="5"/>
  <c r="F254" i="5"/>
  <c r="F185" i="5"/>
  <c r="F346" i="5"/>
  <c r="F269" i="5"/>
  <c r="F202" i="5"/>
  <c r="F98" i="5"/>
  <c r="F293" i="5"/>
  <c r="F210" i="5"/>
  <c r="F155" i="5"/>
  <c r="F268" i="5"/>
  <c r="F214" i="5"/>
  <c r="F130" i="5"/>
  <c r="F348" i="5"/>
  <c r="F308" i="5"/>
  <c r="F259" i="5"/>
  <c r="F182" i="5"/>
  <c r="F75" i="5"/>
  <c r="F279" i="5"/>
  <c r="F190" i="5"/>
  <c r="F344" i="5"/>
  <c r="F169" i="5"/>
  <c r="F275" i="5"/>
  <c r="F354" i="5"/>
  <c r="F192" i="5"/>
  <c r="F251" i="5"/>
  <c r="F352" i="5"/>
  <c r="F173" i="5"/>
  <c r="F107" i="5"/>
  <c r="F238" i="5"/>
  <c r="F237" i="5"/>
  <c r="F272" i="5"/>
  <c r="F317" i="5"/>
  <c r="F329" i="5"/>
  <c r="F341" i="5"/>
  <c r="F361" i="5"/>
  <c r="F365" i="5"/>
  <c r="F369" i="5"/>
  <c r="F373" i="5"/>
  <c r="F377" i="5"/>
  <c r="F381" i="5"/>
  <c r="F385" i="5"/>
  <c r="F389" i="5"/>
  <c r="F393" i="5"/>
  <c r="F397" i="5"/>
  <c r="F401" i="5"/>
  <c r="F405" i="5"/>
  <c r="F409" i="5"/>
  <c r="F413" i="5"/>
  <c r="F417" i="5"/>
  <c r="F421" i="5"/>
  <c r="F425" i="5"/>
  <c r="F429" i="5"/>
  <c r="F433" i="5"/>
  <c r="F437" i="5"/>
  <c r="F441" i="5"/>
  <c r="F445" i="5"/>
  <c r="F449" i="5"/>
  <c r="F453" i="5"/>
  <c r="F457" i="5"/>
  <c r="F461" i="5"/>
  <c r="F465" i="5"/>
  <c r="F469" i="5"/>
  <c r="F473" i="5"/>
  <c r="F477" i="5"/>
  <c r="F481" i="5"/>
  <c r="F485" i="5"/>
  <c r="F489" i="5"/>
  <c r="F17" i="5"/>
  <c r="F39" i="5"/>
  <c r="F19" i="5"/>
  <c r="F60" i="5"/>
  <c r="F40" i="5"/>
  <c r="F20" i="5"/>
  <c r="F105" i="5"/>
  <c r="F73" i="5"/>
  <c r="F121" i="5"/>
  <c r="F141" i="5"/>
  <c r="F80" i="5"/>
  <c r="F204" i="5"/>
  <c r="F156" i="5"/>
  <c r="F116" i="5"/>
  <c r="F127" i="5"/>
  <c r="F66" i="5"/>
  <c r="F307" i="5"/>
  <c r="F250" i="5"/>
  <c r="F181" i="5"/>
  <c r="F342" i="5"/>
  <c r="F265" i="5"/>
  <c r="F176" i="5"/>
  <c r="F91" i="5"/>
  <c r="F285" i="5"/>
  <c r="F206" i="5"/>
  <c r="F150" i="5"/>
  <c r="F264" i="5"/>
  <c r="F201" i="5"/>
  <c r="F123" i="5"/>
  <c r="F304" i="5"/>
  <c r="F255" i="5"/>
  <c r="F42" i="5"/>
  <c r="F177" i="5"/>
  <c r="F281" i="5"/>
  <c r="F313" i="5"/>
  <c r="F118" i="5"/>
  <c r="F336" i="5"/>
  <c r="F158" i="5"/>
  <c r="F242" i="5"/>
  <c r="F252" i="5"/>
  <c r="F332" i="5"/>
  <c r="F247" i="5"/>
  <c r="F340" i="5"/>
  <c r="F163" i="5"/>
  <c r="F67" i="5"/>
  <c r="F142" i="5"/>
  <c r="F198" i="5"/>
  <c r="F151" i="5"/>
  <c r="F207" i="5"/>
  <c r="F227" i="5"/>
  <c r="F243" i="5"/>
  <c r="F278" i="5"/>
  <c r="F290" i="5"/>
  <c r="F347" i="5"/>
  <c r="F357" i="5"/>
  <c r="F378" i="5"/>
  <c r="F386" i="5"/>
  <c r="F394" i="5"/>
  <c r="F414" i="5"/>
  <c r="F426" i="5"/>
  <c r="F430" i="5"/>
  <c r="F454" i="5"/>
  <c r="F458" i="5"/>
  <c r="F482" i="5"/>
  <c r="D8" i="5"/>
  <c r="D10" i="5" s="1"/>
  <c r="F37" i="5"/>
  <c r="F15" i="5"/>
  <c r="F56" i="5"/>
  <c r="F38" i="5"/>
  <c r="F101" i="5"/>
  <c r="F69" i="5"/>
  <c r="F117" i="5"/>
  <c r="F108" i="5"/>
  <c r="F76" i="5"/>
  <c r="F200" i="5"/>
  <c r="F152" i="5"/>
  <c r="F112" i="5"/>
  <c r="F102" i="5"/>
  <c r="F61" i="5"/>
  <c r="F303" i="5"/>
  <c r="F246" i="5"/>
  <c r="F157" i="5"/>
  <c r="F338" i="5"/>
  <c r="F261" i="5"/>
  <c r="F172" i="5"/>
  <c r="F197" i="5"/>
  <c r="F260" i="5"/>
  <c r="F300" i="5"/>
  <c r="F153" i="5"/>
  <c r="F140" i="5"/>
  <c r="F167" i="5"/>
  <c r="F174" i="5"/>
  <c r="F233" i="5"/>
  <c r="F325" i="5"/>
  <c r="F337" i="5"/>
  <c r="F343" i="5"/>
  <c r="F353" i="5"/>
  <c r="F362" i="5"/>
  <c r="F366" i="5"/>
  <c r="F370" i="5"/>
  <c r="F374" i="5"/>
  <c r="F382" i="5"/>
  <c r="F390" i="5"/>
  <c r="F398" i="5"/>
  <c r="F402" i="5"/>
  <c r="F406" i="5"/>
  <c r="F410" i="5"/>
  <c r="F418" i="5"/>
  <c r="F422" i="5"/>
  <c r="F434" i="5"/>
  <c r="F438" i="5"/>
  <c r="F442" i="5"/>
  <c r="F446" i="5"/>
  <c r="F450" i="5"/>
  <c r="F462" i="5"/>
  <c r="F466" i="5"/>
  <c r="F470" i="5"/>
  <c r="F474" i="5"/>
  <c r="F478" i="5"/>
  <c r="F486" i="5"/>
  <c r="F490" i="5"/>
  <c r="F53" i="5"/>
  <c r="F35" i="5"/>
  <c r="F109" i="5"/>
  <c r="F54" i="5"/>
  <c r="F36" i="5"/>
  <c r="F218" i="5"/>
  <c r="F97" i="5"/>
  <c r="F65" i="5"/>
  <c r="F113" i="5"/>
  <c r="F104" i="5"/>
  <c r="F72" i="5"/>
  <c r="F196" i="5"/>
  <c r="F148" i="5"/>
  <c r="F24" i="5"/>
  <c r="F94" i="5"/>
  <c r="F335" i="5"/>
  <c r="F299" i="5"/>
  <c r="F234" i="5"/>
  <c r="F147" i="5"/>
  <c r="F334" i="5"/>
  <c r="F257" i="5"/>
  <c r="F146" i="5"/>
  <c r="F330" i="5"/>
  <c r="F277" i="5"/>
  <c r="F184" i="5"/>
  <c r="F305" i="5"/>
  <c r="F187" i="5"/>
  <c r="F296" i="5"/>
  <c r="F57" i="5"/>
  <c r="F79" i="5"/>
  <c r="F189" i="5"/>
  <c r="F239" i="5"/>
  <c r="F274" i="5"/>
  <c r="F407" i="5"/>
  <c r="F431" i="5"/>
  <c r="F491" i="5"/>
  <c r="F51" i="5"/>
  <c r="F33" i="5"/>
  <c r="F63" i="5"/>
  <c r="F52" i="5"/>
  <c r="F34" i="5"/>
  <c r="F170" i="5"/>
  <c r="F93" i="5"/>
  <c r="F55" i="5"/>
  <c r="F59" i="5"/>
  <c r="F100" i="5"/>
  <c r="F68" i="5"/>
  <c r="F188" i="5"/>
  <c r="F144" i="5"/>
  <c r="F14" i="5"/>
  <c r="G14" i="5" s="1"/>
  <c r="H14" i="5" s="1"/>
  <c r="F90" i="5"/>
  <c r="F331" i="5"/>
  <c r="F270" i="5"/>
  <c r="F221" i="5"/>
  <c r="F115" i="5"/>
  <c r="F326" i="5"/>
  <c r="F253" i="5"/>
  <c r="F131" i="5"/>
  <c r="F314" i="5"/>
  <c r="F240" i="5"/>
  <c r="F179" i="5"/>
  <c r="F301" i="5"/>
  <c r="F248" i="5"/>
  <c r="F183" i="5"/>
  <c r="F83" i="5"/>
  <c r="F328" i="5"/>
  <c r="F288" i="5"/>
  <c r="F222" i="5"/>
  <c r="F139" i="5"/>
  <c r="F324" i="5"/>
  <c r="F230" i="5"/>
  <c r="F143" i="5"/>
  <c r="F31" i="5"/>
  <c r="F96" i="5"/>
  <c r="F180" i="5"/>
  <c r="F132" i="5"/>
  <c r="F86" i="5"/>
  <c r="F323" i="5"/>
  <c r="F266" i="5"/>
  <c r="F110" i="5"/>
  <c r="F322" i="5"/>
  <c r="F249" i="5"/>
  <c r="F310" i="5"/>
  <c r="F236" i="5"/>
  <c r="F175" i="5"/>
  <c r="F244" i="5"/>
  <c r="F71" i="5"/>
  <c r="F320" i="5"/>
  <c r="F213" i="5"/>
  <c r="F134" i="5"/>
  <c r="F226" i="5"/>
  <c r="F205" i="5"/>
  <c r="F95" i="5"/>
  <c r="F209" i="5"/>
  <c r="F229" i="5"/>
  <c r="F280" i="5"/>
  <c r="F286" i="5"/>
  <c r="F292" i="5"/>
  <c r="F321" i="5"/>
  <c r="F327" i="5"/>
  <c r="F333" i="5"/>
  <c r="F349" i="5"/>
  <c r="F359" i="5"/>
  <c r="F363" i="5"/>
  <c r="F367" i="5"/>
  <c r="F371" i="5"/>
  <c r="F375" i="5"/>
  <c r="F379" i="5"/>
  <c r="F383" i="5"/>
  <c r="F387" i="5"/>
  <c r="F391" i="5"/>
  <c r="F395" i="5"/>
  <c r="F399" i="5"/>
  <c r="F403" i="5"/>
  <c r="F411" i="5"/>
  <c r="F415" i="5"/>
  <c r="F419" i="5"/>
  <c r="F423" i="5"/>
  <c r="F427" i="5"/>
  <c r="F435" i="5"/>
  <c r="F439" i="5"/>
  <c r="F443" i="5"/>
  <c r="F447" i="5"/>
  <c r="F451" i="5"/>
  <c r="F455" i="5"/>
  <c r="F459" i="5"/>
  <c r="F463" i="5"/>
  <c r="F467" i="5"/>
  <c r="F471" i="5"/>
  <c r="F475" i="5"/>
  <c r="F479" i="5"/>
  <c r="F483" i="5"/>
  <c r="F487" i="5"/>
  <c r="F47" i="5"/>
  <c r="F49" i="5"/>
  <c r="F50" i="5"/>
  <c r="F32" i="5"/>
  <c r="F162" i="5"/>
  <c r="F89" i="5"/>
  <c r="F26" i="5"/>
  <c r="F245" i="5"/>
  <c r="F64" i="5"/>
  <c r="F295" i="5"/>
  <c r="F208" i="5"/>
  <c r="F119" i="5"/>
  <c r="F297" i="5"/>
  <c r="F159" i="5"/>
  <c r="F284" i="5"/>
  <c r="F291" i="5"/>
  <c r="F106" i="5"/>
  <c r="F235" i="5"/>
  <c r="F339" i="5"/>
  <c r="F355" i="5"/>
  <c r="F368" i="5"/>
  <c r="F376" i="5"/>
  <c r="F380" i="5"/>
  <c r="F404" i="5"/>
  <c r="F416" i="5"/>
  <c r="F424" i="5"/>
  <c r="F432" i="5"/>
  <c r="F440" i="5"/>
  <c r="F444" i="5"/>
  <c r="F448" i="5"/>
  <c r="F464" i="5"/>
  <c r="F468" i="5"/>
  <c r="F472" i="5"/>
  <c r="F488" i="5"/>
  <c r="F45" i="5"/>
  <c r="F29" i="5"/>
  <c r="F25" i="5"/>
  <c r="F48" i="5"/>
  <c r="F30" i="5"/>
  <c r="F154" i="5"/>
  <c r="F85" i="5"/>
  <c r="F133" i="5"/>
  <c r="F193" i="5"/>
  <c r="F92" i="5"/>
  <c r="F18" i="5"/>
  <c r="F168" i="5"/>
  <c r="F128" i="5"/>
  <c r="F271" i="5"/>
  <c r="F82" i="5"/>
  <c r="F319" i="5"/>
  <c r="F262" i="5"/>
  <c r="F203" i="5"/>
  <c r="F358" i="5"/>
  <c r="F318" i="5"/>
  <c r="F220" i="5"/>
  <c r="F114" i="5"/>
  <c r="F306" i="5"/>
  <c r="F232" i="5"/>
  <c r="F171" i="5"/>
  <c r="F289" i="5"/>
  <c r="F224" i="5"/>
  <c r="F145" i="5"/>
  <c r="F58" i="5"/>
  <c r="F316" i="5"/>
  <c r="F267" i="5"/>
  <c r="F195" i="5"/>
  <c r="F122" i="5"/>
  <c r="F287" i="5"/>
  <c r="F217" i="5"/>
  <c r="F99" i="5"/>
  <c r="F149" i="5"/>
  <c r="F191" i="5"/>
  <c r="F345" i="5"/>
  <c r="F400" i="5"/>
  <c r="F428" i="5"/>
  <c r="F493" i="5"/>
  <c r="F81" i="5"/>
  <c r="F78" i="5"/>
  <c r="F298" i="5"/>
  <c r="F263" i="5"/>
  <c r="F186" i="5"/>
  <c r="F309" i="5"/>
  <c r="F480" i="5"/>
  <c r="F165" i="5"/>
  <c r="F111" i="5"/>
  <c r="F256" i="5"/>
  <c r="F88" i="5"/>
  <c r="F283" i="5"/>
  <c r="F241" i="5"/>
  <c r="F46" i="5"/>
  <c r="F219" i="5"/>
  <c r="F164" i="5"/>
  <c r="F302" i="5"/>
  <c r="F276" i="5"/>
  <c r="F360" i="5"/>
  <c r="F388" i="5"/>
  <c r="F408" i="5"/>
  <c r="F436" i="5"/>
  <c r="F43" i="5"/>
  <c r="F129" i="5"/>
  <c r="F315" i="5"/>
  <c r="F228" i="5"/>
  <c r="F452" i="5"/>
  <c r="F27" i="5"/>
  <c r="F258" i="5"/>
  <c r="F166" i="5"/>
  <c r="F23" i="5"/>
  <c r="F273" i="5"/>
  <c r="F384" i="5"/>
  <c r="F350" i="5"/>
  <c r="F28" i="5"/>
  <c r="F136" i="5"/>
  <c r="F351" i="5"/>
  <c r="F364" i="5"/>
  <c r="F392" i="5"/>
  <c r="F412" i="5"/>
  <c r="F124" i="5"/>
  <c r="F215" i="5"/>
  <c r="F16" i="5"/>
  <c r="F372" i="5"/>
  <c r="F420" i="5"/>
  <c r="F456" i="5"/>
  <c r="F484" i="5"/>
  <c r="F138" i="5"/>
  <c r="F223" i="5"/>
  <c r="F103" i="5"/>
  <c r="F312" i="5"/>
  <c r="F225" i="5"/>
  <c r="F396" i="5"/>
  <c r="F194" i="5"/>
  <c r="F460" i="5"/>
  <c r="F216" i="5"/>
  <c r="F199" i="5"/>
  <c r="F476" i="5"/>
  <c r="D88" i="2"/>
  <c r="E15" i="2"/>
  <c r="G15" i="5" l="1"/>
  <c r="E45" i="2"/>
  <c r="E56" i="2"/>
  <c r="E36" i="2"/>
  <c r="E31" i="2"/>
  <c r="E33" i="2"/>
  <c r="E19" i="2"/>
  <c r="E20" i="2"/>
  <c r="E25" i="2"/>
  <c r="E41" i="2"/>
  <c r="E28" i="2"/>
  <c r="E18" i="2"/>
  <c r="E51" i="2"/>
  <c r="E50" i="2"/>
  <c r="E46" i="2"/>
  <c r="E24" i="2"/>
  <c r="E47" i="2"/>
  <c r="E38" i="2"/>
  <c r="E52" i="2"/>
  <c r="E54" i="2"/>
  <c r="E26" i="2"/>
  <c r="E17" i="2"/>
  <c r="E42" i="2"/>
  <c r="E48" i="2"/>
  <c r="E44" i="2"/>
  <c r="E22" i="2"/>
  <c r="E21" i="2"/>
  <c r="E29" i="2"/>
  <c r="E32" i="2"/>
  <c r="E30" i="2"/>
  <c r="E53" i="2"/>
  <c r="E27" i="2"/>
  <c r="E37" i="2"/>
  <c r="E49" i="2"/>
  <c r="E39" i="2"/>
  <c r="E43" i="2"/>
  <c r="E23" i="2"/>
  <c r="E55" i="2"/>
  <c r="E40" i="2"/>
  <c r="E35" i="2"/>
  <c r="E34" i="2"/>
  <c r="F46" i="2"/>
  <c r="F23" i="2"/>
  <c r="F50" i="2"/>
  <c r="F51" i="2"/>
  <c r="F19" i="2"/>
  <c r="F41" i="2"/>
  <c r="F39" i="2"/>
  <c r="F56" i="2"/>
  <c r="F17" i="2"/>
  <c r="F44" i="2"/>
  <c r="F33" i="2"/>
  <c r="F28" i="2"/>
  <c r="F54" i="2"/>
  <c r="F18" i="2"/>
  <c r="F45" i="2"/>
  <c r="F32" i="2"/>
  <c r="F47" i="2"/>
  <c r="F30" i="2"/>
  <c r="F40" i="2"/>
  <c r="F49" i="2"/>
  <c r="F42" i="2"/>
  <c r="F31" i="2"/>
  <c r="F37" i="2"/>
  <c r="F34" i="2"/>
  <c r="G34" i="2" s="1"/>
  <c r="H34" i="2" s="1"/>
  <c r="I34" i="2" s="1"/>
  <c r="F52" i="2"/>
  <c r="F26" i="2"/>
  <c r="F43" i="2"/>
  <c r="F25" i="2"/>
  <c r="F53" i="2"/>
  <c r="F21" i="2"/>
  <c r="F55" i="2"/>
  <c r="F24" i="2"/>
  <c r="F22" i="2"/>
  <c r="G22" i="2" s="1"/>
  <c r="H22" i="2" s="1"/>
  <c r="I22" i="2" s="1"/>
  <c r="F35" i="2"/>
  <c r="F36" i="2"/>
  <c r="F38" i="2"/>
  <c r="F27" i="2"/>
  <c r="F48" i="2"/>
  <c r="F20" i="2"/>
  <c r="F29" i="2"/>
  <c r="G20" i="2" l="1"/>
  <c r="H20" i="2" s="1"/>
  <c r="I20" i="2" s="1"/>
  <c r="G43" i="2"/>
  <c r="H43" i="2" s="1"/>
  <c r="G36" i="2"/>
  <c r="H36" i="2" s="1"/>
  <c r="I36" i="2" s="1"/>
  <c r="G24" i="2"/>
  <c r="H24" i="2" s="1"/>
  <c r="I24" i="2" s="1"/>
  <c r="G25" i="2"/>
  <c r="H25" i="2" s="1"/>
  <c r="I25" i="2" s="1"/>
  <c r="G16" i="5"/>
  <c r="H15" i="5"/>
  <c r="G47" i="2"/>
  <c r="H47" i="2" s="1"/>
  <c r="I47" i="2" s="1"/>
  <c r="G51" i="2"/>
  <c r="H51" i="2" s="1"/>
  <c r="I51" i="2" s="1"/>
  <c r="G55" i="2"/>
  <c r="H55" i="2" s="1"/>
  <c r="I55" i="2" s="1"/>
  <c r="G52" i="2"/>
  <c r="H52" i="2" s="1"/>
  <c r="I52" i="2" s="1"/>
  <c r="G45" i="2"/>
  <c r="H45" i="2" s="1"/>
  <c r="I45" i="2" s="1"/>
  <c r="G38" i="2"/>
  <c r="H38" i="2" s="1"/>
  <c r="I38" i="2" s="1"/>
  <c r="G49" i="2"/>
  <c r="H49" i="2" s="1"/>
  <c r="I49" i="2" s="1"/>
  <c r="G35" i="2"/>
  <c r="H35" i="2" s="1"/>
  <c r="I35" i="2" s="1"/>
  <c r="G48" i="2"/>
  <c r="H48" i="2" s="1"/>
  <c r="I48" i="2" s="1"/>
  <c r="G21" i="2"/>
  <c r="H21" i="2" s="1"/>
  <c r="I21" i="2" s="1"/>
  <c r="G31" i="2"/>
  <c r="H31" i="2" s="1"/>
  <c r="I31" i="2" s="1"/>
  <c r="G41" i="2"/>
  <c r="H41" i="2" s="1"/>
  <c r="I41" i="2" s="1"/>
  <c r="G27" i="2"/>
  <c r="H27" i="2" s="1"/>
  <c r="I27" i="2" s="1"/>
  <c r="G26" i="2"/>
  <c r="H26" i="2" s="1"/>
  <c r="I26" i="2" s="1"/>
  <c r="G32" i="2"/>
  <c r="H32" i="2" s="1"/>
  <c r="I32" i="2" s="1"/>
  <c r="G30" i="2"/>
  <c r="H30" i="2" s="1"/>
  <c r="I30" i="2" s="1"/>
  <c r="G17" i="2"/>
  <c r="H17" i="2" s="1"/>
  <c r="I17" i="2" s="1"/>
  <c r="G18" i="2"/>
  <c r="H18" i="2" s="1"/>
  <c r="I18" i="2" s="1"/>
  <c r="G53" i="2"/>
  <c r="H53" i="2" s="1"/>
  <c r="I53" i="2" s="1"/>
  <c r="G42" i="2"/>
  <c r="H42" i="2" s="1"/>
  <c r="I42" i="2" s="1"/>
  <c r="G54" i="2"/>
  <c r="H54" i="2" s="1"/>
  <c r="I54" i="2" s="1"/>
  <c r="G19" i="2"/>
  <c r="H19" i="2" s="1"/>
  <c r="I19" i="2" s="1"/>
  <c r="G44" i="2"/>
  <c r="H44" i="2" s="1"/>
  <c r="I44" i="2" s="1"/>
  <c r="G23" i="2"/>
  <c r="H23" i="2" s="1"/>
  <c r="I23" i="2" s="1"/>
  <c r="G29" i="2"/>
  <c r="H29" i="2" s="1"/>
  <c r="I29" i="2" s="1"/>
  <c r="G37" i="2"/>
  <c r="H37" i="2" s="1"/>
  <c r="I37" i="2" s="1"/>
  <c r="G28" i="2"/>
  <c r="H28" i="2" s="1"/>
  <c r="I28" i="2" s="1"/>
  <c r="G40" i="2"/>
  <c r="H40" i="2" s="1"/>
  <c r="I40" i="2" s="1"/>
  <c r="G33" i="2"/>
  <c r="H33" i="2" s="1"/>
  <c r="I33" i="2" s="1"/>
  <c r="G50" i="2"/>
  <c r="H50" i="2" s="1"/>
  <c r="I50" i="2" s="1"/>
  <c r="G46" i="2"/>
  <c r="H46" i="2" s="1"/>
  <c r="I46" i="2" s="1"/>
  <c r="G56" i="2"/>
  <c r="H56" i="2" s="1"/>
  <c r="I56" i="2" s="1"/>
  <c r="G39" i="2"/>
  <c r="H39" i="2" s="1"/>
  <c r="I39" i="2" s="1"/>
  <c r="D82" i="2" l="1"/>
  <c r="H16" i="5"/>
  <c r="G17" i="5"/>
  <c r="I43" i="2"/>
  <c r="D95" i="2" s="1"/>
  <c r="D84" i="2"/>
  <c r="G18" i="5" l="1"/>
  <c r="H17" i="5"/>
  <c r="G19" i="5" l="1"/>
  <c r="H18" i="5"/>
  <c r="H19" i="5" l="1"/>
  <c r="G20" i="5"/>
  <c r="H20" i="5" l="1"/>
  <c r="G21" i="5"/>
  <c r="H21" i="5" l="1"/>
  <c r="G22" i="5"/>
  <c r="H22" i="5" l="1"/>
  <c r="G23" i="5"/>
  <c r="H23" i="5" l="1"/>
  <c r="G24" i="5"/>
  <c r="G25" i="5" l="1"/>
  <c r="H24" i="5"/>
  <c r="H25" i="5" l="1"/>
  <c r="G26" i="5"/>
  <c r="G27" i="5" l="1"/>
  <c r="H26" i="5"/>
  <c r="H27" i="5" l="1"/>
  <c r="G28" i="5"/>
  <c r="H28" i="5" l="1"/>
  <c r="G29" i="5"/>
  <c r="H29" i="5" l="1"/>
  <c r="G30" i="5"/>
  <c r="G31" i="5" l="1"/>
  <c r="H30" i="5"/>
  <c r="G32" i="5" l="1"/>
  <c r="H31" i="5"/>
  <c r="G33" i="5" l="1"/>
  <c r="H32" i="5"/>
  <c r="H33" i="5" l="1"/>
  <c r="G34" i="5"/>
  <c r="G35" i="5" l="1"/>
  <c r="H34" i="5"/>
  <c r="G36" i="5" l="1"/>
  <c r="H35" i="5"/>
  <c r="G37" i="5" l="1"/>
  <c r="H36" i="5"/>
  <c r="H37" i="5" l="1"/>
  <c r="G38" i="5"/>
  <c r="G39" i="5" l="1"/>
  <c r="H38" i="5"/>
  <c r="G40" i="5" l="1"/>
  <c r="H39" i="5"/>
  <c r="H40" i="5" l="1"/>
  <c r="G41" i="5"/>
  <c r="H41" i="5" l="1"/>
  <c r="G42" i="5"/>
  <c r="H42" i="5" l="1"/>
  <c r="G43" i="5"/>
  <c r="H43" i="5" l="1"/>
  <c r="G44" i="5"/>
  <c r="G45" i="5" l="1"/>
  <c r="H44" i="5"/>
  <c r="G46" i="5" l="1"/>
  <c r="H45" i="5"/>
  <c r="H46" i="5" l="1"/>
  <c r="G47" i="5"/>
  <c r="H47" i="5" l="1"/>
  <c r="G48" i="5"/>
  <c r="H48" i="5" l="1"/>
  <c r="G49" i="5"/>
  <c r="H49" i="5" l="1"/>
  <c r="G50" i="5"/>
  <c r="H50" i="5" l="1"/>
  <c r="G51" i="5"/>
  <c r="H51" i="5" l="1"/>
  <c r="G52" i="5"/>
  <c r="H52" i="5" l="1"/>
  <c r="G53" i="5"/>
  <c r="G54" i="5" l="1"/>
  <c r="H53" i="5"/>
  <c r="H54" i="5" l="1"/>
  <c r="G55" i="5"/>
  <c r="G56" i="5" l="1"/>
  <c r="H55" i="5"/>
  <c r="G57" i="5" l="1"/>
  <c r="H56" i="5"/>
  <c r="H57" i="5" l="1"/>
  <c r="G58" i="5"/>
  <c r="G59" i="5" l="1"/>
  <c r="H58" i="5"/>
  <c r="H59" i="5" l="1"/>
  <c r="G60" i="5"/>
  <c r="H60" i="5" l="1"/>
  <c r="G61" i="5"/>
  <c r="H61" i="5" l="1"/>
  <c r="G62" i="5"/>
  <c r="H62" i="5" l="1"/>
  <c r="G63" i="5"/>
  <c r="H63" i="5" l="1"/>
  <c r="G64" i="5"/>
  <c r="H64" i="5" l="1"/>
  <c r="G65" i="5"/>
  <c r="H65" i="5" l="1"/>
  <c r="G66" i="5"/>
  <c r="H66" i="5" l="1"/>
  <c r="G67" i="5"/>
  <c r="G68" i="5" l="1"/>
  <c r="H67" i="5"/>
  <c r="G69" i="5" l="1"/>
  <c r="H68" i="5"/>
  <c r="G70" i="5" l="1"/>
  <c r="H69" i="5"/>
  <c r="H70" i="5" l="1"/>
  <c r="G71" i="5"/>
  <c r="H71" i="5" l="1"/>
  <c r="G72" i="5"/>
  <c r="H72" i="5" l="1"/>
  <c r="G73" i="5"/>
  <c r="G74" i="5" l="1"/>
  <c r="H73" i="5"/>
  <c r="G75" i="5" l="1"/>
  <c r="H74" i="5"/>
  <c r="G76" i="5" l="1"/>
  <c r="H75" i="5"/>
  <c r="H76" i="5" l="1"/>
  <c r="G77" i="5"/>
  <c r="H77" i="5" l="1"/>
  <c r="G78" i="5"/>
  <c r="G79" i="5" l="1"/>
  <c r="H78" i="5"/>
  <c r="G80" i="5" l="1"/>
  <c r="H79" i="5"/>
  <c r="G81" i="5" l="1"/>
  <c r="H80" i="5"/>
  <c r="G82" i="5" l="1"/>
  <c r="H81" i="5"/>
  <c r="G83" i="5" l="1"/>
  <c r="H82" i="5"/>
  <c r="H83" i="5" l="1"/>
  <c r="G84" i="5"/>
  <c r="G85" i="5" l="1"/>
  <c r="H84" i="5"/>
  <c r="G86" i="5" l="1"/>
  <c r="H85" i="5"/>
  <c r="G87" i="5" l="1"/>
  <c r="H86" i="5"/>
  <c r="H87" i="5" l="1"/>
  <c r="G88" i="5"/>
  <c r="G89" i="5" l="1"/>
  <c r="H88" i="5"/>
  <c r="H89" i="5" l="1"/>
  <c r="G90" i="5"/>
  <c r="G91" i="5" l="1"/>
  <c r="H90" i="5"/>
  <c r="H91" i="5" l="1"/>
  <c r="G92" i="5"/>
  <c r="H92" i="5" l="1"/>
  <c r="G93" i="5"/>
  <c r="G94" i="5" l="1"/>
  <c r="H93" i="5"/>
  <c r="H94" i="5" l="1"/>
  <c r="G95" i="5"/>
  <c r="H95" i="5" l="1"/>
  <c r="G96" i="5"/>
  <c r="H96" i="5" l="1"/>
  <c r="G97" i="5"/>
  <c r="H97" i="5" l="1"/>
  <c r="G98" i="5"/>
  <c r="G99" i="5" l="1"/>
  <c r="H98" i="5"/>
  <c r="H99" i="5" l="1"/>
  <c r="G100" i="5"/>
  <c r="G101" i="5" l="1"/>
  <c r="H100" i="5"/>
  <c r="G102" i="5" l="1"/>
  <c r="H101" i="5"/>
  <c r="H102" i="5" l="1"/>
  <c r="G103" i="5"/>
  <c r="G104" i="5" l="1"/>
  <c r="H103" i="5"/>
  <c r="H104" i="5" l="1"/>
  <c r="G105" i="5"/>
  <c r="H105" i="5" l="1"/>
  <c r="G106" i="5"/>
  <c r="G107" i="5" l="1"/>
  <c r="H106" i="5"/>
  <c r="G108" i="5" l="1"/>
  <c r="H107" i="5"/>
  <c r="G109" i="5" l="1"/>
  <c r="H108" i="5"/>
  <c r="H109" i="5" l="1"/>
  <c r="G110" i="5"/>
  <c r="H110" i="5" l="1"/>
  <c r="G111" i="5"/>
  <c r="H111" i="5" l="1"/>
  <c r="G112" i="5"/>
  <c r="G113" i="5" l="1"/>
  <c r="H112" i="5"/>
  <c r="G114" i="5" l="1"/>
  <c r="H113" i="5"/>
  <c r="H114" i="5" l="1"/>
  <c r="G115" i="5"/>
  <c r="G116" i="5" l="1"/>
  <c r="H115" i="5"/>
  <c r="G117" i="5" l="1"/>
  <c r="H116" i="5"/>
  <c r="H117" i="5" l="1"/>
  <c r="G118" i="5"/>
  <c r="H118" i="5" l="1"/>
  <c r="G119" i="5"/>
  <c r="H119" i="5" l="1"/>
  <c r="G120" i="5"/>
  <c r="G121" i="5" l="1"/>
  <c r="H120" i="5"/>
  <c r="G122" i="5" l="1"/>
  <c r="H121" i="5"/>
  <c r="H122" i="5" l="1"/>
  <c r="G123" i="5"/>
  <c r="H123" i="5" l="1"/>
  <c r="G124" i="5"/>
  <c r="H124" i="5" l="1"/>
  <c r="G125" i="5"/>
  <c r="G126" i="5" l="1"/>
  <c r="H125" i="5"/>
  <c r="G127" i="5" l="1"/>
  <c r="H126" i="5"/>
  <c r="G128" i="5" l="1"/>
  <c r="H127" i="5"/>
  <c r="G129" i="5" l="1"/>
  <c r="H128" i="5"/>
  <c r="H129" i="5" l="1"/>
  <c r="G130" i="5"/>
  <c r="G131" i="5" l="1"/>
  <c r="H130" i="5"/>
  <c r="H131" i="5" l="1"/>
  <c r="G132" i="5"/>
  <c r="G133" i="5" l="1"/>
  <c r="H132" i="5"/>
  <c r="H133" i="5" l="1"/>
  <c r="G134" i="5"/>
  <c r="H134" i="5" l="1"/>
  <c r="G135" i="5"/>
  <c r="G136" i="5" l="1"/>
  <c r="H135" i="5"/>
  <c r="G137" i="5" l="1"/>
  <c r="H136" i="5"/>
  <c r="H137" i="5" l="1"/>
  <c r="G138" i="5"/>
  <c r="H138" i="5" l="1"/>
  <c r="G139" i="5"/>
  <c r="H139" i="5" l="1"/>
  <c r="G140" i="5"/>
  <c r="G141" i="5" l="1"/>
  <c r="H140" i="5"/>
  <c r="G142" i="5" l="1"/>
  <c r="H141" i="5"/>
  <c r="G143" i="5" l="1"/>
  <c r="H142" i="5"/>
  <c r="H143" i="5" l="1"/>
  <c r="G144" i="5"/>
  <c r="G145" i="5" l="1"/>
  <c r="H144" i="5"/>
  <c r="G146" i="5" l="1"/>
  <c r="H145" i="5"/>
  <c r="H146" i="5" l="1"/>
  <c r="G147" i="5"/>
  <c r="H147" i="5" l="1"/>
  <c r="G148" i="5"/>
  <c r="H148" i="5" l="1"/>
  <c r="G149" i="5"/>
  <c r="H149" i="5" l="1"/>
  <c r="G150" i="5"/>
  <c r="G151" i="5" l="1"/>
  <c r="H150" i="5"/>
  <c r="H151" i="5" l="1"/>
  <c r="G152" i="5"/>
  <c r="H152" i="5" l="1"/>
  <c r="G153" i="5"/>
  <c r="H153" i="5" l="1"/>
  <c r="G154" i="5"/>
  <c r="H154" i="5" l="1"/>
  <c r="G155" i="5"/>
  <c r="G156" i="5" l="1"/>
  <c r="H155" i="5"/>
  <c r="G157" i="5" l="1"/>
  <c r="H156" i="5"/>
  <c r="G158" i="5" l="1"/>
  <c r="H157" i="5"/>
  <c r="H158" i="5" l="1"/>
  <c r="G159" i="5"/>
  <c r="G160" i="5" l="1"/>
  <c r="H159" i="5"/>
  <c r="G161" i="5" l="1"/>
  <c r="H160" i="5"/>
  <c r="H161" i="5" l="1"/>
  <c r="G162" i="5"/>
  <c r="H162" i="5" l="1"/>
  <c r="G163" i="5"/>
  <c r="G164" i="5" l="1"/>
  <c r="H163" i="5"/>
  <c r="G165" i="5" l="1"/>
  <c r="H164" i="5"/>
  <c r="G166" i="5" l="1"/>
  <c r="H165" i="5"/>
  <c r="G167" i="5" l="1"/>
  <c r="H166" i="5"/>
  <c r="G168" i="5" l="1"/>
  <c r="H167" i="5"/>
  <c r="H168" i="5" l="1"/>
  <c r="G169" i="5"/>
  <c r="H169" i="5" l="1"/>
  <c r="G170" i="5"/>
  <c r="H170" i="5" l="1"/>
  <c r="G171" i="5"/>
  <c r="H171" i="5" l="1"/>
  <c r="G172" i="5"/>
  <c r="H172" i="5" l="1"/>
  <c r="G173" i="5"/>
  <c r="G174" i="5" l="1"/>
  <c r="H173" i="5"/>
  <c r="H174" i="5" l="1"/>
  <c r="G175" i="5"/>
  <c r="H175" i="5" l="1"/>
  <c r="G176" i="5"/>
  <c r="H176" i="5" l="1"/>
  <c r="G177" i="5"/>
  <c r="G178" i="5" l="1"/>
  <c r="H177" i="5"/>
  <c r="H178" i="5" l="1"/>
  <c r="G179" i="5"/>
  <c r="H179" i="5" l="1"/>
  <c r="G180" i="5"/>
  <c r="H180" i="5" l="1"/>
  <c r="G181" i="5"/>
  <c r="H181" i="5" l="1"/>
  <c r="G182" i="5"/>
  <c r="H182" i="5" l="1"/>
  <c r="G183" i="5"/>
  <c r="H183" i="5" l="1"/>
  <c r="G184" i="5"/>
  <c r="H184" i="5" l="1"/>
  <c r="G185" i="5"/>
  <c r="H185" i="5" l="1"/>
  <c r="G186" i="5"/>
  <c r="H186" i="5" l="1"/>
  <c r="G187" i="5"/>
  <c r="H187" i="5" l="1"/>
  <c r="G188" i="5"/>
  <c r="H188" i="5" l="1"/>
  <c r="G189" i="5"/>
  <c r="H189" i="5" l="1"/>
  <c r="G190" i="5"/>
  <c r="H190" i="5" l="1"/>
  <c r="G191" i="5"/>
  <c r="H191" i="5" l="1"/>
  <c r="G192" i="5"/>
  <c r="H192" i="5" l="1"/>
  <c r="G193" i="5"/>
  <c r="H193" i="5" l="1"/>
  <c r="G194" i="5"/>
  <c r="G195" i="5" l="1"/>
  <c r="H194" i="5"/>
  <c r="G196" i="5" l="1"/>
  <c r="H195" i="5"/>
  <c r="G197" i="5" l="1"/>
  <c r="H196" i="5"/>
  <c r="H197" i="5" l="1"/>
  <c r="G198" i="5"/>
  <c r="G199" i="5" l="1"/>
  <c r="H198" i="5"/>
  <c r="H199" i="5" l="1"/>
  <c r="G200" i="5"/>
  <c r="H200" i="5" l="1"/>
  <c r="G201" i="5"/>
  <c r="G202" i="5" l="1"/>
  <c r="H201" i="5"/>
  <c r="H202" i="5" l="1"/>
  <c r="G203" i="5"/>
  <c r="H203" i="5" l="1"/>
  <c r="G204" i="5"/>
  <c r="G205" i="5" l="1"/>
  <c r="H204" i="5"/>
  <c r="H205" i="5" l="1"/>
  <c r="G206" i="5"/>
  <c r="H206" i="5" l="1"/>
  <c r="G207" i="5"/>
  <c r="G208" i="5" l="1"/>
  <c r="H207" i="5"/>
  <c r="G209" i="5" l="1"/>
  <c r="H208" i="5"/>
  <c r="G210" i="5" l="1"/>
  <c r="H209" i="5"/>
  <c r="H210" i="5" l="1"/>
  <c r="G211" i="5"/>
  <c r="H211" i="5" l="1"/>
  <c r="G212" i="5"/>
  <c r="H212" i="5" l="1"/>
  <c r="G213" i="5"/>
  <c r="G214" i="5" l="1"/>
  <c r="H213" i="5"/>
  <c r="G215" i="5" l="1"/>
  <c r="H214" i="5"/>
  <c r="H215" i="5" l="1"/>
  <c r="G216" i="5"/>
  <c r="G217" i="5" l="1"/>
  <c r="H216" i="5"/>
  <c r="H217" i="5" l="1"/>
  <c r="G218" i="5"/>
  <c r="H218" i="5" l="1"/>
  <c r="G219" i="5"/>
  <c r="G220" i="5" l="1"/>
  <c r="H219" i="5"/>
  <c r="G221" i="5" l="1"/>
  <c r="H220" i="5"/>
  <c r="H221" i="5" l="1"/>
  <c r="G222" i="5"/>
  <c r="G223" i="5" l="1"/>
  <c r="H222" i="5"/>
  <c r="G224" i="5" l="1"/>
  <c r="H223" i="5"/>
  <c r="G225" i="5" l="1"/>
  <c r="H224" i="5"/>
  <c r="H225" i="5" l="1"/>
  <c r="G226" i="5"/>
  <c r="H226" i="5" l="1"/>
  <c r="G227" i="5"/>
  <c r="G228" i="5" l="1"/>
  <c r="H227" i="5"/>
  <c r="G229" i="5" l="1"/>
  <c r="H228" i="5"/>
  <c r="G230" i="5" l="1"/>
  <c r="H229" i="5"/>
  <c r="H230" i="5" l="1"/>
  <c r="G231" i="5"/>
  <c r="G232" i="5" l="1"/>
  <c r="H231" i="5"/>
  <c r="G233" i="5" l="1"/>
  <c r="H232" i="5"/>
  <c r="H233" i="5" l="1"/>
  <c r="G234" i="5"/>
  <c r="G235" i="5" l="1"/>
  <c r="H234" i="5"/>
  <c r="H235" i="5" l="1"/>
  <c r="G236" i="5"/>
  <c r="G237" i="5" l="1"/>
  <c r="H236" i="5"/>
  <c r="H237" i="5" l="1"/>
  <c r="G238" i="5"/>
  <c r="H238" i="5" l="1"/>
  <c r="G239" i="5"/>
  <c r="G240" i="5" l="1"/>
  <c r="H239" i="5"/>
  <c r="G241" i="5" l="1"/>
  <c r="H240" i="5"/>
  <c r="H241" i="5" l="1"/>
  <c r="G242" i="5"/>
  <c r="H242" i="5" l="1"/>
  <c r="G243" i="5"/>
  <c r="G244" i="5" l="1"/>
  <c r="H243" i="5"/>
  <c r="G245" i="5" l="1"/>
  <c r="H244" i="5"/>
  <c r="H245" i="5" l="1"/>
  <c r="G246" i="5"/>
  <c r="H246" i="5" l="1"/>
  <c r="G247" i="5"/>
  <c r="G248" i="5" l="1"/>
  <c r="H247" i="5"/>
  <c r="H248" i="5" l="1"/>
  <c r="G249" i="5"/>
  <c r="G250" i="5" l="1"/>
  <c r="H249" i="5"/>
  <c r="H250" i="5" l="1"/>
  <c r="G251" i="5"/>
  <c r="G252" i="5" l="1"/>
  <c r="H251" i="5"/>
  <c r="G253" i="5" l="1"/>
  <c r="H252" i="5"/>
  <c r="H253" i="5" l="1"/>
  <c r="G254" i="5"/>
  <c r="H254" i="5" l="1"/>
  <c r="G255" i="5"/>
  <c r="H255" i="5" l="1"/>
  <c r="G256" i="5"/>
  <c r="H256" i="5" l="1"/>
  <c r="G257" i="5"/>
  <c r="G258" i="5" l="1"/>
  <c r="H257" i="5"/>
  <c r="H258" i="5" l="1"/>
  <c r="G259" i="5"/>
  <c r="H259" i="5" l="1"/>
  <c r="G260" i="5"/>
  <c r="H260" i="5" l="1"/>
  <c r="G261" i="5"/>
  <c r="G262" i="5" l="1"/>
  <c r="H261" i="5"/>
  <c r="H262" i="5" l="1"/>
  <c r="G263" i="5"/>
  <c r="G264" i="5" l="1"/>
  <c r="H263" i="5"/>
  <c r="H264" i="5" l="1"/>
  <c r="G265" i="5"/>
  <c r="H265" i="5" l="1"/>
  <c r="G266" i="5"/>
  <c r="H266" i="5" l="1"/>
  <c r="G267" i="5"/>
  <c r="H267" i="5" l="1"/>
  <c r="G268" i="5"/>
  <c r="G269" i="5" l="1"/>
  <c r="H268" i="5"/>
  <c r="G270" i="5" l="1"/>
  <c r="H269" i="5"/>
  <c r="G271" i="5" l="1"/>
  <c r="H270" i="5"/>
  <c r="G272" i="5" l="1"/>
  <c r="H271" i="5"/>
  <c r="G273" i="5" l="1"/>
  <c r="H272" i="5"/>
  <c r="H273" i="5" l="1"/>
  <c r="G274" i="5"/>
  <c r="H274" i="5" l="1"/>
  <c r="G275" i="5"/>
  <c r="G276" i="5" l="1"/>
  <c r="H275" i="5"/>
  <c r="H276" i="5" l="1"/>
  <c r="G277" i="5"/>
  <c r="H277" i="5" l="1"/>
  <c r="G278" i="5"/>
  <c r="H278" i="5" l="1"/>
  <c r="G279" i="5"/>
  <c r="G280" i="5" l="1"/>
  <c r="H279" i="5"/>
  <c r="H280" i="5" l="1"/>
  <c r="G281" i="5"/>
  <c r="H281" i="5" l="1"/>
  <c r="G282" i="5"/>
  <c r="H282" i="5" l="1"/>
  <c r="G283" i="5"/>
  <c r="G284" i="5" l="1"/>
  <c r="H283" i="5"/>
  <c r="H284" i="5" l="1"/>
  <c r="G285" i="5"/>
  <c r="H285" i="5" l="1"/>
  <c r="G286" i="5"/>
  <c r="H286" i="5" l="1"/>
  <c r="G287" i="5"/>
  <c r="H287" i="5" l="1"/>
  <c r="G288" i="5"/>
  <c r="G289" i="5" l="1"/>
  <c r="H288" i="5"/>
  <c r="G290" i="5" l="1"/>
  <c r="H289" i="5"/>
  <c r="H290" i="5" l="1"/>
  <c r="G291" i="5"/>
  <c r="H291" i="5" l="1"/>
  <c r="G292" i="5"/>
  <c r="G293" i="5" l="1"/>
  <c r="H292" i="5"/>
  <c r="H293" i="5" l="1"/>
  <c r="G294" i="5"/>
  <c r="G295" i="5" l="1"/>
  <c r="H294" i="5"/>
  <c r="G296" i="5" l="1"/>
  <c r="H295" i="5"/>
  <c r="H296" i="5" l="1"/>
  <c r="G297" i="5"/>
  <c r="H297" i="5" l="1"/>
  <c r="G298" i="5"/>
  <c r="H298" i="5" l="1"/>
  <c r="G299" i="5"/>
  <c r="H299" i="5" l="1"/>
  <c r="G300" i="5"/>
  <c r="G301" i="5" l="1"/>
  <c r="H300" i="5"/>
  <c r="G302" i="5" l="1"/>
  <c r="H301" i="5"/>
  <c r="G303" i="5" l="1"/>
  <c r="H302" i="5"/>
  <c r="H303" i="5" l="1"/>
  <c r="G304" i="5"/>
  <c r="G305" i="5" l="1"/>
  <c r="H304" i="5"/>
  <c r="H305" i="5" l="1"/>
  <c r="G306" i="5"/>
  <c r="H306" i="5" l="1"/>
  <c r="G307" i="5"/>
  <c r="H307" i="5" l="1"/>
  <c r="G308" i="5"/>
  <c r="H308" i="5" l="1"/>
  <c r="G309" i="5"/>
  <c r="H309" i="5" l="1"/>
  <c r="G310" i="5"/>
  <c r="G311" i="5" l="1"/>
  <c r="H310" i="5"/>
  <c r="H311" i="5" l="1"/>
  <c r="G312" i="5"/>
  <c r="G313" i="5" l="1"/>
  <c r="H312" i="5"/>
  <c r="G314" i="5" l="1"/>
  <c r="H313" i="5"/>
  <c r="G315" i="5" l="1"/>
  <c r="H314" i="5"/>
  <c r="H315" i="5" l="1"/>
  <c r="G316" i="5"/>
  <c r="H316" i="5" l="1"/>
  <c r="G317" i="5"/>
  <c r="G318" i="5" l="1"/>
  <c r="H317" i="5"/>
  <c r="H318" i="5" l="1"/>
  <c r="G319" i="5"/>
  <c r="G320" i="5" l="1"/>
  <c r="H319" i="5"/>
  <c r="G321" i="5" l="1"/>
  <c r="H320" i="5"/>
  <c r="G322" i="5" l="1"/>
  <c r="H321" i="5"/>
  <c r="H322" i="5" l="1"/>
  <c r="G323" i="5"/>
  <c r="H323" i="5" l="1"/>
  <c r="G324" i="5"/>
  <c r="H324" i="5" l="1"/>
  <c r="G325" i="5"/>
  <c r="H325" i="5" l="1"/>
  <c r="G326" i="5"/>
  <c r="H326" i="5" l="1"/>
  <c r="G327" i="5"/>
  <c r="H327" i="5" l="1"/>
  <c r="G328" i="5"/>
  <c r="G329" i="5" l="1"/>
  <c r="H328" i="5"/>
  <c r="G330" i="5" l="1"/>
  <c r="H329" i="5"/>
  <c r="G331" i="5" l="1"/>
  <c r="H330" i="5"/>
  <c r="G332" i="5" l="1"/>
  <c r="H331" i="5"/>
  <c r="G333" i="5" l="1"/>
  <c r="H332" i="5"/>
  <c r="G334" i="5" l="1"/>
  <c r="H333" i="5"/>
  <c r="H334" i="5" l="1"/>
  <c r="G335" i="5"/>
  <c r="G336" i="5" l="1"/>
  <c r="H335" i="5"/>
  <c r="H336" i="5" l="1"/>
  <c r="G337" i="5"/>
  <c r="G338" i="5" l="1"/>
  <c r="H337" i="5"/>
  <c r="G339" i="5" l="1"/>
  <c r="H338" i="5"/>
  <c r="G340" i="5" l="1"/>
  <c r="H339" i="5"/>
  <c r="G341" i="5" l="1"/>
  <c r="H340" i="5"/>
  <c r="G342" i="5" l="1"/>
  <c r="H341" i="5"/>
  <c r="G343" i="5" l="1"/>
  <c r="H342" i="5"/>
  <c r="H343" i="5" l="1"/>
  <c r="G344" i="5"/>
  <c r="H344" i="5" l="1"/>
  <c r="G345" i="5"/>
  <c r="G346" i="5" l="1"/>
  <c r="H345" i="5"/>
  <c r="G347" i="5" l="1"/>
  <c r="H346" i="5"/>
  <c r="G348" i="5" l="1"/>
  <c r="H347" i="5"/>
  <c r="H348" i="5" l="1"/>
  <c r="G349" i="5"/>
  <c r="H349" i="5" l="1"/>
  <c r="G350" i="5"/>
  <c r="G351" i="5" l="1"/>
  <c r="H350" i="5"/>
  <c r="H351" i="5" l="1"/>
  <c r="G352" i="5"/>
  <c r="G353" i="5" l="1"/>
  <c r="H352" i="5"/>
  <c r="H353" i="5" l="1"/>
  <c r="G354" i="5"/>
  <c r="H354" i="5" l="1"/>
  <c r="G355" i="5"/>
  <c r="G356" i="5" l="1"/>
  <c r="H355" i="5"/>
  <c r="G357" i="5" l="1"/>
  <c r="H356" i="5"/>
  <c r="H357" i="5" l="1"/>
  <c r="G358" i="5"/>
  <c r="H358" i="5" l="1"/>
  <c r="G359" i="5"/>
  <c r="G360" i="5" l="1"/>
  <c r="H359" i="5"/>
  <c r="G361" i="5" l="1"/>
  <c r="H360" i="5"/>
  <c r="H361" i="5" l="1"/>
  <c r="G362" i="5"/>
  <c r="H362" i="5" l="1"/>
  <c r="G363" i="5"/>
  <c r="G364" i="5" l="1"/>
  <c r="H363" i="5"/>
  <c r="G365" i="5" l="1"/>
  <c r="H364" i="5"/>
  <c r="H365" i="5" l="1"/>
  <c r="G366" i="5"/>
  <c r="H366" i="5" l="1"/>
  <c r="G367" i="5"/>
  <c r="H367" i="5" l="1"/>
  <c r="G368" i="5"/>
  <c r="G369" i="5" l="1"/>
  <c r="H368" i="5"/>
  <c r="H369" i="5" l="1"/>
  <c r="G370" i="5"/>
  <c r="H370" i="5" l="1"/>
  <c r="G371" i="5"/>
  <c r="H371" i="5" l="1"/>
  <c r="G372" i="5"/>
  <c r="H372" i="5" l="1"/>
  <c r="G373" i="5"/>
  <c r="G374" i="5" l="1"/>
  <c r="H373" i="5"/>
  <c r="G375" i="5" l="1"/>
  <c r="H374" i="5"/>
  <c r="H375" i="5" l="1"/>
  <c r="G376" i="5"/>
  <c r="H376" i="5" l="1"/>
  <c r="G377" i="5"/>
  <c r="H377" i="5" l="1"/>
  <c r="G378" i="5"/>
  <c r="G379" i="5" l="1"/>
  <c r="H378" i="5"/>
  <c r="H379" i="5" l="1"/>
  <c r="G380" i="5"/>
  <c r="G381" i="5" l="1"/>
  <c r="H380" i="5"/>
  <c r="H381" i="5" l="1"/>
  <c r="G382" i="5"/>
  <c r="H382" i="5" l="1"/>
  <c r="G383" i="5"/>
  <c r="H383" i="5" l="1"/>
  <c r="G384" i="5"/>
  <c r="G385" i="5" l="1"/>
  <c r="H384" i="5"/>
  <c r="H385" i="5" l="1"/>
  <c r="G386" i="5"/>
  <c r="G387" i="5" l="1"/>
  <c r="H386" i="5"/>
  <c r="H387" i="5" l="1"/>
  <c r="G388" i="5"/>
  <c r="H388" i="5" l="1"/>
  <c r="G389" i="5"/>
  <c r="H389" i="5" l="1"/>
  <c r="G390" i="5"/>
  <c r="G391" i="5" l="1"/>
  <c r="H390" i="5"/>
  <c r="G392" i="5" l="1"/>
  <c r="H391" i="5"/>
  <c r="H392" i="5" l="1"/>
  <c r="G393" i="5"/>
  <c r="G394" i="5" l="1"/>
  <c r="H393" i="5"/>
  <c r="H394" i="5" l="1"/>
  <c r="G395" i="5"/>
  <c r="G396" i="5" l="1"/>
  <c r="H395" i="5"/>
  <c r="G397" i="5" l="1"/>
  <c r="H396" i="5"/>
  <c r="G398" i="5" l="1"/>
  <c r="H397" i="5"/>
  <c r="H398" i="5" l="1"/>
  <c r="G399" i="5"/>
  <c r="H399" i="5" l="1"/>
  <c r="G400" i="5"/>
  <c r="G401" i="5" l="1"/>
  <c r="H400" i="5"/>
  <c r="G402" i="5" l="1"/>
  <c r="H401" i="5"/>
  <c r="H402" i="5" l="1"/>
  <c r="G403" i="5"/>
  <c r="G404" i="5" l="1"/>
  <c r="H403" i="5"/>
  <c r="H404" i="5" l="1"/>
  <c r="G405" i="5"/>
  <c r="H405" i="5" l="1"/>
  <c r="G406" i="5"/>
  <c r="G407" i="5" l="1"/>
  <c r="H406" i="5"/>
  <c r="H407" i="5" l="1"/>
  <c r="G408" i="5"/>
  <c r="G409" i="5" l="1"/>
  <c r="H408" i="5"/>
  <c r="H409" i="5" l="1"/>
  <c r="G410" i="5"/>
  <c r="G411" i="5" l="1"/>
  <c r="H410" i="5"/>
  <c r="H411" i="5" l="1"/>
  <c r="G412" i="5"/>
  <c r="G413" i="5" l="1"/>
  <c r="H412" i="5"/>
  <c r="H413" i="5" l="1"/>
  <c r="G414" i="5"/>
  <c r="H414" i="5" l="1"/>
  <c r="G415" i="5"/>
  <c r="H415" i="5" l="1"/>
  <c r="G416" i="5"/>
  <c r="H416" i="5" l="1"/>
  <c r="G417" i="5"/>
  <c r="H417" i="5" l="1"/>
  <c r="G418" i="5"/>
  <c r="G419" i="5" l="1"/>
  <c r="H418" i="5"/>
  <c r="H419" i="5" l="1"/>
  <c r="G420" i="5"/>
  <c r="H420" i="5" l="1"/>
  <c r="G421" i="5"/>
  <c r="G422" i="5" l="1"/>
  <c r="H421" i="5"/>
  <c r="G423" i="5" l="1"/>
  <c r="H422" i="5"/>
  <c r="H423" i="5" l="1"/>
  <c r="G424" i="5"/>
  <c r="H424" i="5" l="1"/>
  <c r="G425" i="5"/>
  <c r="G426" i="5" l="1"/>
  <c r="H425" i="5"/>
  <c r="H426" i="5" l="1"/>
  <c r="G427" i="5"/>
  <c r="G428" i="5" l="1"/>
  <c r="H427" i="5"/>
  <c r="H428" i="5" l="1"/>
  <c r="G429" i="5"/>
  <c r="G430" i="5" l="1"/>
  <c r="H429" i="5"/>
  <c r="G431" i="5" l="1"/>
  <c r="H430" i="5"/>
  <c r="H431" i="5" l="1"/>
  <c r="G432" i="5"/>
  <c r="H432" i="5" l="1"/>
  <c r="G433" i="5"/>
  <c r="J11" i="5"/>
  <c r="K11" i="5" l="1"/>
  <c r="L11" i="5"/>
  <c r="G434" i="5"/>
  <c r="H433" i="5"/>
  <c r="D76" i="2" l="1"/>
  <c r="D86" i="2"/>
  <c r="G435" i="5"/>
  <c r="H434" i="5"/>
  <c r="H435" i="5" l="1"/>
  <c r="G436" i="5"/>
  <c r="G437" i="5" l="1"/>
  <c r="H436" i="5"/>
  <c r="H437" i="5" l="1"/>
  <c r="G438" i="5"/>
  <c r="H438" i="5" l="1"/>
  <c r="G439" i="5"/>
  <c r="G440" i="5" l="1"/>
  <c r="H439" i="5"/>
  <c r="G441" i="5" l="1"/>
  <c r="H440" i="5"/>
  <c r="H441" i="5" l="1"/>
  <c r="G442" i="5"/>
  <c r="H442" i="5" l="1"/>
  <c r="G443" i="5"/>
  <c r="G444" i="5" l="1"/>
  <c r="H443" i="5"/>
  <c r="G445" i="5" l="1"/>
  <c r="H444" i="5"/>
  <c r="G446" i="5" l="1"/>
  <c r="H445" i="5"/>
  <c r="H446" i="5" l="1"/>
  <c r="G447" i="5"/>
  <c r="G448" i="5" l="1"/>
  <c r="H447" i="5"/>
  <c r="G449" i="5" l="1"/>
  <c r="H448" i="5"/>
  <c r="H449" i="5" l="1"/>
  <c r="G450" i="5"/>
  <c r="G451" i="5" l="1"/>
  <c r="H450" i="5"/>
  <c r="H451" i="5" l="1"/>
  <c r="G452" i="5"/>
  <c r="H452" i="5" l="1"/>
  <c r="G453" i="5"/>
  <c r="G454" i="5" l="1"/>
  <c r="H453" i="5"/>
  <c r="G455" i="5" l="1"/>
  <c r="H454" i="5"/>
  <c r="G456" i="5" l="1"/>
  <c r="H455" i="5"/>
  <c r="G457" i="5" l="1"/>
  <c r="H456" i="5"/>
  <c r="H457" i="5" l="1"/>
  <c r="G458" i="5"/>
  <c r="G459" i="5" l="1"/>
  <c r="H458" i="5"/>
  <c r="H459" i="5" l="1"/>
  <c r="G460" i="5"/>
  <c r="G461" i="5" l="1"/>
  <c r="H460" i="5"/>
  <c r="H461" i="5" l="1"/>
  <c r="G462" i="5"/>
  <c r="G463" i="5" l="1"/>
  <c r="H462" i="5"/>
  <c r="H463" i="5" l="1"/>
  <c r="G464" i="5"/>
  <c r="H464" i="5" l="1"/>
  <c r="G465" i="5"/>
  <c r="H465" i="5" l="1"/>
  <c r="G466" i="5"/>
  <c r="H466" i="5" l="1"/>
  <c r="G467" i="5"/>
  <c r="H467" i="5" l="1"/>
  <c r="G468" i="5"/>
  <c r="G469" i="5" l="1"/>
  <c r="H468" i="5"/>
  <c r="G470" i="5" l="1"/>
  <c r="H469" i="5"/>
  <c r="G471" i="5" l="1"/>
  <c r="H470" i="5"/>
  <c r="H471" i="5" l="1"/>
  <c r="G472" i="5"/>
  <c r="G473" i="5" l="1"/>
  <c r="H472" i="5"/>
  <c r="G474" i="5" l="1"/>
  <c r="H473" i="5"/>
  <c r="H474" i="5" l="1"/>
  <c r="G475" i="5"/>
  <c r="G476" i="5" l="1"/>
  <c r="H475" i="5"/>
  <c r="H476" i="5" l="1"/>
  <c r="G477" i="5"/>
  <c r="G478" i="5" l="1"/>
  <c r="H477" i="5"/>
  <c r="G479" i="5" l="1"/>
  <c r="H478" i="5"/>
  <c r="H479" i="5" l="1"/>
  <c r="G480" i="5"/>
  <c r="G481" i="5" l="1"/>
  <c r="H480" i="5"/>
  <c r="H481" i="5" l="1"/>
  <c r="G482" i="5"/>
  <c r="G483" i="5" l="1"/>
  <c r="H482" i="5"/>
  <c r="H483" i="5" l="1"/>
  <c r="G484" i="5"/>
  <c r="G485" i="5" l="1"/>
  <c r="H484" i="5"/>
  <c r="G486" i="5" l="1"/>
  <c r="H485" i="5"/>
  <c r="H486" i="5" l="1"/>
  <c r="G487" i="5"/>
  <c r="G488" i="5" l="1"/>
  <c r="H487" i="5"/>
  <c r="H488" i="5" l="1"/>
  <c r="G489" i="5"/>
  <c r="H489" i="5" l="1"/>
  <c r="G490" i="5"/>
  <c r="G491" i="5" l="1"/>
  <c r="H490" i="5"/>
  <c r="G492" i="5" l="1"/>
  <c r="H491" i="5"/>
  <c r="H492" i="5" l="1"/>
  <c r="G493" i="5"/>
  <c r="H493" i="5" s="1"/>
  <c r="J10" i="5"/>
  <c r="L10" i="5" l="1"/>
  <c r="K10"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P166114</author>
  </authors>
  <commentList>
    <comment ref="B19" authorId="0" shapeId="0" xr:uid="{00000000-0006-0000-0400-000001000000}">
      <text>
        <r>
          <rPr>
            <b/>
            <sz val="9"/>
            <color indexed="81"/>
            <rFont val="Tahoma"/>
            <family val="2"/>
          </rPr>
          <t>P166114:</t>
        </r>
        <r>
          <rPr>
            <sz val="9"/>
            <color indexed="81"/>
            <rFont val="Tahoma"/>
            <family val="2"/>
          </rPr>
          <t xml:space="preserve">
con GYG 2 años menor</t>
        </r>
      </text>
    </comment>
    <comment ref="B20" authorId="0" shapeId="0" xr:uid="{00000000-0006-0000-0400-000002000000}">
      <text>
        <r>
          <rPr>
            <b/>
            <sz val="9"/>
            <color indexed="81"/>
            <rFont val="Tahoma"/>
            <family val="2"/>
          </rPr>
          <t>P166114:</t>
        </r>
        <r>
          <rPr>
            <sz val="9"/>
            <color indexed="81"/>
            <rFont val="Tahoma"/>
            <family val="2"/>
          </rPr>
          <t xml:space="preserve">
con CYG 2 años mayor</t>
        </r>
      </text>
    </comment>
  </commentList>
</comments>
</file>

<file path=xl/sharedStrings.xml><?xml version="1.0" encoding="utf-8"?>
<sst xmlns="http://schemas.openxmlformats.org/spreadsheetml/2006/main" count="159" uniqueCount="129">
  <si>
    <t>Complete las celdas de este color</t>
  </si>
  <si>
    <t>*Simuladores son de uso exclusivo de Principal y/o sus Intermediarios.</t>
  </si>
  <si>
    <t>*Habilite las macros, boton opciones en barra de herramientas superior.</t>
  </si>
  <si>
    <t>Sueldo Bruto</t>
  </si>
  <si>
    <t>M</t>
  </si>
  <si>
    <t>Monto de ahorro en DC anual ($)</t>
  </si>
  <si>
    <t>F</t>
  </si>
  <si>
    <t>Sexo</t>
  </si>
  <si>
    <t>Fecha de Nacimiento (DD/MM/AA)</t>
  </si>
  <si>
    <t xml:space="preserve">Rentabilidad proyectada real anual de </t>
  </si>
  <si>
    <t>tope_imponible_mensual</t>
  </si>
  <si>
    <t>UF</t>
  </si>
  <si>
    <t>tasa_dcto_AFP</t>
  </si>
  <si>
    <t>tasa_imp</t>
  </si>
  <si>
    <t>tope_imponible_mensual_cot_cesantia</t>
  </si>
  <si>
    <t>tasa_dcto_Salud</t>
  </si>
  <si>
    <t>Rentabilidades</t>
  </si>
  <si>
    <t>cotizacion_cesantia</t>
  </si>
  <si>
    <t>*porcentaje sobre imponible</t>
  </si>
  <si>
    <t>tasa_com_AFP</t>
  </si>
  <si>
    <t>tope_APVB_mensual</t>
  </si>
  <si>
    <t>tope_DC_mensual</t>
  </si>
  <si>
    <t>Plan de Ahorro Unico Anual en Depósito Convenido y su impacto en la Pensión</t>
  </si>
  <si>
    <t>Utm</t>
  </si>
  <si>
    <t>Valor UF</t>
  </si>
  <si>
    <t>Monto DC</t>
  </si>
  <si>
    <t>Valor UTM</t>
  </si>
  <si>
    <t>Fecha de Nacimiento</t>
  </si>
  <si>
    <t>Duración PAC, Depósito Convenido</t>
  </si>
  <si>
    <t>Ahorro Anual DC (UF)</t>
  </si>
  <si>
    <t>Beneficio Tributario DC (UF)</t>
  </si>
  <si>
    <t>Total Ahorro DC y Beneficio Tributario</t>
  </si>
  <si>
    <t>Aumento de Pensión, por Ahorro DC</t>
  </si>
  <si>
    <t>años</t>
  </si>
  <si>
    <t>$</t>
  </si>
  <si>
    <t>Años de ahorro</t>
  </si>
  <si>
    <t>edad de jubilación</t>
  </si>
  <si>
    <t>años de ahorro ablig</t>
  </si>
  <si>
    <t>* Simulación de una inversión periódica anual</t>
  </si>
  <si>
    <t>Supuesto Rentabilidad Proyectada Nominial Anual</t>
  </si>
  <si>
    <t>Rentabilidad Anual</t>
  </si>
  <si>
    <t>Meses en un año</t>
  </si>
  <si>
    <t xml:space="preserve">Explicación Resultados </t>
  </si>
  <si>
    <t>Plan de Ahorro Sistemático en APV-B y su impacto en la Pensión</t>
  </si>
  <si>
    <t>NO REALIZA APV-B</t>
  </si>
  <si>
    <t>REALIZA APV-B</t>
  </si>
  <si>
    <t xml:space="preserve">     * 57 bis de la LIR, </t>
  </si>
  <si>
    <t xml:space="preserve">     * 107 de la LIR, </t>
  </si>
  <si>
    <t xml:space="preserve">     * Seguros de Vida con Ahorro FFMM no Previsionales</t>
  </si>
  <si>
    <t>* Con lo cual se Optimiza el Ahorro a través de Beneficios Tributarios.</t>
  </si>
  <si>
    <t>CONSOLIDACIÓN DEL BENEFICIO GLOBAL</t>
  </si>
  <si>
    <t>* Logramos que Usted ahorre voluntariamente.</t>
  </si>
  <si>
    <t>* Se obtiene como beneficio:</t>
  </si>
  <si>
    <t xml:space="preserve">     1. Rebaja de su base tributable, con el consiguiente aporte del Estado al ahorro.</t>
  </si>
  <si>
    <t xml:space="preserve">     2. Mayor saldo futuro de aportes voluntarios APV-B al momento del retiro.</t>
  </si>
  <si>
    <t xml:space="preserve">     3. Mayor pensión futura producto de aportes voluntarios en APV-B.</t>
  </si>
  <si>
    <t xml:space="preserve">     4. Incremento del ahorro voluntario no previsional, al ahorrar el monto aportado por el Estado, vía beneficio tributario 57 bis LIR, 107 LIR, Seguros con Ahorro o Régimen General.</t>
  </si>
  <si>
    <t xml:space="preserve">     5. Mayor ingreso futuro, producto de aportes voluntarios en otros beneficios tributarios (57 bis de la LIR, 107 de la LIR, Seguros de Vida con Ahorro FFMM no Previsionales, FFMM Régimen General).</t>
  </si>
  <si>
    <r>
      <t xml:space="preserve">* En definitiva, </t>
    </r>
    <r>
      <rPr>
        <b/>
        <sz val="12"/>
        <color indexed="56"/>
        <rFont val="Arial"/>
        <family val="2"/>
      </rPr>
      <t>hemos optimizado el ahorro a través del beneficio tributario del APV-B</t>
    </r>
    <r>
      <rPr>
        <sz val="12"/>
        <color indexed="56"/>
        <rFont val="Arial"/>
        <family val="2"/>
      </rPr>
      <t>.</t>
    </r>
  </si>
  <si>
    <t>Disclaimers</t>
  </si>
  <si>
    <t>“Esta simulación se ha Preparado teniendo como base la información entregada por el Cliente y en consideración a los objetivos de inversión de éste y no debe ser entendido en ningún caso como un pronóstico cierto ni como una proyección de rentabilidad.  Los valores de de las cuotas de fondos mutuos son variables”.    </t>
  </si>
  <si>
    <t>"Para acceder al Beneficio de Disminución de la Base Imponible, el trabajador debe manifestar su voluntad de acogerse al  régimen tributario b) de APV establecido en el artículo 20L del D.L. 3500 de 1980 (Ahorro antess de Impuestos). Una proporción entre el 5% y 40% del monto de ahorro realizado es financiada por el Estado en la forma de un menor pago de impuestos (el trabajador se acoge a los beneficios tributarios contemplados en el artículo 42 bis de la Ley de Impuesto a la Renta). Los retiros que no estén destinados a anticipar o mejorar la pensión, estarán afectos a un impuesto único que se calculará de acuerdo a lo establecido en el artículo 42 bis Nº 3 de la Ley de Renta".</t>
  </si>
  <si>
    <t>“La simulación no contempla cambios en la remuneración bruta durante la vida laboral, por lo que se utiliza para todo el período la remuneración entregada por el cliente”.</t>
  </si>
  <si>
    <t>Mes</t>
  </si>
  <si>
    <t>UTM</t>
  </si>
  <si>
    <t>Simulador solicitado por Francisco Calvo en Agosto 2013 / Cambios realizados sobre la versión del simulador de APV (# 15).</t>
  </si>
  <si>
    <t>Cambios Realizados</t>
  </si>
  <si>
    <t>Hoja Antecedentes</t>
  </si>
  <si>
    <t>1)</t>
  </si>
  <si>
    <t>Celda D6</t>
  </si>
  <si>
    <t>Se especifica que es un monto en pesos, anual</t>
  </si>
  <si>
    <t>2)</t>
  </si>
  <si>
    <t>Se cambia nombre de botón "APV-B" por "Depósito Convenido Períodico Anual"</t>
  </si>
  <si>
    <t>3)</t>
  </si>
  <si>
    <t>Se elimina Macro y Botón "APV-A"</t>
  </si>
  <si>
    <t>4)</t>
  </si>
  <si>
    <t>Se le agrega un validador para montos mayores al tope legal para depósitos convenidos (900 UF anuales). El validador funciona en torno a la celda I6, que calcula las 900 UF en pesos</t>
  </si>
  <si>
    <t xml:space="preserve">5) </t>
  </si>
  <si>
    <t>Se arregla la macro (no estaba funcionando originalmente)</t>
  </si>
  <si>
    <t>Hoja APV-A</t>
  </si>
  <si>
    <t>Es eliminada</t>
  </si>
  <si>
    <t>Hoja APV-B</t>
  </si>
  <si>
    <t>Se cambia el nombre a : Depósito convenido Anual</t>
  </si>
  <si>
    <t>Se cambia el título (E7:I7)</t>
  </si>
  <si>
    <t>Se cambia las formulas originalmente planteadas por Francisco Calvo en las celdas E15 y F15</t>
  </si>
  <si>
    <t>Las fórmulas que tenía la planilla de Francisco Calvo eran</t>
  </si>
  <si>
    <t>E15</t>
  </si>
  <si>
    <t>F15</t>
  </si>
  <si>
    <t>Fueron cambiadas por</t>
  </si>
  <si>
    <t>En formulación, las expresiones son idénticas.-</t>
  </si>
  <si>
    <t>(Los topes son anuales)</t>
  </si>
  <si>
    <t>Por Camila Paniagua el 23/12/2013</t>
  </si>
  <si>
    <t>1) se eliminó el supuesto de CNU de las filas 63 y 64 de la hoja Depósito Convenido Anual</t>
  </si>
  <si>
    <t>2) Se agregó un mensaje que dice "Actualizado a "Mes" de "Año"" en la fila 8 de la hoja Deposito Convenido Anual (Actualizar mes)</t>
  </si>
  <si>
    <t>Por Camila Paniagua 02/04/2014</t>
  </si>
  <si>
    <t>3) Se actualizaron los CNU para una mujer de 60 años con cónyuge dos años mayor y para un hombre de 65 años con cónyuge dos años menor</t>
  </si>
  <si>
    <t>4) Se agregó un mensaje de supuesto de CNU en las filas 63 y 64 de la hoja Deposito Convenido Anual</t>
  </si>
  <si>
    <t>Tope imponible</t>
  </si>
  <si>
    <t>años de ahorro</t>
  </si>
  <si>
    <t>rentab men</t>
  </si>
  <si>
    <t>Sueldo bruto</t>
  </si>
  <si>
    <t>AFP</t>
  </si>
  <si>
    <t>% cesantía</t>
  </si>
  <si>
    <t>Ahorro acum</t>
  </si>
  <si>
    <t>acum UF</t>
  </si>
  <si>
    <t>aporte neto</t>
  </si>
  <si>
    <t>IRR</t>
  </si>
  <si>
    <t>año</t>
  </si>
  <si>
    <t>mes</t>
  </si>
  <si>
    <t>Sueldo</t>
  </si>
  <si>
    <t>cotización</t>
  </si>
  <si>
    <t>acum</t>
  </si>
  <si>
    <t>Tope imp</t>
  </si>
  <si>
    <t>Tope seg ces</t>
  </si>
  <si>
    <t>Comisión afp</t>
  </si>
  <si>
    <t>sueldo bruto $</t>
  </si>
  <si>
    <t>sueldo bruto UF</t>
  </si>
  <si>
    <t>APV-B</t>
  </si>
  <si>
    <t>Suelod con dcto</t>
  </si>
  <si>
    <t>&gt;</t>
  </si>
  <si>
    <t>Sueldo trib</t>
  </si>
  <si>
    <t>sueldo líquido UF</t>
  </si>
  <si>
    <t>Sueldo liquido $</t>
  </si>
  <si>
    <t>Tasa Mg</t>
  </si>
  <si>
    <t>CNU Hombre 65</t>
  </si>
  <si>
    <t>CNU Mujer 60</t>
  </si>
  <si>
    <t>Junio</t>
  </si>
  <si>
    <t>Julio</t>
  </si>
  <si>
    <t>Actualizado a Julio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</si>
</sst>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_-* #,##0.00_-;\-* #,##0.00_-;_-* &quot;-&quot;??_-;_-@_-"/>
    <numFmt numFmtId="165" formatCode="_(&quot;$&quot;* #,##0.00_);_(&quot;$&quot;* \(#,##0.00\);_(&quot;$&quot;* &quot;-&quot;??_);_(@_)"/>
    <numFmt numFmtId="166" formatCode="_-&quot;$&quot;\ * #,##0.00_-;\-&quot;$&quot;\ * #,##0.00_-;_-&quot;$&quot;\ * &quot;-&quot;??_-;_-@_-"/>
    <numFmt numFmtId="167" formatCode="0.0%"/>
    <numFmt numFmtId="168" formatCode="0.0000%"/>
    <numFmt numFmtId="169" formatCode="&quot;$&quot;\ #,##0"/>
    <numFmt numFmtId="170" formatCode="_-&quot;$&quot;\ * #,##0_-;\-&quot;$&quot;\ * #,##0_-;_-&quot;$&quot;\ * &quot;-&quot;??_-;_-@_-"/>
    <numFmt numFmtId="171" formatCode="0.0"/>
    <numFmt numFmtId="172" formatCode="0.000"/>
    <numFmt numFmtId="173" formatCode="_(&quot;$&quot;* #,##0_);_(&quot;$&quot;* \(#,##0\);_(&quot;$&quot;* &quot;-&quot;??_);_(@_)"/>
    <numFmt numFmtId="174" formatCode="_-* #,##0_-;\-* #,##0_-;_-* &quot;-&quot;??_-;_-@_-"/>
    <numFmt numFmtId="175" formatCode="_(&quot;$&quot;* #,##0.000_);_(&quot;$&quot;* \(#,##0.000\);_(&quot;$&quot;* &quot;-&quot;???_);_(@_)"/>
    <numFmt numFmtId="176" formatCode="0.000%"/>
    <numFmt numFmtId="177" formatCode="&quot;$&quot;#,##0"/>
  </numFmts>
  <fonts count="40" x14ac:knownFonts="1">
    <font>
      <sz val="10"/>
      <name val="Arial"/>
    </font>
    <font>
      <sz val="8"/>
      <name val="Arial"/>
      <family val="2"/>
    </font>
    <font>
      <sz val="10"/>
      <name val="Arial"/>
      <family val="2"/>
    </font>
    <font>
      <b/>
      <sz val="12"/>
      <name val="Arial"/>
      <family val="2"/>
    </font>
    <font>
      <b/>
      <sz val="12"/>
      <color indexed="8"/>
      <name val="Arial"/>
      <family val="2"/>
    </font>
    <font>
      <sz val="10"/>
      <name val="Arial"/>
      <family val="2"/>
    </font>
    <font>
      <b/>
      <sz val="12"/>
      <color indexed="56"/>
      <name val="Arial"/>
      <family val="2"/>
    </font>
    <font>
      <sz val="10"/>
      <name val="Arial"/>
      <family val="2"/>
    </font>
    <font>
      <sz val="12"/>
      <name val="Arial"/>
      <family val="2"/>
    </font>
    <font>
      <sz val="12"/>
      <color indexed="56"/>
      <name val="Arial"/>
      <family val="2"/>
    </font>
    <font>
      <sz val="11"/>
      <name val="Calibri"/>
      <family val="2"/>
    </font>
    <font>
      <b/>
      <sz val="10"/>
      <name val="Arial"/>
      <family val="2"/>
    </font>
    <font>
      <sz val="9"/>
      <color indexed="81"/>
      <name val="Tahoma"/>
      <family val="2"/>
    </font>
    <font>
      <b/>
      <sz val="9"/>
      <color indexed="81"/>
      <name val="Tahoma"/>
      <family val="2"/>
    </font>
    <font>
      <b/>
      <sz val="10"/>
      <color theme="3"/>
      <name val="Arial"/>
      <family val="2"/>
    </font>
    <font>
      <sz val="12"/>
      <color theme="3"/>
      <name val="Arial"/>
      <family val="2"/>
    </font>
    <font>
      <b/>
      <sz val="10"/>
      <color rgb="FFFF0000"/>
      <name val="Arial"/>
      <family val="2"/>
    </font>
    <font>
      <b/>
      <u/>
      <sz val="12"/>
      <color rgb="FF003580"/>
      <name val="Arial"/>
      <family val="2"/>
    </font>
    <font>
      <sz val="12"/>
      <color rgb="FF003580"/>
      <name val="Arial"/>
      <family val="2"/>
    </font>
    <font>
      <sz val="12"/>
      <color rgb="FF003580"/>
      <name val="Calibri"/>
      <family val="2"/>
      <scheme val="minor"/>
    </font>
    <font>
      <b/>
      <sz val="12"/>
      <color theme="3"/>
      <name val="Arial"/>
      <family val="2"/>
    </font>
    <font>
      <sz val="10"/>
      <color rgb="FFFF0000"/>
      <name val="Arial"/>
      <family val="2"/>
    </font>
    <font>
      <sz val="10"/>
      <color theme="0"/>
      <name val="Arial"/>
      <family val="2"/>
    </font>
    <font>
      <sz val="12"/>
      <color rgb="FFFF0000"/>
      <name val="Arial"/>
      <family val="2"/>
    </font>
    <font>
      <b/>
      <sz val="10"/>
      <color theme="0"/>
      <name val="Arial"/>
      <family val="2"/>
    </font>
    <font>
      <b/>
      <sz val="12"/>
      <color rgb="FF0091DA"/>
      <name val="Arial"/>
      <family val="2"/>
    </font>
    <font>
      <b/>
      <sz val="10"/>
      <color rgb="FF0091DA"/>
      <name val="Arial"/>
      <family val="2"/>
    </font>
    <font>
      <b/>
      <u/>
      <sz val="14"/>
      <color rgb="FF003580"/>
      <name val="Arial"/>
      <family val="2"/>
    </font>
    <font>
      <b/>
      <sz val="12"/>
      <color rgb="FF003580"/>
      <name val="Arial"/>
      <family val="2"/>
    </font>
    <font>
      <sz val="10"/>
      <color rgb="FF003580"/>
      <name val="Arial"/>
      <family val="2"/>
    </font>
    <font>
      <sz val="10"/>
      <color theme="3"/>
      <name val="Arial"/>
      <family val="2"/>
    </font>
    <font>
      <b/>
      <u/>
      <sz val="14"/>
      <color rgb="FFFF0000"/>
      <name val="Arial"/>
      <family val="2"/>
    </font>
    <font>
      <b/>
      <sz val="12"/>
      <color rgb="FFFF0000"/>
      <name val="Arial"/>
      <family val="2"/>
    </font>
    <font>
      <sz val="11"/>
      <color rgb="FFFF0000"/>
      <name val="Calibri"/>
      <family val="2"/>
    </font>
    <font>
      <b/>
      <sz val="12"/>
      <color theme="0"/>
      <name val="Arial"/>
      <family val="2"/>
    </font>
    <font>
      <b/>
      <u/>
      <sz val="12"/>
      <color theme="3"/>
      <name val="Arial"/>
      <family val="2"/>
    </font>
    <font>
      <sz val="9"/>
      <color theme="3"/>
      <name val="Arial"/>
      <family val="2"/>
    </font>
    <font>
      <sz val="11"/>
      <color rgb="FF003580"/>
      <name val="Calibri"/>
      <family val="2"/>
    </font>
    <font>
      <sz val="12"/>
      <color rgb="FF000000"/>
      <name val="Arial"/>
      <family val="2"/>
    </font>
    <font>
      <sz val="11"/>
      <color rgb="FF706F6F"/>
      <name val="Helvetica Neue"/>
      <family val="2"/>
    </font>
  </fonts>
  <fills count="8">
    <fill>
      <patternFill patternType="none"/>
    </fill>
    <fill>
      <patternFill patternType="gray125"/>
    </fill>
    <fill>
      <patternFill patternType="solid">
        <fgColor theme="0"/>
        <bgColor indexed="64"/>
      </patternFill>
    </fill>
    <fill>
      <patternFill patternType="solid">
        <fgColor rgb="FFF2F2F2"/>
        <bgColor indexed="64"/>
      </patternFill>
    </fill>
    <fill>
      <patternFill patternType="solid">
        <fgColor rgb="FFC4ECFF"/>
        <bgColor indexed="64"/>
      </patternFill>
    </fill>
    <fill>
      <patternFill patternType="solid">
        <fgColor rgb="FFCF7600"/>
        <bgColor indexed="64"/>
      </patternFill>
    </fill>
    <fill>
      <patternFill patternType="solid">
        <fgColor rgb="FF0091DA"/>
        <bgColor indexed="64"/>
      </patternFill>
    </fill>
    <fill>
      <patternFill patternType="solid">
        <fgColor theme="3"/>
        <bgColor indexed="64"/>
      </patternFill>
    </fill>
  </fills>
  <borders count="21">
    <border>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164" fontId="7" fillId="0" borderId="0" applyFont="0" applyFill="0" applyBorder="0" applyAlignment="0" applyProtection="0"/>
    <xf numFmtId="166" fontId="5" fillId="0" borderId="0" applyFont="0" applyFill="0" applyBorder="0" applyAlignment="0" applyProtection="0"/>
    <xf numFmtId="9" fontId="5" fillId="0" borderId="0" applyFont="0" applyFill="0" applyBorder="0" applyAlignment="0" applyProtection="0"/>
  </cellStyleXfs>
  <cellXfs count="165">
    <xf numFmtId="0" fontId="0" fillId="0" borderId="0" xfId="0"/>
    <xf numFmtId="0" fontId="2" fillId="2" borderId="0" xfId="0" applyFont="1" applyFill="1"/>
    <xf numFmtId="0" fontId="14" fillId="2" borderId="0" xfId="0" applyFont="1" applyFill="1" applyAlignment="1" applyProtection="1">
      <alignment horizontal="left"/>
      <protection hidden="1"/>
    </xf>
    <xf numFmtId="171" fontId="0" fillId="0" borderId="0" xfId="0" applyNumberFormat="1"/>
    <xf numFmtId="0" fontId="2" fillId="0" borderId="0" xfId="0" applyFont="1"/>
    <xf numFmtId="167" fontId="0" fillId="0" borderId="0" xfId="3" applyNumberFormat="1" applyFont="1"/>
    <xf numFmtId="10" fontId="0" fillId="0" borderId="0" xfId="3" applyNumberFormat="1" applyFont="1"/>
    <xf numFmtId="172" fontId="0" fillId="0" borderId="0" xfId="0" applyNumberFormat="1"/>
    <xf numFmtId="173" fontId="0" fillId="0" borderId="0" xfId="0" applyNumberFormat="1"/>
    <xf numFmtId="172" fontId="0" fillId="0" borderId="0" xfId="2" applyNumberFormat="1" applyFont="1"/>
    <xf numFmtId="170" fontId="15" fillId="3" borderId="1" xfId="2" applyNumberFormat="1" applyFont="1" applyFill="1" applyBorder="1" applyAlignment="1" applyProtection="1">
      <alignment horizontal="center" vertical="center" wrapText="1"/>
      <protection hidden="1"/>
    </xf>
    <xf numFmtId="170" fontId="15" fillId="2" borderId="2" xfId="2" applyNumberFormat="1" applyFont="1" applyFill="1" applyBorder="1" applyAlignment="1" applyProtection="1">
      <alignment horizontal="center" vertical="center" wrapText="1"/>
      <protection hidden="1"/>
    </xf>
    <xf numFmtId="170" fontId="15" fillId="3" borderId="2" xfId="2" applyNumberFormat="1" applyFont="1" applyFill="1" applyBorder="1" applyAlignment="1" applyProtection="1">
      <alignment horizontal="center" vertical="center" wrapText="1"/>
      <protection hidden="1"/>
    </xf>
    <xf numFmtId="170" fontId="15" fillId="2" borderId="3" xfId="2" applyNumberFormat="1" applyFont="1" applyFill="1" applyBorder="1" applyAlignment="1" applyProtection="1">
      <alignment horizontal="center" vertical="center" wrapText="1"/>
      <protection hidden="1"/>
    </xf>
    <xf numFmtId="0" fontId="16" fillId="2" borderId="0" xfId="0" applyFont="1" applyFill="1" applyAlignment="1">
      <alignment horizontal="right" vertical="center"/>
    </xf>
    <xf numFmtId="3" fontId="15" fillId="3" borderId="4" xfId="2" applyNumberFormat="1" applyFont="1" applyFill="1" applyBorder="1" applyAlignment="1" applyProtection="1">
      <alignment horizontal="center" vertical="center" wrapText="1"/>
      <protection hidden="1"/>
    </xf>
    <xf numFmtId="3" fontId="15" fillId="2" borderId="0" xfId="2" applyNumberFormat="1" applyFont="1" applyFill="1" applyBorder="1" applyAlignment="1" applyProtection="1">
      <alignment horizontal="center" vertical="center" wrapText="1"/>
      <protection hidden="1"/>
    </xf>
    <xf numFmtId="3" fontId="15" fillId="3" borderId="0" xfId="2" applyNumberFormat="1" applyFont="1" applyFill="1" applyBorder="1" applyAlignment="1" applyProtection="1">
      <alignment horizontal="center" vertical="center" wrapText="1"/>
      <protection hidden="1"/>
    </xf>
    <xf numFmtId="3" fontId="15" fillId="2" borderId="5" xfId="2" applyNumberFormat="1" applyFont="1" applyFill="1" applyBorder="1" applyAlignment="1" applyProtection="1">
      <alignment horizontal="center" vertical="center" wrapText="1"/>
      <protection hidden="1"/>
    </xf>
    <xf numFmtId="166" fontId="0" fillId="0" borderId="0" xfId="2" applyFont="1"/>
    <xf numFmtId="175" fontId="0" fillId="0" borderId="0" xfId="0" applyNumberFormat="1"/>
    <xf numFmtId="165" fontId="0" fillId="0" borderId="0" xfId="0" applyNumberFormat="1"/>
    <xf numFmtId="170" fontId="0" fillId="0" borderId="0" xfId="2" applyNumberFormat="1" applyFont="1"/>
    <xf numFmtId="9" fontId="0" fillId="0" borderId="0" xfId="0" applyNumberFormat="1"/>
    <xf numFmtId="176" fontId="0" fillId="0" borderId="0" xfId="3" applyNumberFormat="1" applyFont="1"/>
    <xf numFmtId="170" fontId="0" fillId="0" borderId="0" xfId="0" applyNumberFormat="1"/>
    <xf numFmtId="2" fontId="0" fillId="0" borderId="0" xfId="0" applyNumberFormat="1"/>
    <xf numFmtId="40" fontId="0" fillId="0" borderId="0" xfId="0" applyNumberFormat="1"/>
    <xf numFmtId="0" fontId="2" fillId="2" borderId="6" xfId="0" applyFont="1" applyFill="1" applyBorder="1" applyProtection="1">
      <protection hidden="1"/>
    </xf>
    <xf numFmtId="174" fontId="2" fillId="2" borderId="6" xfId="1" applyNumberFormat="1" applyFont="1" applyFill="1" applyBorder="1" applyProtection="1">
      <protection hidden="1"/>
    </xf>
    <xf numFmtId="0" fontId="2" fillId="2" borderId="0" xfId="0" applyFont="1" applyFill="1" applyProtection="1">
      <protection hidden="1"/>
    </xf>
    <xf numFmtId="174" fontId="2" fillId="2" borderId="0" xfId="1" applyNumberFormat="1" applyFont="1" applyFill="1" applyBorder="1" applyProtection="1">
      <protection hidden="1"/>
    </xf>
    <xf numFmtId="0" fontId="17" fillId="2" borderId="0" xfId="0" applyFont="1" applyFill="1" applyProtection="1">
      <protection hidden="1"/>
    </xf>
    <xf numFmtId="0" fontId="8" fillId="2" borderId="0" xfId="0" applyFont="1" applyFill="1" applyProtection="1">
      <protection hidden="1"/>
    </xf>
    <xf numFmtId="0" fontId="18" fillId="2" borderId="0" xfId="0" applyFont="1" applyFill="1" applyProtection="1">
      <protection hidden="1"/>
    </xf>
    <xf numFmtId="174" fontId="18" fillId="2" borderId="0" xfId="1" applyNumberFormat="1" applyFont="1" applyFill="1" applyBorder="1" applyProtection="1">
      <protection hidden="1"/>
    </xf>
    <xf numFmtId="0" fontId="19" fillId="2" borderId="0" xfId="0" applyFont="1" applyFill="1" applyProtection="1">
      <protection hidden="1"/>
    </xf>
    <xf numFmtId="0" fontId="20" fillId="2" borderId="0" xfId="0" applyFont="1" applyFill="1" applyAlignment="1">
      <alignment horizontal="right" vertical="center" wrapText="1"/>
    </xf>
    <xf numFmtId="0" fontId="0" fillId="2" borderId="0" xfId="0" applyFill="1"/>
    <xf numFmtId="0" fontId="0" fillId="2" borderId="7" xfId="0" applyFill="1" applyBorder="1"/>
    <xf numFmtId="0" fontId="0" fillId="2" borderId="6" xfId="0" applyFill="1" applyBorder="1"/>
    <xf numFmtId="0" fontId="0" fillId="2"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170" fontId="20" fillId="2" borderId="14" xfId="2" applyNumberFormat="1" applyFont="1" applyFill="1" applyBorder="1" applyAlignment="1" applyProtection="1">
      <alignment horizontal="center"/>
      <protection hidden="1"/>
    </xf>
    <xf numFmtId="14" fontId="20" fillId="2" borderId="14" xfId="2" applyNumberFormat="1" applyFont="1" applyFill="1" applyBorder="1" applyAlignment="1" applyProtection="1">
      <alignment horizontal="center"/>
      <protection hidden="1"/>
    </xf>
    <xf numFmtId="10" fontId="20" fillId="2" borderId="14" xfId="0" applyNumberFormat="1" applyFont="1" applyFill="1" applyBorder="1" applyAlignment="1" applyProtection="1">
      <alignment horizontal="center"/>
      <protection hidden="1"/>
    </xf>
    <xf numFmtId="0" fontId="21" fillId="2" borderId="0" xfId="0" applyFont="1" applyFill="1"/>
    <xf numFmtId="0" fontId="0" fillId="2" borderId="0" xfId="0" applyFill="1" applyProtection="1">
      <protection hidden="1"/>
    </xf>
    <xf numFmtId="0" fontId="21" fillId="2" borderId="0" xfId="0" applyFont="1" applyFill="1" applyProtection="1">
      <protection hidden="1"/>
    </xf>
    <xf numFmtId="170" fontId="22" fillId="2" borderId="0" xfId="2" applyNumberFormat="1" applyFont="1" applyFill="1" applyProtection="1">
      <protection hidden="1"/>
    </xf>
    <xf numFmtId="0" fontId="22" fillId="2" borderId="0" xfId="0" applyFont="1" applyFill="1" applyProtection="1">
      <protection hidden="1"/>
    </xf>
    <xf numFmtId="167" fontId="22" fillId="2" borderId="0" xfId="3" applyNumberFormat="1" applyFont="1" applyFill="1" applyProtection="1">
      <protection hidden="1"/>
    </xf>
    <xf numFmtId="0" fontId="23" fillId="2" borderId="0" xfId="0" applyFont="1" applyFill="1" applyAlignment="1" applyProtection="1">
      <alignment vertical="center" wrapText="1"/>
      <protection hidden="1"/>
    </xf>
    <xf numFmtId="170" fontId="20" fillId="2" borderId="14" xfId="2" applyNumberFormat="1" applyFont="1" applyFill="1" applyBorder="1" applyAlignment="1" applyProtection="1">
      <alignment horizontal="center" vertical="center" wrapText="1"/>
      <protection hidden="1"/>
    </xf>
    <xf numFmtId="0" fontId="11" fillId="2" borderId="0" xfId="0" applyFont="1" applyFill="1"/>
    <xf numFmtId="0" fontId="24" fillId="2" borderId="0" xfId="0" applyFont="1" applyFill="1" applyAlignment="1">
      <alignment horizontal="left" vertical="center"/>
    </xf>
    <xf numFmtId="17" fontId="0" fillId="2" borderId="0" xfId="0" applyNumberFormat="1" applyFill="1"/>
    <xf numFmtId="4" fontId="15" fillId="3" borderId="4" xfId="2" applyNumberFormat="1" applyFont="1" applyFill="1" applyBorder="1" applyAlignment="1" applyProtection="1">
      <alignment horizontal="center" vertical="center" wrapText="1"/>
      <protection hidden="1"/>
    </xf>
    <xf numFmtId="4" fontId="15" fillId="2" borderId="0" xfId="2" applyNumberFormat="1" applyFont="1" applyFill="1" applyBorder="1" applyAlignment="1" applyProtection="1">
      <alignment horizontal="center" vertical="center" wrapText="1"/>
      <protection hidden="1"/>
    </xf>
    <xf numFmtId="4" fontId="15" fillId="3" borderId="0" xfId="2" applyNumberFormat="1" applyFont="1" applyFill="1" applyBorder="1" applyAlignment="1" applyProtection="1">
      <alignment horizontal="center" vertical="center" wrapText="1"/>
      <protection hidden="1"/>
    </xf>
    <xf numFmtId="4" fontId="15" fillId="2" borderId="5" xfId="2" applyNumberFormat="1" applyFont="1" applyFill="1" applyBorder="1" applyAlignment="1" applyProtection="1">
      <alignment horizontal="center" vertical="center" wrapText="1"/>
      <protection hidden="1"/>
    </xf>
    <xf numFmtId="4" fontId="0" fillId="0" borderId="0" xfId="0" applyNumberFormat="1"/>
    <xf numFmtId="3" fontId="0" fillId="0" borderId="0" xfId="0" applyNumberFormat="1"/>
    <xf numFmtId="0" fontId="25" fillId="2" borderId="0" xfId="0" applyFont="1" applyFill="1" applyAlignment="1">
      <alignment horizontal="right"/>
    </xf>
    <xf numFmtId="177" fontId="26" fillId="4" borderId="14" xfId="0" applyNumberFormat="1" applyFont="1" applyFill="1" applyBorder="1" applyAlignment="1" applyProtection="1">
      <alignment vertical="center"/>
      <protection locked="0"/>
    </xf>
    <xf numFmtId="3" fontId="26" fillId="4" borderId="14" xfId="0" applyNumberFormat="1" applyFont="1" applyFill="1" applyBorder="1" applyAlignment="1" applyProtection="1">
      <alignment vertical="center"/>
      <protection locked="0"/>
    </xf>
    <xf numFmtId="0" fontId="26" fillId="4" borderId="14" xfId="0" applyFont="1" applyFill="1" applyBorder="1" applyAlignment="1" applyProtection="1">
      <alignment horizontal="right" vertical="center"/>
      <protection locked="0"/>
    </xf>
    <xf numFmtId="14" fontId="26" fillId="4" borderId="14" xfId="0" applyNumberFormat="1" applyFont="1" applyFill="1" applyBorder="1" applyAlignment="1" applyProtection="1">
      <alignment vertical="center"/>
      <protection locked="0"/>
    </xf>
    <xf numFmtId="10" fontId="26" fillId="4" borderId="14" xfId="3" applyNumberFormat="1" applyFont="1" applyFill="1" applyBorder="1" applyAlignment="1" applyProtection="1">
      <alignment vertical="center"/>
      <protection locked="0"/>
    </xf>
    <xf numFmtId="0" fontId="27" fillId="2" borderId="0" xfId="0" applyFont="1" applyFill="1" applyAlignment="1" applyProtection="1">
      <alignment horizontal="center" vertical="center"/>
      <protection hidden="1"/>
    </xf>
    <xf numFmtId="0" fontId="2" fillId="2" borderId="0" xfId="0" applyFont="1" applyFill="1" applyAlignment="1" applyProtection="1">
      <alignment horizontal="right"/>
      <protection hidden="1"/>
    </xf>
    <xf numFmtId="0" fontId="16" fillId="2" borderId="0" xfId="0" applyFont="1" applyFill="1" applyAlignment="1" applyProtection="1">
      <alignment horizontal="right" vertical="center"/>
      <protection hidden="1"/>
    </xf>
    <xf numFmtId="0" fontId="22" fillId="0" borderId="0" xfId="0" applyFont="1" applyProtection="1">
      <protection hidden="1"/>
    </xf>
    <xf numFmtId="0" fontId="0" fillId="0" borderId="0" xfId="0" applyProtection="1">
      <protection hidden="1"/>
    </xf>
    <xf numFmtId="0" fontId="2" fillId="2" borderId="7" xfId="0" applyFont="1" applyFill="1" applyBorder="1" applyProtection="1">
      <protection hidden="1"/>
    </xf>
    <xf numFmtId="0" fontId="2" fillId="2" borderId="8" xfId="0" applyFont="1" applyFill="1" applyBorder="1" applyProtection="1">
      <protection hidden="1"/>
    </xf>
    <xf numFmtId="167" fontId="22" fillId="2" borderId="0" xfId="0" applyNumberFormat="1" applyFont="1" applyFill="1" applyProtection="1">
      <protection hidden="1"/>
    </xf>
    <xf numFmtId="0" fontId="2" fillId="2" borderId="9" xfId="0" applyFont="1" applyFill="1" applyBorder="1" applyProtection="1">
      <protection hidden="1"/>
    </xf>
    <xf numFmtId="0" fontId="2" fillId="2" borderId="10" xfId="0" applyFont="1" applyFill="1" applyBorder="1" applyProtection="1">
      <protection hidden="1"/>
    </xf>
    <xf numFmtId="0" fontId="17" fillId="2" borderId="0" xfId="0" applyFont="1" applyFill="1" applyAlignment="1" applyProtection="1">
      <alignment horizontal="center"/>
      <protection hidden="1"/>
    </xf>
    <xf numFmtId="0" fontId="25" fillId="2" borderId="0" xfId="0" applyFont="1" applyFill="1" applyAlignment="1" applyProtection="1">
      <alignment horizontal="right"/>
      <protection hidden="1"/>
    </xf>
    <xf numFmtId="0" fontId="28" fillId="2" borderId="0" xfId="0" applyFont="1" applyFill="1" applyAlignment="1" applyProtection="1">
      <alignment horizontal="right"/>
      <protection hidden="1"/>
    </xf>
    <xf numFmtId="0" fontId="20" fillId="2" borderId="0" xfId="0" applyFont="1" applyFill="1" applyAlignment="1" applyProtection="1">
      <alignment horizontal="right"/>
      <protection hidden="1"/>
    </xf>
    <xf numFmtId="0" fontId="29" fillId="2" borderId="0" xfId="0" applyFont="1" applyFill="1" applyProtection="1">
      <protection hidden="1"/>
    </xf>
    <xf numFmtId="0" fontId="20" fillId="2" borderId="0" xfId="0" applyFont="1" applyFill="1" applyAlignment="1" applyProtection="1">
      <alignment horizontal="right" vertical="center" wrapText="1"/>
      <protection hidden="1"/>
    </xf>
    <xf numFmtId="0" fontId="20" fillId="2" borderId="14" xfId="0" applyFont="1" applyFill="1" applyBorder="1" applyAlignment="1" applyProtection="1">
      <alignment horizontal="center" vertical="center" wrapText="1"/>
      <protection hidden="1"/>
    </xf>
    <xf numFmtId="0" fontId="20" fillId="2" borderId="15" xfId="0" applyFont="1" applyFill="1" applyBorder="1" applyAlignment="1" applyProtection="1">
      <alignment horizontal="center" vertical="center" wrapText="1"/>
      <protection hidden="1"/>
    </xf>
    <xf numFmtId="0" fontId="20" fillId="0" borderId="14" xfId="0" applyFont="1" applyBorder="1" applyAlignment="1" applyProtection="1">
      <alignment horizontal="center" vertical="center" wrapText="1"/>
      <protection hidden="1"/>
    </xf>
    <xf numFmtId="9" fontId="20" fillId="2" borderId="14" xfId="0" applyNumberFormat="1" applyFont="1" applyFill="1" applyBorder="1" applyAlignment="1" applyProtection="1">
      <alignment horizontal="center" vertical="center" wrapText="1"/>
      <protection hidden="1"/>
    </xf>
    <xf numFmtId="0" fontId="22" fillId="2" borderId="9" xfId="0" applyFont="1" applyFill="1" applyBorder="1" applyProtection="1">
      <protection hidden="1"/>
    </xf>
    <xf numFmtId="0" fontId="20" fillId="3" borderId="16" xfId="0" applyFont="1" applyFill="1" applyBorder="1" applyAlignment="1" applyProtection="1">
      <alignment horizontal="center" vertical="center" wrapText="1"/>
      <protection hidden="1"/>
    </xf>
    <xf numFmtId="0" fontId="20" fillId="2" borderId="17" xfId="0" applyFont="1" applyFill="1" applyBorder="1" applyAlignment="1" applyProtection="1">
      <alignment horizontal="center" vertical="center" wrapText="1"/>
      <protection hidden="1"/>
    </xf>
    <xf numFmtId="0" fontId="20" fillId="3" borderId="17" xfId="0" applyFont="1" applyFill="1" applyBorder="1" applyAlignment="1" applyProtection="1">
      <alignment horizontal="center" vertical="center" wrapText="1"/>
      <protection hidden="1"/>
    </xf>
    <xf numFmtId="0" fontId="20" fillId="2" borderId="18" xfId="0" applyFont="1" applyFill="1" applyBorder="1" applyAlignment="1" applyProtection="1">
      <alignment horizontal="center" vertical="center" wrapText="1"/>
      <protection hidden="1"/>
    </xf>
    <xf numFmtId="0" fontId="3" fillId="2" borderId="0" xfId="0" applyFont="1" applyFill="1" applyAlignment="1" applyProtection="1">
      <alignment horizontal="center" vertical="center"/>
      <protection hidden="1"/>
    </xf>
    <xf numFmtId="4" fontId="4" fillId="2" borderId="0" xfId="0" applyNumberFormat="1" applyFont="1" applyFill="1" applyAlignment="1" applyProtection="1">
      <alignment horizontal="center" vertical="center" wrapText="1"/>
      <protection hidden="1"/>
    </xf>
    <xf numFmtId="0" fontId="14" fillId="2" borderId="0" xfId="0" applyFont="1" applyFill="1" applyProtection="1">
      <protection hidden="1"/>
    </xf>
    <xf numFmtId="0" fontId="30" fillId="2" borderId="0" xfId="0" applyFont="1" applyFill="1" applyProtection="1">
      <protection hidden="1"/>
    </xf>
    <xf numFmtId="10" fontId="14" fillId="5" borderId="14" xfId="0" applyNumberFormat="1" applyFont="1" applyFill="1" applyBorder="1" applyAlignment="1" applyProtection="1">
      <alignment horizontal="left"/>
      <protection hidden="1"/>
    </xf>
    <xf numFmtId="168" fontId="24" fillId="6" borderId="14" xfId="0" applyNumberFormat="1" applyFont="1" applyFill="1" applyBorder="1" applyAlignment="1" applyProtection="1">
      <alignment horizontal="center" vertical="center"/>
      <protection hidden="1"/>
    </xf>
    <xf numFmtId="0" fontId="2" fillId="2" borderId="11" xfId="0" applyFont="1" applyFill="1" applyBorder="1" applyProtection="1">
      <protection hidden="1"/>
    </xf>
    <xf numFmtId="174" fontId="2" fillId="2" borderId="8" xfId="1" applyNumberFormat="1" applyFont="1" applyFill="1" applyBorder="1" applyProtection="1">
      <protection hidden="1"/>
    </xf>
    <xf numFmtId="174" fontId="21" fillId="2" borderId="0" xfId="1" applyNumberFormat="1" applyFont="1" applyFill="1" applyBorder="1" applyProtection="1">
      <protection hidden="1"/>
    </xf>
    <xf numFmtId="4" fontId="21" fillId="2" borderId="0" xfId="0" applyNumberFormat="1" applyFont="1" applyFill="1" applyProtection="1">
      <protection hidden="1"/>
    </xf>
    <xf numFmtId="174" fontId="2" fillId="2" borderId="10" xfId="1" applyNumberFormat="1" applyFont="1" applyFill="1" applyBorder="1" applyProtection="1">
      <protection hidden="1"/>
    </xf>
    <xf numFmtId="0" fontId="27" fillId="2" borderId="10" xfId="0" applyFont="1" applyFill="1" applyBorder="1" applyAlignment="1" applyProtection="1">
      <alignment vertical="center"/>
      <protection hidden="1"/>
    </xf>
    <xf numFmtId="0" fontId="31" fillId="2" borderId="0" xfId="0" applyFont="1" applyFill="1" applyAlignment="1" applyProtection="1">
      <alignment vertical="center"/>
      <protection hidden="1"/>
    </xf>
    <xf numFmtId="0" fontId="27" fillId="2" borderId="10" xfId="0" applyFont="1" applyFill="1" applyBorder="1" applyAlignment="1" applyProtection="1">
      <alignment horizontal="center" vertical="center"/>
      <protection hidden="1"/>
    </xf>
    <xf numFmtId="0" fontId="31" fillId="2" borderId="0" xfId="0" applyFont="1" applyFill="1" applyAlignment="1" applyProtection="1">
      <alignment horizontal="center" vertical="center"/>
      <protection hidden="1"/>
    </xf>
    <xf numFmtId="174" fontId="18" fillId="2" borderId="10" xfId="1" applyNumberFormat="1" applyFont="1" applyFill="1" applyBorder="1" applyProtection="1">
      <protection hidden="1"/>
    </xf>
    <xf numFmtId="174" fontId="23" fillId="2" borderId="0" xfId="1" applyNumberFormat="1" applyFont="1" applyFill="1" applyBorder="1" applyProtection="1">
      <protection hidden="1"/>
    </xf>
    <xf numFmtId="0" fontId="23" fillId="2" borderId="0" xfId="0" applyFont="1" applyFill="1" applyProtection="1">
      <protection hidden="1"/>
    </xf>
    <xf numFmtId="0" fontId="18" fillId="2" borderId="10" xfId="0" applyFont="1" applyFill="1" applyBorder="1" applyAlignment="1" applyProtection="1">
      <alignment wrapText="1"/>
      <protection hidden="1"/>
    </xf>
    <xf numFmtId="0" fontId="23" fillId="2" borderId="0" xfId="0" applyFont="1" applyFill="1" applyAlignment="1" applyProtection="1">
      <alignment wrapText="1"/>
      <protection hidden="1"/>
    </xf>
    <xf numFmtId="0" fontId="32" fillId="2" borderId="0" xfId="0" applyFont="1" applyFill="1" applyProtection="1">
      <protection hidden="1"/>
    </xf>
    <xf numFmtId="0" fontId="33" fillId="0" borderId="0" xfId="0" applyFont="1" applyProtection="1">
      <protection hidden="1"/>
    </xf>
    <xf numFmtId="0" fontId="33" fillId="2" borderId="0" xfId="0" applyFont="1" applyFill="1" applyAlignment="1" applyProtection="1">
      <alignment horizontal="left" indent="4"/>
      <protection hidden="1"/>
    </xf>
    <xf numFmtId="0" fontId="33" fillId="0" borderId="0" xfId="0" applyFont="1" applyAlignment="1" applyProtection="1">
      <alignment horizontal="left" indent="4"/>
      <protection hidden="1"/>
    </xf>
    <xf numFmtId="0" fontId="2" fillId="2" borderId="12" xfId="0" applyFont="1" applyFill="1" applyBorder="1" applyProtection="1">
      <protection hidden="1"/>
    </xf>
    <xf numFmtId="0" fontId="2" fillId="2" borderId="13" xfId="0" applyFont="1" applyFill="1" applyBorder="1" applyProtection="1">
      <protection hidden="1"/>
    </xf>
    <xf numFmtId="0" fontId="10" fillId="2" borderId="0" xfId="0" applyFont="1" applyFill="1" applyAlignment="1" applyProtection="1">
      <alignment wrapText="1"/>
      <protection hidden="1"/>
    </xf>
    <xf numFmtId="164" fontId="34" fillId="6" borderId="15" xfId="1" applyFont="1" applyFill="1" applyBorder="1" applyAlignment="1" applyProtection="1">
      <alignment horizontal="center" vertical="center" wrapText="1"/>
      <protection locked="0"/>
    </xf>
    <xf numFmtId="170" fontId="34" fillId="7" borderId="14" xfId="2" applyNumberFormat="1" applyFont="1" applyFill="1" applyBorder="1" applyAlignment="1" applyProtection="1">
      <alignment horizontal="center" vertical="center"/>
      <protection locked="0"/>
    </xf>
    <xf numFmtId="0" fontId="0" fillId="0" borderId="7" xfId="0" applyBorder="1"/>
    <xf numFmtId="0" fontId="0" fillId="0" borderId="6" xfId="0" applyBorder="1"/>
    <xf numFmtId="9" fontId="0" fillId="0" borderId="6" xfId="3" applyFont="1" applyBorder="1"/>
    <xf numFmtId="0" fontId="0" fillId="0" borderId="8" xfId="0" applyBorder="1"/>
    <xf numFmtId="171" fontId="0" fillId="0" borderId="9" xfId="0" applyNumberFormat="1" applyBorder="1"/>
    <xf numFmtId="167" fontId="0" fillId="0" borderId="0" xfId="3" applyNumberFormat="1" applyFont="1" applyBorder="1"/>
    <xf numFmtId="0" fontId="0" fillId="0" borderId="10" xfId="0" applyBorder="1"/>
    <xf numFmtId="171" fontId="0" fillId="0" borderId="11" xfId="0" applyNumberFormat="1" applyBorder="1"/>
    <xf numFmtId="0" fontId="2" fillId="0" borderId="12" xfId="0" applyFont="1" applyBorder="1" applyAlignment="1">
      <alignment horizontal="center"/>
    </xf>
    <xf numFmtId="167" fontId="0" fillId="0" borderId="12" xfId="3" applyNumberFormat="1" applyFont="1" applyBorder="1"/>
    <xf numFmtId="0" fontId="0" fillId="0" borderId="13" xfId="0" applyBorder="1"/>
    <xf numFmtId="170" fontId="34" fillId="7" borderId="14" xfId="2" applyNumberFormat="1" applyFont="1" applyFill="1" applyBorder="1" applyAlignment="1" applyProtection="1">
      <alignment horizontal="center" vertical="center"/>
    </xf>
    <xf numFmtId="0" fontId="18" fillId="2" borderId="0" xfId="0" applyFont="1" applyFill="1" applyAlignment="1" applyProtection="1">
      <alignment horizontal="justify" wrapText="1"/>
      <protection hidden="1"/>
    </xf>
    <xf numFmtId="0" fontId="37" fillId="2" borderId="0" xfId="0" applyFont="1" applyFill="1" applyAlignment="1" applyProtection="1">
      <alignment horizontal="left" wrapText="1"/>
      <protection hidden="1"/>
    </xf>
    <xf numFmtId="0" fontId="37" fillId="2" borderId="0" xfId="0" applyFont="1" applyFill="1" applyAlignment="1" applyProtection="1">
      <alignment horizontal="justify" wrapText="1"/>
      <protection hidden="1"/>
    </xf>
    <xf numFmtId="0" fontId="18" fillId="2" borderId="0" xfId="0" applyFont="1" applyFill="1" applyAlignment="1" applyProtection="1">
      <alignment horizontal="justify"/>
      <protection hidden="1"/>
    </xf>
    <xf numFmtId="0" fontId="14" fillId="2" borderId="0" xfId="0" applyFont="1" applyFill="1" applyAlignment="1" applyProtection="1">
      <alignment horizontal="right" vertical="center"/>
      <protection hidden="1"/>
    </xf>
    <xf numFmtId="0" fontId="20" fillId="2" borderId="15" xfId="0" applyFont="1" applyFill="1" applyBorder="1" applyAlignment="1" applyProtection="1">
      <alignment horizontal="center" vertical="center" wrapText="1"/>
      <protection hidden="1"/>
    </xf>
    <xf numFmtId="0" fontId="20" fillId="2" borderId="20" xfId="0" applyFont="1" applyFill="1" applyBorder="1" applyAlignment="1" applyProtection="1">
      <alignment horizontal="center" vertical="center" wrapText="1"/>
      <protection hidden="1"/>
    </xf>
    <xf numFmtId="17" fontId="36" fillId="2" borderId="0" xfId="0" applyNumberFormat="1" applyFont="1" applyFill="1" applyAlignment="1" applyProtection="1">
      <alignment horizontal="right" vertical="center"/>
      <protection locked="0"/>
    </xf>
    <xf numFmtId="0" fontId="36" fillId="2" borderId="0" xfId="0" applyFont="1" applyFill="1" applyAlignment="1" applyProtection="1">
      <alignment horizontal="right" vertical="center"/>
      <protection locked="0"/>
    </xf>
    <xf numFmtId="0" fontId="20" fillId="2" borderId="17" xfId="0" applyFont="1" applyFill="1" applyBorder="1" applyAlignment="1" applyProtection="1">
      <alignment horizontal="center" vertical="center" wrapText="1"/>
      <protection hidden="1"/>
    </xf>
    <xf numFmtId="0" fontId="20" fillId="2" borderId="0" xfId="0" applyFont="1" applyFill="1" applyAlignment="1" applyProtection="1">
      <alignment horizontal="center" vertical="center" wrapText="1"/>
      <protection hidden="1"/>
    </xf>
    <xf numFmtId="0" fontId="30" fillId="2" borderId="0" xfId="0" applyFont="1" applyFill="1" applyAlignment="1" applyProtection="1">
      <alignment horizontal="left" vertical="center" wrapText="1"/>
      <protection hidden="1"/>
    </xf>
    <xf numFmtId="0" fontId="18" fillId="2" borderId="0" xfId="0" applyFont="1" applyFill="1" applyAlignment="1" applyProtection="1">
      <alignment horizontal="left" wrapText="1"/>
      <protection hidden="1"/>
    </xf>
    <xf numFmtId="0" fontId="27" fillId="2" borderId="0" xfId="0" applyFont="1" applyFill="1" applyAlignment="1" applyProtection="1">
      <alignment horizontal="center" vertical="center"/>
      <protection hidden="1"/>
    </xf>
    <xf numFmtId="0" fontId="29" fillId="0" borderId="0" xfId="0" applyFont="1" applyAlignment="1" applyProtection="1">
      <alignment horizontal="left" vertical="center" wrapText="1"/>
      <protection hidden="1"/>
    </xf>
    <xf numFmtId="0" fontId="29" fillId="0" borderId="10" xfId="0" applyFont="1" applyBorder="1" applyAlignment="1" applyProtection="1">
      <alignment horizontal="left" vertical="center" wrapText="1"/>
      <protection hidden="1"/>
    </xf>
    <xf numFmtId="0" fontId="29" fillId="0" borderId="12" xfId="0" applyFont="1" applyBorder="1" applyAlignment="1" applyProtection="1">
      <alignment horizontal="left" vertical="center" wrapText="1"/>
      <protection hidden="1"/>
    </xf>
    <xf numFmtId="0" fontId="29" fillId="0" borderId="13" xfId="0" applyFont="1" applyBorder="1" applyAlignment="1" applyProtection="1">
      <alignment horizontal="left" vertical="center" wrapText="1"/>
      <protection hidden="1"/>
    </xf>
    <xf numFmtId="169" fontId="24" fillId="0" borderId="0" xfId="0" applyNumberFormat="1" applyFont="1" applyAlignment="1" applyProtection="1">
      <alignment horizontal="center"/>
      <protection hidden="1"/>
    </xf>
    <xf numFmtId="0" fontId="35" fillId="0" borderId="0" xfId="0" applyFont="1" applyAlignment="1" applyProtection="1">
      <alignment horizontal="center"/>
      <protection hidden="1"/>
    </xf>
    <xf numFmtId="0" fontId="20" fillId="2" borderId="19" xfId="0" applyFont="1" applyFill="1" applyBorder="1" applyAlignment="1" applyProtection="1">
      <alignment horizontal="center" vertical="center" wrapText="1"/>
      <protection hidden="1"/>
    </xf>
    <xf numFmtId="0" fontId="2" fillId="2" borderId="0" xfId="0" applyFont="1" applyFill="1" applyAlignment="1">
      <alignment horizontal="left" wrapText="1"/>
    </xf>
    <xf numFmtId="0" fontId="11" fillId="2" borderId="5" xfId="0" applyFont="1" applyFill="1" applyBorder="1" applyAlignment="1">
      <alignment horizontal="center"/>
    </xf>
    <xf numFmtId="0" fontId="0" fillId="2" borderId="0" xfId="0" applyFill="1" applyAlignment="1">
      <alignment horizontal="left"/>
    </xf>
    <xf numFmtId="3" fontId="39" fillId="0" borderId="0" xfId="0" applyNumberFormat="1" applyFont="1"/>
    <xf numFmtId="4" fontId="39" fillId="0" borderId="0" xfId="0" applyNumberFormat="1" applyFont="1"/>
  </cellXfs>
  <cellStyles count="4">
    <cellStyle name="Millares" xfId="1" builtinId="3"/>
    <cellStyle name="Moneda" xfId="2" builtinId="4"/>
    <cellStyle name="Normal" xfId="0" builtinId="0"/>
    <cellStyle name="Porcentaje"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1282700</xdr:colOff>
          <xdr:row>13</xdr:row>
          <xdr:rowOff>101600</xdr:rowOff>
        </xdr:from>
        <xdr:to>
          <xdr:col>7</xdr:col>
          <xdr:colOff>50800</xdr:colOff>
          <xdr:row>18</xdr:row>
          <xdr:rowOff>25400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Arial" pitchFamily="2" charset="0"/>
                  <a:cs typeface="Arial" pitchFamily="2" charset="0"/>
                </a:rPr>
                <a:t>Depósito Convenido </a:t>
              </a:r>
            </a:p>
            <a:p>
              <a:pPr algn="ctr" rtl="0">
                <a:defRPr sz="1000"/>
              </a:pPr>
              <a:r>
                <a:rPr lang="es-ES_tradnl" sz="1200" b="0" i="0" u="none" strike="noStrike" baseline="0">
                  <a:solidFill>
                    <a:srgbClr val="000000"/>
                  </a:solidFill>
                  <a:latin typeface="Arial" pitchFamily="2" charset="0"/>
                  <a:cs typeface="Arial" pitchFamily="2" charset="0"/>
                </a:rPr>
                <a:t>Períodico Anual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57150</xdr:colOff>
      <xdr:row>0</xdr:row>
      <xdr:rowOff>57150</xdr:rowOff>
    </xdr:from>
    <xdr:to>
      <xdr:col>5</xdr:col>
      <xdr:colOff>563880</xdr:colOff>
      <xdr:row>3</xdr:row>
      <xdr:rowOff>114300</xdr:rowOff>
    </xdr:to>
    <xdr:pic macro="[0]!Deposito_convenido_mensual">
      <xdr:nvPicPr>
        <xdr:cNvPr id="1605" name="Picture 2">
          <a:extLst>
            <a:ext uri="{FF2B5EF4-FFF2-40B4-BE49-F238E27FC236}">
              <a16:creationId xmlns:a16="http://schemas.microsoft.com/office/drawing/2014/main" id="{00000000-0008-0000-0100-000045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62275" y="57150"/>
          <a:ext cx="495300"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xdr:col>
      <xdr:colOff>47625</xdr:colOff>
      <xdr:row>5</xdr:row>
      <xdr:rowOff>28575</xdr:rowOff>
    </xdr:from>
    <xdr:to>
      <xdr:col>3</xdr:col>
      <xdr:colOff>720090</xdr:colOff>
      <xdr:row>7</xdr:row>
      <xdr:rowOff>106680</xdr:rowOff>
    </xdr:to>
    <xdr:pic>
      <xdr:nvPicPr>
        <xdr:cNvPr id="1606" name="Imagen 3">
          <a:extLst>
            <a:ext uri="{FF2B5EF4-FFF2-40B4-BE49-F238E27FC236}">
              <a16:creationId xmlns:a16="http://schemas.microsoft.com/office/drawing/2014/main" id="{00000000-0008-0000-0100-00004606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8600" y="962025"/>
          <a:ext cx="8953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47625</xdr:colOff>
      <xdr:row>6</xdr:row>
      <xdr:rowOff>47625</xdr:rowOff>
    </xdr:from>
    <xdr:to>
      <xdr:col>4</xdr:col>
      <xdr:colOff>133350</xdr:colOff>
      <xdr:row>13</xdr:row>
      <xdr:rowOff>19050</xdr:rowOff>
    </xdr:to>
    <xdr:pic>
      <xdr:nvPicPr>
        <xdr:cNvPr id="5977" name="Picture 2">
          <a:extLst>
            <a:ext uri="{FF2B5EF4-FFF2-40B4-BE49-F238E27FC236}">
              <a16:creationId xmlns:a16="http://schemas.microsoft.com/office/drawing/2014/main" id="{00000000-0008-0000-0300-0000591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 y="1019175"/>
          <a:ext cx="23717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220980</xdr:colOff>
      <xdr:row>9</xdr:row>
      <xdr:rowOff>32385</xdr:rowOff>
    </xdr:from>
    <xdr:to>
      <xdr:col>5</xdr:col>
      <xdr:colOff>401304</xdr:colOff>
      <xdr:row>10</xdr:row>
      <xdr:rowOff>78079</xdr:rowOff>
    </xdr:to>
    <xdr:sp macro="" textlink="">
      <xdr:nvSpPr>
        <xdr:cNvPr id="5" name="4 Flecha derecha">
          <a:extLst>
            <a:ext uri="{FF2B5EF4-FFF2-40B4-BE49-F238E27FC236}">
              <a16:creationId xmlns:a16="http://schemas.microsoft.com/office/drawing/2014/main" id="{00000000-0008-0000-0300-000005000000}"/>
            </a:ext>
          </a:extLst>
        </xdr:cNvPr>
        <xdr:cNvSpPr/>
      </xdr:nvSpPr>
      <xdr:spPr>
        <a:xfrm>
          <a:off x="3400425" y="1514475"/>
          <a:ext cx="1047750" cy="2190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CL"/>
        </a:p>
      </xdr:txBody>
    </xdr:sp>
    <xdr:clientData/>
  </xdr:twoCellAnchor>
  <xdr:twoCellAnchor editAs="oneCell">
    <xdr:from>
      <xdr:col>0</xdr:col>
      <xdr:colOff>161925</xdr:colOff>
      <xdr:row>30</xdr:row>
      <xdr:rowOff>47625</xdr:rowOff>
    </xdr:from>
    <xdr:to>
      <xdr:col>7</xdr:col>
      <xdr:colOff>457200</xdr:colOff>
      <xdr:row>32</xdr:row>
      <xdr:rowOff>47625</xdr:rowOff>
    </xdr:to>
    <xdr:pic>
      <xdr:nvPicPr>
        <xdr:cNvPr id="5979" name="Picture 13">
          <a:extLst>
            <a:ext uri="{FF2B5EF4-FFF2-40B4-BE49-F238E27FC236}">
              <a16:creationId xmlns:a16="http://schemas.microsoft.com/office/drawing/2014/main" id="{00000000-0008-0000-0300-00005B1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1925" y="4905375"/>
          <a:ext cx="513397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104775</xdr:colOff>
      <xdr:row>34</xdr:row>
      <xdr:rowOff>57150</xdr:rowOff>
    </xdr:from>
    <xdr:to>
      <xdr:col>5</xdr:col>
      <xdr:colOff>133350</xdr:colOff>
      <xdr:row>36</xdr:row>
      <xdr:rowOff>76200</xdr:rowOff>
    </xdr:to>
    <xdr:pic>
      <xdr:nvPicPr>
        <xdr:cNvPr id="5980" name="Picture 15">
          <a:extLst>
            <a:ext uri="{FF2B5EF4-FFF2-40B4-BE49-F238E27FC236}">
              <a16:creationId xmlns:a16="http://schemas.microsoft.com/office/drawing/2014/main" id="{00000000-0008-0000-0300-00005C1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1475" y="5562600"/>
          <a:ext cx="30765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104775</xdr:colOff>
      <xdr:row>7</xdr:row>
      <xdr:rowOff>0</xdr:rowOff>
    </xdr:from>
    <xdr:to>
      <xdr:col>9</xdr:col>
      <xdr:colOff>171450</xdr:colOff>
      <xdr:row>13</xdr:row>
      <xdr:rowOff>28575</xdr:rowOff>
    </xdr:to>
    <xdr:pic>
      <xdr:nvPicPr>
        <xdr:cNvPr id="5981" name="Picture 47">
          <a:extLst>
            <a:ext uri="{FF2B5EF4-FFF2-40B4-BE49-F238E27FC236}">
              <a16:creationId xmlns:a16="http://schemas.microsoft.com/office/drawing/2014/main" id="{00000000-0008-0000-0300-00005D17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181475" y="1133475"/>
          <a:ext cx="2352675" cy="1000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123825</xdr:colOff>
      <xdr:row>40</xdr:row>
      <xdr:rowOff>66675</xdr:rowOff>
    </xdr:from>
    <xdr:to>
      <xdr:col>5</xdr:col>
      <xdr:colOff>114300</xdr:colOff>
      <xdr:row>42</xdr:row>
      <xdr:rowOff>28575</xdr:rowOff>
    </xdr:to>
    <xdr:pic>
      <xdr:nvPicPr>
        <xdr:cNvPr id="5982" name="Picture 63">
          <a:extLst>
            <a:ext uri="{FF2B5EF4-FFF2-40B4-BE49-F238E27FC236}">
              <a16:creationId xmlns:a16="http://schemas.microsoft.com/office/drawing/2014/main" id="{00000000-0008-0000-0300-00005E17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3825" y="6543675"/>
          <a:ext cx="33051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114300</xdr:colOff>
      <xdr:row>44</xdr:row>
      <xdr:rowOff>38100</xdr:rowOff>
    </xdr:from>
    <xdr:to>
      <xdr:col>4</xdr:col>
      <xdr:colOff>333375</xdr:colOff>
      <xdr:row>46</xdr:row>
      <xdr:rowOff>47625</xdr:rowOff>
    </xdr:to>
    <xdr:pic>
      <xdr:nvPicPr>
        <xdr:cNvPr id="5983" name="Picture 65">
          <a:extLst>
            <a:ext uri="{FF2B5EF4-FFF2-40B4-BE49-F238E27FC236}">
              <a16:creationId xmlns:a16="http://schemas.microsoft.com/office/drawing/2014/main" id="{00000000-0008-0000-0300-00005F17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300" y="7162800"/>
          <a:ext cx="27717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Principal color">
  <a:themeElements>
    <a:clrScheme name="Principal color">
      <a:dk1>
        <a:sysClr val="windowText" lastClr="000000"/>
      </a:dk1>
      <a:lt1>
        <a:sysClr val="window" lastClr="FFFFFF"/>
      </a:lt1>
      <a:dk2>
        <a:srgbClr val="0091DA"/>
      </a:dk2>
      <a:lt2>
        <a:srgbClr val="19B9D7"/>
      </a:lt2>
      <a:accent1>
        <a:srgbClr val="4B4687"/>
      </a:accent1>
      <a:accent2>
        <a:srgbClr val="FF841C"/>
      </a:accent2>
      <a:accent3>
        <a:srgbClr val="FFD20F"/>
      </a:accent3>
      <a:accent4>
        <a:srgbClr val="00C19F"/>
      </a:accent4>
      <a:accent5>
        <a:srgbClr val="70478D"/>
      </a:accent5>
      <a:accent6>
        <a:srgbClr val="666666"/>
      </a:accent6>
      <a:hlink>
        <a:srgbClr val="0563C1"/>
      </a:hlink>
      <a:folHlink>
        <a:srgbClr val="0563C1"/>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6.bin"/><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1:P23"/>
  <sheetViews>
    <sheetView workbookViewId="0">
      <selection activeCell="L11" sqref="L11"/>
    </sheetView>
  </sheetViews>
  <sheetFormatPr baseColWidth="10" defaultColWidth="11.33203125" defaultRowHeight="13" x14ac:dyDescent="0.15"/>
  <cols>
    <col min="1" max="1" width="11.33203125" style="38"/>
    <col min="2" max="3" width="0.6640625" style="38" customWidth="1"/>
    <col min="4" max="4" width="43.1640625" style="38" bestFit="1" customWidth="1"/>
    <col min="5" max="5" width="14.6640625" style="38" bestFit="1" customWidth="1"/>
    <col min="6" max="6" width="0.83203125" style="38" customWidth="1"/>
    <col min="7" max="7" width="1.6640625" style="38" customWidth="1"/>
    <col min="8" max="8" width="11.33203125" style="38"/>
    <col min="9" max="9" width="12.83203125" style="38" bestFit="1" customWidth="1"/>
    <col min="10" max="16384" width="11.33203125" style="38"/>
  </cols>
  <sheetData>
    <row r="1" spans="2:16" x14ac:dyDescent="0.15">
      <c r="B1" s="59" t="s">
        <v>0</v>
      </c>
      <c r="C1" s="59"/>
      <c r="D1" s="59"/>
      <c r="E1" s="59"/>
      <c r="F1" s="59"/>
      <c r="G1" s="59"/>
      <c r="I1" s="50"/>
      <c r="K1" s="50"/>
      <c r="L1" s="50"/>
      <c r="M1" s="14" t="s">
        <v>1</v>
      </c>
      <c r="N1" s="50"/>
      <c r="P1" s="50"/>
    </row>
    <row r="2" spans="2:16" x14ac:dyDescent="0.15">
      <c r="I2" s="50"/>
      <c r="K2" s="50"/>
      <c r="L2" s="50"/>
      <c r="M2" s="14" t="s">
        <v>2</v>
      </c>
      <c r="N2" s="50"/>
      <c r="P2" s="50"/>
    </row>
    <row r="3" spans="2:16" ht="14" thickBot="1" x14ac:dyDescent="0.2">
      <c r="H3" s="51"/>
      <c r="I3" s="52"/>
      <c r="J3" s="52"/>
      <c r="K3" s="52"/>
      <c r="L3" s="52"/>
      <c r="M3" s="52"/>
      <c r="N3" s="52"/>
      <c r="O3" s="52"/>
      <c r="P3" s="50"/>
    </row>
    <row r="4" spans="2:16" x14ac:dyDescent="0.15">
      <c r="B4" s="39"/>
      <c r="C4" s="40"/>
      <c r="D4" s="40"/>
      <c r="E4" s="40"/>
      <c r="F4" s="40"/>
      <c r="G4" s="41"/>
      <c r="H4" s="51"/>
      <c r="I4" s="30"/>
      <c r="J4" s="30"/>
      <c r="K4" s="30"/>
      <c r="L4" s="30"/>
      <c r="M4" s="30"/>
      <c r="N4" s="30"/>
      <c r="O4" s="30"/>
      <c r="P4" s="1"/>
    </row>
    <row r="5" spans="2:16" ht="16" x14ac:dyDescent="0.2">
      <c r="B5" s="42"/>
      <c r="D5" s="67" t="s">
        <v>3</v>
      </c>
      <c r="E5" s="68">
        <v>8500000</v>
      </c>
      <c r="G5" s="43"/>
      <c r="H5" s="51"/>
      <c r="I5" s="53"/>
      <c r="J5" s="54" t="s">
        <v>4</v>
      </c>
      <c r="K5" s="55">
        <v>0.02</v>
      </c>
      <c r="L5" s="30"/>
      <c r="M5" s="30"/>
      <c r="N5" s="30"/>
      <c r="O5" s="30"/>
      <c r="P5" s="1"/>
    </row>
    <row r="6" spans="2:16" ht="16" x14ac:dyDescent="0.2">
      <c r="B6" s="42"/>
      <c r="D6" s="67" t="s">
        <v>5</v>
      </c>
      <c r="E6" s="69">
        <v>19000000</v>
      </c>
      <c r="G6" s="43"/>
      <c r="H6" s="51"/>
      <c r="I6" s="54">
        <f>900*Valor_UF</f>
        <v>35340363</v>
      </c>
      <c r="J6" s="54" t="s">
        <v>6</v>
      </c>
      <c r="K6" s="55">
        <f>K5+0.005</f>
        <v>2.5000000000000001E-2</v>
      </c>
      <c r="L6" s="30"/>
      <c r="M6" s="30"/>
      <c r="N6" s="30"/>
      <c r="O6" s="30"/>
      <c r="P6" s="1"/>
    </row>
    <row r="7" spans="2:16" ht="16" x14ac:dyDescent="0.2">
      <c r="B7" s="42"/>
      <c r="D7" s="67" t="s">
        <v>7</v>
      </c>
      <c r="E7" s="70" t="s">
        <v>6</v>
      </c>
      <c r="G7" s="43"/>
      <c r="H7" s="51"/>
      <c r="I7" s="30"/>
      <c r="J7" s="54"/>
      <c r="K7" s="55">
        <f t="shared" ref="K7:K16" si="0">K6+0.005</f>
        <v>3.0000000000000002E-2</v>
      </c>
      <c r="L7" s="30"/>
      <c r="M7" s="30"/>
      <c r="N7" s="30"/>
      <c r="O7" s="30"/>
      <c r="P7" s="1"/>
    </row>
    <row r="8" spans="2:16" ht="16" x14ac:dyDescent="0.2">
      <c r="B8" s="42"/>
      <c r="D8" s="67" t="s">
        <v>8</v>
      </c>
      <c r="E8" s="71">
        <v>32248</v>
      </c>
      <c r="G8" s="43"/>
      <c r="H8" s="51"/>
      <c r="I8" s="30"/>
      <c r="J8" s="54"/>
      <c r="K8" s="55">
        <f t="shared" si="0"/>
        <v>3.5000000000000003E-2</v>
      </c>
      <c r="L8" s="30"/>
      <c r="M8" s="30"/>
      <c r="N8" s="30"/>
      <c r="O8" s="30"/>
      <c r="P8" s="1"/>
    </row>
    <row r="9" spans="2:16" x14ac:dyDescent="0.15">
      <c r="B9" s="42"/>
      <c r="G9" s="43"/>
      <c r="H9" s="51"/>
      <c r="I9" s="30"/>
      <c r="J9" s="54"/>
      <c r="K9" s="55">
        <f t="shared" si="0"/>
        <v>0.04</v>
      </c>
      <c r="L9" s="30"/>
      <c r="M9" s="30"/>
      <c r="N9" s="30"/>
      <c r="O9" s="30"/>
      <c r="P9" s="1"/>
    </row>
    <row r="10" spans="2:16" ht="16" customHeight="1" x14ac:dyDescent="0.15">
      <c r="B10" s="42"/>
      <c r="C10" s="37"/>
      <c r="D10" s="37" t="s">
        <v>9</v>
      </c>
      <c r="E10" s="72">
        <v>3.5000000000000003E-2</v>
      </c>
      <c r="G10" s="43"/>
      <c r="H10" s="51"/>
      <c r="I10" s="30"/>
      <c r="J10" s="54"/>
      <c r="K10" s="55">
        <f t="shared" si="0"/>
        <v>4.4999999999999998E-2</v>
      </c>
      <c r="L10" s="30"/>
      <c r="M10" s="30"/>
      <c r="N10" s="30"/>
      <c r="O10" s="30"/>
      <c r="P10" s="1"/>
    </row>
    <row r="11" spans="2:16" ht="13" customHeight="1" x14ac:dyDescent="0.15">
      <c r="B11" s="42"/>
      <c r="C11" s="37"/>
      <c r="D11" s="37"/>
      <c r="E11" s="1"/>
      <c r="G11" s="43"/>
      <c r="H11" s="51"/>
      <c r="I11" s="30"/>
      <c r="J11" s="54"/>
      <c r="K11" s="55">
        <f t="shared" si="0"/>
        <v>4.9999999999999996E-2</v>
      </c>
      <c r="L11" s="30"/>
      <c r="M11" s="30"/>
      <c r="N11" s="30"/>
      <c r="O11" s="30"/>
      <c r="P11" s="1"/>
    </row>
    <row r="12" spans="2:16" ht="14" thickBot="1" x14ac:dyDescent="0.2">
      <c r="B12" s="44"/>
      <c r="C12" s="45"/>
      <c r="D12" s="45"/>
      <c r="E12" s="45"/>
      <c r="F12" s="45"/>
      <c r="G12" s="46"/>
      <c r="H12" s="51"/>
      <c r="I12" s="30"/>
      <c r="J12" s="54"/>
      <c r="K12" s="55">
        <f t="shared" si="0"/>
        <v>5.4999999999999993E-2</v>
      </c>
      <c r="L12" s="30"/>
      <c r="M12" s="30"/>
      <c r="N12" s="30"/>
      <c r="O12" s="30"/>
      <c r="P12" s="1"/>
    </row>
    <row r="13" spans="2:16" x14ac:dyDescent="0.15">
      <c r="H13" s="51"/>
      <c r="I13" s="30"/>
      <c r="J13" s="54"/>
      <c r="K13" s="55">
        <f>K12+0.005</f>
        <v>5.9999999999999991E-2</v>
      </c>
      <c r="L13" s="30"/>
      <c r="M13" s="30"/>
      <c r="N13" s="30"/>
      <c r="O13" s="30"/>
      <c r="P13" s="1"/>
    </row>
    <row r="14" spans="2:16" x14ac:dyDescent="0.15">
      <c r="H14" s="51"/>
      <c r="I14" s="30"/>
      <c r="J14" s="54"/>
      <c r="K14" s="55">
        <f t="shared" si="0"/>
        <v>6.4999999999999988E-2</v>
      </c>
      <c r="L14" s="30"/>
      <c r="M14" s="30"/>
      <c r="N14" s="30"/>
      <c r="O14" s="30"/>
      <c r="P14" s="1"/>
    </row>
    <row r="15" spans="2:16" x14ac:dyDescent="0.15">
      <c r="H15" s="51"/>
      <c r="I15" s="30"/>
      <c r="J15" s="54"/>
      <c r="K15" s="55">
        <f t="shared" si="0"/>
        <v>6.9999999999999993E-2</v>
      </c>
      <c r="L15" s="30"/>
      <c r="M15" s="30"/>
      <c r="N15" s="30"/>
      <c r="O15" s="30"/>
      <c r="P15" s="1"/>
    </row>
    <row r="16" spans="2:16" x14ac:dyDescent="0.15">
      <c r="H16" s="51"/>
      <c r="I16" s="30"/>
      <c r="J16" s="54"/>
      <c r="K16" s="55">
        <f t="shared" si="0"/>
        <v>7.4999999999999997E-2</v>
      </c>
      <c r="L16" s="30"/>
      <c r="M16" s="30"/>
      <c r="N16" s="30"/>
      <c r="O16" s="30"/>
      <c r="P16" s="1"/>
    </row>
    <row r="17" spans="8:16" x14ac:dyDescent="0.15">
      <c r="H17" s="51"/>
      <c r="I17" s="30"/>
      <c r="J17" s="54"/>
      <c r="K17" s="55">
        <f>K16+0.005</f>
        <v>0.08</v>
      </c>
      <c r="L17" s="30"/>
      <c r="M17" s="30"/>
      <c r="N17" s="30"/>
      <c r="O17" s="30"/>
      <c r="P17" s="1"/>
    </row>
    <row r="18" spans="8:16" x14ac:dyDescent="0.15">
      <c r="H18" s="51"/>
      <c r="I18" s="30"/>
      <c r="J18" s="54"/>
      <c r="K18" s="55">
        <f>K17+0.005</f>
        <v>8.5000000000000006E-2</v>
      </c>
      <c r="L18" s="30"/>
      <c r="M18" s="30"/>
      <c r="N18" s="30"/>
      <c r="O18" s="30"/>
      <c r="P18" s="1"/>
    </row>
    <row r="19" spans="8:16" x14ac:dyDescent="0.15">
      <c r="H19" s="51"/>
      <c r="I19" s="30"/>
      <c r="J19" s="54"/>
      <c r="K19" s="55">
        <f>K18+0.005</f>
        <v>9.0000000000000011E-2</v>
      </c>
      <c r="L19" s="30"/>
      <c r="M19" s="30"/>
      <c r="N19" s="30"/>
      <c r="O19" s="30"/>
      <c r="P19" s="1"/>
    </row>
    <row r="20" spans="8:16" x14ac:dyDescent="0.15">
      <c r="H20" s="51"/>
      <c r="I20" s="51"/>
      <c r="J20" s="51"/>
      <c r="K20" s="51"/>
      <c r="L20" s="51"/>
      <c r="M20" s="51"/>
      <c r="N20" s="51"/>
      <c r="O20" s="51"/>
    </row>
    <row r="21" spans="8:16" x14ac:dyDescent="0.15">
      <c r="H21" s="51"/>
      <c r="I21" s="51"/>
      <c r="J21" s="51"/>
      <c r="K21" s="51"/>
      <c r="L21" s="51"/>
      <c r="M21" s="51"/>
      <c r="N21" s="51"/>
      <c r="O21" s="51"/>
    </row>
    <row r="22" spans="8:16" x14ac:dyDescent="0.15">
      <c r="H22" s="51"/>
      <c r="I22" s="51"/>
      <c r="J22" s="51"/>
      <c r="K22" s="51"/>
      <c r="L22" s="51"/>
      <c r="M22" s="51"/>
      <c r="N22" s="51"/>
      <c r="O22" s="51"/>
    </row>
    <row r="23" spans="8:16" x14ac:dyDescent="0.15">
      <c r="H23" s="51"/>
      <c r="I23" s="51"/>
      <c r="J23" s="51"/>
      <c r="K23" s="51"/>
      <c r="L23" s="51"/>
      <c r="M23" s="51"/>
      <c r="N23" s="51"/>
      <c r="O23" s="51"/>
    </row>
  </sheetData>
  <sheetProtection algorithmName="SHA-512" hashValue="rb2EeRCjuUDkvLNv0AOVae2Rk3FeifX+eu20UkF9GtJ3weff7wdLjCbdNe1lvGSJ2zaWl7wnR+kqxX3wyyFtHg==" saltValue="AQ+dVgFYOvstWPMktIhe/A==" spinCount="100000" sheet="1" objects="1" scenarios="1"/>
  <dataValidations count="4">
    <dataValidation type="list" allowBlank="1" showInputMessage="1" showErrorMessage="1" sqref="E10" xr:uid="{00000000-0002-0000-0000-000000000000}">
      <formula1>$K$5:$K$19</formula1>
    </dataValidation>
    <dataValidation type="list" allowBlank="1" showInputMessage="1" showErrorMessage="1" sqref="E7" xr:uid="{00000000-0002-0000-0000-000001000000}">
      <formula1>$J$5:$J$6</formula1>
    </dataValidation>
    <dataValidation allowBlank="1" errorTitle="Tope Máximo Depósitos Convenidos" error="Puede acordar hasta 75 UF mensuales en depósitos convenidos." promptTitle="Tope Máximo Depósitos Convenidos" prompt="Puede acordar hasta 75 UF mensuales en depósitos convenidos." sqref="H6" xr:uid="{00000000-0002-0000-0000-000002000000}"/>
    <dataValidation type="decimal" allowBlank="1" showErrorMessage="1" errorTitle="Error" error="Puede acordar máximo un total de 900 UF anuales por concepto de depósitos convenidos." sqref="E6" xr:uid="{00000000-0002-0000-0000-000003000000}">
      <formula1>0</formula1>
      <formula2>I6</formula2>
    </dataValidation>
  </dataValidations>
  <pageMargins left="0.7" right="0.7" top="0.75" bottom="0.75" header="0.3" footer="0.3"/>
  <pageSetup paperSize="9" orientation="portrait" horizontalDpi="300" r:id="rId1"/>
  <headerFooter>
    <oddFooter>&amp;L&amp;1#&amp;"Calibri"&amp;9&amp;K737373Classification: Customer Confidential</oddFooter>
  </headerFooter>
  <customProperties>
    <customPr name="QAA_DRILLPATH_NODE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100" r:id="rId5" name="Button 4">
              <controlPr defaultSize="0" print="0" autoFill="0" autoPict="0" macro="[0]!Macro3">
                <anchor moveWithCells="1" sizeWithCells="1">
                  <from>
                    <xdr:col>3</xdr:col>
                    <xdr:colOff>1282700</xdr:colOff>
                    <xdr:row>13</xdr:row>
                    <xdr:rowOff>101600</xdr:rowOff>
                  </from>
                  <to>
                    <xdr:col>7</xdr:col>
                    <xdr:colOff>50800</xdr:colOff>
                    <xdr:row>18</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B1:X126"/>
  <sheetViews>
    <sheetView tabSelected="1" zoomScaleNormal="100" workbookViewId="0">
      <selection activeCell="L30" sqref="L30"/>
    </sheetView>
  </sheetViews>
  <sheetFormatPr baseColWidth="10" defaultColWidth="11.33203125" defaultRowHeight="13" x14ac:dyDescent="0.15"/>
  <cols>
    <col min="1" max="1" width="2.6640625" style="30" customWidth="1"/>
    <col min="2" max="3" width="1.6640625" style="30" customWidth="1"/>
    <col min="4" max="5" width="18.6640625" style="30" customWidth="1"/>
    <col min="6" max="6" width="20.6640625" style="30" customWidth="1"/>
    <col min="7" max="9" width="18.6640625" style="30" customWidth="1"/>
    <col min="10" max="10" width="14" style="30" customWidth="1"/>
    <col min="11" max="11" width="11.33203125" style="52" customWidth="1"/>
    <col min="12" max="12" width="19.33203125" style="52" customWidth="1"/>
    <col min="13" max="17" width="11.33203125" style="52" customWidth="1"/>
    <col min="18" max="18" width="11.33203125" style="52"/>
    <col min="19" max="23" width="11.33203125" style="30"/>
    <col min="24" max="24" width="11.33203125" style="54"/>
    <col min="25" max="16384" width="11.33203125" style="30"/>
  </cols>
  <sheetData>
    <row r="1" spans="2:24" ht="18" customHeight="1" x14ac:dyDescent="0.15">
      <c r="B1" s="157" t="s">
        <v>0</v>
      </c>
      <c r="C1" s="157"/>
      <c r="D1" s="157"/>
      <c r="E1" s="157"/>
      <c r="G1" s="74"/>
      <c r="H1" s="74"/>
      <c r="I1" s="74"/>
      <c r="J1" s="75" t="s">
        <v>1</v>
      </c>
      <c r="L1" s="76" t="s">
        <v>10</v>
      </c>
      <c r="M1" s="76">
        <v>70.3</v>
      </c>
      <c r="N1" s="76" t="s">
        <v>11</v>
      </c>
      <c r="O1" s="76"/>
      <c r="P1" s="76" t="s">
        <v>12</v>
      </c>
      <c r="Q1" s="76">
        <v>0.1</v>
      </c>
      <c r="R1" s="76" t="s">
        <v>13</v>
      </c>
      <c r="S1" s="77">
        <f>+L15</f>
        <v>0.30399999999999999</v>
      </c>
    </row>
    <row r="2" spans="2:24" ht="18" customHeight="1" x14ac:dyDescent="0.15">
      <c r="J2" s="75" t="s">
        <v>2</v>
      </c>
      <c r="L2" s="76" t="s">
        <v>14</v>
      </c>
      <c r="M2" s="76">
        <v>105.4</v>
      </c>
      <c r="N2" s="76" t="s">
        <v>11</v>
      </c>
      <c r="O2" s="76"/>
      <c r="P2" s="76" t="s">
        <v>15</v>
      </c>
      <c r="Q2" s="76">
        <v>7.0000000000000007E-2</v>
      </c>
      <c r="R2" s="76"/>
      <c r="S2" s="77"/>
      <c r="X2" s="54" t="s">
        <v>16</v>
      </c>
    </row>
    <row r="3" spans="2:24" ht="16" customHeight="1" x14ac:dyDescent="0.15">
      <c r="L3" s="76" t="s">
        <v>17</v>
      </c>
      <c r="M3" s="76">
        <v>6.0000000000000001E-3</v>
      </c>
      <c r="N3" s="76" t="s">
        <v>18</v>
      </c>
      <c r="O3" s="76"/>
      <c r="P3" s="76" t="s">
        <v>19</v>
      </c>
      <c r="Q3" s="76">
        <v>0.02</v>
      </c>
      <c r="R3" s="76"/>
      <c r="S3" s="77"/>
    </row>
    <row r="4" spans="2:24" ht="16" customHeight="1" x14ac:dyDescent="0.15">
      <c r="L4" s="76" t="s">
        <v>20</v>
      </c>
      <c r="M4" s="76">
        <v>50</v>
      </c>
      <c r="N4" s="76" t="s">
        <v>11</v>
      </c>
      <c r="O4" s="76"/>
      <c r="P4" s="76" t="s">
        <v>21</v>
      </c>
      <c r="Q4" s="76">
        <f>900/12</f>
        <v>75</v>
      </c>
      <c r="R4" s="76" t="s">
        <v>11</v>
      </c>
      <c r="S4" s="77"/>
    </row>
    <row r="5" spans="2:24" ht="6" customHeight="1" thickBot="1" x14ac:dyDescent="0.2">
      <c r="L5" s="76"/>
      <c r="M5" s="76"/>
      <c r="N5" s="76"/>
      <c r="O5" s="76"/>
      <c r="P5" s="76"/>
      <c r="Q5" s="76"/>
      <c r="R5" s="76"/>
      <c r="S5" s="77"/>
    </row>
    <row r="6" spans="2:24" ht="6" customHeight="1" x14ac:dyDescent="0.15">
      <c r="B6" s="78"/>
      <c r="C6" s="28"/>
      <c r="D6" s="28"/>
      <c r="E6" s="28"/>
      <c r="F6" s="28"/>
      <c r="G6" s="28"/>
      <c r="H6" s="28"/>
      <c r="I6" s="28"/>
      <c r="J6" s="79"/>
      <c r="L6" s="76"/>
      <c r="M6" s="76"/>
      <c r="N6" s="76"/>
      <c r="O6" s="76"/>
      <c r="P6" s="76"/>
      <c r="Q6" s="76"/>
      <c r="R6" s="76"/>
      <c r="S6" s="77"/>
      <c r="X6" s="80">
        <v>0.03</v>
      </c>
    </row>
    <row r="7" spans="2:24" ht="18" customHeight="1" x14ac:dyDescent="0.2">
      <c r="B7" s="81"/>
      <c r="D7" s="77"/>
      <c r="E7" s="158" t="s">
        <v>22</v>
      </c>
      <c r="F7" s="158"/>
      <c r="G7" s="158"/>
      <c r="H7" s="158"/>
      <c r="I7" s="158"/>
      <c r="J7" s="82"/>
      <c r="L7" s="76"/>
      <c r="M7" s="76"/>
      <c r="N7" s="76"/>
      <c r="O7" s="76"/>
      <c r="P7" s="76"/>
      <c r="Q7" s="76"/>
      <c r="R7" s="76"/>
      <c r="S7" s="77"/>
      <c r="X7" s="80">
        <f>X6+0.5%</f>
        <v>3.4999999999999996E-2</v>
      </c>
    </row>
    <row r="8" spans="2:24" ht="12" customHeight="1" x14ac:dyDescent="0.2">
      <c r="B8" s="81"/>
      <c r="D8" s="32"/>
      <c r="E8" s="32"/>
      <c r="F8" s="32"/>
      <c r="G8" s="32"/>
      <c r="H8" s="146" t="s">
        <v>128</v>
      </c>
      <c r="I8" s="147"/>
      <c r="J8" s="82"/>
      <c r="L8" s="76" t="s">
        <v>23</v>
      </c>
      <c r="M8" s="76"/>
      <c r="N8" s="76" t="s">
        <v>4</v>
      </c>
      <c r="O8" s="76"/>
      <c r="P8" s="76"/>
      <c r="Q8" s="76"/>
      <c r="R8" s="76"/>
      <c r="S8" s="77"/>
      <c r="V8" s="54"/>
      <c r="W8" s="54"/>
      <c r="X8" s="80">
        <f t="shared" ref="X8:X15" si="0">X7+0.5%</f>
        <v>3.9999999999999994E-2</v>
      </c>
    </row>
    <row r="9" spans="2:24" ht="16" x14ac:dyDescent="0.2">
      <c r="B9" s="81"/>
      <c r="D9" s="83"/>
      <c r="E9" s="84" t="s">
        <v>3</v>
      </c>
      <c r="F9" s="47">
        <f>Antecedentes!E5</f>
        <v>8500000</v>
      </c>
      <c r="G9" s="85"/>
      <c r="H9" s="86" t="s">
        <v>24</v>
      </c>
      <c r="I9" s="138">
        <f>IF(J9=UF!C3,UF!B3,UF!B4)</f>
        <v>39267.07</v>
      </c>
      <c r="J9" s="126" t="s">
        <v>126</v>
      </c>
      <c r="L9" s="76">
        <f>Impuesto!C5</f>
        <v>68923</v>
      </c>
      <c r="M9" s="76"/>
      <c r="N9" s="76" t="s">
        <v>6</v>
      </c>
      <c r="O9" s="76"/>
      <c r="P9" s="76"/>
      <c r="Q9" s="76"/>
      <c r="R9" s="76"/>
      <c r="S9" s="77"/>
      <c r="V9" s="54"/>
      <c r="W9" s="54"/>
      <c r="X9" s="80">
        <f t="shared" si="0"/>
        <v>4.4999999999999991E-2</v>
      </c>
    </row>
    <row r="10" spans="2:24" ht="18" customHeight="1" x14ac:dyDescent="0.2">
      <c r="B10" s="81"/>
      <c r="D10" s="83"/>
      <c r="E10" s="84" t="s">
        <v>25</v>
      </c>
      <c r="F10" s="57">
        <f>+Antecedentes!E6</f>
        <v>19000000</v>
      </c>
      <c r="H10" s="86" t="s">
        <v>26</v>
      </c>
      <c r="I10" s="138">
        <f>UF!G2</f>
        <v>68923</v>
      </c>
      <c r="J10" s="82"/>
      <c r="L10" s="76">
        <f>IF(Sueldo_Bruto/Valor_UF&lt;tope_imponible_mensual,Sueldo_Bruto*(1-tasa_dcto_AFP-tasa_dcto_Salud-tasa_com_AFP),Sueldo_Bruto-tope_imponible_mensual*Valor_UF*(tasa_dcto_AFP+tasa_dcto_Salud+tasa_com_AFP))</f>
        <v>7975509.7460099999</v>
      </c>
      <c r="M10" s="76"/>
      <c r="N10" s="76">
        <v>0</v>
      </c>
      <c r="O10" s="76">
        <v>13.5</v>
      </c>
      <c r="P10" s="76">
        <v>0</v>
      </c>
      <c r="Q10" s="76"/>
      <c r="R10" s="76"/>
      <c r="S10" s="77"/>
      <c r="V10" s="54"/>
      <c r="W10" s="54"/>
      <c r="X10" s="80">
        <f t="shared" si="0"/>
        <v>4.9999999999999989E-2</v>
      </c>
    </row>
    <row r="11" spans="2:24" ht="18" customHeight="1" x14ac:dyDescent="0.2">
      <c r="B11" s="81"/>
      <c r="D11" s="87"/>
      <c r="E11" s="84" t="s">
        <v>7</v>
      </c>
      <c r="F11" s="47" t="str">
        <f>Antecedentes!E7</f>
        <v>F</v>
      </c>
      <c r="G11" s="148" t="s">
        <v>9</v>
      </c>
      <c r="H11" s="149"/>
      <c r="I11" s="49">
        <f>Antecedentes!E10</f>
        <v>3.5000000000000003E-2</v>
      </c>
      <c r="J11" s="82"/>
      <c r="L11" s="76">
        <f>IF(Sueldo_Bruto/Valor_UF&lt;tope_imponible_mensual_cot_cesantia,Sueldo_Bruto*cotizacion_cesantia,tope_imponible_mensual_cot_cesantia*cotizacion_cesantia*Valor_UF)</f>
        <v>24832.495068000004</v>
      </c>
      <c r="M11" s="76"/>
      <c r="N11" s="76">
        <f t="shared" ref="N11:N17" si="1">O10+0.001</f>
        <v>13.500999999999999</v>
      </c>
      <c r="O11" s="76">
        <v>30</v>
      </c>
      <c r="P11" s="76">
        <v>0.04</v>
      </c>
      <c r="Q11" s="76">
        <v>0.54</v>
      </c>
      <c r="R11" s="76"/>
      <c r="S11" s="77"/>
      <c r="V11" s="54"/>
      <c r="W11" s="54"/>
      <c r="X11" s="80">
        <f t="shared" si="0"/>
        <v>5.4999999999999986E-2</v>
      </c>
    </row>
    <row r="12" spans="2:24" ht="18" customHeight="1" x14ac:dyDescent="0.2">
      <c r="B12" s="81"/>
      <c r="D12" s="87"/>
      <c r="E12" s="84" t="s">
        <v>27</v>
      </c>
      <c r="F12" s="48">
        <f>Antecedentes!E8</f>
        <v>32248</v>
      </c>
      <c r="G12" s="148"/>
      <c r="H12" s="149"/>
      <c r="J12" s="82"/>
      <c r="L12" s="76">
        <f>L10-L11</f>
        <v>7950677.2509420002</v>
      </c>
      <c r="M12" s="76"/>
      <c r="N12" s="76">
        <f t="shared" si="1"/>
        <v>30.001000000000001</v>
      </c>
      <c r="O12" s="76">
        <v>50</v>
      </c>
      <c r="P12" s="76">
        <v>0.08</v>
      </c>
      <c r="Q12" s="76">
        <v>1.74</v>
      </c>
      <c r="R12" s="76"/>
      <c r="S12" s="77"/>
      <c r="V12" s="54"/>
      <c r="W12" s="54"/>
      <c r="X12" s="80">
        <f t="shared" si="0"/>
        <v>5.9999999999999984E-2</v>
      </c>
    </row>
    <row r="13" spans="2:24" ht="27" customHeight="1" x14ac:dyDescent="0.2">
      <c r="B13" s="81"/>
      <c r="D13" s="87"/>
      <c r="E13" s="87"/>
      <c r="F13" s="32"/>
      <c r="G13" s="88"/>
      <c r="H13" s="88"/>
      <c r="J13" s="82"/>
      <c r="L13" s="76"/>
      <c r="M13" s="76"/>
      <c r="N13" s="76">
        <f t="shared" si="1"/>
        <v>50.000999999999998</v>
      </c>
      <c r="O13" s="76">
        <v>70</v>
      </c>
      <c r="P13" s="76">
        <v>0.13500000000000001</v>
      </c>
      <c r="Q13" s="76">
        <v>4.49</v>
      </c>
      <c r="R13" s="76"/>
      <c r="S13" s="77"/>
      <c r="V13" s="54"/>
      <c r="W13" s="54"/>
      <c r="X13" s="80">
        <f>X12+0.5%</f>
        <v>6.4999999999999988E-2</v>
      </c>
    </row>
    <row r="14" spans="2:24" ht="35.25" customHeight="1" x14ac:dyDescent="0.15">
      <c r="B14" s="81"/>
      <c r="D14" s="144" t="s">
        <v>28</v>
      </c>
      <c r="E14" s="89" t="s">
        <v>29</v>
      </c>
      <c r="F14" s="90" t="s">
        <v>30</v>
      </c>
      <c r="G14" s="144" t="s">
        <v>31</v>
      </c>
      <c r="H14" s="144" t="s">
        <v>32</v>
      </c>
      <c r="I14" s="144" t="s">
        <v>32</v>
      </c>
      <c r="J14" s="82"/>
      <c r="L14" s="76">
        <f>(L12)/L9</f>
        <v>115.35593707386504</v>
      </c>
      <c r="M14" s="76"/>
      <c r="N14" s="76">
        <f t="shared" si="1"/>
        <v>70.001000000000005</v>
      </c>
      <c r="O14" s="76">
        <v>90</v>
      </c>
      <c r="P14" s="76">
        <v>0.23</v>
      </c>
      <c r="Q14" s="76">
        <v>11.14</v>
      </c>
      <c r="R14" s="76"/>
      <c r="S14" s="77"/>
      <c r="V14" s="54"/>
      <c r="W14" s="54"/>
      <c r="X14" s="80">
        <f t="shared" si="0"/>
        <v>6.9999999999999993E-2</v>
      </c>
    </row>
    <row r="15" spans="2:24" ht="35.25" customHeight="1" x14ac:dyDescent="0.15">
      <c r="B15" s="81"/>
      <c r="D15" s="145"/>
      <c r="E15" s="125">
        <f>(Monto_DC-tasa_imp*MIN(Monto_DC,tope_DC_mensual*12*Valor_UF))/Valor_UF</f>
        <v>336.77073435833131</v>
      </c>
      <c r="F15" s="125">
        <f>+tasa_imp*MIN(Monto_DC,tope_DC_mensual*12*Valor_UF)/Valor_UF</f>
        <v>147.0952632829493</v>
      </c>
      <c r="G15" s="159"/>
      <c r="H15" s="159"/>
      <c r="I15" s="159"/>
      <c r="J15" s="82"/>
      <c r="L15" s="76">
        <f>VLOOKUP(L14,N10:P17,3)</f>
        <v>0.30399999999999999</v>
      </c>
      <c r="M15" s="76"/>
      <c r="N15" s="76">
        <f t="shared" si="1"/>
        <v>90.001000000000005</v>
      </c>
      <c r="O15" s="76">
        <v>120</v>
      </c>
      <c r="P15" s="76">
        <v>0.30399999999999999</v>
      </c>
      <c r="Q15" s="76">
        <v>17.8</v>
      </c>
      <c r="R15" s="76"/>
      <c r="S15" s="77"/>
      <c r="V15" s="54"/>
      <c r="W15" s="54"/>
      <c r="X15" s="80">
        <f t="shared" si="0"/>
        <v>7.4999999999999997E-2</v>
      </c>
    </row>
    <row r="16" spans="2:24" ht="18" customHeight="1" x14ac:dyDescent="0.15">
      <c r="B16" s="81"/>
      <c r="D16" s="89" t="s">
        <v>33</v>
      </c>
      <c r="E16" s="91" t="s">
        <v>11</v>
      </c>
      <c r="F16" s="92" t="s">
        <v>11</v>
      </c>
      <c r="G16" s="89" t="s">
        <v>11</v>
      </c>
      <c r="H16" s="89" t="s">
        <v>11</v>
      </c>
      <c r="I16" s="89" t="s">
        <v>34</v>
      </c>
      <c r="J16" s="82"/>
      <c r="L16" s="76"/>
      <c r="M16" s="76"/>
      <c r="N16" s="76">
        <f t="shared" si="1"/>
        <v>120.001</v>
      </c>
      <c r="O16" s="76">
        <v>150</v>
      </c>
      <c r="P16" s="76">
        <v>0.35499999999999998</v>
      </c>
      <c r="Q16" s="76">
        <v>23.92</v>
      </c>
      <c r="R16" s="76"/>
      <c r="S16" s="77"/>
      <c r="V16" s="54"/>
      <c r="W16" s="54"/>
      <c r="X16" s="80">
        <f>X15+0.5%</f>
        <v>0.08</v>
      </c>
    </row>
    <row r="17" spans="2:24" ht="17.25" customHeight="1" x14ac:dyDescent="0.15">
      <c r="B17" s="93">
        <v>1</v>
      </c>
      <c r="C17" s="52"/>
      <c r="D17" s="94">
        <v>1</v>
      </c>
      <c r="E17" s="15">
        <f>FV($F$60,1*B17,-$E$15)</f>
        <v>336.77073435833131</v>
      </c>
      <c r="F17" s="15">
        <f>FV($F$60,1*B17,-$F$15)</f>
        <v>147.0952632829493</v>
      </c>
      <c r="G17" s="15">
        <f>F17+E17</f>
        <v>483.86599764128061</v>
      </c>
      <c r="H17" s="61">
        <f t="shared" ref="H17:H56" si="2">G17/(IF($F$11="M",CNU_H,CNU_M))</f>
        <v>1.9248388799478107</v>
      </c>
      <c r="I17" s="10">
        <f t="shared" ref="I17:I56" si="3">H17*$I$9</f>
        <v>75582.783037632282</v>
      </c>
      <c r="J17" s="82"/>
      <c r="L17" s="76" t="s">
        <v>35</v>
      </c>
      <c r="M17" s="76"/>
      <c r="N17" s="76">
        <f t="shared" si="1"/>
        <v>150.001</v>
      </c>
      <c r="O17" s="76"/>
      <c r="P17" s="76">
        <v>0.4</v>
      </c>
      <c r="Q17" s="76">
        <v>30.67</v>
      </c>
      <c r="R17" s="76"/>
      <c r="S17" s="77"/>
      <c r="V17" s="54"/>
      <c r="W17" s="54"/>
    </row>
    <row r="18" spans="2:24" ht="17.25" customHeight="1" x14ac:dyDescent="0.15">
      <c r="B18" s="93">
        <v>2</v>
      </c>
      <c r="D18" s="95">
        <v>2</v>
      </c>
      <c r="E18" s="16">
        <f t="shared" ref="E18:E56" si="4">FV($F$60,1*B18,-$E$15)</f>
        <v>685.32844441920452</v>
      </c>
      <c r="F18" s="16">
        <f>FV($F$60,1*B18,-$F$15)</f>
        <v>299.33886078080201</v>
      </c>
      <c r="G18" s="16">
        <f t="shared" ref="G18:G56" si="5">F18+E18</f>
        <v>984.66730520000647</v>
      </c>
      <c r="H18" s="62">
        <f t="shared" si="2"/>
        <v>3.917047120693796</v>
      </c>
      <c r="I18" s="11">
        <f t="shared" si="3"/>
        <v>153810.96348158174</v>
      </c>
      <c r="J18" s="82"/>
      <c r="L18" s="76">
        <f ca="1">YEAR(F12)+edadjub-YEAR(TODAY())</f>
        <v>23</v>
      </c>
      <c r="M18" s="76"/>
      <c r="N18" s="76"/>
      <c r="O18" s="76"/>
      <c r="P18" s="76"/>
      <c r="Q18" s="76"/>
      <c r="R18" s="76"/>
      <c r="S18" s="77"/>
      <c r="V18" s="54"/>
      <c r="W18" s="54"/>
    </row>
    <row r="19" spans="2:24" ht="17.25" customHeight="1" x14ac:dyDescent="0.15">
      <c r="B19" s="93">
        <v>3</v>
      </c>
      <c r="D19" s="96">
        <v>3</v>
      </c>
      <c r="E19" s="17">
        <f>FV($F$60,1*B19,-$E$15)</f>
        <v>1046.0856743322076</v>
      </c>
      <c r="F19" s="17">
        <f t="shared" ref="F19:F56" si="6">FV($F$60,1*B19,-$F$15)</f>
        <v>456.91098419107919</v>
      </c>
      <c r="G19" s="17">
        <f t="shared" si="5"/>
        <v>1502.9966585232869</v>
      </c>
      <c r="H19" s="63">
        <f t="shared" si="2"/>
        <v>5.9789826498658876</v>
      </c>
      <c r="I19" s="12">
        <f t="shared" si="3"/>
        <v>234777.1302410693</v>
      </c>
      <c r="J19" s="82"/>
      <c r="L19" s="76" t="s">
        <v>36</v>
      </c>
      <c r="M19" s="76"/>
      <c r="N19" s="76"/>
      <c r="O19" s="76"/>
      <c r="P19" s="76"/>
      <c r="Q19" s="76"/>
      <c r="R19" s="76"/>
      <c r="S19" s="77"/>
      <c r="V19" s="54"/>
      <c r="W19" s="54"/>
    </row>
    <row r="20" spans="2:24" ht="17.25" customHeight="1" x14ac:dyDescent="0.15">
      <c r="B20" s="93">
        <v>4</v>
      </c>
      <c r="D20" s="95">
        <v>4</v>
      </c>
      <c r="E20" s="16">
        <f t="shared" si="4"/>
        <v>1419.4694072921664</v>
      </c>
      <c r="F20" s="16">
        <f t="shared" si="6"/>
        <v>619.99813192071633</v>
      </c>
      <c r="G20" s="16">
        <f t="shared" si="5"/>
        <v>2039.4675392128827</v>
      </c>
      <c r="H20" s="62">
        <f t="shared" si="2"/>
        <v>8.1130859225590051</v>
      </c>
      <c r="I20" s="11">
        <f t="shared" si="3"/>
        <v>318577.11283713905</v>
      </c>
      <c r="J20" s="82"/>
      <c r="L20" s="76">
        <f>IF(F11="M",65,60)</f>
        <v>60</v>
      </c>
      <c r="M20" s="76"/>
      <c r="N20" s="76"/>
      <c r="O20" s="76"/>
      <c r="P20" s="76"/>
      <c r="Q20" s="76"/>
      <c r="R20" s="76"/>
      <c r="S20" s="77"/>
      <c r="V20" s="54"/>
      <c r="W20" s="54"/>
    </row>
    <row r="21" spans="2:24" ht="17.25" customHeight="1" x14ac:dyDescent="0.15">
      <c r="B21" s="93">
        <v>5</v>
      </c>
      <c r="D21" s="96">
        <v>5</v>
      </c>
      <c r="E21" s="17">
        <f t="shared" si="4"/>
        <v>1805.9215709057225</v>
      </c>
      <c r="F21" s="17">
        <f t="shared" si="6"/>
        <v>788.79332982089034</v>
      </c>
      <c r="G21" s="17">
        <f t="shared" si="5"/>
        <v>2594.714900726613</v>
      </c>
      <c r="H21" s="63">
        <f t="shared" si="2"/>
        <v>10.321882809796376</v>
      </c>
      <c r="I21" s="12">
        <f t="shared" si="3"/>
        <v>405310.09482407098</v>
      </c>
      <c r="J21" s="82"/>
      <c r="L21" s="76" t="s">
        <v>37</v>
      </c>
      <c r="M21" s="76"/>
      <c r="N21" s="76"/>
      <c r="O21" s="76"/>
      <c r="P21" s="76"/>
      <c r="Q21" s="76"/>
      <c r="R21" s="76"/>
      <c r="S21" s="77"/>
      <c r="V21" s="54"/>
      <c r="W21" s="54"/>
    </row>
    <row r="22" spans="2:24" ht="17.25" customHeight="1" x14ac:dyDescent="0.15">
      <c r="B22" s="93">
        <v>6</v>
      </c>
      <c r="D22" s="95">
        <v>6</v>
      </c>
      <c r="E22" s="16">
        <f t="shared" si="4"/>
        <v>2205.8995602457558</v>
      </c>
      <c r="F22" s="16">
        <f t="shared" si="6"/>
        <v>963.49635964757147</v>
      </c>
      <c r="G22" s="16">
        <f t="shared" si="5"/>
        <v>3169.3959198933271</v>
      </c>
      <c r="H22" s="62">
        <f t="shared" si="2"/>
        <v>12.607987588087068</v>
      </c>
      <c r="I22" s="11">
        <f t="shared" si="3"/>
        <v>495078.73118054611</v>
      </c>
      <c r="J22" s="82"/>
      <c r="L22" s="76">
        <f>IF(F11="M",40,35)</f>
        <v>35</v>
      </c>
      <c r="M22" s="76"/>
      <c r="N22" s="76"/>
      <c r="O22" s="76"/>
      <c r="P22" s="76"/>
      <c r="Q22" s="76"/>
      <c r="R22" s="76"/>
      <c r="S22" s="77"/>
      <c r="V22" s="54"/>
      <c r="W22" s="54"/>
    </row>
    <row r="23" spans="2:24" ht="17.25" customHeight="1" x14ac:dyDescent="0.15">
      <c r="B23" s="93">
        <v>7</v>
      </c>
      <c r="D23" s="96">
        <v>7</v>
      </c>
      <c r="E23" s="17">
        <f t="shared" si="4"/>
        <v>2619.8767792126882</v>
      </c>
      <c r="F23" s="17">
        <f t="shared" si="6"/>
        <v>1144.3139955181857</v>
      </c>
      <c r="G23" s="17">
        <f t="shared" si="5"/>
        <v>3764.1907747308742</v>
      </c>
      <c r="H23" s="63">
        <f t="shared" si="2"/>
        <v>14.974106033617925</v>
      </c>
      <c r="I23" s="12">
        <f t="shared" si="3"/>
        <v>587989.2698094974</v>
      </c>
      <c r="J23" s="82"/>
      <c r="L23" s="54"/>
      <c r="M23" s="54"/>
      <c r="N23" s="54"/>
      <c r="O23" s="54"/>
      <c r="P23" s="54"/>
      <c r="Q23" s="54"/>
      <c r="R23" s="54"/>
      <c r="X23" s="30"/>
    </row>
    <row r="24" spans="2:24" ht="17.25" customHeight="1" x14ac:dyDescent="0.15">
      <c r="B24" s="93">
        <v>8</v>
      </c>
      <c r="D24" s="95">
        <v>8</v>
      </c>
      <c r="E24" s="16">
        <f t="shared" si="4"/>
        <v>3048.343200843462</v>
      </c>
      <c r="F24" s="16">
        <f t="shared" si="6"/>
        <v>1331.4602486442707</v>
      </c>
      <c r="G24" s="16">
        <f t="shared" si="5"/>
        <v>4379.8034494877329</v>
      </c>
      <c r="H24" s="62">
        <f t="shared" si="2"/>
        <v>17.423038624742354</v>
      </c>
      <c r="I24" s="11">
        <f t="shared" si="3"/>
        <v>684151.67729046172</v>
      </c>
      <c r="J24" s="82"/>
    </row>
    <row r="25" spans="2:24" ht="17.25" customHeight="1" x14ac:dyDescent="0.15">
      <c r="B25" s="93">
        <v>9</v>
      </c>
      <c r="D25" s="96">
        <v>9</v>
      </c>
      <c r="E25" s="17">
        <f t="shared" si="4"/>
        <v>3491.8059472313134</v>
      </c>
      <c r="F25" s="17">
        <f t="shared" si="6"/>
        <v>1525.1566206297691</v>
      </c>
      <c r="G25" s="17">
        <f t="shared" si="5"/>
        <v>5016.9625678610828</v>
      </c>
      <c r="H25" s="63">
        <f t="shared" si="2"/>
        <v>19.957683856556141</v>
      </c>
      <c r="I25" s="12">
        <f t="shared" si="3"/>
        <v>783679.76903325994</v>
      </c>
      <c r="J25" s="82"/>
    </row>
    <row r="26" spans="2:24" ht="17.25" customHeight="1" x14ac:dyDescent="0.15">
      <c r="B26" s="93">
        <v>10</v>
      </c>
      <c r="D26" s="95">
        <v>10</v>
      </c>
      <c r="E26" s="16">
        <f t="shared" si="4"/>
        <v>3950.7898897427403</v>
      </c>
      <c r="F26" s="16">
        <f t="shared" si="6"/>
        <v>1725.6323656347602</v>
      </c>
      <c r="G26" s="16">
        <f t="shared" si="5"/>
        <v>5676.4222553775007</v>
      </c>
      <c r="H26" s="62">
        <f t="shared" si="2"/>
        <v>22.581041671483415</v>
      </c>
      <c r="I26" s="11">
        <f t="shared" si="3"/>
        <v>886691.34398705629</v>
      </c>
      <c r="J26" s="82"/>
    </row>
    <row r="27" spans="2:24" ht="17.25" customHeight="1" x14ac:dyDescent="0.15">
      <c r="B27" s="93">
        <v>11</v>
      </c>
      <c r="D27" s="96">
        <v>11</v>
      </c>
      <c r="E27" s="17">
        <f t="shared" si="4"/>
        <v>4425.8382702420695</v>
      </c>
      <c r="F27" s="17">
        <f t="shared" si="6"/>
        <v>1933.1247617149268</v>
      </c>
      <c r="G27" s="17">
        <f t="shared" si="5"/>
        <v>6358.963031956996</v>
      </c>
      <c r="H27" s="63">
        <f t="shared" si="2"/>
        <v>25.296217009933155</v>
      </c>
      <c r="I27" s="12">
        <f t="shared" si="3"/>
        <v>993308.3240642359</v>
      </c>
      <c r="J27" s="82"/>
    </row>
    <row r="28" spans="2:24" ht="17.25" customHeight="1" x14ac:dyDescent="0.15">
      <c r="B28" s="93">
        <v>12</v>
      </c>
      <c r="D28" s="95">
        <v>12</v>
      </c>
      <c r="E28" s="16">
        <f t="shared" si="4"/>
        <v>4917.5133440588725</v>
      </c>
      <c r="F28" s="16">
        <f t="shared" si="6"/>
        <v>2147.8793916578984</v>
      </c>
      <c r="G28" s="16">
        <f t="shared" si="5"/>
        <v>7065.3927357167704</v>
      </c>
      <c r="H28" s="62">
        <f t="shared" si="2"/>
        <v>28.106423485228621</v>
      </c>
      <c r="I28" s="11">
        <f t="shared" si="3"/>
        <v>1103656.8984441161</v>
      </c>
      <c r="J28" s="82"/>
    </row>
    <row r="29" spans="2:24" ht="17.25" customHeight="1" x14ac:dyDescent="0.15">
      <c r="B29" s="93">
        <v>13</v>
      </c>
      <c r="D29" s="96">
        <v>13</v>
      </c>
      <c r="E29" s="17">
        <f t="shared" si="4"/>
        <v>5426.3970454592627</v>
      </c>
      <c r="F29" s="17">
        <f t="shared" si="6"/>
        <v>2370.1504336488733</v>
      </c>
      <c r="G29" s="17">
        <f t="shared" si="5"/>
        <v>7796.547479108136</v>
      </c>
      <c r="H29" s="63">
        <f t="shared" si="2"/>
        <v>31.014987187159424</v>
      </c>
      <c r="I29" s="12">
        <f t="shared" si="3"/>
        <v>1217867.6729272921</v>
      </c>
      <c r="J29" s="82"/>
    </row>
    <row r="30" spans="2:24" ht="17.25" customHeight="1" x14ac:dyDescent="0.15">
      <c r="B30" s="93">
        <v>14</v>
      </c>
      <c r="D30" s="95">
        <v>14</v>
      </c>
      <c r="E30" s="16">
        <f t="shared" si="4"/>
        <v>5953.0916764086696</v>
      </c>
      <c r="F30" s="16">
        <f t="shared" si="6"/>
        <v>2600.200962109534</v>
      </c>
      <c r="G30" s="16">
        <f t="shared" si="5"/>
        <v>8553.2926385182036</v>
      </c>
      <c r="H30" s="62">
        <f t="shared" si="2"/>
        <v>34.025350618657825</v>
      </c>
      <c r="I30" s="11">
        <f t="shared" si="3"/>
        <v>1336075.8245173802</v>
      </c>
      <c r="J30" s="82"/>
    </row>
    <row r="31" spans="2:24" ht="17.25" customHeight="1" x14ac:dyDescent="0.15">
      <c r="B31" s="93">
        <v>15</v>
      </c>
      <c r="D31" s="96">
        <v>15</v>
      </c>
      <c r="E31" s="17">
        <f t="shared" si="4"/>
        <v>6498.2206194413029</v>
      </c>
      <c r="F31" s="17">
        <f t="shared" si="6"/>
        <v>2838.3032590663161</v>
      </c>
      <c r="G31" s="17">
        <f t="shared" si="5"/>
        <v>9336.5238785076181</v>
      </c>
      <c r="H31" s="63">
        <f t="shared" si="2"/>
        <v>37.141076770258643</v>
      </c>
      <c r="I31" s="12">
        <f t="shared" si="3"/>
        <v>1458421.26141312</v>
      </c>
      <c r="J31" s="82"/>
    </row>
    <row r="32" spans="2:24" ht="17.25" customHeight="1" x14ac:dyDescent="0.15">
      <c r="B32" s="93">
        <v>16</v>
      </c>
      <c r="D32" s="95">
        <v>16</v>
      </c>
      <c r="E32" s="16">
        <f t="shared" si="4"/>
        <v>7062.4290754800777</v>
      </c>
      <c r="F32" s="16">
        <f t="shared" si="6"/>
        <v>3084.7391364165856</v>
      </c>
      <c r="G32" s="16">
        <f t="shared" si="5"/>
        <v>10147.168211896664</v>
      </c>
      <c r="H32" s="62">
        <f t="shared" si="2"/>
        <v>40.365853337165504</v>
      </c>
      <c r="I32" s="11">
        <f t="shared" si="3"/>
        <v>1585048.7886002115</v>
      </c>
      <c r="J32" s="82"/>
    </row>
    <row r="33" spans="2:10" ht="17.25" customHeight="1" x14ac:dyDescent="0.15">
      <c r="B33" s="93">
        <v>17</v>
      </c>
      <c r="D33" s="96">
        <v>17</v>
      </c>
      <c r="E33" s="17">
        <f t="shared" si="4"/>
        <v>7646.3848274802122</v>
      </c>
      <c r="F33" s="17">
        <f t="shared" si="6"/>
        <v>3339.8002694741153</v>
      </c>
      <c r="G33" s="17">
        <f t="shared" si="5"/>
        <v>10986.185096954327</v>
      </c>
      <c r="H33" s="63">
        <f t="shared" si="2"/>
        <v>43.703497083914101</v>
      </c>
      <c r="I33" s="12">
        <f t="shared" si="3"/>
        <v>1716108.2792388508</v>
      </c>
      <c r="J33" s="82"/>
    </row>
    <row r="34" spans="2:10" ht="17.25" customHeight="1" x14ac:dyDescent="0.15">
      <c r="B34" s="93">
        <v>18</v>
      </c>
      <c r="D34" s="95">
        <v>18</v>
      </c>
      <c r="E34" s="16">
        <f t="shared" si="4"/>
        <v>8250.7790308003496</v>
      </c>
      <c r="F34" s="16">
        <f t="shared" si="6"/>
        <v>3603.7885421886585</v>
      </c>
      <c r="G34" s="16">
        <f t="shared" si="5"/>
        <v>11854.567572989008</v>
      </c>
      <c r="H34" s="62">
        <f t="shared" si="2"/>
        <v>47.157958361798904</v>
      </c>
      <c r="I34" s="11">
        <f t="shared" si="3"/>
        <v>1851754.8520498429</v>
      </c>
      <c r="J34" s="82"/>
    </row>
    <row r="35" spans="2:10" ht="17.25" customHeight="1" x14ac:dyDescent="0.15">
      <c r="B35" s="93">
        <v>19</v>
      </c>
      <c r="D35" s="96">
        <v>19</v>
      </c>
      <c r="E35" s="17">
        <f t="shared" si="4"/>
        <v>8876.3270312366931</v>
      </c>
      <c r="F35" s="17">
        <f t="shared" si="6"/>
        <v>3877.0164044482108</v>
      </c>
      <c r="G35" s="17">
        <f t="shared" si="5"/>
        <v>12753.343435684903</v>
      </c>
      <c r="H35" s="63">
        <f t="shared" si="2"/>
        <v>50.733325784409672</v>
      </c>
      <c r="I35" s="12">
        <f t="shared" si="3"/>
        <v>1992149.0549092195</v>
      </c>
      <c r="J35" s="82"/>
    </row>
    <row r="36" spans="2:10" ht="17.25" customHeight="1" x14ac:dyDescent="0.15">
      <c r="B36" s="93">
        <v>20</v>
      </c>
      <c r="D36" s="95">
        <v>20</v>
      </c>
      <c r="E36" s="16">
        <f t="shared" si="4"/>
        <v>9523.7692116883063</v>
      </c>
      <c r="F36" s="16">
        <f t="shared" si="6"/>
        <v>4159.8072418868469</v>
      </c>
      <c r="G36" s="16">
        <f t="shared" si="5"/>
        <v>13683.576453575153</v>
      </c>
      <c r="H36" s="62">
        <f t="shared" si="2"/>
        <v>54.433831066811813</v>
      </c>
      <c r="I36" s="11">
        <f t="shared" si="3"/>
        <v>2137457.0548686739</v>
      </c>
      <c r="J36" s="82"/>
    </row>
    <row r="37" spans="2:10" ht="17.25" customHeight="1" x14ac:dyDescent="0.15">
      <c r="B37" s="93">
        <v>21</v>
      </c>
      <c r="D37" s="96">
        <v>21</v>
      </c>
      <c r="E37" s="17">
        <f t="shared" si="4"/>
        <v>10193.871868455726</v>
      </c>
      <c r="F37" s="17">
        <f t="shared" si="6"/>
        <v>4452.4957586358341</v>
      </c>
      <c r="G37" s="17">
        <f t="shared" si="5"/>
        <v>14646.36762709156</v>
      </c>
      <c r="H37" s="63">
        <f t="shared" si="2"/>
        <v>58.263854034098024</v>
      </c>
      <c r="I37" s="12">
        <f t="shared" si="3"/>
        <v>2287850.8348267097</v>
      </c>
      <c r="J37" s="82"/>
    </row>
    <row r="38" spans="2:10" ht="17.25" customHeight="1" x14ac:dyDescent="0.15">
      <c r="B38" s="93">
        <v>22</v>
      </c>
      <c r="D38" s="95">
        <v>22</v>
      </c>
      <c r="E38" s="16">
        <f t="shared" si="4"/>
        <v>10887.428118210009</v>
      </c>
      <c r="F38" s="16">
        <f t="shared" si="6"/>
        <v>4755.428373471038</v>
      </c>
      <c r="G38" s="16">
        <f t="shared" si="5"/>
        <v>15642.856491681046</v>
      </c>
      <c r="H38" s="62">
        <f t="shared" si="2"/>
        <v>62.227927805239268</v>
      </c>
      <c r="I38" s="11">
        <f t="shared" si="3"/>
        <v>2443508.3970832769</v>
      </c>
      <c r="J38" s="82"/>
    </row>
    <row r="39" spans="2:10" ht="17.25" customHeight="1" x14ac:dyDescent="0.15">
      <c r="B39" s="93">
        <v>23</v>
      </c>
      <c r="D39" s="96">
        <v>23</v>
      </c>
      <c r="E39" s="17">
        <f t="shared" si="4"/>
        <v>11605.258836705691</v>
      </c>
      <c r="F39" s="17">
        <f t="shared" si="6"/>
        <v>5068.9636298254745</v>
      </c>
      <c r="G39" s="17">
        <f t="shared" si="5"/>
        <v>16674.222466531166</v>
      </c>
      <c r="H39" s="63">
        <f t="shared" si="2"/>
        <v>66.330744158370464</v>
      </c>
      <c r="I39" s="12">
        <f t="shared" si="3"/>
        <v>2604613.9740188243</v>
      </c>
      <c r="J39" s="82"/>
    </row>
    <row r="40" spans="2:10" ht="17.25" customHeight="1" x14ac:dyDescent="0.15">
      <c r="B40" s="93">
        <v>24</v>
      </c>
      <c r="D40" s="95">
        <v>24</v>
      </c>
      <c r="E40" s="16">
        <f t="shared" si="4"/>
        <v>12348.213630348719</v>
      </c>
      <c r="F40" s="16">
        <f t="shared" si="6"/>
        <v>5393.4726201523135</v>
      </c>
      <c r="G40" s="16">
        <f t="shared" si="5"/>
        <v>17741.686250501032</v>
      </c>
      <c r="H40" s="62">
        <f t="shared" si="2"/>
        <v>70.577159083861218</v>
      </c>
      <c r="I40" s="11">
        <f t="shared" si="3"/>
        <v>2771358.2461471143</v>
      </c>
      <c r="J40" s="82"/>
    </row>
    <row r="41" spans="2:10" ht="17.25" customHeight="1" x14ac:dyDescent="0.15">
      <c r="B41" s="93">
        <v>25</v>
      </c>
      <c r="D41" s="96">
        <v>25</v>
      </c>
      <c r="E41" s="17">
        <f t="shared" si="4"/>
        <v>13117.171841769252</v>
      </c>
      <c r="F41" s="17">
        <f t="shared" si="6"/>
        <v>5729.3394251405925</v>
      </c>
      <c r="G41" s="17">
        <f t="shared" si="5"/>
        <v>18846.511266909845</v>
      </c>
      <c r="H41" s="63">
        <f t="shared" si="2"/>
        <v>74.972198531744155</v>
      </c>
      <c r="I41" s="12">
        <f t="shared" si="3"/>
        <v>2943938.5677998951</v>
      </c>
      <c r="J41" s="82"/>
    </row>
    <row r="42" spans="2:10" ht="17.25" customHeight="1" x14ac:dyDescent="0.15">
      <c r="B42" s="93">
        <v>26</v>
      </c>
      <c r="D42" s="95">
        <v>26</v>
      </c>
      <c r="E42" s="16">
        <f t="shared" si="4"/>
        <v>13913.04359058951</v>
      </c>
      <c r="F42" s="16">
        <f t="shared" si="6"/>
        <v>6076.9615683034635</v>
      </c>
      <c r="G42" s="16">
        <f t="shared" si="5"/>
        <v>19990.005158892975</v>
      </c>
      <c r="H42" s="62">
        <f t="shared" si="2"/>
        <v>79.521064360303029</v>
      </c>
      <c r="I42" s="11">
        <f t="shared" si="3"/>
        <v>3122559.2007105243</v>
      </c>
      <c r="J42" s="82"/>
    </row>
    <row r="43" spans="2:10" ht="17.25" customHeight="1" x14ac:dyDescent="0.15">
      <c r="B43" s="93">
        <v>27</v>
      </c>
      <c r="D43" s="96">
        <v>27</v>
      </c>
      <c r="E43" s="17">
        <f t="shared" si="4"/>
        <v>14736.770850618474</v>
      </c>
      <c r="F43" s="17">
        <f t="shared" si="6"/>
        <v>6436.7504864770344</v>
      </c>
      <c r="G43" s="17">
        <f t="shared" si="5"/>
        <v>21173.52133709551</v>
      </c>
      <c r="H43" s="63">
        <f t="shared" si="2"/>
        <v>84.229140492861447</v>
      </c>
      <c r="I43" s="12">
        <f t="shared" si="3"/>
        <v>3307431.5557730249</v>
      </c>
      <c r="J43" s="82"/>
    </row>
    <row r="44" spans="2:10" ht="17.25" customHeight="1" x14ac:dyDescent="0.15">
      <c r="B44" s="93">
        <v>28</v>
      </c>
      <c r="D44" s="95">
        <v>28</v>
      </c>
      <c r="E44" s="16">
        <f t="shared" si="4"/>
        <v>15589.328564748452</v>
      </c>
      <c r="F44" s="16">
        <f t="shared" si="6"/>
        <v>6809.1320167866797</v>
      </c>
      <c r="G44" s="16">
        <f t="shared" si="5"/>
        <v>22398.460581535131</v>
      </c>
      <c r="H44" s="62">
        <f t="shared" si="2"/>
        <v>89.101999290059396</v>
      </c>
      <c r="I44" s="11">
        <f t="shared" si="3"/>
        <v>3498774.4432627126</v>
      </c>
      <c r="J44" s="82"/>
    </row>
    <row r="45" spans="2:10" ht="17.25" customHeight="1" x14ac:dyDescent="0.15">
      <c r="B45" s="93">
        <v>29</v>
      </c>
      <c r="D45" s="96">
        <v>29</v>
      </c>
      <c r="E45" s="17">
        <f t="shared" si="4"/>
        <v>16471.725798872976</v>
      </c>
      <c r="F45" s="17">
        <f t="shared" si="6"/>
        <v>7194.5469006571611</v>
      </c>
      <c r="G45" s="17">
        <f t="shared" si="5"/>
        <v>23666.272699530138</v>
      </c>
      <c r="H45" s="63">
        <f t="shared" si="2"/>
        <v>94.14540814515928</v>
      </c>
      <c r="I45" s="12">
        <f t="shared" si="3"/>
        <v>3696814.3318145396</v>
      </c>
      <c r="J45" s="82"/>
    </row>
    <row r="46" spans="2:10" ht="17.25" customHeight="1" x14ac:dyDescent="0.15">
      <c r="B46" s="93">
        <v>30</v>
      </c>
      <c r="D46" s="95">
        <v>30</v>
      </c>
      <c r="E46" s="16">
        <f t="shared" si="4"/>
        <v>17385.006936191861</v>
      </c>
      <c r="F46" s="16">
        <f t="shared" si="6"/>
        <v>7593.4513054631116</v>
      </c>
      <c r="G46" s="16">
        <f t="shared" si="5"/>
        <v>24978.458241654975</v>
      </c>
      <c r="H46" s="62">
        <f t="shared" si="2"/>
        <v>99.365336310187658</v>
      </c>
      <c r="I46" s="11">
        <f t="shared" si="3"/>
        <v>3901785.6164656803</v>
      </c>
      <c r="J46" s="82"/>
    </row>
    <row r="47" spans="2:10" ht="17.25" customHeight="1" x14ac:dyDescent="0.15">
      <c r="B47" s="93">
        <v>31</v>
      </c>
      <c r="D47" s="96">
        <v>31</v>
      </c>
      <c r="E47" s="17">
        <f t="shared" si="4"/>
        <v>18330.252913316908</v>
      </c>
      <c r="F47" s="17">
        <f t="shared" si="6"/>
        <v>8006.3173644372691</v>
      </c>
      <c r="G47" s="17">
        <f t="shared" si="5"/>
        <v>26336.570277754177</v>
      </c>
      <c r="H47" s="63">
        <f t="shared" si="2"/>
        <v>104.76796196099204</v>
      </c>
      <c r="I47" s="12">
        <f t="shared" si="3"/>
        <v>4113930.8960796115</v>
      </c>
      <c r="J47" s="82"/>
    </row>
    <row r="48" spans="2:10" ht="17.25" customHeight="1" x14ac:dyDescent="0.15">
      <c r="B48" s="93">
        <v>32</v>
      </c>
      <c r="D48" s="95">
        <v>32</v>
      </c>
      <c r="E48" s="16">
        <f t="shared" si="4"/>
        <v>19308.582499641321</v>
      </c>
      <c r="F48" s="16">
        <f t="shared" si="6"/>
        <v>8433.6337354755196</v>
      </c>
      <c r="G48" s="16">
        <f t="shared" si="5"/>
        <v>27742.216235116841</v>
      </c>
      <c r="H48" s="62">
        <f t="shared" si="2"/>
        <v>110.35967950957452</v>
      </c>
      <c r="I48" s="11">
        <f t="shared" si="3"/>
        <v>4333501.2604800286</v>
      </c>
      <c r="J48" s="82"/>
    </row>
    <row r="49" spans="2:10" ht="17.25" customHeight="1" x14ac:dyDescent="0.15">
      <c r="B49" s="93">
        <v>33</v>
      </c>
      <c r="D49" s="96">
        <v>33</v>
      </c>
      <c r="E49" s="17">
        <f t="shared" si="4"/>
        <v>20321.153621487098</v>
      </c>
      <c r="F49" s="17">
        <f t="shared" si="6"/>
        <v>8875.9061795001107</v>
      </c>
      <c r="G49" s="17">
        <f t="shared" si="5"/>
        <v>29197.059800987208</v>
      </c>
      <c r="H49" s="63">
        <f t="shared" si="2"/>
        <v>116.14710717235742</v>
      </c>
      <c r="I49" s="12">
        <f t="shared" si="3"/>
        <v>4560756.587634461</v>
      </c>
      <c r="J49" s="82"/>
    </row>
    <row r="50" spans="2:10" ht="17.25" customHeight="1" x14ac:dyDescent="0.15">
      <c r="B50" s="93">
        <v>34</v>
      </c>
      <c r="D50" s="95">
        <v>34</v>
      </c>
      <c r="E50" s="16">
        <f t="shared" si="4"/>
        <v>21369.164732597477</v>
      </c>
      <c r="F50" s="16">
        <f t="shared" si="6"/>
        <v>9333.6581590655642</v>
      </c>
      <c r="G50" s="16">
        <f t="shared" si="5"/>
        <v>30702.82289166304</v>
      </c>
      <c r="H50" s="62">
        <f t="shared" si="2"/>
        <v>122.13709480333773</v>
      </c>
      <c r="I50" s="11">
        <f t="shared" si="3"/>
        <v>4795965.8512392985</v>
      </c>
      <c r="J50" s="82"/>
    </row>
    <row r="51" spans="2:10" ht="17.25" customHeight="1" x14ac:dyDescent="0.15">
      <c r="B51" s="93">
        <v>35</v>
      </c>
      <c r="D51" s="96">
        <v>35</v>
      </c>
      <c r="E51" s="17">
        <f t="shared" si="4"/>
        <v>22453.856232596718</v>
      </c>
      <c r="F51" s="17">
        <f t="shared" si="6"/>
        <v>9807.4314579158072</v>
      </c>
      <c r="G51" s="17">
        <f t="shared" si="5"/>
        <v>32261.287690512523</v>
      </c>
      <c r="H51" s="63">
        <f t="shared" si="2"/>
        <v>128.33673200140237</v>
      </c>
      <c r="I51" s="12">
        <f t="shared" si="3"/>
        <v>5039407.4390703067</v>
      </c>
      <c r="J51" s="82"/>
    </row>
    <row r="52" spans="2:10" ht="17.25" customHeight="1" x14ac:dyDescent="0.15">
      <c r="B52" s="93">
        <v>36</v>
      </c>
      <c r="D52" s="95">
        <v>36</v>
      </c>
      <c r="E52" s="16">
        <f t="shared" si="4"/>
        <v>23576.511935095936</v>
      </c>
      <c r="F52" s="16">
        <f t="shared" si="6"/>
        <v>10297.786822225811</v>
      </c>
      <c r="G52" s="16">
        <f t="shared" si="5"/>
        <v>33874.298757321747</v>
      </c>
      <c r="H52" s="62">
        <f t="shared" si="2"/>
        <v>134.75335650139925</v>
      </c>
      <c r="I52" s="11">
        <f t="shared" si="3"/>
        <v>5291369.4824754</v>
      </c>
      <c r="J52" s="82"/>
    </row>
    <row r="53" spans="2:10" ht="17.25" customHeight="1" x14ac:dyDescent="0.15">
      <c r="B53" s="93">
        <v>37</v>
      </c>
      <c r="D53" s="96">
        <v>37</v>
      </c>
      <c r="E53" s="17">
        <f t="shared" si="4"/>
        <v>24738.460587182617</v>
      </c>
      <c r="F53" s="17">
        <f t="shared" si="6"/>
        <v>10805.30462428666</v>
      </c>
      <c r="G53" s="17">
        <f t="shared" si="5"/>
        <v>35543.765211469276</v>
      </c>
      <c r="H53" s="63">
        <f t="shared" si="2"/>
        <v>141.39456285889599</v>
      </c>
      <c r="I53" s="12">
        <f t="shared" si="3"/>
        <v>5552150.1973996693</v>
      </c>
      <c r="J53" s="82"/>
    </row>
    <row r="54" spans="2:10" ht="17.25" customHeight="1" x14ac:dyDescent="0.15">
      <c r="B54" s="93">
        <v>38</v>
      </c>
      <c r="D54" s="95">
        <v>38</v>
      </c>
      <c r="E54" s="16">
        <f t="shared" si="4"/>
        <v>25941.077442092344</v>
      </c>
      <c r="F54" s="16">
        <f t="shared" si="6"/>
        <v>11330.585549419646</v>
      </c>
      <c r="G54" s="16">
        <f t="shared" si="5"/>
        <v>37271.662991511992</v>
      </c>
      <c r="H54" s="62">
        <f t="shared" si="2"/>
        <v>148.26821143890521</v>
      </c>
      <c r="I54" s="11">
        <f t="shared" si="3"/>
        <v>5822058.2373462915</v>
      </c>
      <c r="J54" s="82"/>
    </row>
    <row r="55" spans="2:10" ht="17.25" customHeight="1" x14ac:dyDescent="0.15">
      <c r="B55" s="93">
        <v>39</v>
      </c>
      <c r="D55" s="96">
        <v>39</v>
      </c>
      <c r="E55" s="17">
        <f t="shared" si="4"/>
        <v>27185.785886923906</v>
      </c>
      <c r="F55" s="17">
        <f t="shared" si="6"/>
        <v>11874.251306932281</v>
      </c>
      <c r="G55" s="17">
        <f t="shared" si="5"/>
        <v>39060.037193856188</v>
      </c>
      <c r="H55" s="63">
        <f t="shared" si="2"/>
        <v>155.38243771921469</v>
      </c>
      <c r="I55" s="12">
        <f t="shared" si="3"/>
        <v>6101413.0586910434</v>
      </c>
      <c r="J55" s="82"/>
    </row>
    <row r="56" spans="2:10" ht="17.25" customHeight="1" x14ac:dyDescent="0.15">
      <c r="B56" s="93">
        <v>40</v>
      </c>
      <c r="D56" s="97">
        <v>40</v>
      </c>
      <c r="E56" s="18">
        <f t="shared" si="4"/>
        <v>28474.059127324563</v>
      </c>
      <c r="F56" s="18">
        <f t="shared" si="6"/>
        <v>12436.945365957856</v>
      </c>
      <c r="G56" s="18">
        <f t="shared" si="5"/>
        <v>40911.004493282417</v>
      </c>
      <c r="H56" s="64">
        <f t="shared" si="2"/>
        <v>162.74566191933494</v>
      </c>
      <c r="I56" s="13">
        <f t="shared" si="3"/>
        <v>6390545.298782859</v>
      </c>
      <c r="J56" s="82"/>
    </row>
    <row r="57" spans="2:10" ht="6" customHeight="1" x14ac:dyDescent="0.15">
      <c r="B57" s="81"/>
      <c r="D57" s="98"/>
      <c r="E57" s="99"/>
      <c r="F57" s="99"/>
      <c r="G57" s="99"/>
      <c r="H57" s="99"/>
      <c r="I57" s="99"/>
      <c r="J57" s="82"/>
    </row>
    <row r="58" spans="2:10" ht="17.5" customHeight="1" x14ac:dyDescent="0.15">
      <c r="B58" s="81"/>
      <c r="D58" s="150" t="s">
        <v>38</v>
      </c>
      <c r="E58" s="150"/>
      <c r="F58" s="150"/>
      <c r="G58" s="150"/>
      <c r="H58" s="150"/>
      <c r="I58" s="150"/>
      <c r="J58" s="82"/>
    </row>
    <row r="59" spans="2:10" ht="18" hidden="1" customHeight="1" x14ac:dyDescent="0.15">
      <c r="B59" s="81"/>
      <c r="D59" s="100" t="s">
        <v>39</v>
      </c>
      <c r="E59" s="101"/>
      <c r="F59" s="101"/>
      <c r="G59" s="102">
        <f>I11</f>
        <v>3.5000000000000003E-2</v>
      </c>
      <c r="H59" s="101"/>
      <c r="I59" s="101"/>
      <c r="J59" s="82"/>
    </row>
    <row r="60" spans="2:10" ht="16.25" customHeight="1" x14ac:dyDescent="0.15">
      <c r="B60" s="81"/>
      <c r="D60" s="143" t="s">
        <v>40</v>
      </c>
      <c r="E60" s="143"/>
      <c r="F60" s="103">
        <f>+(1+G59)^(1/1)-1</f>
        <v>3.499999999999992E-2</v>
      </c>
      <c r="H60" s="101"/>
      <c r="I60" s="101"/>
      <c r="J60" s="82"/>
    </row>
    <row r="61" spans="2:10" ht="18" hidden="1" customHeight="1" x14ac:dyDescent="0.15">
      <c r="B61" s="81"/>
      <c r="D61" s="100" t="s">
        <v>41</v>
      </c>
      <c r="E61" s="101"/>
      <c r="F61" s="101"/>
      <c r="G61" s="2">
        <v>12</v>
      </c>
      <c r="H61" s="101"/>
      <c r="I61" s="101"/>
      <c r="J61" s="82"/>
    </row>
    <row r="62" spans="2:10" ht="7.5" customHeight="1" x14ac:dyDescent="0.15">
      <c r="B62" s="81"/>
      <c r="C62" s="153" t="str">
        <f>"Supuestos para el cálculo: Rentabilidad de "&amp;TEXT(I11*100,"#.#0,00")&amp;"% anual; la edad de jubilación legal para la mujer es 60 años y para el hombre es 65 años;    El CNU para una mujer de 60 años con cónyuge dos años mayor es de 241 y para un hombre de 65 años con cónyuge dos años menor es de 212."</f>
        <v>Supuestos para el cálculo: Rentabilidad de 3,50% anual; la edad de jubilación legal para la mujer es 60 años y para el hombre es 65 años;    El CNU para una mujer de 60 años con cónyuge dos años mayor es de 241 y para un hombre de 65 años con cónyuge dos años menor es de 212.</v>
      </c>
      <c r="D62" s="153"/>
      <c r="E62" s="153"/>
      <c r="F62" s="153"/>
      <c r="G62" s="153"/>
      <c r="H62" s="153"/>
      <c r="I62" s="153"/>
      <c r="J62" s="154"/>
    </row>
    <row r="63" spans="2:10" ht="16.25" customHeight="1" x14ac:dyDescent="0.15">
      <c r="B63" s="81"/>
      <c r="C63" s="153"/>
      <c r="D63" s="153"/>
      <c r="E63" s="153"/>
      <c r="F63" s="153"/>
      <c r="G63" s="153"/>
      <c r="H63" s="153"/>
      <c r="I63" s="153"/>
      <c r="J63" s="154"/>
    </row>
    <row r="64" spans="2:10" ht="16.25" customHeight="1" x14ac:dyDescent="0.15">
      <c r="B64" s="81"/>
      <c r="C64" s="153"/>
      <c r="D64" s="153"/>
      <c r="E64" s="153"/>
      <c r="F64" s="153"/>
      <c r="G64" s="153"/>
      <c r="H64" s="153"/>
      <c r="I64" s="153"/>
      <c r="J64" s="154"/>
    </row>
    <row r="65" spans="2:18" ht="6" customHeight="1" thickBot="1" x14ac:dyDescent="0.2">
      <c r="B65" s="104"/>
      <c r="C65" s="155"/>
      <c r="D65" s="155"/>
      <c r="E65" s="155"/>
      <c r="F65" s="155"/>
      <c r="G65" s="155"/>
      <c r="H65" s="155"/>
      <c r="I65" s="155"/>
      <c r="J65" s="156"/>
    </row>
    <row r="66" spans="2:18" hidden="1" x14ac:dyDescent="0.15">
      <c r="B66" s="78"/>
      <c r="C66" s="28"/>
      <c r="D66" s="28"/>
      <c r="E66" s="28"/>
      <c r="F66" s="28"/>
      <c r="G66" s="29"/>
      <c r="H66" s="29"/>
      <c r="I66" s="29"/>
      <c r="J66" s="105"/>
      <c r="K66" s="106"/>
      <c r="R66" s="107"/>
    </row>
    <row r="67" spans="2:18" hidden="1" x14ac:dyDescent="0.15">
      <c r="B67" s="81"/>
      <c r="G67" s="31"/>
      <c r="H67" s="31"/>
      <c r="I67" s="31"/>
      <c r="J67" s="108"/>
      <c r="K67" s="106"/>
      <c r="R67" s="107"/>
    </row>
    <row r="68" spans="2:18" hidden="1" x14ac:dyDescent="0.15">
      <c r="B68" s="81"/>
      <c r="G68" s="31"/>
      <c r="H68" s="31"/>
      <c r="I68" s="31"/>
      <c r="J68" s="108"/>
      <c r="K68" s="106"/>
      <c r="R68" s="107"/>
    </row>
    <row r="69" spans="2:18" ht="18" hidden="1" x14ac:dyDescent="0.15">
      <c r="B69" s="81"/>
      <c r="E69" s="152" t="s">
        <v>42</v>
      </c>
      <c r="F69" s="152"/>
      <c r="G69" s="152"/>
      <c r="H69" s="152"/>
      <c r="I69" s="152"/>
      <c r="J69" s="108"/>
      <c r="K69" s="106"/>
      <c r="R69" s="107"/>
    </row>
    <row r="70" spans="2:18" ht="18" hidden="1" x14ac:dyDescent="0.15">
      <c r="B70" s="81"/>
      <c r="E70" s="152" t="s">
        <v>43</v>
      </c>
      <c r="F70" s="152"/>
      <c r="G70" s="152"/>
      <c r="H70" s="152"/>
      <c r="I70" s="152"/>
      <c r="J70" s="109"/>
      <c r="K70" s="110"/>
      <c r="L70" s="110"/>
      <c r="M70" s="110"/>
      <c r="N70" s="110"/>
      <c r="R70" s="107"/>
    </row>
    <row r="71" spans="2:18" ht="18" hidden="1" customHeight="1" x14ac:dyDescent="0.15">
      <c r="B71" s="81"/>
      <c r="E71" s="73"/>
      <c r="F71" s="73"/>
      <c r="G71" s="73"/>
      <c r="H71" s="73"/>
      <c r="I71" s="73"/>
      <c r="J71" s="111"/>
      <c r="K71" s="112"/>
      <c r="L71" s="112"/>
      <c r="M71" s="112"/>
      <c r="N71" s="112"/>
      <c r="R71" s="107"/>
    </row>
    <row r="72" spans="2:18" ht="18" hidden="1" customHeight="1" x14ac:dyDescent="0.2">
      <c r="B72" s="81"/>
      <c r="D72" s="32" t="s">
        <v>44</v>
      </c>
      <c r="E72" s="33"/>
      <c r="F72" s="34"/>
      <c r="G72" s="35"/>
      <c r="H72" s="35"/>
      <c r="I72" s="35"/>
      <c r="J72" s="113"/>
      <c r="K72" s="114"/>
      <c r="L72" s="115"/>
      <c r="M72" s="115"/>
      <c r="N72" s="115"/>
      <c r="O72" s="115"/>
      <c r="P72" s="115"/>
      <c r="R72" s="107"/>
    </row>
    <row r="73" spans="2:18" ht="18" hidden="1" customHeight="1" x14ac:dyDescent="0.2">
      <c r="B73" s="81"/>
      <c r="D73" s="34" t="str">
        <f>"* Usted gana "&amp;TEXT(F9,"$###.#0") &amp;" mensuales y no esta dispuesto a ahorrar en APV-B."</f>
        <v>* Usted gana $8500000.0 mensuales y no esta dispuesto a ahorrar en APV-B.</v>
      </c>
      <c r="E73" s="34"/>
      <c r="F73" s="34"/>
      <c r="G73" s="35"/>
      <c r="H73" s="35"/>
      <c r="I73" s="35"/>
      <c r="J73" s="113"/>
      <c r="K73" s="114"/>
      <c r="L73" s="115"/>
      <c r="M73" s="115"/>
      <c r="N73" s="115"/>
      <c r="O73" s="115"/>
      <c r="P73" s="115"/>
      <c r="R73" s="107"/>
    </row>
    <row r="74" spans="2:18" ht="18" hidden="1" customHeight="1" x14ac:dyDescent="0.2">
      <c r="B74" s="81"/>
      <c r="D74" s="34" t="str">
        <f>"* Su saldo de ahorro voluntario es UF 0,00 ($0)."</f>
        <v>* Su saldo de ahorro voluntario es UF 0,00 ($0).</v>
      </c>
      <c r="E74" s="34"/>
      <c r="F74" s="34"/>
      <c r="G74" s="35"/>
      <c r="H74" s="35"/>
      <c r="I74" s="35"/>
      <c r="J74" s="113"/>
      <c r="K74" s="114"/>
      <c r="L74" s="115"/>
      <c r="M74" s="115"/>
      <c r="N74" s="115"/>
      <c r="O74" s="115"/>
      <c r="P74" s="115"/>
      <c r="R74" s="107"/>
    </row>
    <row r="75" spans="2:18" ht="18" hidden="1" customHeight="1" x14ac:dyDescent="0.2">
      <c r="B75" s="81"/>
      <c r="D75" s="139" t="str">
        <f>"* Por lo tanto, su incremento de pensión por ahorro voluntario es UF 0,00 ($0)."</f>
        <v>* Por lo tanto, su incremento de pensión por ahorro voluntario es UF 0,00 ($0).</v>
      </c>
      <c r="E75" s="139"/>
      <c r="F75" s="139"/>
      <c r="G75" s="139"/>
      <c r="H75" s="139"/>
      <c r="I75" s="139"/>
      <c r="J75" s="116"/>
      <c r="K75" s="117"/>
      <c r="L75" s="117"/>
      <c r="M75" s="117"/>
      <c r="N75" s="117"/>
      <c r="O75" s="117"/>
      <c r="P75" s="117"/>
      <c r="R75" s="107"/>
    </row>
    <row r="76" spans="2:18" ht="17.25" hidden="1" customHeight="1" x14ac:dyDescent="0.2">
      <c r="B76" s="81"/>
      <c r="D76" s="139" t="str">
        <f>"* Su pensión efectiva a los 65 años, sólo será la resultante del ahorro obligatorio que haya realizado, durante su vida activa UF "&amp;TEXT(VLOOKUP(L22,ahorroacum,6),"###.#0")&amp;" ("&amp;TEXT(VLOOKUP(L22,ahorroacum,5),"$###.#0")&amp;"). "</f>
        <v xml:space="preserve">* Su pensión efectiva a los 65 años, sólo será la resultante del ahorro obligatorio que haya realizado, durante su vida activa UF 5.661 ($222.290.690). </v>
      </c>
      <c r="E76" s="139"/>
      <c r="F76" s="139"/>
      <c r="G76" s="139"/>
      <c r="H76" s="139"/>
      <c r="I76" s="139"/>
      <c r="J76" s="116"/>
      <c r="K76" s="117"/>
      <c r="L76" s="117"/>
      <c r="M76" s="117"/>
      <c r="N76" s="117"/>
      <c r="O76" s="117"/>
      <c r="P76" s="117"/>
      <c r="R76" s="107"/>
    </row>
    <row r="77" spans="2:18" ht="17.25" hidden="1" customHeight="1" x14ac:dyDescent="0.2">
      <c r="B77" s="81"/>
      <c r="D77" s="139"/>
      <c r="E77" s="139"/>
      <c r="F77" s="139"/>
      <c r="G77" s="139"/>
      <c r="H77" s="139"/>
      <c r="I77" s="139"/>
      <c r="J77" s="116"/>
      <c r="K77" s="117"/>
      <c r="L77" s="117"/>
      <c r="M77" s="117"/>
      <c r="N77" s="117"/>
      <c r="O77" s="117"/>
      <c r="P77" s="117"/>
      <c r="R77" s="107"/>
    </row>
    <row r="78" spans="2:18" ht="18" hidden="1" customHeight="1" x14ac:dyDescent="0.2">
      <c r="B78" s="81"/>
      <c r="D78" s="34"/>
      <c r="E78" s="34"/>
      <c r="F78" s="34"/>
      <c r="G78" s="35"/>
      <c r="H78" s="35"/>
      <c r="I78" s="35"/>
      <c r="J78" s="113"/>
      <c r="K78" s="114"/>
      <c r="L78" s="115"/>
      <c r="M78" s="115"/>
      <c r="N78" s="115"/>
      <c r="O78" s="115"/>
      <c r="P78" s="115"/>
      <c r="R78" s="107"/>
    </row>
    <row r="79" spans="2:18" ht="18" hidden="1" customHeight="1" x14ac:dyDescent="0.2">
      <c r="B79" s="81"/>
      <c r="D79" s="32" t="s">
        <v>45</v>
      </c>
      <c r="E79" s="34"/>
      <c r="F79" s="34"/>
      <c r="G79" s="35"/>
      <c r="H79" s="35"/>
      <c r="I79" s="35"/>
      <c r="J79" s="113"/>
      <c r="K79" s="114"/>
      <c r="L79" s="115"/>
      <c r="M79" s="115"/>
      <c r="N79" s="115"/>
      <c r="O79" s="115"/>
      <c r="P79" s="115"/>
      <c r="R79" s="107"/>
    </row>
    <row r="80" spans="2:18" ht="18" hidden="1" customHeight="1" x14ac:dyDescent="0.2">
      <c r="B80" s="81"/>
      <c r="D80" s="34" t="str">
        <f>"* Usted gana "&amp;TEXT(F9,"$###.#0")&amp;" mensuales y esta dispuesto a ahorrar en APV-B."</f>
        <v>* Usted gana $8500000.0 mensuales y esta dispuesto a ahorrar en APV-B.</v>
      </c>
      <c r="E80" s="34"/>
      <c r="F80" s="34"/>
      <c r="G80" s="35"/>
      <c r="H80" s="35"/>
      <c r="I80" s="35"/>
      <c r="J80" s="113"/>
      <c r="K80" s="114"/>
      <c r="L80" s="118"/>
      <c r="M80" s="115"/>
      <c r="N80" s="115"/>
      <c r="O80" s="115"/>
      <c r="P80" s="115"/>
      <c r="R80" s="107"/>
    </row>
    <row r="81" spans="2:18" ht="18" hidden="1" customHeight="1" x14ac:dyDescent="0.2">
      <c r="B81" s="81"/>
      <c r="D81" s="34" t="str">
        <f>"* Ahorra voluntariamente en APV-B, UF "&amp;TEXT(F10,"###.#0") &amp; " ("&amp;TEXT(F10*I9,"$###.#0")&amp;")"</f>
        <v>* Ahorra voluntariamente en APV-B, UF 19.000.000 ($746.074.330.000)</v>
      </c>
      <c r="E81" s="34"/>
      <c r="F81" s="34"/>
      <c r="G81" s="35"/>
      <c r="H81" s="35"/>
      <c r="I81" s="35"/>
      <c r="J81" s="113"/>
      <c r="K81" s="114"/>
      <c r="L81" s="115"/>
      <c r="M81" s="115"/>
      <c r="N81" s="115"/>
      <c r="O81" s="115"/>
      <c r="P81" s="115"/>
      <c r="R81" s="107"/>
    </row>
    <row r="82" spans="2:18" ht="17.25" hidden="1" customHeight="1" x14ac:dyDescent="0.2">
      <c r="B82" s="81"/>
      <c r="D82" s="142" t="str">
        <f ca="1">"* Su saldo de ahorro voluntario en "&amp;L18&amp;" años es UF "&amp;TEXT(VLOOKUP(L18,tabla,4),"###.#0")&amp;" ("&amp;TEXT(VLOOKUP(L18,tabla,4)*I9,"$###.#0")&amp;").""De los cuales Usted aportó el "&amp;(1-L15)*100&amp;"%"&amp; " UF "&amp;TEXT(VLOOKUP(L18,tabla,2),"###.#0")&amp;" ("&amp;TEXT(VLOOKUP(L18,tabla,2)*I9,"$###.#0")&amp;")"&amp;" y el Estado aportó el "&amp;L15*100&amp;"% "&amp;"UF "&amp;TEXT(VLOOKUP(L18,tabla,3),"###.#0")&amp;" ("&amp;TEXT(VLOOKUP(L18,tabla,3)*I9,"$###.#0")&amp;") a través de la rebaja en su base tributable."</f>
        <v>* Su saldo de ahorro voluntario en 23 años es UF 16.674 ($654.747.861)."De los cuales Usted aportó el 69,6% UF 11.605 ($455.704.511) y el Estado aportó el 30,4% UF 5.069 ($199.043.350) a través de la rebaja en su base tributable.</v>
      </c>
      <c r="E82" s="142"/>
      <c r="F82" s="142"/>
      <c r="G82" s="142"/>
      <c r="H82" s="142"/>
      <c r="I82" s="142"/>
      <c r="J82" s="113"/>
      <c r="K82" s="114"/>
      <c r="L82" s="115"/>
      <c r="M82" s="115"/>
      <c r="N82" s="115"/>
      <c r="O82" s="115"/>
      <c r="P82" s="115"/>
      <c r="R82" s="107"/>
    </row>
    <row r="83" spans="2:18" ht="17.25" hidden="1" customHeight="1" x14ac:dyDescent="0.2">
      <c r="B83" s="81"/>
      <c r="D83" s="142"/>
      <c r="E83" s="142"/>
      <c r="F83" s="142"/>
      <c r="G83" s="142"/>
      <c r="H83" s="142"/>
      <c r="I83" s="142"/>
      <c r="J83" s="113"/>
      <c r="K83" s="114"/>
      <c r="L83" s="119"/>
      <c r="M83" s="115"/>
      <c r="N83" s="115"/>
      <c r="O83" s="115"/>
      <c r="P83" s="115"/>
      <c r="R83" s="107"/>
    </row>
    <row r="84" spans="2:18" ht="17.25" hidden="1" customHeight="1" x14ac:dyDescent="0.2">
      <c r="B84" s="81"/>
      <c r="D84" s="142" t="str">
        <f ca="1">"* Con lo cual, su incremento de pensión por ahorro voluntario es UF "&amp;TEXT(VLOOKUP(L18,tabla,5),"###.#0")&amp;" ("&amp;TEXT(VLOOKUP(L18,tabla,6),"$###.#0")&amp;").""De los Usted aportó el "&amp;(1-L15)*100&amp;"%" &amp; " UF "  &amp;TEXT(VLOOKUP(L18,tabla,5)*(1-L15),"###.#0") &amp; " ("&amp;TEXT(VLOOKUP(L18,tabla,5)*(1-L15)*I9,"$###.#0")&amp;")"&amp;" y el Estado aportó el "&amp;L15*100&amp;"% " &amp;"UF "&amp;TEXT(VLOOKUP(L18,tabla,5)*(L15),"###.#0")&amp;" ("&amp;TEXT(VLOOKUP(L18,tabla,5)*(L15)*I9,"$###.#0")&amp;") a través de la rebaja en su base tributable. "</f>
        <v xml:space="preserve">* Con lo cual, su incremento de pensión por ahorro voluntario es UF 66 ($2.604.614)."De los Usted aportó el 69,6% UF 46 ($1.812.811) y el Estado aportó el 30,4% UF 20 ($791.803) a través de la rebaja en su base tributable. </v>
      </c>
      <c r="E84" s="142"/>
      <c r="F84" s="142"/>
      <c r="G84" s="142"/>
      <c r="H84" s="142"/>
      <c r="I84" s="142"/>
      <c r="J84" s="116"/>
      <c r="K84" s="117"/>
      <c r="L84" s="117"/>
      <c r="M84" s="117"/>
      <c r="N84" s="117"/>
      <c r="O84" s="117"/>
      <c r="P84" s="117"/>
      <c r="R84" s="107"/>
    </row>
    <row r="85" spans="2:18" ht="17.25" hidden="1" customHeight="1" x14ac:dyDescent="0.2">
      <c r="B85" s="81"/>
      <c r="D85" s="142"/>
      <c r="E85" s="142"/>
      <c r="F85" s="142"/>
      <c r="G85" s="142"/>
      <c r="H85" s="142"/>
      <c r="I85" s="142"/>
      <c r="J85" s="116"/>
      <c r="K85" s="117"/>
      <c r="L85" s="117"/>
      <c r="M85" s="117"/>
      <c r="N85" s="117"/>
      <c r="O85" s="117"/>
      <c r="P85" s="117"/>
      <c r="R85" s="107"/>
    </row>
    <row r="86" spans="2:18" ht="17.25" hidden="1" customHeight="1" x14ac:dyDescent="0.2">
      <c r="B86" s="81"/>
      <c r="D86" s="142" t="str">
        <f ca="1">"* Su pensión efectiva a los "&amp;edadjub&amp; " años, será la resultante del ahorro obligatorio que haya realizado UF "&amp;TEXT(VLOOKUP(L22,ahorroacum,6),"###.#0")&amp;" ("&amp;TEXT(VLOOKUP(L22,ahorroacum,5),"$###.#0")&amp;"), durante su vida activa, más las UF "&amp;TEXT(VLOOKUP(L18,tabla,5),"###.#0")&amp;" ("&amp;TEXT(VLOOKUP(L18,tabla,6),"###.#0")&amp;") de pensión ahorradas voluntariamente."</f>
        <v>* Su pensión efectiva a los 60 años, será la resultante del ahorro obligatorio que haya realizado UF 5.661 ($222.290.690), durante su vida activa, más las UF 66 (2.604.614) de pensión ahorradas voluntariamente.</v>
      </c>
      <c r="E86" s="142"/>
      <c r="F86" s="142"/>
      <c r="G86" s="142"/>
      <c r="H86" s="142"/>
      <c r="I86" s="142"/>
      <c r="J86" s="116"/>
      <c r="K86" s="117"/>
      <c r="L86" s="119"/>
      <c r="M86" s="117"/>
      <c r="N86" s="117"/>
      <c r="O86" s="117"/>
      <c r="P86" s="117"/>
      <c r="R86" s="107"/>
    </row>
    <row r="87" spans="2:18" ht="17.25" hidden="1" customHeight="1" x14ac:dyDescent="0.2">
      <c r="B87" s="81"/>
      <c r="D87" s="142"/>
      <c r="E87" s="142"/>
      <c r="F87" s="142"/>
      <c r="G87" s="142"/>
      <c r="H87" s="142"/>
      <c r="I87" s="142"/>
      <c r="J87" s="113"/>
      <c r="K87" s="114"/>
      <c r="L87" s="115"/>
      <c r="M87" s="115"/>
      <c r="N87" s="115"/>
      <c r="O87" s="115"/>
      <c r="P87" s="115"/>
      <c r="R87" s="107"/>
    </row>
    <row r="88" spans="2:18" ht="17.25" hidden="1" customHeight="1" x14ac:dyDescent="0.2">
      <c r="B88" s="81"/>
      <c r="D88" s="139" t="str">
        <f>"* Como beneficio adicional, dado que Usted estaba dispuesto a desembolsar UF "&amp;TEXT(F10,"###.#0") &amp;" en ahorro, y como en esta modalidad el Estado aporto UF "&amp;TEXT(F10*L15,"###.#0")&amp; " de esas UF "&amp;TEXT(F10,"###.#0") &amp;" como beneficio tributario, se podría usar las UF "&amp;TEXT(F10*L15,"###.#0")&amp;" sobrantes del desembolso original que Usted dispuso, para ahorrar invirtiendo en otros beneficios tributarios, tales como:"</f>
        <v>* Como beneficio adicional, dado que Usted estaba dispuesto a desembolsar UF 19.000.000 en ahorro, y como en esta modalidad el Estado aporto UF 5.776.000 de esas UF 19.000.000 como beneficio tributario, se podría usar las UF 5.776.000 sobrantes del desembolso original que Usted dispuso, para ahorrar invirtiendo en otros beneficios tributarios, tales como:</v>
      </c>
      <c r="E88" s="139"/>
      <c r="F88" s="139"/>
      <c r="G88" s="139"/>
      <c r="H88" s="139"/>
      <c r="I88" s="139"/>
      <c r="J88" s="116"/>
      <c r="K88" s="117"/>
      <c r="L88" s="119"/>
      <c r="M88" s="117"/>
      <c r="N88" s="117"/>
      <c r="O88" s="117"/>
      <c r="P88" s="117"/>
      <c r="R88" s="107"/>
    </row>
    <row r="89" spans="2:18" ht="17.25" hidden="1" customHeight="1" x14ac:dyDescent="0.2">
      <c r="B89" s="81"/>
      <c r="D89" s="139"/>
      <c r="E89" s="139"/>
      <c r="F89" s="139"/>
      <c r="G89" s="139"/>
      <c r="H89" s="139"/>
      <c r="I89" s="139"/>
      <c r="J89" s="116"/>
      <c r="K89" s="117"/>
      <c r="L89" s="120"/>
      <c r="M89" s="117"/>
      <c r="N89" s="117"/>
      <c r="O89" s="117"/>
      <c r="P89" s="117"/>
      <c r="R89" s="107"/>
    </row>
    <row r="90" spans="2:18" ht="17.25" hidden="1" customHeight="1" x14ac:dyDescent="0.2">
      <c r="B90" s="81"/>
      <c r="D90" s="139"/>
      <c r="E90" s="139"/>
      <c r="F90" s="139"/>
      <c r="G90" s="139"/>
      <c r="H90" s="139"/>
      <c r="I90" s="139"/>
      <c r="J90" s="116"/>
      <c r="K90" s="117"/>
      <c r="L90" s="120"/>
      <c r="M90" s="117"/>
      <c r="N90" s="117"/>
      <c r="O90" s="117"/>
      <c r="P90" s="117"/>
      <c r="R90" s="107"/>
    </row>
    <row r="91" spans="2:18" ht="18" hidden="1" customHeight="1" x14ac:dyDescent="0.2">
      <c r="B91" s="81"/>
      <c r="D91" s="151" t="s">
        <v>46</v>
      </c>
      <c r="E91" s="151"/>
      <c r="F91" s="151"/>
      <c r="G91" s="151"/>
      <c r="H91" s="151"/>
      <c r="I91" s="151"/>
      <c r="J91" s="116"/>
      <c r="K91" s="117"/>
      <c r="L91" s="121"/>
      <c r="M91" s="117"/>
      <c r="N91" s="117"/>
      <c r="O91" s="117"/>
      <c r="P91" s="117"/>
      <c r="R91" s="107"/>
    </row>
    <row r="92" spans="2:18" ht="18" hidden="1" customHeight="1" x14ac:dyDescent="0.2">
      <c r="B92" s="81"/>
      <c r="D92" s="151" t="s">
        <v>47</v>
      </c>
      <c r="E92" s="151"/>
      <c r="F92" s="151"/>
      <c r="G92" s="151"/>
      <c r="H92" s="151"/>
      <c r="I92" s="151"/>
      <c r="J92" s="116"/>
      <c r="K92" s="117"/>
      <c r="L92" s="117"/>
      <c r="M92" s="117"/>
      <c r="N92" s="117"/>
      <c r="O92" s="117"/>
      <c r="P92" s="117"/>
      <c r="R92" s="107"/>
    </row>
    <row r="93" spans="2:18" ht="18" hidden="1" customHeight="1" x14ac:dyDescent="0.2">
      <c r="B93" s="81"/>
      <c r="D93" s="151" t="s">
        <v>48</v>
      </c>
      <c r="E93" s="151"/>
      <c r="F93" s="151"/>
      <c r="G93" s="151"/>
      <c r="H93" s="151"/>
      <c r="I93" s="151"/>
      <c r="J93" s="116"/>
      <c r="K93" s="117"/>
      <c r="L93" s="117"/>
      <c r="M93" s="117"/>
      <c r="N93" s="117"/>
      <c r="O93" s="117"/>
      <c r="P93" s="117"/>
      <c r="R93" s="107"/>
    </row>
    <row r="94" spans="2:18" ht="18" hidden="1" customHeight="1" x14ac:dyDescent="0.2">
      <c r="B94" s="81"/>
      <c r="D94" s="34" t="s">
        <v>49</v>
      </c>
      <c r="E94" s="34"/>
      <c r="F94" s="34"/>
      <c r="G94" s="35"/>
      <c r="H94" s="35"/>
      <c r="I94" s="35"/>
      <c r="J94" s="113"/>
      <c r="K94" s="114"/>
      <c r="L94" s="115"/>
      <c r="M94" s="115"/>
      <c r="N94" s="115"/>
      <c r="O94" s="115"/>
      <c r="P94" s="115"/>
      <c r="R94" s="107"/>
    </row>
    <row r="95" spans="2:18" ht="17.25" hidden="1" customHeight="1" x14ac:dyDescent="0.2">
      <c r="B95" s="81"/>
      <c r="D95" s="139" t="str">
        <f ca="1">"* Usted obtuvo un saldo de ahorro voluntario no previsional de UF "&amp;TEXT(VLOOKUP(L18,tabla,4),"###.#0")&amp;" ("&amp;TEXT(VLOOKUP(L18,tabla,4)*I9,"$###.#0")&amp;"), los cuales podrá utilizar de acuerdo al beneficio tributario elegido y la modalidad de retiro a elegir, con una probable pensión adicional voluntaria de UF "&amp;TEXT(VLOOKUP(L18,tabla,5),"###.#0")&amp;" ("&amp;TEXT(VLOOKUP(L18,tabla,6),"$###.#0")&amp;") . "</f>
        <v xml:space="preserve">* Usted obtuvo un saldo de ahorro voluntario no previsional de UF 16.674 ($654.747.861), los cuales podrá utilizar de acuerdo al beneficio tributario elegido y la modalidad de retiro a elegir, con una probable pensión adicional voluntaria de UF 66 ($2.604.614) . </v>
      </c>
      <c r="E95" s="139"/>
      <c r="F95" s="139"/>
      <c r="G95" s="139"/>
      <c r="H95" s="139"/>
      <c r="I95" s="139"/>
      <c r="J95" s="113"/>
      <c r="K95" s="114"/>
      <c r="L95" s="115"/>
      <c r="M95" s="115"/>
      <c r="N95" s="115"/>
      <c r="O95" s="115"/>
      <c r="P95" s="115"/>
      <c r="R95" s="107"/>
    </row>
    <row r="96" spans="2:18" ht="17.25" hidden="1" customHeight="1" x14ac:dyDescent="0.2">
      <c r="B96" s="81"/>
      <c r="D96" s="139"/>
      <c r="E96" s="139"/>
      <c r="F96" s="139"/>
      <c r="G96" s="139"/>
      <c r="H96" s="139"/>
      <c r="I96" s="139"/>
      <c r="J96" s="113"/>
      <c r="K96" s="114"/>
      <c r="L96" s="115"/>
      <c r="M96" s="115"/>
      <c r="N96" s="115"/>
      <c r="O96" s="115"/>
      <c r="P96" s="115"/>
      <c r="R96" s="107"/>
    </row>
    <row r="97" spans="2:18" ht="17.25" hidden="1" customHeight="1" x14ac:dyDescent="0.2">
      <c r="B97" s="81"/>
      <c r="D97" s="139"/>
      <c r="E97" s="139"/>
      <c r="F97" s="139"/>
      <c r="G97" s="139"/>
      <c r="H97" s="139"/>
      <c r="I97" s="139"/>
      <c r="J97" s="113"/>
      <c r="K97" s="114"/>
      <c r="L97" s="115"/>
      <c r="M97" s="115"/>
      <c r="N97" s="115"/>
      <c r="O97" s="115"/>
      <c r="P97" s="115"/>
      <c r="R97" s="107"/>
    </row>
    <row r="98" spans="2:18" ht="18" hidden="1" customHeight="1" x14ac:dyDescent="0.2">
      <c r="B98" s="81"/>
      <c r="D98" s="34"/>
      <c r="E98" s="34"/>
      <c r="F98" s="34"/>
      <c r="G98" s="35"/>
      <c r="H98" s="35"/>
      <c r="I98" s="35"/>
      <c r="J98" s="113"/>
      <c r="K98" s="114"/>
      <c r="L98" s="115"/>
      <c r="M98" s="115"/>
      <c r="N98" s="115"/>
      <c r="O98" s="115"/>
      <c r="P98" s="115"/>
      <c r="R98" s="107"/>
    </row>
    <row r="99" spans="2:18" ht="18" hidden="1" customHeight="1" x14ac:dyDescent="0.2">
      <c r="B99" s="81"/>
      <c r="D99" s="32" t="s">
        <v>50</v>
      </c>
      <c r="E99" s="33"/>
      <c r="F99" s="34"/>
      <c r="G99" s="35"/>
      <c r="H99" s="35"/>
      <c r="I99" s="35"/>
      <c r="J99" s="113"/>
      <c r="K99" s="114"/>
      <c r="L99" s="115"/>
      <c r="M99" s="115"/>
      <c r="N99" s="115"/>
      <c r="O99" s="115"/>
      <c r="P99" s="115"/>
      <c r="R99" s="107"/>
    </row>
    <row r="100" spans="2:18" ht="18" hidden="1" customHeight="1" x14ac:dyDescent="0.2">
      <c r="B100" s="81"/>
      <c r="D100" s="34" t="s">
        <v>51</v>
      </c>
      <c r="E100" s="34"/>
      <c r="F100" s="34"/>
      <c r="G100" s="35"/>
      <c r="H100" s="35"/>
      <c r="I100" s="35"/>
      <c r="J100" s="113"/>
      <c r="K100" s="114"/>
      <c r="L100" s="115"/>
      <c r="M100" s="115"/>
      <c r="N100" s="115"/>
      <c r="O100" s="115"/>
      <c r="P100" s="115"/>
      <c r="R100" s="107"/>
    </row>
    <row r="101" spans="2:18" ht="18" hidden="1" customHeight="1" x14ac:dyDescent="0.2">
      <c r="B101" s="81"/>
      <c r="D101" s="34" t="s">
        <v>52</v>
      </c>
      <c r="E101" s="34"/>
      <c r="F101" s="34"/>
      <c r="G101" s="35"/>
      <c r="H101" s="35"/>
      <c r="I101" s="35"/>
      <c r="J101" s="113"/>
      <c r="K101" s="114"/>
      <c r="L101" s="115"/>
      <c r="M101" s="115"/>
      <c r="N101" s="115"/>
      <c r="O101" s="115"/>
      <c r="P101" s="115"/>
      <c r="R101" s="107"/>
    </row>
    <row r="102" spans="2:18" ht="18" hidden="1" customHeight="1" x14ac:dyDescent="0.2">
      <c r="B102" s="81"/>
      <c r="D102" s="34" t="s">
        <v>53</v>
      </c>
      <c r="E102" s="34"/>
      <c r="F102" s="34"/>
      <c r="G102" s="35"/>
      <c r="H102" s="35"/>
      <c r="I102" s="35"/>
      <c r="J102" s="113"/>
      <c r="K102" s="114"/>
      <c r="L102" s="115"/>
      <c r="M102" s="115"/>
      <c r="N102" s="115"/>
      <c r="O102" s="115"/>
      <c r="P102" s="115"/>
      <c r="R102" s="107"/>
    </row>
    <row r="103" spans="2:18" ht="18" hidden="1" customHeight="1" x14ac:dyDescent="0.2">
      <c r="B103" s="81"/>
      <c r="D103" s="34" t="s">
        <v>54</v>
      </c>
      <c r="E103" s="34"/>
      <c r="F103" s="34"/>
      <c r="G103" s="35"/>
      <c r="H103" s="35"/>
      <c r="I103" s="35"/>
      <c r="J103" s="113"/>
      <c r="K103" s="114"/>
      <c r="L103" s="115"/>
      <c r="M103" s="115"/>
      <c r="N103" s="115"/>
      <c r="O103" s="115"/>
      <c r="P103" s="115"/>
      <c r="R103" s="107"/>
    </row>
    <row r="104" spans="2:18" ht="18" hidden="1" customHeight="1" x14ac:dyDescent="0.2">
      <c r="B104" s="81"/>
      <c r="D104" s="34" t="s">
        <v>55</v>
      </c>
      <c r="E104" s="34"/>
      <c r="F104" s="34"/>
      <c r="G104" s="35"/>
      <c r="H104" s="35"/>
      <c r="I104" s="35"/>
      <c r="J104" s="113"/>
      <c r="K104" s="114"/>
      <c r="L104" s="115"/>
      <c r="M104" s="115"/>
      <c r="N104" s="115"/>
      <c r="O104" s="115"/>
      <c r="P104" s="115"/>
      <c r="R104" s="107"/>
    </row>
    <row r="105" spans="2:18" ht="17.25" hidden="1" customHeight="1" x14ac:dyDescent="0.2">
      <c r="B105" s="81"/>
      <c r="D105" s="139" t="s">
        <v>56</v>
      </c>
      <c r="E105" s="139"/>
      <c r="F105" s="139"/>
      <c r="G105" s="139"/>
      <c r="H105" s="139"/>
      <c r="I105" s="139"/>
      <c r="J105" s="116"/>
      <c r="K105" s="117"/>
      <c r="L105" s="117"/>
      <c r="M105" s="117"/>
      <c r="N105" s="117"/>
      <c r="O105" s="117"/>
      <c r="P105" s="117"/>
      <c r="R105" s="107"/>
    </row>
    <row r="106" spans="2:18" ht="17.25" hidden="1" customHeight="1" x14ac:dyDescent="0.2">
      <c r="B106" s="81"/>
      <c r="D106" s="139"/>
      <c r="E106" s="139"/>
      <c r="F106" s="139"/>
      <c r="G106" s="139"/>
      <c r="H106" s="139"/>
      <c r="I106" s="139"/>
      <c r="J106" s="116"/>
      <c r="K106" s="117"/>
      <c r="L106" s="117"/>
      <c r="M106" s="117"/>
      <c r="N106" s="117"/>
      <c r="O106" s="117"/>
      <c r="P106" s="117"/>
      <c r="R106" s="107"/>
    </row>
    <row r="107" spans="2:18" ht="17.25" hidden="1" customHeight="1" x14ac:dyDescent="0.2">
      <c r="B107" s="81"/>
      <c r="D107" s="139" t="s">
        <v>57</v>
      </c>
      <c r="E107" s="139"/>
      <c r="F107" s="139"/>
      <c r="G107" s="139"/>
      <c r="H107" s="139"/>
      <c r="I107" s="139"/>
      <c r="J107" s="116"/>
      <c r="K107" s="56"/>
      <c r="L107" s="56"/>
      <c r="M107" s="56"/>
      <c r="N107" s="56"/>
      <c r="O107" s="56"/>
      <c r="P107" s="56"/>
      <c r="R107" s="107"/>
    </row>
    <row r="108" spans="2:18" ht="17.25" hidden="1" customHeight="1" x14ac:dyDescent="0.2">
      <c r="B108" s="81"/>
      <c r="D108" s="139"/>
      <c r="E108" s="139"/>
      <c r="F108" s="139"/>
      <c r="G108" s="139"/>
      <c r="H108" s="139"/>
      <c r="I108" s="139"/>
      <c r="J108" s="116"/>
      <c r="K108" s="56"/>
      <c r="L108" s="56"/>
      <c r="M108" s="56"/>
      <c r="N108" s="56"/>
      <c r="O108" s="56"/>
      <c r="P108" s="56"/>
      <c r="R108" s="107"/>
    </row>
    <row r="109" spans="2:18" ht="18" hidden="1" customHeight="1" x14ac:dyDescent="0.2">
      <c r="B109" s="81"/>
      <c r="D109" s="34" t="s">
        <v>58</v>
      </c>
      <c r="E109" s="34"/>
      <c r="F109" s="34"/>
      <c r="G109" s="35"/>
      <c r="H109" s="35"/>
      <c r="I109" s="35"/>
      <c r="J109" s="113"/>
      <c r="K109" s="114"/>
      <c r="L109" s="115"/>
      <c r="M109" s="115"/>
      <c r="N109" s="115"/>
      <c r="O109" s="115"/>
      <c r="P109" s="115"/>
      <c r="R109" s="107"/>
    </row>
    <row r="110" spans="2:18" ht="12" hidden="1" customHeight="1" x14ac:dyDescent="0.2">
      <c r="B110" s="81"/>
      <c r="D110" s="34"/>
      <c r="E110" s="34"/>
      <c r="F110" s="34"/>
      <c r="G110" s="35"/>
      <c r="H110" s="35"/>
      <c r="I110" s="35"/>
      <c r="J110" s="113"/>
      <c r="K110" s="114"/>
      <c r="L110" s="115"/>
      <c r="M110" s="115"/>
      <c r="N110" s="115"/>
      <c r="O110" s="115"/>
      <c r="P110" s="115"/>
      <c r="R110" s="107"/>
    </row>
    <row r="111" spans="2:18" ht="16.25" hidden="1" customHeight="1" x14ac:dyDescent="0.2">
      <c r="B111" s="81"/>
      <c r="D111" s="36" t="s">
        <v>59</v>
      </c>
      <c r="E111" s="34"/>
      <c r="F111" s="34"/>
      <c r="G111" s="35"/>
      <c r="H111" s="35"/>
      <c r="I111" s="35"/>
      <c r="J111" s="113"/>
      <c r="K111" s="114"/>
      <c r="L111" s="115"/>
      <c r="M111" s="115"/>
      <c r="N111" s="115"/>
      <c r="O111" s="115"/>
      <c r="P111" s="115"/>
      <c r="R111" s="107"/>
    </row>
    <row r="112" spans="2:18" ht="16.25" hidden="1" customHeight="1" x14ac:dyDescent="0.2">
      <c r="B112" s="81"/>
      <c r="D112" s="141" t="s">
        <v>60</v>
      </c>
      <c r="E112" s="141"/>
      <c r="F112" s="141"/>
      <c r="G112" s="141"/>
      <c r="H112" s="141"/>
      <c r="I112" s="141"/>
      <c r="J112" s="113"/>
      <c r="K112" s="114"/>
      <c r="L112" s="115"/>
      <c r="M112" s="115"/>
      <c r="N112" s="115"/>
      <c r="O112" s="115"/>
      <c r="P112" s="115"/>
      <c r="R112" s="107"/>
    </row>
    <row r="113" spans="2:18" ht="16.25" hidden="1" customHeight="1" x14ac:dyDescent="0.2">
      <c r="B113" s="81"/>
      <c r="D113" s="141"/>
      <c r="E113" s="141"/>
      <c r="F113" s="141"/>
      <c r="G113" s="141"/>
      <c r="H113" s="141"/>
      <c r="I113" s="141"/>
      <c r="J113" s="113"/>
      <c r="K113" s="114"/>
      <c r="L113" s="115"/>
      <c r="M113" s="115"/>
      <c r="N113" s="115"/>
      <c r="O113" s="115"/>
      <c r="P113" s="115"/>
      <c r="R113" s="107"/>
    </row>
    <row r="114" spans="2:18" ht="16.25" hidden="1" customHeight="1" x14ac:dyDescent="0.2">
      <c r="B114" s="81"/>
      <c r="D114" s="141"/>
      <c r="E114" s="141"/>
      <c r="F114" s="141"/>
      <c r="G114" s="141"/>
      <c r="H114" s="141"/>
      <c r="I114" s="141"/>
      <c r="J114" s="113"/>
      <c r="K114" s="114"/>
      <c r="L114" s="115"/>
      <c r="M114" s="115"/>
      <c r="N114" s="115"/>
      <c r="O114" s="115"/>
      <c r="P114" s="115"/>
      <c r="R114" s="107"/>
    </row>
    <row r="115" spans="2:18" ht="90.75" hidden="1" customHeight="1" x14ac:dyDescent="0.2">
      <c r="B115" s="81"/>
      <c r="D115" s="140" t="s">
        <v>61</v>
      </c>
      <c r="E115" s="140"/>
      <c r="F115" s="140"/>
      <c r="G115" s="140"/>
      <c r="H115" s="140"/>
      <c r="I115" s="140"/>
      <c r="J115" s="113"/>
      <c r="K115" s="114"/>
      <c r="L115" s="115"/>
      <c r="M115" s="115"/>
      <c r="N115" s="115"/>
      <c r="O115" s="115"/>
      <c r="P115" s="115"/>
      <c r="R115" s="107"/>
    </row>
    <row r="116" spans="2:18" ht="16.25" hidden="1" customHeight="1" x14ac:dyDescent="0.2">
      <c r="B116" s="81"/>
      <c r="D116" s="141" t="s">
        <v>62</v>
      </c>
      <c r="E116" s="141"/>
      <c r="F116" s="141"/>
      <c r="G116" s="141"/>
      <c r="H116" s="141"/>
      <c r="I116" s="141"/>
      <c r="J116" s="113"/>
      <c r="K116" s="114"/>
      <c r="L116" s="115"/>
      <c r="M116" s="115"/>
      <c r="N116" s="115"/>
      <c r="O116" s="115"/>
      <c r="P116" s="115"/>
      <c r="R116" s="107"/>
    </row>
    <row r="117" spans="2:18" ht="16.25" hidden="1" customHeight="1" x14ac:dyDescent="0.2">
      <c r="B117" s="81"/>
      <c r="D117" s="141"/>
      <c r="E117" s="141"/>
      <c r="F117" s="141"/>
      <c r="G117" s="141"/>
      <c r="H117" s="141"/>
      <c r="I117" s="141"/>
      <c r="J117" s="113"/>
      <c r="K117" s="114"/>
      <c r="L117" s="115"/>
      <c r="M117" s="115"/>
      <c r="N117" s="115"/>
      <c r="O117" s="115"/>
      <c r="P117" s="115"/>
      <c r="R117" s="107"/>
    </row>
    <row r="118" spans="2:18" ht="5.25" hidden="1" customHeight="1" thickBot="1" x14ac:dyDescent="0.2">
      <c r="B118" s="104"/>
      <c r="C118" s="122"/>
      <c r="D118" s="122"/>
      <c r="E118" s="122"/>
      <c r="F118" s="122"/>
      <c r="G118" s="122"/>
      <c r="H118" s="122"/>
      <c r="I118" s="122"/>
      <c r="J118" s="123"/>
    </row>
    <row r="120" spans="2:18" ht="18" customHeight="1" x14ac:dyDescent="0.15"/>
    <row r="121" spans="2:18" ht="12" customHeight="1" x14ac:dyDescent="0.15"/>
    <row r="122" spans="2:18" ht="13" customHeight="1" x14ac:dyDescent="0.15"/>
    <row r="124" spans="2:18" ht="15" customHeight="1" x14ac:dyDescent="0.15"/>
    <row r="125" spans="2:18" ht="13" customHeight="1" x14ac:dyDescent="0.15"/>
    <row r="126" spans="2:18" ht="13" customHeight="1" x14ac:dyDescent="0.2">
      <c r="D126" s="124"/>
      <c r="E126" s="124"/>
      <c r="F126" s="124"/>
      <c r="G126" s="124"/>
      <c r="H126" s="124"/>
      <c r="I126" s="124"/>
    </row>
  </sheetData>
  <sheetProtection algorithmName="SHA-512" hashValue="z+cyCuN9XkKK+GvrMOrdlO1sdHo6VhBkaYOx4Uj0baYCbs9GyyCGYiSZIV5kkjJ+SF5ymlE/6cuu0jS2vq7WLg==" saltValue="uzIFDEsPVqkkWuig9rLtxw==" spinCount="100000" sheet="1"/>
  <protectedRanges>
    <protectedRange sqref="D1" name="Rango1"/>
  </protectedRanges>
  <mergeCells count="28">
    <mergeCell ref="B1:E1"/>
    <mergeCell ref="E7:I7"/>
    <mergeCell ref="G14:G15"/>
    <mergeCell ref="H14:H15"/>
    <mergeCell ref="I14:I15"/>
    <mergeCell ref="D60:E60"/>
    <mergeCell ref="D14:D15"/>
    <mergeCell ref="H8:I8"/>
    <mergeCell ref="G11:H12"/>
    <mergeCell ref="D116:I117"/>
    <mergeCell ref="D95:I97"/>
    <mergeCell ref="D105:I106"/>
    <mergeCell ref="D58:I58"/>
    <mergeCell ref="D93:I93"/>
    <mergeCell ref="D91:I91"/>
    <mergeCell ref="D92:I92"/>
    <mergeCell ref="E69:I69"/>
    <mergeCell ref="E70:I70"/>
    <mergeCell ref="D75:I75"/>
    <mergeCell ref="C62:J65"/>
    <mergeCell ref="D86:I87"/>
    <mergeCell ref="D88:I90"/>
    <mergeCell ref="D115:I115"/>
    <mergeCell ref="D107:I108"/>
    <mergeCell ref="D112:I114"/>
    <mergeCell ref="D76:I77"/>
    <mergeCell ref="D82:I83"/>
    <mergeCell ref="D84:I85"/>
  </mergeCells>
  <phoneticPr fontId="1" type="noConversion"/>
  <dataValidations count="1">
    <dataValidation type="list" allowBlank="1" showInputMessage="1" showErrorMessage="1" sqref="G59" xr:uid="{00000000-0002-0000-0100-000000000000}">
      <formula1>$X$6:$X$15</formula1>
    </dataValidation>
  </dataValidations>
  <pageMargins left="0.39370078740157483" right="0.39370078740157483" top="0.39370078740157483" bottom="0.39370078740157483" header="0" footer="0"/>
  <pageSetup paperSize="9" scale="70" orientation="portrait" horizontalDpi="300" verticalDpi="300" r:id="rId1"/>
  <headerFooter alignWithMargins="0">
    <oddFooter>&amp;L&amp;1#&amp;"Calibri"&amp;9&amp;K737373Classification: Customer Confidential</oddFooter>
  </headerFooter>
  <rowBreaks count="1" manualBreakCount="1">
    <brk id="65" max="16383" man="1"/>
  </rowBreaks>
  <customProperties>
    <customPr name="QAA_DRILLPATH_NODE_ID" r:id="rId2"/>
  </customPropertie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88A70C2-4748-42E1-8779-A02C1EE6B447}">
          <x14:formula1>
            <xm:f>UF!$C$3:$C$4</xm:f>
          </x14:formula1>
          <xm:sqref>J9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3042D-E830-45ED-BBCF-F9568CD70527}">
  <dimension ref="B2:G4"/>
  <sheetViews>
    <sheetView workbookViewId="0">
      <selection activeCell="C9" sqref="C9"/>
    </sheetView>
  </sheetViews>
  <sheetFormatPr baseColWidth="10" defaultColWidth="11.5" defaultRowHeight="13" x14ac:dyDescent="0.15"/>
  <sheetData>
    <row r="2" spans="2:7" ht="14" x14ac:dyDescent="0.15">
      <c r="B2" s="4" t="s">
        <v>11</v>
      </c>
      <c r="C2" s="4" t="s">
        <v>63</v>
      </c>
      <c r="D2" s="4"/>
      <c r="E2" s="4"/>
      <c r="F2" s="4" t="s">
        <v>64</v>
      </c>
      <c r="G2" s="163">
        <v>68923</v>
      </c>
    </row>
    <row r="3" spans="2:7" ht="14" x14ac:dyDescent="0.15">
      <c r="B3" s="164">
        <v>39267.07</v>
      </c>
      <c r="C3" s="4" t="s">
        <v>126</v>
      </c>
      <c r="D3" s="4"/>
      <c r="E3" s="4"/>
      <c r="F3" s="4"/>
      <c r="G3" s="4"/>
    </row>
    <row r="4" spans="2:7" ht="14" x14ac:dyDescent="0.15">
      <c r="B4" s="164">
        <v>39290.61</v>
      </c>
      <c r="C4" s="4" t="s">
        <v>127</v>
      </c>
      <c r="D4" s="4"/>
      <c r="E4" s="4"/>
      <c r="F4" s="4"/>
      <c r="G4" s="4"/>
    </row>
  </sheetData>
  <pageMargins left="0.7" right="0.7" top="0.75" bottom="0.75" header="0.3" footer="0.3"/>
  <pageSetup orientation="portrait" r:id="rId1"/>
  <headerFooter>
    <oddFooter>&amp;L&amp;1#&amp;"Calibri"&amp;9&amp;K737373Classification: Customer Confidential</oddFooter>
  </headerFooter>
  <customProperties>
    <customPr name="QAA_DRILLPATH_NODE_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2:O59"/>
  <sheetViews>
    <sheetView workbookViewId="0">
      <selection activeCell="G63" sqref="G63"/>
    </sheetView>
  </sheetViews>
  <sheetFormatPr baseColWidth="10" defaultColWidth="11.33203125" defaultRowHeight="13" x14ac:dyDescent="0.15"/>
  <cols>
    <col min="1" max="1" width="4" style="38" customWidth="1"/>
    <col min="2" max="16384" width="11.33203125" style="38"/>
  </cols>
  <sheetData>
    <row r="2" spans="1:4" x14ac:dyDescent="0.15">
      <c r="B2" s="38" t="s">
        <v>65</v>
      </c>
    </row>
    <row r="3" spans="1:4" x14ac:dyDescent="0.15">
      <c r="B3" s="58" t="s">
        <v>66</v>
      </c>
      <c r="D3" s="60">
        <v>41487</v>
      </c>
    </row>
    <row r="5" spans="1:4" x14ac:dyDescent="0.15">
      <c r="B5" s="1" t="s">
        <v>67</v>
      </c>
    </row>
    <row r="6" spans="1:4" x14ac:dyDescent="0.15">
      <c r="A6" s="1" t="s">
        <v>68</v>
      </c>
      <c r="B6" s="1" t="s">
        <v>69</v>
      </c>
      <c r="C6" s="1" t="s">
        <v>70</v>
      </c>
    </row>
    <row r="15" spans="1:4" x14ac:dyDescent="0.15">
      <c r="A15" s="1" t="s">
        <v>71</v>
      </c>
      <c r="B15" s="1" t="s">
        <v>72</v>
      </c>
    </row>
    <row r="16" spans="1:4" x14ac:dyDescent="0.15">
      <c r="A16" s="1" t="s">
        <v>73</v>
      </c>
      <c r="B16" s="1" t="s">
        <v>74</v>
      </c>
    </row>
    <row r="17" spans="1:2" x14ac:dyDescent="0.15">
      <c r="A17" s="1" t="s">
        <v>75</v>
      </c>
      <c r="B17" s="1" t="s">
        <v>76</v>
      </c>
    </row>
    <row r="18" spans="1:2" x14ac:dyDescent="0.15">
      <c r="A18" s="1" t="s">
        <v>77</v>
      </c>
      <c r="B18" s="1" t="s">
        <v>78</v>
      </c>
    </row>
    <row r="19" spans="1:2" x14ac:dyDescent="0.15">
      <c r="A19" s="1"/>
      <c r="B19" s="1"/>
    </row>
    <row r="20" spans="1:2" x14ac:dyDescent="0.15">
      <c r="B20" s="1" t="s">
        <v>79</v>
      </c>
    </row>
    <row r="21" spans="1:2" x14ac:dyDescent="0.15">
      <c r="A21" s="1" t="s">
        <v>68</v>
      </c>
      <c r="B21" s="1" t="s">
        <v>80</v>
      </c>
    </row>
    <row r="23" spans="1:2" x14ac:dyDescent="0.15">
      <c r="B23" s="1" t="s">
        <v>81</v>
      </c>
    </row>
    <row r="24" spans="1:2" x14ac:dyDescent="0.15">
      <c r="A24" s="1" t="s">
        <v>68</v>
      </c>
      <c r="B24" s="1" t="s">
        <v>82</v>
      </c>
    </row>
    <row r="25" spans="1:2" x14ac:dyDescent="0.15">
      <c r="A25" s="1" t="s">
        <v>71</v>
      </c>
      <c r="B25" s="1" t="s">
        <v>83</v>
      </c>
    </row>
    <row r="26" spans="1:2" x14ac:dyDescent="0.15">
      <c r="A26" s="1" t="s">
        <v>73</v>
      </c>
      <c r="B26" s="1" t="s">
        <v>84</v>
      </c>
    </row>
    <row r="28" spans="1:2" x14ac:dyDescent="0.15">
      <c r="B28" s="1" t="s">
        <v>85</v>
      </c>
    </row>
    <row r="30" spans="1:2" x14ac:dyDescent="0.15">
      <c r="B30" s="1" t="s">
        <v>86</v>
      </c>
    </row>
    <row r="34" spans="2:8" x14ac:dyDescent="0.15">
      <c r="B34" s="1" t="s">
        <v>87</v>
      </c>
    </row>
    <row r="38" spans="2:8" x14ac:dyDescent="0.15">
      <c r="B38" s="1" t="s">
        <v>88</v>
      </c>
    </row>
    <row r="40" spans="2:8" x14ac:dyDescent="0.15">
      <c r="B40" s="1" t="s">
        <v>86</v>
      </c>
    </row>
    <row r="44" spans="2:8" x14ac:dyDescent="0.15">
      <c r="B44" s="1" t="s">
        <v>87</v>
      </c>
    </row>
    <row r="48" spans="2:8" ht="42" customHeight="1" x14ac:dyDescent="0.15">
      <c r="B48" s="160" t="s">
        <v>89</v>
      </c>
      <c r="C48" s="160"/>
      <c r="D48" s="160"/>
      <c r="E48" s="160"/>
      <c r="F48" s="160"/>
      <c r="G48" s="160"/>
      <c r="H48" s="160"/>
    </row>
    <row r="50" spans="1:15" x14ac:dyDescent="0.15">
      <c r="B50" s="38" t="s">
        <v>90</v>
      </c>
    </row>
    <row r="52" spans="1:15" x14ac:dyDescent="0.15">
      <c r="A52" s="161" t="s">
        <v>91</v>
      </c>
      <c r="B52" s="161"/>
      <c r="C52" s="161"/>
      <c r="D52" s="161"/>
      <c r="E52" s="161"/>
      <c r="F52" s="161"/>
      <c r="G52" s="161"/>
      <c r="H52" s="161"/>
    </row>
    <row r="53" spans="1:15" x14ac:dyDescent="0.15">
      <c r="A53" s="162" t="s">
        <v>92</v>
      </c>
      <c r="B53" s="162"/>
      <c r="C53" s="162"/>
      <c r="D53" s="162"/>
      <c r="E53" s="162"/>
      <c r="F53" s="162"/>
      <c r="G53" s="162"/>
      <c r="H53" s="162"/>
      <c r="I53" s="162"/>
      <c r="J53" s="162"/>
      <c r="K53" s="162"/>
      <c r="L53" s="162"/>
      <c r="M53" s="162"/>
      <c r="N53" s="162"/>
      <c r="O53" s="162"/>
    </row>
    <row r="54" spans="1:15" x14ac:dyDescent="0.15">
      <c r="A54" s="38" t="s">
        <v>93</v>
      </c>
    </row>
    <row r="56" spans="1:15" x14ac:dyDescent="0.15">
      <c r="A56" s="161" t="s">
        <v>94</v>
      </c>
      <c r="B56" s="161"/>
      <c r="C56" s="161"/>
      <c r="D56" s="161"/>
      <c r="E56" s="161"/>
      <c r="F56" s="161"/>
      <c r="G56" s="161"/>
      <c r="H56" s="161"/>
    </row>
    <row r="58" spans="1:15" x14ac:dyDescent="0.15">
      <c r="A58" s="38" t="s">
        <v>95</v>
      </c>
    </row>
    <row r="59" spans="1:15" x14ac:dyDescent="0.15">
      <c r="A59" s="38" t="s">
        <v>96</v>
      </c>
    </row>
  </sheetData>
  <mergeCells count="4">
    <mergeCell ref="B48:H48"/>
    <mergeCell ref="A52:H52"/>
    <mergeCell ref="A53:O53"/>
    <mergeCell ref="A56:H56"/>
  </mergeCells>
  <pageMargins left="0.7" right="0.7" top="0.75" bottom="0.75" header="0.3" footer="0.3"/>
  <pageSetup orientation="portrait" verticalDpi="300" r:id="rId1"/>
  <headerFooter>
    <oddFooter>&amp;L&amp;1#&amp;"Calibri"&amp;9&amp;K737373Classification: Customer Confidential</oddFooter>
  </headerFooter>
  <customProperties>
    <customPr name="QAA_DRILLPATH_NODE_I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C2:L494"/>
  <sheetViews>
    <sheetView workbookViewId="0">
      <selection activeCell="D11" sqref="D11"/>
    </sheetView>
  </sheetViews>
  <sheetFormatPr baseColWidth="10" defaultColWidth="8.83203125" defaultRowHeight="13" x14ac:dyDescent="0.15"/>
  <cols>
    <col min="1" max="2" width="11.6640625" customWidth="1"/>
    <col min="3" max="3" width="13.33203125" bestFit="1" customWidth="1"/>
    <col min="4" max="4" width="14.33203125" bestFit="1" customWidth="1"/>
    <col min="5" max="5" width="11.83203125" bestFit="1" customWidth="1"/>
    <col min="6" max="6" width="10.33203125" bestFit="1" customWidth="1"/>
    <col min="7" max="7" width="13.83203125" bestFit="1" customWidth="1"/>
    <col min="8" max="8" width="15.83203125" bestFit="1" customWidth="1"/>
    <col min="9" max="12" width="13.83203125" bestFit="1" customWidth="1"/>
  </cols>
  <sheetData>
    <row r="2" spans="3:12" x14ac:dyDescent="0.15">
      <c r="C2" t="s">
        <v>97</v>
      </c>
      <c r="D2">
        <v>81.7</v>
      </c>
    </row>
    <row r="3" spans="3:12" x14ac:dyDescent="0.15">
      <c r="C3" t="s">
        <v>11</v>
      </c>
      <c r="D3" s="19">
        <f>Valor_UF</f>
        <v>39267.07</v>
      </c>
    </row>
    <row r="4" spans="3:12" x14ac:dyDescent="0.15">
      <c r="C4" t="s">
        <v>98</v>
      </c>
      <c r="D4">
        <f ca="1">'Deposito Convenido Anual'!L18</f>
        <v>23</v>
      </c>
    </row>
    <row r="5" spans="3:12" x14ac:dyDescent="0.15">
      <c r="C5" t="s">
        <v>99</v>
      </c>
      <c r="D5" s="24">
        <f>(1+'Deposito Convenido Anual'!I11)^(1/12)-1</f>
        <v>2.8708987190766422E-3</v>
      </c>
      <c r="H5" s="19"/>
      <c r="I5" s="20"/>
    </row>
    <row r="6" spans="3:12" x14ac:dyDescent="0.15">
      <c r="H6" s="19"/>
    </row>
    <row r="7" spans="3:12" x14ac:dyDescent="0.15">
      <c r="C7" t="s">
        <v>100</v>
      </c>
      <c r="D7" s="22">
        <f>'Deposito Convenido Anual'!F9</f>
        <v>8500000</v>
      </c>
    </row>
    <row r="8" spans="3:12" x14ac:dyDescent="0.15">
      <c r="C8" t="s">
        <v>101</v>
      </c>
      <c r="D8" s="22">
        <f>IF(D7/D3&lt;D2,0.1*D7,0.1*D2*D3)</f>
        <v>320811.96189999999</v>
      </c>
      <c r="H8" s="8"/>
    </row>
    <row r="9" spans="3:12" x14ac:dyDescent="0.15">
      <c r="C9" t="s">
        <v>102</v>
      </c>
      <c r="D9" s="23">
        <v>0.15</v>
      </c>
      <c r="I9" t="s">
        <v>33</v>
      </c>
      <c r="J9" t="s">
        <v>103</v>
      </c>
      <c r="K9" t="s">
        <v>104</v>
      </c>
    </row>
    <row r="10" spans="3:12" x14ac:dyDescent="0.15">
      <c r="C10" t="s">
        <v>105</v>
      </c>
      <c r="D10" s="21">
        <f>(1-D9)*D8</f>
        <v>272690.16761499998</v>
      </c>
      <c r="H10" s="21"/>
      <c r="I10">
        <v>40</v>
      </c>
      <c r="J10" s="25">
        <f>G492</f>
        <v>280810381.14409065</v>
      </c>
      <c r="K10" s="26">
        <f>J10/D3</f>
        <v>7151.2944852796672</v>
      </c>
      <c r="L10" s="21">
        <f>J10/205</f>
        <v>1369806.7372882471</v>
      </c>
    </row>
    <row r="11" spans="3:12" x14ac:dyDescent="0.15">
      <c r="C11" t="s">
        <v>106</v>
      </c>
      <c r="D11" s="23">
        <v>0</v>
      </c>
      <c r="H11" s="21"/>
      <c r="I11">
        <v>35</v>
      </c>
      <c r="J11" s="25">
        <f>G432</f>
        <v>221381652.98127425</v>
      </c>
      <c r="K11" s="26">
        <f>J11/D3</f>
        <v>5637.8449673294763</v>
      </c>
      <c r="L11" s="21">
        <f>J11/210</f>
        <v>1054198.3475298774</v>
      </c>
    </row>
    <row r="12" spans="3:12" x14ac:dyDescent="0.15">
      <c r="D12" s="21"/>
      <c r="H12" s="21"/>
    </row>
    <row r="13" spans="3:12" x14ac:dyDescent="0.15">
      <c r="C13" t="s">
        <v>107</v>
      </c>
      <c r="D13" t="s">
        <v>108</v>
      </c>
      <c r="E13" t="s">
        <v>109</v>
      </c>
      <c r="F13" t="s">
        <v>110</v>
      </c>
      <c r="G13" t="s">
        <v>111</v>
      </c>
      <c r="H13" s="21" t="s">
        <v>104</v>
      </c>
      <c r="J13" s="8"/>
      <c r="K13" s="8"/>
    </row>
    <row r="14" spans="3:12" x14ac:dyDescent="0.15">
      <c r="C14">
        <v>1</v>
      </c>
      <c r="D14">
        <v>1</v>
      </c>
      <c r="E14" s="25">
        <f>D7</f>
        <v>8500000</v>
      </c>
      <c r="F14" s="22">
        <f>IF(E14/$D$3&lt;$D$2*(1+$D$11)^(C14-1),0.1*E14,0.1*$D$2*$D$3*(1+$D$11)^(C14-1))*(1-$D$9)</f>
        <v>272690.16761499998</v>
      </c>
      <c r="G14" s="22">
        <f>F14*(1+$D$5)</f>
        <v>273473.03346791066</v>
      </c>
      <c r="H14" s="27">
        <f>G14/$D$3</f>
        <v>6.9644369561546267</v>
      </c>
    </row>
    <row r="15" spans="3:12" x14ac:dyDescent="0.15">
      <c r="C15">
        <f>IF(MOD(D14,12)=0,C14+1,C14)</f>
        <v>1</v>
      </c>
      <c r="D15">
        <f>IF(MOD(D14,12)=0,1,D14+1)</f>
        <v>2</v>
      </c>
      <c r="E15" s="25">
        <f>E14</f>
        <v>8500000</v>
      </c>
      <c r="F15" s="22">
        <f t="shared" ref="F15:F78" si="0">IF(E15/$D$3&lt;$D$2*(1+$D$11)^(C15-1),0.1*E15,0.1*$D$2*$D$3*(1+$D$11)^(C15-1))*(1-$D$9)</f>
        <v>272690.16761499998</v>
      </c>
      <c r="G15" s="22">
        <f>(F15+G14)*(1+$D$5)</f>
        <v>547731.18031730643</v>
      </c>
      <c r="H15" s="27">
        <f t="shared" ref="H15:H78" si="1">G15/$D$3</f>
        <v>13.94886810544577</v>
      </c>
    </row>
    <row r="16" spans="3:12" x14ac:dyDescent="0.15">
      <c r="C16">
        <f t="shared" ref="C16:C45" si="2">IF(MOD(D15,12)=0,C15+1,C15)</f>
        <v>1</v>
      </c>
      <c r="D16">
        <f t="shared" ref="D16:D45" si="3">IF(MOD(D15,12)=0,1,D15+1)</f>
        <v>3</v>
      </c>
      <c r="E16" s="25">
        <f>E15</f>
        <v>8500000</v>
      </c>
      <c r="F16" s="22">
        <f t="shared" si="0"/>
        <v>272690.16761499998</v>
      </c>
      <c r="G16" s="22">
        <f t="shared" ref="G16:G79" si="4">(F16+G15)*(1+$D$5)</f>
        <v>822776.69452918833</v>
      </c>
      <c r="H16" s="27">
        <f t="shared" si="1"/>
        <v>20.953350849176889</v>
      </c>
    </row>
    <row r="17" spans="3:8" x14ac:dyDescent="0.15">
      <c r="C17">
        <f t="shared" si="2"/>
        <v>1</v>
      </c>
      <c r="D17">
        <f t="shared" si="3"/>
        <v>4</v>
      </c>
      <c r="E17" s="25">
        <f t="shared" ref="E17:E80" si="5">E16</f>
        <v>8500000</v>
      </c>
      <c r="F17" s="22">
        <f t="shared" si="0"/>
        <v>272690.16761499998</v>
      </c>
      <c r="G17" s="22">
        <f t="shared" si="4"/>
        <v>1098611.8365555089</v>
      </c>
      <c r="H17" s="27">
        <f t="shared" si="1"/>
        <v>27.977942753444779</v>
      </c>
    </row>
    <row r="18" spans="3:8" x14ac:dyDescent="0.15">
      <c r="C18">
        <f t="shared" si="2"/>
        <v>1</v>
      </c>
      <c r="D18">
        <f t="shared" si="3"/>
        <v>5</v>
      </c>
      <c r="E18" s="25">
        <f t="shared" si="5"/>
        <v>8500000</v>
      </c>
      <c r="F18" s="22">
        <f t="shared" si="0"/>
        <v>272690.16761499998</v>
      </c>
      <c r="G18" s="22">
        <f t="shared" si="4"/>
        <v>1375238.8733377492</v>
      </c>
      <c r="H18" s="27">
        <f t="shared" si="1"/>
        <v>35.02270154961267</v>
      </c>
    </row>
    <row r="19" spans="3:8" x14ac:dyDescent="0.15">
      <c r="C19">
        <f t="shared" si="2"/>
        <v>1</v>
      </c>
      <c r="D19">
        <f t="shared" si="3"/>
        <v>6</v>
      </c>
      <c r="E19" s="25">
        <f t="shared" si="5"/>
        <v>8500000</v>
      </c>
      <c r="F19" s="22">
        <f t="shared" si="0"/>
        <v>272690.16761499998</v>
      </c>
      <c r="G19" s="22">
        <f t="shared" si="4"/>
        <v>1652660.0783255496</v>
      </c>
      <c r="H19" s="27">
        <f t="shared" si="1"/>
        <v>42.087685134784685</v>
      </c>
    </row>
    <row r="20" spans="3:8" x14ac:dyDescent="0.15">
      <c r="C20">
        <f t="shared" si="2"/>
        <v>1</v>
      </c>
      <c r="D20">
        <f t="shared" si="3"/>
        <v>7</v>
      </c>
      <c r="E20" s="25">
        <f t="shared" si="5"/>
        <v>8500000</v>
      </c>
      <c r="F20" s="22">
        <f t="shared" si="0"/>
        <v>272690.16761499998</v>
      </c>
      <c r="G20" s="22">
        <f t="shared" si="4"/>
        <v>1930877.7314953941</v>
      </c>
      <c r="H20" s="27">
        <f t="shared" si="1"/>
        <v>49.172951572281661</v>
      </c>
    </row>
    <row r="21" spans="3:8" x14ac:dyDescent="0.15">
      <c r="C21">
        <f t="shared" si="2"/>
        <v>1</v>
      </c>
      <c r="D21">
        <f t="shared" si="3"/>
        <v>8</v>
      </c>
      <c r="E21" s="25">
        <f t="shared" si="5"/>
        <v>8500000</v>
      </c>
      <c r="F21" s="22">
        <f t="shared" si="0"/>
        <v>272690.16761499998</v>
      </c>
      <c r="G21" s="22">
        <f t="shared" si="4"/>
        <v>2209894.1193693485</v>
      </c>
      <c r="H21" s="27">
        <f t="shared" si="1"/>
        <v>56.278559092118371</v>
      </c>
    </row>
    <row r="22" spans="3:8" x14ac:dyDescent="0.15">
      <c r="C22">
        <f t="shared" si="2"/>
        <v>1</v>
      </c>
      <c r="D22">
        <f t="shared" si="3"/>
        <v>9</v>
      </c>
      <c r="E22" s="25">
        <f t="shared" si="5"/>
        <v>8500000</v>
      </c>
      <c r="F22" s="22">
        <f t="shared" si="0"/>
        <v>272690.16761499998</v>
      </c>
      <c r="G22" s="22">
        <f t="shared" si="4"/>
        <v>2489711.5350338519</v>
      </c>
      <c r="H22" s="27">
        <f t="shared" si="1"/>
        <v>63.404566091482046</v>
      </c>
    </row>
    <row r="23" spans="3:8" x14ac:dyDescent="0.15">
      <c r="C23">
        <f t="shared" si="2"/>
        <v>1</v>
      </c>
      <c r="D23">
        <f t="shared" si="3"/>
        <v>10</v>
      </c>
      <c r="E23" s="25">
        <f t="shared" si="5"/>
        <v>8500000</v>
      </c>
      <c r="F23" s="22">
        <f t="shared" si="0"/>
        <v>272690.16761499998</v>
      </c>
      <c r="G23" s="22">
        <f t="shared" si="4"/>
        <v>2770332.2781585618</v>
      </c>
      <c r="H23" s="27">
        <f t="shared" si="1"/>
        <v>70.551031135212327</v>
      </c>
    </row>
    <row r="24" spans="3:8" x14ac:dyDescent="0.15">
      <c r="C24">
        <f t="shared" si="2"/>
        <v>1</v>
      </c>
      <c r="D24">
        <f>IF(MOD(D23,12)=0,1,D23+1)</f>
        <v>11</v>
      </c>
      <c r="E24" s="25">
        <f t="shared" si="5"/>
        <v>8500000</v>
      </c>
      <c r="F24" s="22">
        <f t="shared" si="0"/>
        <v>272690.16761499998</v>
      </c>
      <c r="G24" s="22">
        <f t="shared" si="4"/>
        <v>3051758.6550152549</v>
      </c>
      <c r="H24" s="27">
        <f t="shared" si="1"/>
        <v>77.718012956282578</v>
      </c>
    </row>
    <row r="25" spans="3:8" x14ac:dyDescent="0.15">
      <c r="C25">
        <f t="shared" si="2"/>
        <v>1</v>
      </c>
      <c r="D25">
        <f t="shared" si="3"/>
        <v>12</v>
      </c>
      <c r="E25" s="25">
        <f t="shared" si="5"/>
        <v>8500000</v>
      </c>
      <c r="F25" s="22">
        <f t="shared" si="0"/>
        <v>272690.16761499998</v>
      </c>
      <c r="G25" s="22">
        <f t="shared" si="4"/>
        <v>3333992.9784967802</v>
      </c>
      <c r="H25" s="27">
        <f t="shared" si="1"/>
        <v>84.905570456282589</v>
      </c>
    </row>
    <row r="26" spans="3:8" x14ac:dyDescent="0.15">
      <c r="C26">
        <f t="shared" si="2"/>
        <v>2</v>
      </c>
      <c r="D26">
        <f t="shared" si="3"/>
        <v>1</v>
      </c>
      <c r="E26" s="25">
        <f t="shared" si="5"/>
        <v>8500000</v>
      </c>
      <c r="F26" s="22">
        <f t="shared" si="0"/>
        <v>272690.16761499998</v>
      </c>
      <c r="G26" s="22">
        <f t="shared" si="4"/>
        <v>3617037.5681360681</v>
      </c>
      <c r="H26" s="27">
        <f t="shared" si="1"/>
        <v>92.11376270590263</v>
      </c>
    </row>
    <row r="27" spans="3:8" x14ac:dyDescent="0.15">
      <c r="C27">
        <f t="shared" si="2"/>
        <v>2</v>
      </c>
      <c r="D27">
        <f t="shared" si="3"/>
        <v>2</v>
      </c>
      <c r="E27" s="25">
        <f t="shared" si="5"/>
        <v>8500000</v>
      </c>
      <c r="F27" s="22">
        <f t="shared" si="0"/>
        <v>272690.16761499998</v>
      </c>
      <c r="G27" s="22">
        <f t="shared" si="4"/>
        <v>3900894.750125193</v>
      </c>
      <c r="H27" s="27">
        <f t="shared" si="1"/>
        <v>99.342648945418972</v>
      </c>
    </row>
    <row r="28" spans="3:8" x14ac:dyDescent="0.15">
      <c r="C28">
        <f t="shared" si="2"/>
        <v>2</v>
      </c>
      <c r="D28">
        <f t="shared" si="3"/>
        <v>3</v>
      </c>
      <c r="E28" s="25">
        <f t="shared" si="5"/>
        <v>8500000</v>
      </c>
      <c r="F28" s="22">
        <f t="shared" si="0"/>
        <v>272690.16761499998</v>
      </c>
      <c r="G28" s="22">
        <f t="shared" si="4"/>
        <v>4185566.8573344913</v>
      </c>
      <c r="H28" s="27">
        <f t="shared" si="1"/>
        <v>106.5922885851807</v>
      </c>
    </row>
    <row r="29" spans="3:8" x14ac:dyDescent="0.15">
      <c r="C29">
        <f t="shared" si="2"/>
        <v>2</v>
      </c>
      <c r="D29">
        <f t="shared" si="3"/>
        <v>4</v>
      </c>
      <c r="E29" s="25">
        <f t="shared" si="5"/>
        <v>8500000</v>
      </c>
      <c r="F29" s="22">
        <f t="shared" si="0"/>
        <v>272690.16761499998</v>
      </c>
      <c r="G29" s="22">
        <f t="shared" si="4"/>
        <v>4471056.2293317327</v>
      </c>
      <c r="H29" s="27">
        <f t="shared" si="1"/>
        <v>113.86274120609795</v>
      </c>
    </row>
    <row r="30" spans="3:8" x14ac:dyDescent="0.15">
      <c r="C30">
        <f t="shared" si="2"/>
        <v>2</v>
      </c>
      <c r="D30">
        <f t="shared" si="3"/>
        <v>5</v>
      </c>
      <c r="E30" s="25">
        <f t="shared" si="5"/>
        <v>8500000</v>
      </c>
      <c r="F30" s="22">
        <f t="shared" si="0"/>
        <v>272690.16761499998</v>
      </c>
      <c r="G30" s="22">
        <f t="shared" si="4"/>
        <v>4757365.2124013519</v>
      </c>
      <c r="H30" s="27">
        <f t="shared" si="1"/>
        <v>121.15406656013174</v>
      </c>
    </row>
    <row r="31" spans="3:8" x14ac:dyDescent="0.15">
      <c r="C31">
        <f t="shared" si="2"/>
        <v>2</v>
      </c>
      <c r="D31">
        <f t="shared" si="3"/>
        <v>6</v>
      </c>
      <c r="E31" s="25">
        <f t="shared" si="5"/>
        <v>8500000</v>
      </c>
      <c r="F31" s="22">
        <f t="shared" si="0"/>
        <v>272690.16761499998</v>
      </c>
      <c r="G31" s="22">
        <f t="shared" si="4"/>
        <v>5044496.1595637258</v>
      </c>
      <c r="H31" s="27">
        <f t="shared" si="1"/>
        <v>128.46632457078479</v>
      </c>
    </row>
    <row r="32" spans="3:8" x14ac:dyDescent="0.15">
      <c r="C32">
        <f>IF(MOD(D31,12)=0,C31+1,C31)</f>
        <v>2</v>
      </c>
      <c r="D32">
        <f t="shared" si="3"/>
        <v>7</v>
      </c>
      <c r="E32" s="25">
        <f t="shared" si="5"/>
        <v>8500000</v>
      </c>
      <c r="F32" s="22">
        <f t="shared" si="0"/>
        <v>272690.16761499998</v>
      </c>
      <c r="G32" s="22">
        <f t="shared" si="4"/>
        <v>5332451.4305945151</v>
      </c>
      <c r="H32" s="27">
        <f t="shared" si="1"/>
        <v>135.79957533359416</v>
      </c>
    </row>
    <row r="33" spans="3:8" x14ac:dyDescent="0.15">
      <c r="C33">
        <f t="shared" si="2"/>
        <v>2</v>
      </c>
      <c r="D33">
        <f t="shared" si="3"/>
        <v>8</v>
      </c>
      <c r="E33" s="25">
        <f t="shared" si="5"/>
        <v>8500000</v>
      </c>
      <c r="F33" s="22">
        <f t="shared" si="0"/>
        <v>272690.16761499998</v>
      </c>
      <c r="G33" s="22">
        <f t="shared" si="4"/>
        <v>5621233.3920440581</v>
      </c>
      <c r="H33" s="27">
        <f t="shared" si="1"/>
        <v>143.15387911662515</v>
      </c>
    </row>
    <row r="34" spans="3:8" x14ac:dyDescent="0.15">
      <c r="C34">
        <f t="shared" si="2"/>
        <v>2</v>
      </c>
      <c r="D34">
        <f t="shared" si="3"/>
        <v>9</v>
      </c>
      <c r="E34" s="25">
        <f t="shared" si="5"/>
        <v>8500000</v>
      </c>
      <c r="F34" s="22">
        <f t="shared" si="0"/>
        <v>272690.16761499998</v>
      </c>
      <c r="G34" s="22">
        <f t="shared" si="4"/>
        <v>5910844.4172568191</v>
      </c>
      <c r="H34" s="27">
        <f t="shared" si="1"/>
        <v>150.52929636096655</v>
      </c>
    </row>
    <row r="35" spans="3:8" x14ac:dyDescent="0.15">
      <c r="C35">
        <f t="shared" si="2"/>
        <v>2</v>
      </c>
      <c r="D35">
        <f t="shared" si="3"/>
        <v>10</v>
      </c>
      <c r="E35" s="25">
        <f t="shared" si="5"/>
        <v>8500000</v>
      </c>
      <c r="F35" s="22">
        <f t="shared" si="0"/>
        <v>272690.16761499998</v>
      </c>
      <c r="G35" s="22">
        <f t="shared" si="4"/>
        <v>6201286.8863908937</v>
      </c>
      <c r="H35" s="27">
        <f t="shared" si="1"/>
        <v>157.92588768122741</v>
      </c>
    </row>
    <row r="36" spans="3:8" x14ac:dyDescent="0.15">
      <c r="C36">
        <f t="shared" si="2"/>
        <v>2</v>
      </c>
      <c r="D36">
        <f t="shared" si="3"/>
        <v>11</v>
      </c>
      <c r="E36" s="25">
        <f t="shared" si="5"/>
        <v>8500000</v>
      </c>
      <c r="F36" s="22">
        <f t="shared" si="0"/>
        <v>272690.16761499998</v>
      </c>
      <c r="G36" s="22">
        <f t="shared" si="4"/>
        <v>6492563.1864375714</v>
      </c>
      <c r="H36" s="27">
        <f t="shared" si="1"/>
        <v>165.3437138660351</v>
      </c>
    </row>
    <row r="37" spans="3:8" x14ac:dyDescent="0.15">
      <c r="C37">
        <f t="shared" si="2"/>
        <v>2</v>
      </c>
      <c r="D37">
        <f t="shared" si="3"/>
        <v>12</v>
      </c>
      <c r="E37" s="25">
        <f t="shared" si="5"/>
        <v>8500000</v>
      </c>
      <c r="F37" s="22">
        <f t="shared" si="0"/>
        <v>272690.16761499998</v>
      </c>
      <c r="G37" s="22">
        <f t="shared" si="4"/>
        <v>6784675.71124095</v>
      </c>
      <c r="H37" s="27">
        <f t="shared" si="1"/>
        <v>172.78283587853511</v>
      </c>
    </row>
    <row r="38" spans="3:8" x14ac:dyDescent="0.15">
      <c r="C38">
        <f t="shared" si="2"/>
        <v>3</v>
      </c>
      <c r="D38">
        <f t="shared" si="3"/>
        <v>1</v>
      </c>
      <c r="E38" s="25">
        <f t="shared" si="5"/>
        <v>8500000</v>
      </c>
      <c r="F38" s="22">
        <f t="shared" si="0"/>
        <v>272690.16761499998</v>
      </c>
      <c r="G38" s="22">
        <f t="shared" si="4"/>
        <v>7077626.8615176128</v>
      </c>
      <c r="H38" s="27">
        <f t="shared" si="1"/>
        <v>180.24331485689186</v>
      </c>
    </row>
    <row r="39" spans="3:8" x14ac:dyDescent="0.15">
      <c r="C39">
        <f t="shared" si="2"/>
        <v>3</v>
      </c>
      <c r="D39">
        <f t="shared" si="3"/>
        <v>2</v>
      </c>
      <c r="E39" s="25">
        <f t="shared" si="5"/>
        <v>8500000</v>
      </c>
      <c r="F39" s="22">
        <f t="shared" si="0"/>
        <v>272690.16761499998</v>
      </c>
      <c r="G39" s="22">
        <f t="shared" si="4"/>
        <v>7371419.0448763566</v>
      </c>
      <c r="H39" s="27">
        <f t="shared" si="1"/>
        <v>187.72521211479128</v>
      </c>
    </row>
    <row r="40" spans="3:8" x14ac:dyDescent="0.15">
      <c r="C40">
        <f t="shared" si="2"/>
        <v>3</v>
      </c>
      <c r="D40">
        <f t="shared" si="3"/>
        <v>3</v>
      </c>
      <c r="E40" s="25">
        <f t="shared" si="5"/>
        <v>8500000</v>
      </c>
      <c r="F40" s="22">
        <f t="shared" si="0"/>
        <v>272690.16761499998</v>
      </c>
      <c r="G40" s="22">
        <f t="shared" si="4"/>
        <v>7666054.6758379806</v>
      </c>
      <c r="H40" s="27">
        <f t="shared" si="1"/>
        <v>195.22858914194467</v>
      </c>
    </row>
    <row r="41" spans="3:8" x14ac:dyDescent="0.15">
      <c r="C41">
        <f t="shared" si="2"/>
        <v>3</v>
      </c>
      <c r="D41">
        <f t="shared" si="3"/>
        <v>4</v>
      </c>
      <c r="E41" s="25">
        <f t="shared" si="5"/>
        <v>8500000</v>
      </c>
      <c r="F41" s="22">
        <f t="shared" si="0"/>
        <v>272690.16761499998</v>
      </c>
      <c r="G41" s="22">
        <f t="shared" si="4"/>
        <v>7961536.1758551262</v>
      </c>
      <c r="H41" s="27">
        <f t="shared" si="1"/>
        <v>202.75350760459403</v>
      </c>
    </row>
    <row r="42" spans="3:8" x14ac:dyDescent="0.15">
      <c r="C42">
        <f t="shared" si="2"/>
        <v>3</v>
      </c>
      <c r="D42">
        <f t="shared" si="3"/>
        <v>5</v>
      </c>
      <c r="E42" s="25">
        <f t="shared" si="5"/>
        <v>8500000</v>
      </c>
      <c r="F42" s="22">
        <f t="shared" si="0"/>
        <v>272690.16761499998</v>
      </c>
      <c r="G42" s="22">
        <f t="shared" si="4"/>
        <v>8257865.9733321816</v>
      </c>
      <c r="H42" s="27">
        <f t="shared" si="1"/>
        <v>210.30002934601899</v>
      </c>
    </row>
    <row r="43" spans="3:8" x14ac:dyDescent="0.15">
      <c r="C43">
        <f t="shared" si="2"/>
        <v>3</v>
      </c>
      <c r="D43">
        <f t="shared" si="3"/>
        <v>6</v>
      </c>
      <c r="E43" s="25">
        <f t="shared" si="5"/>
        <v>8500000</v>
      </c>
      <c r="F43" s="22">
        <f t="shared" si="0"/>
        <v>272690.16761499998</v>
      </c>
      <c r="G43" s="22">
        <f t="shared" si="4"/>
        <v>8555046.5036452375</v>
      </c>
      <c r="H43" s="27">
        <f t="shared" si="1"/>
        <v>217.86821638704487</v>
      </c>
    </row>
    <row r="44" spans="3:8" x14ac:dyDescent="0.15">
      <c r="C44">
        <f t="shared" si="2"/>
        <v>3</v>
      </c>
      <c r="D44">
        <f t="shared" si="3"/>
        <v>7</v>
      </c>
      <c r="E44" s="25">
        <f t="shared" si="5"/>
        <v>8500000</v>
      </c>
      <c r="F44" s="22">
        <f t="shared" si="0"/>
        <v>272690.16761499998</v>
      </c>
      <c r="G44" s="22">
        <f t="shared" si="4"/>
        <v>8853080.2091621049</v>
      </c>
      <c r="H44" s="27">
        <f t="shared" si="1"/>
        <v>225.45813092655257</v>
      </c>
    </row>
    <row r="45" spans="3:8" x14ac:dyDescent="0.15">
      <c r="C45">
        <f t="shared" si="2"/>
        <v>3</v>
      </c>
      <c r="D45">
        <f t="shared" si="3"/>
        <v>8</v>
      </c>
      <c r="E45" s="25">
        <f t="shared" si="5"/>
        <v>8500000</v>
      </c>
      <c r="F45" s="22">
        <f t="shared" si="0"/>
        <v>272690.16761499998</v>
      </c>
      <c r="G45" s="22">
        <f t="shared" si="4"/>
        <v>9151969.5392623823</v>
      </c>
      <c r="H45" s="27">
        <f t="shared" si="1"/>
        <v>233.06983534198966</v>
      </c>
    </row>
    <row r="46" spans="3:8" x14ac:dyDescent="0.15">
      <c r="C46">
        <f t="shared" ref="C46:C96" si="6">IF(MOD(D45,12)=0,C45+1,C45)</f>
        <v>3</v>
      </c>
      <c r="D46">
        <f t="shared" ref="D46:D96" si="7">IF(MOD(D45,12)=0,1,D45+1)</f>
        <v>9</v>
      </c>
      <c r="E46" s="25">
        <f t="shared" si="5"/>
        <v>8500000</v>
      </c>
      <c r="F46" s="22">
        <f t="shared" si="0"/>
        <v>272690.16761499998</v>
      </c>
      <c r="G46" s="22">
        <f t="shared" si="4"/>
        <v>9451716.9503575899</v>
      </c>
      <c r="H46" s="27">
        <f t="shared" si="1"/>
        <v>240.70339218988303</v>
      </c>
    </row>
    <row r="47" spans="3:8" x14ac:dyDescent="0.15">
      <c r="C47">
        <f t="shared" si="6"/>
        <v>3</v>
      </c>
      <c r="D47">
        <f t="shared" si="7"/>
        <v>10</v>
      </c>
      <c r="E47" s="25">
        <f t="shared" si="5"/>
        <v>8500000</v>
      </c>
      <c r="F47" s="22">
        <f t="shared" si="0"/>
        <v>272690.16761499998</v>
      </c>
      <c r="G47" s="22">
        <f t="shared" si="4"/>
        <v>9752324.9059113581</v>
      </c>
      <c r="H47" s="27">
        <f t="shared" si="1"/>
        <v>248.35886420635302</v>
      </c>
    </row>
    <row r="48" spans="3:8" x14ac:dyDescent="0.15">
      <c r="C48">
        <f t="shared" si="6"/>
        <v>3</v>
      </c>
      <c r="D48">
        <f t="shared" si="7"/>
        <v>11</v>
      </c>
      <c r="E48" s="25">
        <f t="shared" si="5"/>
        <v>8500000</v>
      </c>
      <c r="F48" s="22">
        <f t="shared" si="0"/>
        <v>272690.16761499998</v>
      </c>
      <c r="G48" s="22">
        <f t="shared" si="4"/>
        <v>10053795.876459669</v>
      </c>
      <c r="H48" s="27">
        <f t="shared" si="1"/>
        <v>256.03631430762897</v>
      </c>
    </row>
    <row r="49" spans="3:8" x14ac:dyDescent="0.15">
      <c r="C49">
        <f t="shared" si="6"/>
        <v>3</v>
      </c>
      <c r="D49">
        <f t="shared" si="7"/>
        <v>12</v>
      </c>
      <c r="E49" s="25">
        <f t="shared" si="5"/>
        <v>8500000</v>
      </c>
      <c r="F49" s="22">
        <f t="shared" si="0"/>
        <v>272690.16761499998</v>
      </c>
      <c r="G49" s="22">
        <f t="shared" si="4"/>
        <v>10356132.339631166</v>
      </c>
      <c r="H49" s="27">
        <f t="shared" si="1"/>
        <v>263.73580559056649</v>
      </c>
    </row>
    <row r="50" spans="3:8" x14ac:dyDescent="0.15">
      <c r="C50">
        <f t="shared" si="6"/>
        <v>4</v>
      </c>
      <c r="D50">
        <f t="shared" si="7"/>
        <v>1</v>
      </c>
      <c r="E50" s="25">
        <f t="shared" si="5"/>
        <v>8500000</v>
      </c>
      <c r="F50" s="22">
        <f t="shared" si="0"/>
        <v>272690.16761499998</v>
      </c>
      <c r="G50" s="22">
        <f t="shared" si="4"/>
        <v>10659336.780167513</v>
      </c>
      <c r="H50" s="27">
        <f t="shared" si="1"/>
        <v>271.45740133316576</v>
      </c>
    </row>
    <row r="51" spans="3:8" x14ac:dyDescent="0.15">
      <c r="C51">
        <f t="shared" si="6"/>
        <v>4</v>
      </c>
      <c r="D51">
        <f t="shared" si="7"/>
        <v>2</v>
      </c>
      <c r="E51" s="25">
        <f t="shared" si="5"/>
        <v>8500000</v>
      </c>
      <c r="F51" s="22">
        <f t="shared" si="0"/>
        <v>272690.16761499998</v>
      </c>
      <c r="G51" s="22">
        <f t="shared" si="4"/>
        <v>10963411.689943813</v>
      </c>
      <c r="H51" s="27">
        <f t="shared" si="1"/>
        <v>279.20116499509163</v>
      </c>
    </row>
    <row r="52" spans="3:8" x14ac:dyDescent="0.15">
      <c r="C52">
        <f t="shared" si="6"/>
        <v>4</v>
      </c>
      <c r="D52">
        <f t="shared" si="7"/>
        <v>3</v>
      </c>
      <c r="E52" s="25">
        <f t="shared" si="5"/>
        <v>8500000</v>
      </c>
      <c r="F52" s="22">
        <f t="shared" si="0"/>
        <v>272690.16761499998</v>
      </c>
      <c r="G52" s="22">
        <f t="shared" si="4"/>
        <v>11268359.567989092</v>
      </c>
      <c r="H52" s="27">
        <f t="shared" si="1"/>
        <v>286.96716021819537</v>
      </c>
    </row>
    <row r="53" spans="3:8" x14ac:dyDescent="0.15">
      <c r="C53">
        <f t="shared" si="6"/>
        <v>4</v>
      </c>
      <c r="D53">
        <f t="shared" si="7"/>
        <v>4</v>
      </c>
      <c r="E53" s="25">
        <f t="shared" si="5"/>
        <v>8500000</v>
      </c>
      <c r="F53" s="22">
        <f t="shared" si="0"/>
        <v>272690.16761499998</v>
      </c>
      <c r="G53" s="22">
        <f t="shared" si="4"/>
        <v>11574182.920506839</v>
      </c>
      <c r="H53" s="27">
        <f t="shared" si="1"/>
        <v>294.75545082703746</v>
      </c>
    </row>
    <row r="54" spans="3:8" x14ac:dyDescent="0.15">
      <c r="C54">
        <f t="shared" si="6"/>
        <v>4</v>
      </c>
      <c r="D54">
        <f t="shared" si="7"/>
        <v>5</v>
      </c>
      <c r="E54" s="25">
        <f t="shared" si="5"/>
        <v>8500000</v>
      </c>
      <c r="F54" s="22">
        <f t="shared" si="0"/>
        <v>272690.16761499998</v>
      </c>
      <c r="G54" s="22">
        <f t="shared" si="4"/>
        <v>11880884.260895591</v>
      </c>
      <c r="H54" s="27">
        <f t="shared" si="1"/>
        <v>302.56610082941233</v>
      </c>
    </row>
    <row r="55" spans="3:8" x14ac:dyDescent="0.15">
      <c r="C55">
        <f t="shared" si="6"/>
        <v>4</v>
      </c>
      <c r="D55">
        <f t="shared" si="7"/>
        <v>6</v>
      </c>
      <c r="E55" s="25">
        <f t="shared" si="5"/>
        <v>8500000</v>
      </c>
      <c r="F55" s="22">
        <f t="shared" si="0"/>
        <v>272690.16761499998</v>
      </c>
      <c r="G55" s="22">
        <f t="shared" si="4"/>
        <v>12188466.109769605</v>
      </c>
      <c r="H55" s="27">
        <f t="shared" si="1"/>
        <v>310.39917441687413</v>
      </c>
    </row>
    <row r="56" spans="3:8" x14ac:dyDescent="0.15">
      <c r="C56">
        <f t="shared" si="6"/>
        <v>4</v>
      </c>
      <c r="D56">
        <f t="shared" si="7"/>
        <v>7</v>
      </c>
      <c r="E56" s="25">
        <f t="shared" si="5"/>
        <v>8500000</v>
      </c>
      <c r="F56" s="22">
        <f t="shared" si="0"/>
        <v>272690.16761499998</v>
      </c>
      <c r="G56" s="22">
        <f t="shared" si="4"/>
        <v>12496930.994979562</v>
      </c>
      <c r="H56" s="27">
        <f t="shared" si="1"/>
        <v>318.25473596526462</v>
      </c>
    </row>
    <row r="57" spans="3:8" x14ac:dyDescent="0.15">
      <c r="C57">
        <f t="shared" si="6"/>
        <v>4</v>
      </c>
      <c r="D57">
        <f t="shared" si="7"/>
        <v>8</v>
      </c>
      <c r="E57" s="25">
        <f t="shared" si="5"/>
        <v>8500000</v>
      </c>
      <c r="F57" s="22">
        <f t="shared" si="0"/>
        <v>272690.16761499998</v>
      </c>
      <c r="G57" s="22">
        <f t="shared" si="4"/>
        <v>12806281.451633349</v>
      </c>
      <c r="H57" s="27">
        <f t="shared" si="1"/>
        <v>326.13285003524197</v>
      </c>
    </row>
    <row r="58" spans="3:8" x14ac:dyDescent="0.15">
      <c r="C58">
        <f t="shared" si="6"/>
        <v>4</v>
      </c>
      <c r="D58">
        <f t="shared" si="7"/>
        <v>9</v>
      </c>
      <c r="E58" s="25">
        <f t="shared" si="5"/>
        <v>8500000</v>
      </c>
      <c r="F58" s="22">
        <f t="shared" si="0"/>
        <v>272690.16761499998</v>
      </c>
      <c r="G58" s="22">
        <f t="shared" si="4"/>
        <v>13116520.022116888</v>
      </c>
      <c r="H58" s="27">
        <f t="shared" si="1"/>
        <v>334.03358137281157</v>
      </c>
    </row>
    <row r="59" spans="3:8" x14ac:dyDescent="0.15">
      <c r="C59">
        <f t="shared" si="6"/>
        <v>4</v>
      </c>
      <c r="D59">
        <f t="shared" si="7"/>
        <v>10</v>
      </c>
      <c r="E59" s="25">
        <f t="shared" si="5"/>
        <v>8500000</v>
      </c>
      <c r="F59" s="22">
        <f t="shared" si="0"/>
        <v>272690.16761499998</v>
      </c>
      <c r="G59" s="22">
        <f t="shared" si="4"/>
        <v>13427649.256115038</v>
      </c>
      <c r="H59" s="27">
        <f t="shared" si="1"/>
        <v>341.956994909858</v>
      </c>
    </row>
    <row r="60" spans="3:8" x14ac:dyDescent="0.15">
      <c r="C60">
        <f t="shared" si="6"/>
        <v>4</v>
      </c>
      <c r="D60">
        <f t="shared" si="7"/>
        <v>11</v>
      </c>
      <c r="E60" s="25">
        <f t="shared" si="5"/>
        <v>8500000</v>
      </c>
      <c r="F60" s="22">
        <f t="shared" si="0"/>
        <v>272690.16761499998</v>
      </c>
      <c r="G60" s="22">
        <f t="shared" si="4"/>
        <v>13739671.71063254</v>
      </c>
      <c r="H60" s="27">
        <f t="shared" si="1"/>
        <v>349.90315576467867</v>
      </c>
    </row>
    <row r="61" spans="3:8" x14ac:dyDescent="0.15">
      <c r="C61">
        <f t="shared" si="6"/>
        <v>4</v>
      </c>
      <c r="D61">
        <f t="shared" si="7"/>
        <v>12</v>
      </c>
      <c r="E61" s="25">
        <f t="shared" si="5"/>
        <v>8500000</v>
      </c>
      <c r="F61" s="22">
        <f t="shared" si="0"/>
        <v>272690.16761499998</v>
      </c>
      <c r="G61" s="22">
        <f t="shared" si="4"/>
        <v>14052589.95001504</v>
      </c>
      <c r="H61" s="27">
        <f t="shared" si="1"/>
        <v>357.87212924251901</v>
      </c>
    </row>
    <row r="62" spans="3:8" x14ac:dyDescent="0.15">
      <c r="C62">
        <f t="shared" si="6"/>
        <v>5</v>
      </c>
      <c r="D62">
        <f t="shared" si="7"/>
        <v>1</v>
      </c>
      <c r="E62" s="25">
        <f t="shared" si="5"/>
        <v>8500000</v>
      </c>
      <c r="F62" s="22">
        <f t="shared" si="0"/>
        <v>272690.16761499998</v>
      </c>
      <c r="G62" s="22">
        <f t="shared" si="4"/>
        <v>14366406.545970159</v>
      </c>
      <c r="H62" s="27">
        <f t="shared" si="1"/>
        <v>365.86398083610919</v>
      </c>
    </row>
    <row r="63" spans="3:8" x14ac:dyDescent="0.15">
      <c r="C63">
        <f t="shared" si="6"/>
        <v>5</v>
      </c>
      <c r="D63">
        <f t="shared" si="7"/>
        <v>2</v>
      </c>
      <c r="E63" s="25">
        <f t="shared" si="5"/>
        <v>8500000</v>
      </c>
      <c r="F63" s="22">
        <f t="shared" si="0"/>
        <v>272690.16761499998</v>
      </c>
      <c r="G63" s="22">
        <f t="shared" si="4"/>
        <v>14681124.077588629</v>
      </c>
      <c r="H63" s="27">
        <f t="shared" si="1"/>
        <v>373.87877622620249</v>
      </c>
    </row>
    <row r="64" spans="3:8" x14ac:dyDescent="0.15">
      <c r="C64">
        <f t="shared" si="6"/>
        <v>5</v>
      </c>
      <c r="D64">
        <f t="shared" si="7"/>
        <v>3</v>
      </c>
      <c r="E64" s="25">
        <f t="shared" si="5"/>
        <v>8500000</v>
      </c>
      <c r="F64" s="22">
        <f t="shared" si="0"/>
        <v>272690.16761499998</v>
      </c>
      <c r="G64" s="22">
        <f t="shared" si="4"/>
        <v>14996745.131365495</v>
      </c>
      <c r="H64" s="27">
        <f t="shared" si="1"/>
        <v>381.91658128211486</v>
      </c>
    </row>
    <row r="65" spans="3:8" x14ac:dyDescent="0.15">
      <c r="C65">
        <f t="shared" si="6"/>
        <v>5</v>
      </c>
      <c r="D65">
        <f t="shared" si="7"/>
        <v>4</v>
      </c>
      <c r="E65" s="25">
        <f t="shared" si="5"/>
        <v>8500000</v>
      </c>
      <c r="F65" s="22">
        <f t="shared" si="0"/>
        <v>272690.16761499998</v>
      </c>
      <c r="G65" s="22">
        <f t="shared" si="4"/>
        <v>15313272.301221361</v>
      </c>
      <c r="H65" s="27">
        <f t="shared" si="1"/>
        <v>389.97746206226645</v>
      </c>
    </row>
    <row r="66" spans="3:8" x14ac:dyDescent="0.15">
      <c r="C66">
        <f t="shared" si="6"/>
        <v>5</v>
      </c>
      <c r="D66">
        <f t="shared" si="7"/>
        <v>5</v>
      </c>
      <c r="E66" s="25">
        <f t="shared" si="5"/>
        <v>8500000</v>
      </c>
      <c r="F66" s="22">
        <f t="shared" si="0"/>
        <v>272690.16761499998</v>
      </c>
      <c r="G66" s="22">
        <f t="shared" si="4"/>
        <v>15630708.188523721</v>
      </c>
      <c r="H66" s="27">
        <f t="shared" si="1"/>
        <v>398.06148481472445</v>
      </c>
    </row>
    <row r="67" spans="3:8" x14ac:dyDescent="0.15">
      <c r="C67">
        <f t="shared" si="6"/>
        <v>5</v>
      </c>
      <c r="D67">
        <f t="shared" si="7"/>
        <v>6</v>
      </c>
      <c r="E67" s="25">
        <f t="shared" si="5"/>
        <v>8500000</v>
      </c>
      <c r="F67" s="22">
        <f t="shared" si="0"/>
        <v>272690.16761499998</v>
      </c>
      <c r="G67" s="22">
        <f t="shared" si="4"/>
        <v>15949055.402108325</v>
      </c>
      <c r="H67" s="27">
        <f t="shared" si="1"/>
        <v>406.16871597774735</v>
      </c>
    </row>
    <row r="68" spans="3:8" x14ac:dyDescent="0.15">
      <c r="C68">
        <f t="shared" si="6"/>
        <v>5</v>
      </c>
      <c r="D68">
        <f t="shared" si="7"/>
        <v>7</v>
      </c>
      <c r="E68" s="25">
        <f t="shared" si="5"/>
        <v>8500000</v>
      </c>
      <c r="F68" s="22">
        <f t="shared" si="0"/>
        <v>272690.16761499998</v>
      </c>
      <c r="G68" s="22">
        <f t="shared" si="4"/>
        <v>16268316.558300631</v>
      </c>
      <c r="H68" s="27">
        <f t="shared" si="1"/>
        <v>414.29922218033153</v>
      </c>
    </row>
    <row r="69" spans="3:8" x14ac:dyDescent="0.15">
      <c r="C69">
        <f t="shared" si="6"/>
        <v>5</v>
      </c>
      <c r="D69">
        <f t="shared" si="7"/>
        <v>8</v>
      </c>
      <c r="E69" s="25">
        <f t="shared" si="5"/>
        <v>8500000</v>
      </c>
      <c r="F69" s="22">
        <f t="shared" si="0"/>
        <v>272690.16761499998</v>
      </c>
      <c r="G69" s="22">
        <f t="shared" si="4"/>
        <v>16588494.280937301</v>
      </c>
      <c r="H69" s="27">
        <f t="shared" si="1"/>
        <v>422.45307024275814</v>
      </c>
    </row>
    <row r="70" spans="3:8" x14ac:dyDescent="0.15">
      <c r="C70">
        <f t="shared" si="6"/>
        <v>5</v>
      </c>
      <c r="D70">
        <f t="shared" si="7"/>
        <v>9</v>
      </c>
      <c r="E70" s="25">
        <f t="shared" si="5"/>
        <v>8500000</v>
      </c>
      <c r="F70" s="22">
        <f t="shared" si="0"/>
        <v>272690.16761499998</v>
      </c>
      <c r="G70" s="22">
        <f t="shared" si="4"/>
        <v>16909591.201387763</v>
      </c>
      <c r="H70" s="27">
        <f t="shared" si="1"/>
        <v>430.63032717714265</v>
      </c>
    </row>
    <row r="71" spans="3:8" x14ac:dyDescent="0.15">
      <c r="C71">
        <f t="shared" si="6"/>
        <v>5</v>
      </c>
      <c r="D71">
        <f t="shared" si="7"/>
        <v>10</v>
      </c>
      <c r="E71" s="25">
        <f t="shared" si="5"/>
        <v>8500000</v>
      </c>
      <c r="F71" s="22">
        <f t="shared" si="0"/>
        <v>272690.16761499998</v>
      </c>
      <c r="G71" s="22">
        <f t="shared" si="4"/>
        <v>17231609.958575848</v>
      </c>
      <c r="H71" s="27">
        <f t="shared" si="1"/>
        <v>438.83106018798571</v>
      </c>
    </row>
    <row r="72" spans="3:8" x14ac:dyDescent="0.15">
      <c r="C72">
        <f t="shared" si="6"/>
        <v>5</v>
      </c>
      <c r="D72">
        <f t="shared" si="7"/>
        <v>11</v>
      </c>
      <c r="E72" s="25">
        <f t="shared" si="5"/>
        <v>8500000</v>
      </c>
      <c r="F72" s="22">
        <f t="shared" si="0"/>
        <v>272690.16761499998</v>
      </c>
      <c r="G72" s="22">
        <f t="shared" si="4"/>
        <v>17554553.199001461</v>
      </c>
      <c r="H72" s="27">
        <f t="shared" si="1"/>
        <v>447.05533667272505</v>
      </c>
    </row>
    <row r="73" spans="3:8" x14ac:dyDescent="0.15">
      <c r="C73">
        <f t="shared" si="6"/>
        <v>5</v>
      </c>
      <c r="D73">
        <f t="shared" si="7"/>
        <v>12</v>
      </c>
      <c r="E73" s="25">
        <f t="shared" si="5"/>
        <v>8500000</v>
      </c>
      <c r="F73" s="22">
        <f t="shared" si="0"/>
        <v>272690.16761499998</v>
      </c>
      <c r="G73" s="22">
        <f t="shared" si="4"/>
        <v>17878423.576762348</v>
      </c>
      <c r="H73" s="27">
        <f t="shared" si="1"/>
        <v>455.30322422228977</v>
      </c>
    </row>
    <row r="74" spans="3:8" x14ac:dyDescent="0.15">
      <c r="C74">
        <f t="shared" si="6"/>
        <v>6</v>
      </c>
      <c r="D74">
        <f t="shared" si="7"/>
        <v>1</v>
      </c>
      <c r="E74" s="25">
        <f t="shared" si="5"/>
        <v>8500000</v>
      </c>
      <c r="F74" s="22">
        <f t="shared" si="0"/>
        <v>272690.16761499998</v>
      </c>
      <c r="G74" s="22">
        <f t="shared" si="4"/>
        <v>18203223.753575895</v>
      </c>
      <c r="H74" s="27">
        <f t="shared" si="1"/>
        <v>463.57479062165561</v>
      </c>
    </row>
    <row r="75" spans="3:8" x14ac:dyDescent="0.15">
      <c r="C75">
        <f t="shared" si="6"/>
        <v>6</v>
      </c>
      <c r="D75">
        <f t="shared" si="7"/>
        <v>2</v>
      </c>
      <c r="E75" s="25">
        <f t="shared" si="5"/>
        <v>8500000</v>
      </c>
      <c r="F75" s="22">
        <f t="shared" si="0"/>
        <v>272690.16761499998</v>
      </c>
      <c r="G75" s="22">
        <f t="shared" si="4"/>
        <v>18528956.398801014</v>
      </c>
      <c r="H75" s="27">
        <f t="shared" si="1"/>
        <v>471.87010385040224</v>
      </c>
    </row>
    <row r="76" spans="3:8" x14ac:dyDescent="0.15">
      <c r="C76">
        <f t="shared" si="6"/>
        <v>6</v>
      </c>
      <c r="D76">
        <f t="shared" si="7"/>
        <v>3</v>
      </c>
      <c r="E76" s="25">
        <f t="shared" si="5"/>
        <v>8500000</v>
      </c>
      <c r="F76" s="22">
        <f t="shared" si="0"/>
        <v>272690.16761499998</v>
      </c>
      <c r="G76" s="22">
        <f t="shared" si="4"/>
        <v>18855624.189460069</v>
      </c>
      <c r="H76" s="27">
        <f t="shared" si="1"/>
        <v>480.18923208327152</v>
      </c>
    </row>
    <row r="77" spans="3:8" x14ac:dyDescent="0.15">
      <c r="C77">
        <f t="shared" si="6"/>
        <v>6</v>
      </c>
      <c r="D77">
        <f t="shared" si="7"/>
        <v>4</v>
      </c>
      <c r="E77" s="25">
        <f t="shared" si="5"/>
        <v>8500000</v>
      </c>
      <c r="F77" s="22">
        <f t="shared" si="0"/>
        <v>272690.16761499998</v>
      </c>
      <c r="G77" s="22">
        <f t="shared" si="4"/>
        <v>19183229.810260892</v>
      </c>
      <c r="H77" s="27">
        <f t="shared" si="1"/>
        <v>488.53224369072842</v>
      </c>
    </row>
    <row r="78" spans="3:8" x14ac:dyDescent="0.15">
      <c r="C78">
        <f t="shared" si="6"/>
        <v>6</v>
      </c>
      <c r="D78">
        <f t="shared" si="7"/>
        <v>5</v>
      </c>
      <c r="E78" s="25">
        <f t="shared" si="5"/>
        <v>8500000</v>
      </c>
      <c r="F78" s="22">
        <f t="shared" si="0"/>
        <v>272690.16761499998</v>
      </c>
      <c r="G78" s="22">
        <f t="shared" si="4"/>
        <v>19511775.953618832</v>
      </c>
      <c r="H78" s="27">
        <f t="shared" si="1"/>
        <v>496.89920723952235</v>
      </c>
    </row>
    <row r="79" spans="3:8" x14ac:dyDescent="0.15">
      <c r="C79">
        <f t="shared" si="6"/>
        <v>6</v>
      </c>
      <c r="D79">
        <f t="shared" si="7"/>
        <v>6</v>
      </c>
      <c r="E79" s="25">
        <f t="shared" si="5"/>
        <v>8500000</v>
      </c>
      <c r="F79" s="22">
        <f t="shared" ref="F79:F142" si="8">IF(E79/$D$3&lt;$D$2*(1+$D$11)^(C79-1),0.1*E79,0.1*$D$2*$D$3*(1+$D$11)^(C79-1))*(1-$D$9)</f>
        <v>272690.16761499998</v>
      </c>
      <c r="G79" s="22">
        <f t="shared" si="4"/>
        <v>19841265.319678899</v>
      </c>
      <c r="H79" s="27">
        <f t="shared" ref="H79:H142" si="9">G79/$D$3</f>
        <v>505.2901914932512</v>
      </c>
    </row>
    <row r="80" spans="3:8" x14ac:dyDescent="0.15">
      <c r="C80">
        <f t="shared" si="6"/>
        <v>6</v>
      </c>
      <c r="D80">
        <f t="shared" si="7"/>
        <v>7</v>
      </c>
      <c r="E80" s="25">
        <f t="shared" si="5"/>
        <v>8500000</v>
      </c>
      <c r="F80" s="22">
        <f t="shared" si="8"/>
        <v>272690.16761499998</v>
      </c>
      <c r="G80" s="22">
        <f t="shared" ref="G80:G143" si="10">(F80+G79)*(1+$D$5)</f>
        <v>20171700.616337936</v>
      </c>
      <c r="H80" s="27">
        <f t="shared" si="9"/>
        <v>513.70526541292577</v>
      </c>
    </row>
    <row r="81" spans="3:8" x14ac:dyDescent="0.15">
      <c r="C81">
        <f t="shared" si="6"/>
        <v>6</v>
      </c>
      <c r="D81">
        <f t="shared" si="7"/>
        <v>8</v>
      </c>
      <c r="E81" s="25">
        <f t="shared" ref="E81:E144" si="11">E80</f>
        <v>8500000</v>
      </c>
      <c r="F81" s="22">
        <f t="shared" si="8"/>
        <v>272690.16761499998</v>
      </c>
      <c r="G81" s="22">
        <f t="shared" si="10"/>
        <v>20503084.559266888</v>
      </c>
      <c r="H81" s="27">
        <f t="shared" si="9"/>
        <v>522.14449815753733</v>
      </c>
    </row>
    <row r="82" spans="3:8" x14ac:dyDescent="0.15">
      <c r="C82">
        <f t="shared" si="6"/>
        <v>6</v>
      </c>
      <c r="D82">
        <f t="shared" si="7"/>
        <v>9</v>
      </c>
      <c r="E82" s="25">
        <f t="shared" si="11"/>
        <v>8500000</v>
      </c>
      <c r="F82" s="22">
        <f t="shared" si="8"/>
        <v>272690.16761499998</v>
      </c>
      <c r="G82" s="22">
        <f t="shared" si="10"/>
        <v>20835419.871933118</v>
      </c>
      <c r="H82" s="27">
        <f t="shared" si="9"/>
        <v>530.60795908462535</v>
      </c>
    </row>
    <row r="83" spans="3:8" x14ac:dyDescent="0.15">
      <c r="C83">
        <f t="shared" si="6"/>
        <v>6</v>
      </c>
      <c r="D83">
        <f t="shared" si="7"/>
        <v>10</v>
      </c>
      <c r="E83" s="25">
        <f t="shared" si="11"/>
        <v>8500000</v>
      </c>
      <c r="F83" s="22">
        <f t="shared" si="8"/>
        <v>272690.16761499998</v>
      </c>
      <c r="G83" s="22">
        <f t="shared" si="10"/>
        <v>21168709.285622787</v>
      </c>
      <c r="H83" s="27">
        <f t="shared" si="9"/>
        <v>539.09571775084794</v>
      </c>
    </row>
    <row r="84" spans="3:8" x14ac:dyDescent="0.15">
      <c r="C84">
        <f t="shared" si="6"/>
        <v>6</v>
      </c>
      <c r="D84">
        <f t="shared" si="7"/>
        <v>11</v>
      </c>
      <c r="E84" s="25">
        <f t="shared" si="11"/>
        <v>8500000</v>
      </c>
      <c r="F84" s="22">
        <f t="shared" si="8"/>
        <v>272690.16761499998</v>
      </c>
      <c r="G84" s="22">
        <f t="shared" si="10"/>
        <v>21502955.539463297</v>
      </c>
      <c r="H84" s="27">
        <f t="shared" si="9"/>
        <v>547.60784391255311</v>
      </c>
    </row>
    <row r="85" spans="3:8" x14ac:dyDescent="0.15">
      <c r="C85">
        <f t="shared" si="6"/>
        <v>6</v>
      </c>
      <c r="D85">
        <f t="shared" si="7"/>
        <v>12</v>
      </c>
      <c r="E85" s="25">
        <f t="shared" si="11"/>
        <v>8500000</v>
      </c>
      <c r="F85" s="22">
        <f t="shared" si="8"/>
        <v>272690.16761499998</v>
      </c>
      <c r="G85" s="22">
        <f t="shared" si="10"/>
        <v>21838161.380445816</v>
      </c>
      <c r="H85" s="27">
        <f t="shared" si="9"/>
        <v>556.14440752635267</v>
      </c>
    </row>
    <row r="86" spans="3:8" x14ac:dyDescent="0.15">
      <c r="C86">
        <f t="shared" si="6"/>
        <v>7</v>
      </c>
      <c r="D86">
        <f t="shared" si="7"/>
        <v>1</v>
      </c>
      <c r="E86" s="25">
        <f t="shared" si="11"/>
        <v>8500000</v>
      </c>
      <c r="F86" s="22">
        <f t="shared" si="8"/>
        <v>272690.16761499998</v>
      </c>
      <c r="G86" s="22">
        <f t="shared" si="10"/>
        <v>22174329.563447837</v>
      </c>
      <c r="H86" s="27">
        <f t="shared" si="9"/>
        <v>564.70547874969634</v>
      </c>
    </row>
    <row r="87" spans="3:8" x14ac:dyDescent="0.15">
      <c r="C87">
        <f t="shared" si="6"/>
        <v>7</v>
      </c>
      <c r="D87">
        <f t="shared" si="7"/>
        <v>2</v>
      </c>
      <c r="E87" s="25">
        <f t="shared" si="11"/>
        <v>8500000</v>
      </c>
      <c r="F87" s="22">
        <f t="shared" si="8"/>
        <v>272690.16761499998</v>
      </c>
      <c r="G87" s="22">
        <f t="shared" si="10"/>
        <v>22511462.851255834</v>
      </c>
      <c r="H87" s="27">
        <f t="shared" si="9"/>
        <v>573.29112794144896</v>
      </c>
    </row>
    <row r="88" spans="3:8" x14ac:dyDescent="0.15">
      <c r="C88">
        <f t="shared" si="6"/>
        <v>7</v>
      </c>
      <c r="D88">
        <f t="shared" si="7"/>
        <v>3</v>
      </c>
      <c r="E88" s="25">
        <f t="shared" si="11"/>
        <v>8500000</v>
      </c>
      <c r="F88" s="22">
        <f t="shared" si="8"/>
        <v>272690.16761499998</v>
      </c>
      <c r="G88" s="22">
        <f t="shared" si="10"/>
        <v>22849564.014587957</v>
      </c>
      <c r="H88" s="27">
        <f t="shared" si="9"/>
        <v>581.9014256624688</v>
      </c>
    </row>
    <row r="89" spans="3:8" x14ac:dyDescent="0.15">
      <c r="C89">
        <f t="shared" si="6"/>
        <v>7</v>
      </c>
      <c r="D89">
        <f t="shared" si="7"/>
        <v>4</v>
      </c>
      <c r="E89" s="25">
        <f t="shared" si="11"/>
        <v>8500000</v>
      </c>
      <c r="F89" s="22">
        <f t="shared" si="8"/>
        <v>272690.16761499998</v>
      </c>
      <c r="G89" s="22">
        <f t="shared" si="10"/>
        <v>23188635.832116809</v>
      </c>
      <c r="H89" s="27">
        <f t="shared" si="9"/>
        <v>590.53644267618665</v>
      </c>
    </row>
    <row r="90" spans="3:8" x14ac:dyDescent="0.15">
      <c r="C90">
        <f t="shared" si="6"/>
        <v>7</v>
      </c>
      <c r="D90">
        <f t="shared" si="7"/>
        <v>5</v>
      </c>
      <c r="E90" s="25">
        <f t="shared" si="11"/>
        <v>8500000</v>
      </c>
      <c r="F90" s="22">
        <f t="shared" si="8"/>
        <v>272690.16761499998</v>
      </c>
      <c r="G90" s="22">
        <f t="shared" si="10"/>
        <v>23528681.090492278</v>
      </c>
      <c r="H90" s="27">
        <f t="shared" si="9"/>
        <v>599.19624994918843</v>
      </c>
    </row>
    <row r="91" spans="3:8" x14ac:dyDescent="0.15">
      <c r="C91">
        <f t="shared" si="6"/>
        <v>7</v>
      </c>
      <c r="D91">
        <f t="shared" si="7"/>
        <v>6</v>
      </c>
      <c r="E91" s="25">
        <f t="shared" si="11"/>
        <v>8500000</v>
      </c>
      <c r="F91" s="22">
        <f t="shared" si="8"/>
        <v>272690.16761499998</v>
      </c>
      <c r="G91" s="22">
        <f t="shared" si="10"/>
        <v>23869702.584364448</v>
      </c>
      <c r="H91" s="27">
        <f t="shared" si="9"/>
        <v>607.88091865179774</v>
      </c>
    </row>
    <row r="92" spans="3:8" x14ac:dyDescent="0.15">
      <c r="C92">
        <f t="shared" si="6"/>
        <v>7</v>
      </c>
      <c r="D92">
        <f t="shared" si="7"/>
        <v>7</v>
      </c>
      <c r="E92" s="25">
        <f t="shared" si="11"/>
        <v>8500000</v>
      </c>
      <c r="F92" s="22">
        <f t="shared" si="8"/>
        <v>272690.16761499998</v>
      </c>
      <c r="G92" s="22">
        <f t="shared" si="10"/>
        <v>24211703.116406552</v>
      </c>
      <c r="H92" s="27">
        <f t="shared" si="9"/>
        <v>616.59052015866098</v>
      </c>
    </row>
    <row r="93" spans="3:8" x14ac:dyDescent="0.15">
      <c r="C93">
        <f t="shared" si="6"/>
        <v>7</v>
      </c>
      <c r="D93">
        <f t="shared" si="7"/>
        <v>8</v>
      </c>
      <c r="E93" s="25">
        <f t="shared" si="11"/>
        <v>8500000</v>
      </c>
      <c r="F93" s="22">
        <f t="shared" si="8"/>
        <v>272690.16761499998</v>
      </c>
      <c r="G93" s="22">
        <f t="shared" si="10"/>
        <v>24554685.497338019</v>
      </c>
      <c r="H93" s="27">
        <f t="shared" si="9"/>
        <v>625.3251260493339</v>
      </c>
    </row>
    <row r="94" spans="3:8" x14ac:dyDescent="0.15">
      <c r="C94">
        <f t="shared" si="6"/>
        <v>7</v>
      </c>
      <c r="D94">
        <f t="shared" si="7"/>
        <v>9</v>
      </c>
      <c r="E94" s="25">
        <f t="shared" si="11"/>
        <v>8500000</v>
      </c>
      <c r="F94" s="22">
        <f t="shared" si="8"/>
        <v>272690.16761499998</v>
      </c>
      <c r="G94" s="22">
        <f t="shared" si="10"/>
        <v>24898652.545947567</v>
      </c>
      <c r="H94" s="27">
        <f t="shared" si="9"/>
        <v>634.08480810886999</v>
      </c>
    </row>
    <row r="95" spans="3:8" x14ac:dyDescent="0.15">
      <c r="C95">
        <f t="shared" si="6"/>
        <v>7</v>
      </c>
      <c r="D95">
        <f t="shared" si="7"/>
        <v>10</v>
      </c>
      <c r="E95" s="25">
        <f t="shared" si="11"/>
        <v>8500000</v>
      </c>
      <c r="F95" s="22">
        <f t="shared" si="8"/>
        <v>272690.16761499998</v>
      </c>
      <c r="G95" s="22">
        <f t="shared" si="10"/>
        <v>25243607.089116372</v>
      </c>
      <c r="H95" s="27">
        <f t="shared" si="9"/>
        <v>642.86963832841036</v>
      </c>
    </row>
    <row r="96" spans="3:8" x14ac:dyDescent="0.15">
      <c r="C96">
        <f t="shared" si="6"/>
        <v>7</v>
      </c>
      <c r="D96">
        <f t="shared" si="7"/>
        <v>11</v>
      </c>
      <c r="E96" s="25">
        <f t="shared" si="11"/>
        <v>8500000</v>
      </c>
      <c r="F96" s="22">
        <f t="shared" si="8"/>
        <v>272690.16761499998</v>
      </c>
      <c r="G96" s="22">
        <f t="shared" si="10"/>
        <v>25589551.9618413</v>
      </c>
      <c r="H96" s="27">
        <f t="shared" si="9"/>
        <v>651.67968890577527</v>
      </c>
    </row>
    <row r="97" spans="3:8" x14ac:dyDescent="0.15">
      <c r="C97">
        <f t="shared" ref="C97:C160" si="12">IF(MOD(D96,12)=0,C96+1,C96)</f>
        <v>7</v>
      </c>
      <c r="D97">
        <f t="shared" ref="D97:D160" si="13">IF(MOD(D96,12)=0,1,D96+1)</f>
        <v>12</v>
      </c>
      <c r="E97" s="25">
        <f t="shared" si="11"/>
        <v>8500000</v>
      </c>
      <c r="F97" s="22">
        <f t="shared" si="8"/>
        <v>272690.16761499998</v>
      </c>
      <c r="G97" s="22">
        <f t="shared" si="10"/>
        <v>25936490.007258207</v>
      </c>
      <c r="H97" s="27">
        <f t="shared" si="9"/>
        <v>660.51503224605779</v>
      </c>
    </row>
    <row r="98" spans="3:8" x14ac:dyDescent="0.15">
      <c r="C98">
        <f t="shared" si="12"/>
        <v>8</v>
      </c>
      <c r="D98">
        <f t="shared" si="13"/>
        <v>1</v>
      </c>
      <c r="E98" s="25">
        <f t="shared" si="11"/>
        <v>8500000</v>
      </c>
      <c r="F98" s="22">
        <f t="shared" si="8"/>
        <v>272690.16761499998</v>
      </c>
      <c r="G98" s="22">
        <f t="shared" si="10"/>
        <v>26284424.076665301</v>
      </c>
      <c r="H98" s="27">
        <f t="shared" si="9"/>
        <v>669.37574096221852</v>
      </c>
    </row>
    <row r="99" spans="3:8" x14ac:dyDescent="0.15">
      <c r="C99">
        <f t="shared" si="12"/>
        <v>8</v>
      </c>
      <c r="D99">
        <f t="shared" si="13"/>
        <v>2</v>
      </c>
      <c r="E99" s="25">
        <f t="shared" si="11"/>
        <v>8500000</v>
      </c>
      <c r="F99" s="22">
        <f t="shared" si="8"/>
        <v>272690.16761499998</v>
      </c>
      <c r="G99" s="22">
        <f t="shared" si="10"/>
        <v>26633357.029546577</v>
      </c>
      <c r="H99" s="27">
        <f t="shared" si="9"/>
        <v>678.26188787568253</v>
      </c>
    </row>
    <row r="100" spans="3:8" x14ac:dyDescent="0.15">
      <c r="C100">
        <f t="shared" si="12"/>
        <v>8</v>
      </c>
      <c r="D100">
        <f t="shared" si="13"/>
        <v>3</v>
      </c>
      <c r="E100" s="25">
        <f t="shared" si="11"/>
        <v>8500000</v>
      </c>
      <c r="F100" s="22">
        <f t="shared" si="8"/>
        <v>272690.16761499998</v>
      </c>
      <c r="G100" s="22">
        <f t="shared" si="10"/>
        <v>26983291.733595323</v>
      </c>
      <c r="H100" s="27">
        <f t="shared" si="9"/>
        <v>687.17354601693796</v>
      </c>
    </row>
    <row r="101" spans="3:8" x14ac:dyDescent="0.15">
      <c r="C101">
        <f t="shared" si="12"/>
        <v>8</v>
      </c>
      <c r="D101">
        <f t="shared" si="13"/>
        <v>4</v>
      </c>
      <c r="E101" s="25">
        <f t="shared" si="11"/>
        <v>8500000</v>
      </c>
      <c r="F101" s="22">
        <f t="shared" si="8"/>
        <v>272690.16761499998</v>
      </c>
      <c r="G101" s="22">
        <f t="shared" si="10"/>
        <v>27334231.064737685</v>
      </c>
      <c r="H101" s="27">
        <f t="shared" si="9"/>
        <v>696.11078862613601</v>
      </c>
    </row>
    <row r="102" spans="3:8" x14ac:dyDescent="0.15">
      <c r="C102">
        <f t="shared" si="12"/>
        <v>8</v>
      </c>
      <c r="D102">
        <f t="shared" si="13"/>
        <v>5</v>
      </c>
      <c r="E102" s="25">
        <f t="shared" si="11"/>
        <v>8500000</v>
      </c>
      <c r="F102" s="22">
        <f t="shared" si="8"/>
        <v>272690.16761499998</v>
      </c>
      <c r="G102" s="22">
        <f t="shared" si="10"/>
        <v>27686177.907156296</v>
      </c>
      <c r="H102" s="27">
        <f t="shared" si="9"/>
        <v>705.07368915369284</v>
      </c>
    </row>
    <row r="103" spans="3:8" x14ac:dyDescent="0.15">
      <c r="C103">
        <f t="shared" si="12"/>
        <v>8</v>
      </c>
      <c r="D103">
        <f t="shared" si="13"/>
        <v>6</v>
      </c>
      <c r="E103" s="25">
        <f t="shared" si="11"/>
        <v>8500000</v>
      </c>
      <c r="F103" s="22">
        <f t="shared" si="8"/>
        <v>272690.16761499998</v>
      </c>
      <c r="G103" s="22">
        <f t="shared" si="10"/>
        <v>28039135.153313991</v>
      </c>
      <c r="H103" s="27">
        <f t="shared" si="9"/>
        <v>714.06232126089344</v>
      </c>
    </row>
    <row r="104" spans="3:8" x14ac:dyDescent="0.15">
      <c r="C104">
        <f t="shared" si="12"/>
        <v>8</v>
      </c>
      <c r="D104">
        <f t="shared" si="13"/>
        <v>7</v>
      </c>
      <c r="E104" s="25">
        <f t="shared" si="11"/>
        <v>8500000</v>
      </c>
      <c r="F104" s="22">
        <f t="shared" si="8"/>
        <v>272690.16761499998</v>
      </c>
      <c r="G104" s="22">
        <f t="shared" si="10"/>
        <v>28393105.703977566</v>
      </c>
      <c r="H104" s="27">
        <f t="shared" si="9"/>
        <v>723.07675882049682</v>
      </c>
    </row>
    <row r="105" spans="3:8" x14ac:dyDescent="0.15">
      <c r="C105">
        <f t="shared" si="12"/>
        <v>8</v>
      </c>
      <c r="D105">
        <f t="shared" si="13"/>
        <v>8</v>
      </c>
      <c r="E105" s="25">
        <f t="shared" si="11"/>
        <v>8500000</v>
      </c>
      <c r="F105" s="22">
        <f t="shared" si="8"/>
        <v>272690.16761499998</v>
      </c>
      <c r="G105" s="22">
        <f t="shared" si="10"/>
        <v>28748092.468241636</v>
      </c>
      <c r="H105" s="27">
        <f t="shared" si="9"/>
        <v>732.11707591734341</v>
      </c>
    </row>
    <row r="106" spans="3:8" x14ac:dyDescent="0.15">
      <c r="C106">
        <f t="shared" si="12"/>
        <v>8</v>
      </c>
      <c r="D106">
        <f t="shared" si="13"/>
        <v>9</v>
      </c>
      <c r="E106" s="25">
        <f t="shared" si="11"/>
        <v>8500000</v>
      </c>
      <c r="F106" s="22">
        <f t="shared" si="8"/>
        <v>272690.16761499998</v>
      </c>
      <c r="G106" s="22">
        <f t="shared" si="10"/>
        <v>29104098.363552518</v>
      </c>
      <c r="H106" s="27">
        <f t="shared" si="9"/>
        <v>741.1833468489632</v>
      </c>
    </row>
    <row r="107" spans="3:8" x14ac:dyDescent="0.15">
      <c r="C107">
        <f t="shared" si="12"/>
        <v>8</v>
      </c>
      <c r="D107">
        <f t="shared" si="13"/>
        <v>10</v>
      </c>
      <c r="E107" s="25">
        <f t="shared" si="11"/>
        <v>8500000</v>
      </c>
      <c r="F107" s="22">
        <f t="shared" si="8"/>
        <v>272690.16761499998</v>
      </c>
      <c r="G107" s="22">
        <f t="shared" si="10"/>
        <v>29461126.315732233</v>
      </c>
      <c r="H107" s="27">
        <f t="shared" si="9"/>
        <v>750.27564612618755</v>
      </c>
    </row>
    <row r="108" spans="3:8" x14ac:dyDescent="0.15">
      <c r="C108">
        <f t="shared" si="12"/>
        <v>8</v>
      </c>
      <c r="D108">
        <f t="shared" si="13"/>
        <v>11</v>
      </c>
      <c r="E108" s="25">
        <f t="shared" si="11"/>
        <v>8500000</v>
      </c>
      <c r="F108" s="22">
        <f t="shared" si="8"/>
        <v>272690.16761499998</v>
      </c>
      <c r="G108" s="22">
        <f t="shared" si="10"/>
        <v>29819179.259002537</v>
      </c>
      <c r="H108" s="27">
        <f t="shared" si="9"/>
        <v>759.39404847376022</v>
      </c>
    </row>
    <row r="109" spans="3:8" x14ac:dyDescent="0.15">
      <c r="C109">
        <f t="shared" si="12"/>
        <v>8</v>
      </c>
      <c r="D109">
        <f t="shared" si="13"/>
        <v>12</v>
      </c>
      <c r="E109" s="25">
        <f t="shared" si="11"/>
        <v>8500000</v>
      </c>
      <c r="F109" s="22">
        <f t="shared" si="8"/>
        <v>272690.16761499998</v>
      </c>
      <c r="G109" s="22">
        <f t="shared" si="10"/>
        <v>30178260.136009034</v>
      </c>
      <c r="H109" s="27">
        <f t="shared" si="9"/>
        <v>768.53862883095258</v>
      </c>
    </row>
    <row r="110" spans="3:8" x14ac:dyDescent="0.15">
      <c r="C110">
        <f t="shared" si="12"/>
        <v>9</v>
      </c>
      <c r="D110">
        <f t="shared" si="13"/>
        <v>1</v>
      </c>
      <c r="E110" s="25">
        <f t="shared" si="11"/>
        <v>8500000</v>
      </c>
      <c r="F110" s="22">
        <f t="shared" si="8"/>
        <v>272690.16761499998</v>
      </c>
      <c r="G110" s="22">
        <f t="shared" si="10"/>
        <v>30538371.897845376</v>
      </c>
      <c r="H110" s="27">
        <f t="shared" si="9"/>
        <v>777.709462352179</v>
      </c>
    </row>
    <row r="111" spans="3:8" x14ac:dyDescent="0.15">
      <c r="C111">
        <f t="shared" si="12"/>
        <v>9</v>
      </c>
      <c r="D111">
        <f t="shared" si="13"/>
        <v>2</v>
      </c>
      <c r="E111" s="25">
        <f t="shared" si="11"/>
        <v>8500000</v>
      </c>
      <c r="F111" s="22">
        <f t="shared" si="8"/>
        <v>272690.16761499998</v>
      </c>
      <c r="G111" s="22">
        <f t="shared" si="10"/>
        <v>30899517.504077498</v>
      </c>
      <c r="H111" s="27">
        <f t="shared" si="9"/>
        <v>786.90662440761423</v>
      </c>
    </row>
    <row r="112" spans="3:8" x14ac:dyDescent="0.15">
      <c r="C112">
        <f t="shared" si="12"/>
        <v>9</v>
      </c>
      <c r="D112">
        <f t="shared" si="13"/>
        <v>3</v>
      </c>
      <c r="E112" s="25">
        <f t="shared" si="11"/>
        <v>8500000</v>
      </c>
      <c r="F112" s="22">
        <f t="shared" si="8"/>
        <v>272690.16761499998</v>
      </c>
      <c r="G112" s="22">
        <f t="shared" si="10"/>
        <v>31261699.922767952</v>
      </c>
      <c r="H112" s="27">
        <f t="shared" si="9"/>
        <v>796.13019058381371</v>
      </c>
    </row>
    <row r="113" spans="3:8" x14ac:dyDescent="0.15">
      <c r="C113">
        <f t="shared" si="12"/>
        <v>9</v>
      </c>
      <c r="D113">
        <f t="shared" si="13"/>
        <v>4</v>
      </c>
      <c r="E113" s="25">
        <f t="shared" si="11"/>
        <v>8500000</v>
      </c>
      <c r="F113" s="22">
        <f t="shared" si="8"/>
        <v>272690.16761499998</v>
      </c>
      <c r="G113" s="22">
        <f t="shared" si="10"/>
        <v>31624922.130500294</v>
      </c>
      <c r="H113" s="27">
        <f t="shared" si="9"/>
        <v>805.38023668433357</v>
      </c>
    </row>
    <row r="114" spans="3:8" x14ac:dyDescent="0.15">
      <c r="C114">
        <f t="shared" si="12"/>
        <v>9</v>
      </c>
      <c r="D114">
        <f t="shared" si="13"/>
        <v>5</v>
      </c>
      <c r="E114" s="25">
        <f t="shared" si="11"/>
        <v>8500000</v>
      </c>
      <c r="F114" s="22">
        <f t="shared" si="8"/>
        <v>272690.16761499998</v>
      </c>
      <c r="G114" s="22">
        <f t="shared" si="10"/>
        <v>31989187.112403557</v>
      </c>
      <c r="H114" s="27">
        <f t="shared" si="9"/>
        <v>814.65683873035493</v>
      </c>
    </row>
    <row r="115" spans="3:8" x14ac:dyDescent="0.15">
      <c r="C115">
        <f t="shared" si="12"/>
        <v>9</v>
      </c>
      <c r="D115">
        <f t="shared" si="13"/>
        <v>6</v>
      </c>
      <c r="E115" s="25">
        <f t="shared" si="11"/>
        <v>8500000</v>
      </c>
      <c r="F115" s="22">
        <f t="shared" si="8"/>
        <v>272690.16761499998</v>
      </c>
      <c r="G115" s="22">
        <f t="shared" si="10"/>
        <v>32354497.862176768</v>
      </c>
      <c r="H115" s="27">
        <f t="shared" si="9"/>
        <v>823.96007296130745</v>
      </c>
    </row>
    <row r="116" spans="3:8" x14ac:dyDescent="0.15">
      <c r="C116">
        <f t="shared" si="12"/>
        <v>9</v>
      </c>
      <c r="D116">
        <f t="shared" si="13"/>
        <v>7</v>
      </c>
      <c r="E116" s="25">
        <f t="shared" si="11"/>
        <v>8500000</v>
      </c>
      <c r="F116" s="22">
        <f t="shared" si="8"/>
        <v>272690.16761499998</v>
      </c>
      <c r="G116" s="22">
        <f t="shared" si="10"/>
        <v>32720857.382113572</v>
      </c>
      <c r="H116" s="27">
        <f t="shared" si="9"/>
        <v>833.29001583549712</v>
      </c>
    </row>
    <row r="117" spans="3:8" x14ac:dyDescent="0.15">
      <c r="C117">
        <f t="shared" si="12"/>
        <v>9</v>
      </c>
      <c r="D117">
        <f t="shared" si="13"/>
        <v>8</v>
      </c>
      <c r="E117" s="25">
        <f t="shared" si="11"/>
        <v>8500000</v>
      </c>
      <c r="F117" s="22">
        <f t="shared" si="8"/>
        <v>272690.16761499998</v>
      </c>
      <c r="G117" s="22">
        <f t="shared" si="10"/>
        <v>33088268.683126882</v>
      </c>
      <c r="H117" s="27">
        <f t="shared" si="9"/>
        <v>842.6467440307332</v>
      </c>
    </row>
    <row r="118" spans="3:8" x14ac:dyDescent="0.15">
      <c r="C118">
        <f t="shared" si="12"/>
        <v>9</v>
      </c>
      <c r="D118">
        <f t="shared" si="13"/>
        <v>9</v>
      </c>
      <c r="E118" s="25">
        <f t="shared" si="11"/>
        <v>8500000</v>
      </c>
      <c r="F118" s="22">
        <f t="shared" si="8"/>
        <v>272690.16761499998</v>
      </c>
      <c r="G118" s="22">
        <f t="shared" si="10"/>
        <v>33456734.784773644</v>
      </c>
      <c r="H118" s="27">
        <f t="shared" si="9"/>
        <v>852.03033444495975</v>
      </c>
    </row>
    <row r="119" spans="3:8" x14ac:dyDescent="0.15">
      <c r="C119">
        <f t="shared" si="12"/>
        <v>9</v>
      </c>
      <c r="D119">
        <f t="shared" si="13"/>
        <v>10</v>
      </c>
      <c r="E119" s="25">
        <f t="shared" si="11"/>
        <v>8500000</v>
      </c>
      <c r="F119" s="22">
        <f t="shared" si="8"/>
        <v>272690.16761499998</v>
      </c>
      <c r="G119" s="22">
        <f t="shared" si="10"/>
        <v>33826258.715279646</v>
      </c>
      <c r="H119" s="27">
        <f t="shared" si="9"/>
        <v>861.44086419688676</v>
      </c>
    </row>
    <row r="120" spans="3:8" x14ac:dyDescent="0.15">
      <c r="C120">
        <f t="shared" si="12"/>
        <v>9</v>
      </c>
      <c r="D120">
        <f t="shared" si="13"/>
        <v>11</v>
      </c>
      <c r="E120" s="25">
        <f t="shared" si="11"/>
        <v>8500000</v>
      </c>
      <c r="F120" s="22">
        <f t="shared" si="8"/>
        <v>272690.16761499998</v>
      </c>
      <c r="G120" s="22">
        <f t="shared" si="10"/>
        <v>34196843.511564404</v>
      </c>
      <c r="H120" s="27">
        <f t="shared" si="9"/>
        <v>870.87841062662437</v>
      </c>
    </row>
    <row r="121" spans="3:8" x14ac:dyDescent="0.15">
      <c r="C121">
        <f t="shared" si="12"/>
        <v>9</v>
      </c>
      <c r="D121">
        <f t="shared" si="13"/>
        <v>12</v>
      </c>
      <c r="E121" s="25">
        <f t="shared" si="11"/>
        <v>8500000</v>
      </c>
      <c r="F121" s="22">
        <f t="shared" si="8"/>
        <v>272690.16761499998</v>
      </c>
      <c r="G121" s="22">
        <f t="shared" si="10"/>
        <v>34568492.219266124</v>
      </c>
      <c r="H121" s="27">
        <f t="shared" si="9"/>
        <v>880.34305129631832</v>
      </c>
    </row>
    <row r="122" spans="3:8" x14ac:dyDescent="0.15">
      <c r="C122">
        <f t="shared" si="12"/>
        <v>10</v>
      </c>
      <c r="D122">
        <f t="shared" si="13"/>
        <v>1</v>
      </c>
      <c r="E122" s="25">
        <f t="shared" si="11"/>
        <v>8500000</v>
      </c>
      <c r="F122" s="22">
        <f t="shared" si="8"/>
        <v>272690.16761499998</v>
      </c>
      <c r="G122" s="22">
        <f t="shared" si="10"/>
        <v>34941207.892766736</v>
      </c>
      <c r="H122" s="27">
        <f t="shared" si="9"/>
        <v>889.83486399078765</v>
      </c>
    </row>
    <row r="123" spans="3:8" x14ac:dyDescent="0.15">
      <c r="C123">
        <f t="shared" si="12"/>
        <v>10</v>
      </c>
      <c r="D123">
        <f t="shared" si="13"/>
        <v>2</v>
      </c>
      <c r="E123" s="25">
        <f t="shared" si="11"/>
        <v>8500000</v>
      </c>
      <c r="F123" s="22">
        <f t="shared" si="8"/>
        <v>272690.16761499998</v>
      </c>
      <c r="G123" s="22">
        <f t="shared" si="10"/>
        <v>35314993.595216975</v>
      </c>
      <c r="H123" s="27">
        <f t="shared" si="9"/>
        <v>899.35392671816294</v>
      </c>
    </row>
    <row r="124" spans="3:8" x14ac:dyDescent="0.15">
      <c r="C124">
        <f t="shared" si="12"/>
        <v>10</v>
      </c>
      <c r="D124">
        <f t="shared" si="13"/>
        <v>3</v>
      </c>
      <c r="E124" s="25">
        <f t="shared" si="11"/>
        <v>8500000</v>
      </c>
      <c r="F124" s="22">
        <f t="shared" si="8"/>
        <v>272690.16761499998</v>
      </c>
      <c r="G124" s="22">
        <f t="shared" si="10"/>
        <v>35689852.398561589</v>
      </c>
      <c r="H124" s="27">
        <f t="shared" si="9"/>
        <v>908.90031771052918</v>
      </c>
    </row>
    <row r="125" spans="3:8" x14ac:dyDescent="0.15">
      <c r="C125">
        <f t="shared" si="12"/>
        <v>10</v>
      </c>
      <c r="D125">
        <f t="shared" si="13"/>
        <v>4</v>
      </c>
      <c r="E125" s="25">
        <f t="shared" si="11"/>
        <v>8500000</v>
      </c>
      <c r="F125" s="22">
        <f t="shared" si="8"/>
        <v>272690.16761499998</v>
      </c>
      <c r="G125" s="22">
        <f t="shared" si="10"/>
        <v>36065787.383564562</v>
      </c>
      <c r="H125" s="27">
        <f t="shared" si="9"/>
        <v>918.47411542456723</v>
      </c>
    </row>
    <row r="126" spans="3:8" x14ac:dyDescent="0.15">
      <c r="C126">
        <f t="shared" si="12"/>
        <v>10</v>
      </c>
      <c r="D126">
        <f t="shared" si="13"/>
        <v>5</v>
      </c>
      <c r="E126" s="25">
        <f t="shared" si="11"/>
        <v>8500000</v>
      </c>
      <c r="F126" s="22">
        <f t="shared" si="8"/>
        <v>272690.16761499998</v>
      </c>
      <c r="G126" s="22">
        <f t="shared" si="10"/>
        <v>36442801.639834434</v>
      </c>
      <c r="H126" s="27">
        <f t="shared" si="9"/>
        <v>928.0753985421992</v>
      </c>
    </row>
    <row r="127" spans="3:8" x14ac:dyDescent="0.15">
      <c r="C127">
        <f t="shared" si="12"/>
        <v>10</v>
      </c>
      <c r="D127">
        <f t="shared" si="13"/>
        <v>6</v>
      </c>
      <c r="E127" s="25">
        <f t="shared" si="11"/>
        <v>8500000</v>
      </c>
      <c r="F127" s="22">
        <f t="shared" si="8"/>
        <v>272690.16761499998</v>
      </c>
      <c r="G127" s="22">
        <f t="shared" si="10"/>
        <v>36820898.265849702</v>
      </c>
      <c r="H127" s="27">
        <f t="shared" si="9"/>
        <v>937.70424597123497</v>
      </c>
    </row>
    <row r="128" spans="3:8" x14ac:dyDescent="0.15">
      <c r="C128">
        <f t="shared" si="12"/>
        <v>10</v>
      </c>
      <c r="D128">
        <f t="shared" si="13"/>
        <v>7</v>
      </c>
      <c r="E128" s="25">
        <f t="shared" si="11"/>
        <v>8500000</v>
      </c>
      <c r="F128" s="22">
        <f t="shared" si="8"/>
        <v>272690.16761499998</v>
      </c>
      <c r="G128" s="22">
        <f t="shared" si="10"/>
        <v>37200080.368984289</v>
      </c>
      <c r="H128" s="27">
        <f t="shared" si="9"/>
        <v>947.36073684602115</v>
      </c>
    </row>
    <row r="129" spans="3:8" x14ac:dyDescent="0.15">
      <c r="C129">
        <f t="shared" si="12"/>
        <v>10</v>
      </c>
      <c r="D129">
        <f t="shared" si="13"/>
        <v>8</v>
      </c>
      <c r="E129" s="25">
        <f t="shared" si="11"/>
        <v>8500000</v>
      </c>
      <c r="F129" s="22">
        <f t="shared" si="8"/>
        <v>272690.16761499998</v>
      </c>
      <c r="G129" s="22">
        <f t="shared" si="10"/>
        <v>37580351.065533064</v>
      </c>
      <c r="H129" s="27">
        <f t="shared" si="9"/>
        <v>957.04495052809045</v>
      </c>
    </row>
    <row r="130" spans="3:8" x14ac:dyDescent="0.15">
      <c r="C130">
        <f t="shared" si="12"/>
        <v>10</v>
      </c>
      <c r="D130">
        <f t="shared" si="13"/>
        <v>9</v>
      </c>
      <c r="E130" s="25">
        <f t="shared" si="11"/>
        <v>8500000</v>
      </c>
      <c r="F130" s="22">
        <f t="shared" si="8"/>
        <v>272690.16761499998</v>
      </c>
      <c r="G130" s="22">
        <f t="shared" si="10"/>
        <v>37961713.480737463</v>
      </c>
      <c r="H130" s="27">
        <f t="shared" si="9"/>
        <v>966.7569666068149</v>
      </c>
    </row>
    <row r="131" spans="3:8" x14ac:dyDescent="0.15">
      <c r="C131">
        <f t="shared" si="12"/>
        <v>10</v>
      </c>
      <c r="D131">
        <f t="shared" si="13"/>
        <v>10</v>
      </c>
      <c r="E131" s="25">
        <f t="shared" si="11"/>
        <v>8500000</v>
      </c>
      <c r="F131" s="22">
        <f t="shared" si="8"/>
        <v>272690.16761499998</v>
      </c>
      <c r="G131" s="22">
        <f t="shared" si="10"/>
        <v>38344170.74881117</v>
      </c>
      <c r="H131" s="27">
        <f t="shared" si="9"/>
        <v>976.49686490005934</v>
      </c>
    </row>
    <row r="132" spans="3:8" x14ac:dyDescent="0.15">
      <c r="C132">
        <f t="shared" si="12"/>
        <v>10</v>
      </c>
      <c r="D132">
        <f t="shared" si="13"/>
        <v>11</v>
      </c>
      <c r="E132" s="25">
        <f t="shared" si="11"/>
        <v>8500000</v>
      </c>
      <c r="F132" s="22">
        <f t="shared" si="8"/>
        <v>272690.16761499998</v>
      </c>
      <c r="G132" s="22">
        <f t="shared" si="10"/>
        <v>38727726.012965895</v>
      </c>
      <c r="H132" s="27">
        <f t="shared" si="9"/>
        <v>986.26472545483773</v>
      </c>
    </row>
    <row r="133" spans="3:8" x14ac:dyDescent="0.15">
      <c r="C133">
        <f t="shared" si="12"/>
        <v>10</v>
      </c>
      <c r="D133">
        <f t="shared" si="13"/>
        <v>12</v>
      </c>
      <c r="E133" s="25">
        <f t="shared" si="11"/>
        <v>8500000</v>
      </c>
      <c r="F133" s="22">
        <f t="shared" si="8"/>
        <v>272690.16761499998</v>
      </c>
      <c r="G133" s="22">
        <f t="shared" si="10"/>
        <v>39112382.425437175</v>
      </c>
      <c r="H133" s="27">
        <f t="shared" si="9"/>
        <v>996.06062854797096</v>
      </c>
    </row>
    <row r="134" spans="3:8" x14ac:dyDescent="0.15">
      <c r="C134">
        <f t="shared" si="12"/>
        <v>11</v>
      </c>
      <c r="D134">
        <f t="shared" si="13"/>
        <v>1</v>
      </c>
      <c r="E134" s="25">
        <f t="shared" si="11"/>
        <v>8500000</v>
      </c>
      <c r="F134" s="22">
        <f t="shared" si="8"/>
        <v>272690.16761499998</v>
      </c>
      <c r="G134" s="22">
        <f t="shared" si="10"/>
        <v>39498143.147510305</v>
      </c>
      <c r="H134" s="27">
        <f t="shared" si="9"/>
        <v>1005.8846546867466</v>
      </c>
    </row>
    <row r="135" spans="3:8" x14ac:dyDescent="0.15">
      <c r="C135">
        <f t="shared" si="12"/>
        <v>11</v>
      </c>
      <c r="D135">
        <f t="shared" si="13"/>
        <v>2</v>
      </c>
      <c r="E135" s="25">
        <f t="shared" si="11"/>
        <v>8500000</v>
      </c>
      <c r="F135" s="22">
        <f t="shared" si="8"/>
        <v>272690.16761499998</v>
      </c>
      <c r="G135" s="22">
        <f t="shared" si="10"/>
        <v>39885011.349546306</v>
      </c>
      <c r="H135" s="27">
        <f t="shared" si="9"/>
        <v>1015.7368846095801</v>
      </c>
    </row>
    <row r="136" spans="3:8" x14ac:dyDescent="0.15">
      <c r="C136">
        <f t="shared" si="12"/>
        <v>11</v>
      </c>
      <c r="D136">
        <f t="shared" si="13"/>
        <v>3</v>
      </c>
      <c r="E136" s="25">
        <f t="shared" si="11"/>
        <v>8500000</v>
      </c>
      <c r="F136" s="22">
        <f t="shared" si="8"/>
        <v>272690.16761499998</v>
      </c>
      <c r="G136" s="22">
        <f t="shared" si="10"/>
        <v>40272990.211007982</v>
      </c>
      <c r="H136" s="27">
        <f t="shared" si="9"/>
        <v>1025.6173992866793</v>
      </c>
    </row>
    <row r="137" spans="3:8" x14ac:dyDescent="0.15">
      <c r="C137">
        <f t="shared" si="12"/>
        <v>11</v>
      </c>
      <c r="D137">
        <f t="shared" si="13"/>
        <v>4</v>
      </c>
      <c r="E137" s="25">
        <f t="shared" si="11"/>
        <v>8500000</v>
      </c>
      <c r="F137" s="22">
        <f t="shared" si="8"/>
        <v>272690.16761499998</v>
      </c>
      <c r="G137" s="22">
        <f t="shared" si="10"/>
        <v>40662082.920486055</v>
      </c>
      <c r="H137" s="27">
        <f t="shared" si="9"/>
        <v>1035.5262799207085</v>
      </c>
    </row>
    <row r="138" spans="3:8" x14ac:dyDescent="0.15">
      <c r="C138">
        <f t="shared" si="12"/>
        <v>11</v>
      </c>
      <c r="D138">
        <f t="shared" si="13"/>
        <v>5</v>
      </c>
      <c r="E138" s="25">
        <f t="shared" si="11"/>
        <v>8500000</v>
      </c>
      <c r="F138" s="22">
        <f t="shared" si="8"/>
        <v>272690.16761499998</v>
      </c>
      <c r="G138" s="22">
        <f t="shared" si="10"/>
        <v>41052292.675725371</v>
      </c>
      <c r="H138" s="27">
        <f t="shared" si="9"/>
        <v>1045.4636079474576</v>
      </c>
    </row>
    <row r="139" spans="3:8" x14ac:dyDescent="0.15">
      <c r="C139">
        <f t="shared" si="12"/>
        <v>11</v>
      </c>
      <c r="D139">
        <f t="shared" si="13"/>
        <v>6</v>
      </c>
      <c r="E139" s="25">
        <f t="shared" si="11"/>
        <v>8500000</v>
      </c>
      <c r="F139" s="22">
        <f t="shared" si="8"/>
        <v>272690.16761499998</v>
      </c>
      <c r="G139" s="22">
        <f t="shared" si="10"/>
        <v>41443622.683651179</v>
      </c>
      <c r="H139" s="27">
        <f t="shared" si="9"/>
        <v>1055.4294650365098</v>
      </c>
    </row>
    <row r="140" spans="3:8" x14ac:dyDescent="0.15">
      <c r="C140">
        <f t="shared" si="12"/>
        <v>11</v>
      </c>
      <c r="D140">
        <f t="shared" si="13"/>
        <v>7</v>
      </c>
      <c r="E140" s="25">
        <f t="shared" si="11"/>
        <v>8500000</v>
      </c>
      <c r="F140" s="22">
        <f t="shared" si="8"/>
        <v>272690.16761499998</v>
      </c>
      <c r="G140" s="22">
        <f t="shared" si="10"/>
        <v>41836076.160395473</v>
      </c>
      <c r="H140" s="27">
        <f t="shared" si="9"/>
        <v>1065.4239330919133</v>
      </c>
    </row>
    <row r="141" spans="3:8" x14ac:dyDescent="0.15">
      <c r="C141">
        <f t="shared" si="12"/>
        <v>11</v>
      </c>
      <c r="D141">
        <f t="shared" si="13"/>
        <v>8</v>
      </c>
      <c r="E141" s="25">
        <f t="shared" si="11"/>
        <v>8500000</v>
      </c>
      <c r="F141" s="22">
        <f t="shared" si="8"/>
        <v>272690.16761499998</v>
      </c>
      <c r="G141" s="22">
        <f t="shared" si="10"/>
        <v>42229656.331323452</v>
      </c>
      <c r="H141" s="27">
        <f t="shared" si="9"/>
        <v>1075.4470942528549</v>
      </c>
    </row>
    <row r="142" spans="3:8" x14ac:dyDescent="0.15">
      <c r="C142">
        <f t="shared" si="12"/>
        <v>11</v>
      </c>
      <c r="D142">
        <f t="shared" si="13"/>
        <v>9</v>
      </c>
      <c r="E142" s="25">
        <f t="shared" si="11"/>
        <v>8500000</v>
      </c>
      <c r="F142" s="22">
        <f t="shared" si="8"/>
        <v>272690.16761499998</v>
      </c>
      <c r="G142" s="22">
        <f t="shared" si="10"/>
        <v>42624366.431060001</v>
      </c>
      <c r="H142" s="27">
        <f t="shared" si="9"/>
        <v>1085.4990308943347</v>
      </c>
    </row>
    <row r="143" spans="3:8" x14ac:dyDescent="0.15">
      <c r="C143">
        <f t="shared" si="12"/>
        <v>11</v>
      </c>
      <c r="D143">
        <f t="shared" si="13"/>
        <v>10</v>
      </c>
      <c r="E143" s="25">
        <f t="shared" si="11"/>
        <v>8500000</v>
      </c>
      <c r="F143" s="22">
        <f t="shared" ref="F143:F206" si="14">IF(E143/$D$3&lt;$D$2*(1+$D$11)^(C143-1),0.1*E143,0.1*$D$2*$D$3*(1+$D$11)^(C143-1))*(1-$D$9)</f>
        <v>272690.16761499998</v>
      </c>
      <c r="G143" s="22">
        <f t="shared" si="10"/>
        <v>43020209.70351629</v>
      </c>
      <c r="H143" s="27">
        <f t="shared" ref="H143:H206" si="15">G143/$D$3</f>
        <v>1095.5798256278426</v>
      </c>
    </row>
    <row r="144" spans="3:8" x14ac:dyDescent="0.15">
      <c r="C144">
        <f t="shared" si="12"/>
        <v>11</v>
      </c>
      <c r="D144">
        <f t="shared" si="13"/>
        <v>11</v>
      </c>
      <c r="E144" s="25">
        <f t="shared" si="11"/>
        <v>8500000</v>
      </c>
      <c r="F144" s="22">
        <f t="shared" si="14"/>
        <v>272690.16761499998</v>
      </c>
      <c r="G144" s="22">
        <f t="shared" ref="G144:G207" si="16">(F144+G143)*(1+$D$5)</f>
        <v>43417189.401916429</v>
      </c>
      <c r="H144" s="27">
        <f t="shared" si="15"/>
        <v>1105.6895613020383</v>
      </c>
    </row>
    <row r="145" spans="3:8" x14ac:dyDescent="0.15">
      <c r="C145">
        <f t="shared" si="12"/>
        <v>11</v>
      </c>
      <c r="D145">
        <f t="shared" si="13"/>
        <v>12</v>
      </c>
      <c r="E145" s="25">
        <f t="shared" ref="E145:E208" si="17">E144</f>
        <v>8500000</v>
      </c>
      <c r="F145" s="22">
        <f t="shared" si="14"/>
        <v>272690.16761499998</v>
      </c>
      <c r="G145" s="22">
        <f t="shared" si="16"/>
        <v>43815308.788824208</v>
      </c>
      <c r="H145" s="27">
        <f t="shared" si="15"/>
        <v>1115.8283210034313</v>
      </c>
    </row>
    <row r="146" spans="3:8" x14ac:dyDescent="0.15">
      <c r="C146">
        <f t="shared" si="12"/>
        <v>12</v>
      </c>
      <c r="D146">
        <f t="shared" si="13"/>
        <v>1</v>
      </c>
      <c r="E146" s="25">
        <f t="shared" si="17"/>
        <v>8500000</v>
      </c>
      <c r="F146" s="22">
        <f t="shared" si="14"/>
        <v>272690.16761499998</v>
      </c>
      <c r="G146" s="22">
        <f t="shared" si="16"/>
        <v>44214571.136169896</v>
      </c>
      <c r="H146" s="27">
        <f t="shared" si="15"/>
        <v>1125.996188057064</v>
      </c>
    </row>
    <row r="147" spans="3:8" x14ac:dyDescent="0.15">
      <c r="C147">
        <f t="shared" si="12"/>
        <v>12</v>
      </c>
      <c r="D147">
        <f t="shared" si="13"/>
        <v>2</v>
      </c>
      <c r="E147" s="25">
        <f t="shared" si="17"/>
        <v>8500000</v>
      </c>
      <c r="F147" s="22">
        <f t="shared" si="14"/>
        <v>272690.16761499998</v>
      </c>
      <c r="G147" s="22">
        <f t="shared" si="16"/>
        <v>44614979.725277156</v>
      </c>
      <c r="H147" s="27">
        <f t="shared" si="15"/>
        <v>1136.1932460271967</v>
      </c>
    </row>
    <row r="148" spans="3:8" x14ac:dyDescent="0.15">
      <c r="C148">
        <f t="shared" si="12"/>
        <v>12</v>
      </c>
      <c r="D148">
        <f t="shared" si="13"/>
        <v>3</v>
      </c>
      <c r="E148" s="25">
        <f t="shared" si="17"/>
        <v>8500000</v>
      </c>
      <c r="F148" s="22">
        <f t="shared" si="14"/>
        <v>272690.16761499998</v>
      </c>
      <c r="G148" s="22">
        <f t="shared" si="16"/>
        <v>45016537.846889988</v>
      </c>
      <c r="H148" s="27">
        <f t="shared" si="15"/>
        <v>1146.4195787179942</v>
      </c>
    </row>
    <row r="149" spans="3:8" x14ac:dyDescent="0.15">
      <c r="C149">
        <f t="shared" si="12"/>
        <v>12</v>
      </c>
      <c r="D149">
        <f t="shared" si="13"/>
        <v>4</v>
      </c>
      <c r="E149" s="25">
        <f t="shared" si="17"/>
        <v>8500000</v>
      </c>
      <c r="F149" s="22">
        <f t="shared" si="14"/>
        <v>272690.16761499998</v>
      </c>
      <c r="G149" s="22">
        <f t="shared" si="16"/>
        <v>45419248.801199794</v>
      </c>
      <c r="H149" s="27">
        <f t="shared" si="15"/>
        <v>1156.6752701742146</v>
      </c>
    </row>
    <row r="150" spans="3:8" x14ac:dyDescent="0.15">
      <c r="C150">
        <f t="shared" si="12"/>
        <v>12</v>
      </c>
      <c r="D150">
        <f t="shared" si="13"/>
        <v>5</v>
      </c>
      <c r="E150" s="25">
        <f t="shared" si="17"/>
        <v>8500000</v>
      </c>
      <c r="F150" s="22">
        <f t="shared" si="14"/>
        <v>272690.16761499998</v>
      </c>
      <c r="G150" s="22">
        <f t="shared" si="16"/>
        <v>45823115.897872485</v>
      </c>
      <c r="H150" s="27">
        <f t="shared" si="15"/>
        <v>1166.9604046818997</v>
      </c>
    </row>
    <row r="151" spans="3:8" x14ac:dyDescent="0.15">
      <c r="C151">
        <f t="shared" si="12"/>
        <v>12</v>
      </c>
      <c r="D151">
        <f t="shared" si="13"/>
        <v>6</v>
      </c>
      <c r="E151" s="25">
        <f t="shared" si="17"/>
        <v>8500000</v>
      </c>
      <c r="F151" s="22">
        <f t="shared" si="14"/>
        <v>272690.16761499998</v>
      </c>
      <c r="G151" s="22">
        <f t="shared" si="16"/>
        <v>46228142.456075698</v>
      </c>
      <c r="H151" s="27">
        <f t="shared" si="15"/>
        <v>1177.2750667690689</v>
      </c>
    </row>
    <row r="152" spans="3:8" x14ac:dyDescent="0.15">
      <c r="C152">
        <f t="shared" si="12"/>
        <v>12</v>
      </c>
      <c r="D152">
        <f t="shared" si="13"/>
        <v>7</v>
      </c>
      <c r="E152" s="25">
        <f t="shared" si="17"/>
        <v>8500000</v>
      </c>
      <c r="F152" s="22">
        <f t="shared" si="14"/>
        <v>272690.16761499998</v>
      </c>
      <c r="G152" s="22">
        <f t="shared" si="16"/>
        <v>46634331.804506049</v>
      </c>
      <c r="H152" s="27">
        <f t="shared" si="15"/>
        <v>1187.6193412064115</v>
      </c>
    </row>
    <row r="153" spans="3:8" x14ac:dyDescent="0.15">
      <c r="C153">
        <f t="shared" si="12"/>
        <v>12</v>
      </c>
      <c r="D153">
        <f t="shared" si="13"/>
        <v>8</v>
      </c>
      <c r="E153" s="25">
        <f t="shared" si="17"/>
        <v>8500000</v>
      </c>
      <c r="F153" s="22">
        <f t="shared" si="14"/>
        <v>272690.16761499998</v>
      </c>
      <c r="G153" s="22">
        <f t="shared" si="16"/>
        <v>47041687.281416506</v>
      </c>
      <c r="H153" s="27">
        <f t="shared" si="15"/>
        <v>1197.9933130079862</v>
      </c>
    </row>
    <row r="154" spans="3:8" x14ac:dyDescent="0.15">
      <c r="C154">
        <f t="shared" si="12"/>
        <v>12</v>
      </c>
      <c r="D154">
        <f t="shared" si="13"/>
        <v>9</v>
      </c>
      <c r="E154" s="25">
        <f t="shared" si="17"/>
        <v>8500000</v>
      </c>
      <c r="F154" s="22">
        <f t="shared" si="14"/>
        <v>272690.16761499998</v>
      </c>
      <c r="G154" s="22">
        <f t="shared" si="16"/>
        <v>47450212.234643832</v>
      </c>
      <c r="H154" s="27">
        <f t="shared" si="15"/>
        <v>1208.3970674319178</v>
      </c>
    </row>
    <row r="155" spans="3:8" x14ac:dyDescent="0.15">
      <c r="C155">
        <f t="shared" si="12"/>
        <v>12</v>
      </c>
      <c r="D155">
        <f t="shared" si="13"/>
        <v>10</v>
      </c>
      <c r="E155" s="25">
        <f t="shared" si="17"/>
        <v>8500000</v>
      </c>
      <c r="F155" s="22">
        <f t="shared" si="14"/>
        <v>272690.16761499998</v>
      </c>
      <c r="G155" s="22">
        <f t="shared" si="16"/>
        <v>47859910.021636091</v>
      </c>
      <c r="H155" s="27">
        <f t="shared" si="15"/>
        <v>1218.8306899810984</v>
      </c>
    </row>
    <row r="156" spans="3:8" x14ac:dyDescent="0.15">
      <c r="C156">
        <f t="shared" si="12"/>
        <v>12</v>
      </c>
      <c r="D156">
        <f t="shared" si="13"/>
        <v>11</v>
      </c>
      <c r="E156" s="25">
        <f t="shared" si="17"/>
        <v>8500000</v>
      </c>
      <c r="F156" s="22">
        <f t="shared" si="14"/>
        <v>272690.16761499998</v>
      </c>
      <c r="G156" s="22">
        <f t="shared" si="16"/>
        <v>48270784.009480238</v>
      </c>
      <c r="H156" s="27">
        <f t="shared" si="15"/>
        <v>1229.294266403891</v>
      </c>
    </row>
    <row r="157" spans="3:8" x14ac:dyDescent="0.15">
      <c r="C157">
        <f t="shared" si="12"/>
        <v>12</v>
      </c>
      <c r="D157">
        <f t="shared" si="13"/>
        <v>12</v>
      </c>
      <c r="E157" s="25">
        <f t="shared" si="17"/>
        <v>8500000</v>
      </c>
      <c r="F157" s="22">
        <f t="shared" si="14"/>
        <v>272690.16761499998</v>
      </c>
      <c r="G157" s="22">
        <f t="shared" si="16"/>
        <v>48682837.574929789</v>
      </c>
      <c r="H157" s="27">
        <f t="shared" si="15"/>
        <v>1239.7878826948329</v>
      </c>
    </row>
    <row r="158" spans="3:8" x14ac:dyDescent="0.15">
      <c r="C158">
        <f t="shared" si="12"/>
        <v>13</v>
      </c>
      <c r="D158">
        <f t="shared" si="13"/>
        <v>1</v>
      </c>
      <c r="E158" s="25">
        <f t="shared" si="17"/>
        <v>8500000</v>
      </c>
      <c r="F158" s="22">
        <f t="shared" si="14"/>
        <v>272690.16761499998</v>
      </c>
      <c r="G158" s="22">
        <f t="shared" si="16"/>
        <v>49096074.104432575</v>
      </c>
      <c r="H158" s="27">
        <f t="shared" si="15"/>
        <v>1250.3116250953426</v>
      </c>
    </row>
    <row r="159" spans="3:8" x14ac:dyDescent="0.15">
      <c r="C159">
        <f t="shared" si="12"/>
        <v>13</v>
      </c>
      <c r="D159">
        <f t="shared" si="13"/>
        <v>2</v>
      </c>
      <c r="E159" s="25">
        <f t="shared" si="17"/>
        <v>8500000</v>
      </c>
      <c r="F159" s="22">
        <f t="shared" si="14"/>
        <v>272690.16761499998</v>
      </c>
      <c r="G159" s="22">
        <f t="shared" si="16"/>
        <v>49510496.994158588</v>
      </c>
      <c r="H159" s="27">
        <f t="shared" si="15"/>
        <v>1260.86558009443</v>
      </c>
    </row>
    <row r="160" spans="3:8" x14ac:dyDescent="0.15">
      <c r="C160">
        <f t="shared" si="12"/>
        <v>13</v>
      </c>
      <c r="D160">
        <f t="shared" si="13"/>
        <v>3</v>
      </c>
      <c r="E160" s="25">
        <f t="shared" si="17"/>
        <v>8500000</v>
      </c>
      <c r="F160" s="22">
        <f t="shared" si="14"/>
        <v>272690.16761499998</v>
      </c>
      <c r="G160" s="22">
        <f t="shared" si="16"/>
        <v>49926109.650027871</v>
      </c>
      <c r="H160" s="27">
        <f t="shared" si="15"/>
        <v>1271.4498344294054</v>
      </c>
    </row>
    <row r="161" spans="3:8" x14ac:dyDescent="0.15">
      <c r="C161">
        <f t="shared" ref="C161:C224" si="18">IF(MOD(D160,12)=0,C160+1,C160)</f>
        <v>13</v>
      </c>
      <c r="D161">
        <f t="shared" ref="D161:D224" si="19">IF(MOD(D160,12)=0,1,D160+1)</f>
        <v>4</v>
      </c>
      <c r="E161" s="25">
        <f t="shared" si="17"/>
        <v>8500000</v>
      </c>
      <c r="F161" s="22">
        <f t="shared" si="14"/>
        <v>272690.16761499998</v>
      </c>
      <c r="G161" s="22">
        <f t="shared" si="16"/>
        <v>50342915.48773852</v>
      </c>
      <c r="H161" s="27">
        <f t="shared" si="15"/>
        <v>1282.0644750865933</v>
      </c>
    </row>
    <row r="162" spans="3:8" x14ac:dyDescent="0.15">
      <c r="C162">
        <f t="shared" si="18"/>
        <v>13</v>
      </c>
      <c r="D162">
        <f t="shared" si="19"/>
        <v>5</v>
      </c>
      <c r="E162" s="25">
        <f t="shared" si="17"/>
        <v>8500000</v>
      </c>
      <c r="F162" s="22">
        <f t="shared" si="14"/>
        <v>272690.16761499998</v>
      </c>
      <c r="G162" s="22">
        <f t="shared" si="16"/>
        <v>50760917.932794757</v>
      </c>
      <c r="H162" s="27">
        <f t="shared" si="15"/>
        <v>1292.7095893020478</v>
      </c>
    </row>
    <row r="163" spans="3:8" x14ac:dyDescent="0.15">
      <c r="C163">
        <f t="shared" si="18"/>
        <v>13</v>
      </c>
      <c r="D163">
        <f t="shared" si="19"/>
        <v>6</v>
      </c>
      <c r="E163" s="25">
        <f t="shared" si="17"/>
        <v>8500000</v>
      </c>
      <c r="F163" s="22">
        <f t="shared" si="14"/>
        <v>272690.16761499998</v>
      </c>
      <c r="G163" s="22">
        <f t="shared" si="16"/>
        <v>51180120.42053508</v>
      </c>
      <c r="H163" s="27">
        <f t="shared" si="15"/>
        <v>1303.3852645622676</v>
      </c>
    </row>
    <row r="164" spans="3:8" x14ac:dyDescent="0.15">
      <c r="C164">
        <f t="shared" si="18"/>
        <v>13</v>
      </c>
      <c r="D164">
        <f t="shared" si="19"/>
        <v>7</v>
      </c>
      <c r="E164" s="25">
        <f t="shared" si="17"/>
        <v>8500000</v>
      </c>
      <c r="F164" s="22">
        <f t="shared" si="14"/>
        <v>272690.16761499998</v>
      </c>
      <c r="G164" s="22">
        <f t="shared" si="16"/>
        <v>51600526.396160491</v>
      </c>
      <c r="H164" s="27">
        <f t="shared" si="15"/>
        <v>1314.0915886049174</v>
      </c>
    </row>
    <row r="165" spans="3:8" x14ac:dyDescent="0.15">
      <c r="C165">
        <f t="shared" si="18"/>
        <v>13</v>
      </c>
      <c r="D165">
        <f t="shared" si="19"/>
        <v>8</v>
      </c>
      <c r="E165" s="25">
        <f t="shared" si="17"/>
        <v>8500000</v>
      </c>
      <c r="F165" s="22">
        <f t="shared" si="14"/>
        <v>272690.16761499998</v>
      </c>
      <c r="G165" s="22">
        <f t="shared" si="16"/>
        <v>52022139.314762816</v>
      </c>
      <c r="H165" s="27">
        <f t="shared" si="15"/>
        <v>1324.8286494195472</v>
      </c>
    </row>
    <row r="166" spans="3:8" x14ac:dyDescent="0.15">
      <c r="C166">
        <f t="shared" si="18"/>
        <v>13</v>
      </c>
      <c r="D166">
        <f t="shared" si="19"/>
        <v>9</v>
      </c>
      <c r="E166" s="25">
        <f t="shared" si="17"/>
        <v>8500000</v>
      </c>
      <c r="F166" s="22">
        <f t="shared" si="14"/>
        <v>272690.16761499998</v>
      </c>
      <c r="G166" s="22">
        <f t="shared" si="16"/>
        <v>52444962.641353101</v>
      </c>
      <c r="H166" s="27">
        <f t="shared" si="15"/>
        <v>1335.5965352483163</v>
      </c>
    </row>
    <row r="167" spans="3:8" x14ac:dyDescent="0.15">
      <c r="C167">
        <f t="shared" si="18"/>
        <v>13</v>
      </c>
      <c r="D167">
        <f t="shared" si="19"/>
        <v>10</v>
      </c>
      <c r="E167" s="25">
        <f t="shared" si="17"/>
        <v>8500000</v>
      </c>
      <c r="F167" s="22">
        <f t="shared" si="14"/>
        <v>272690.16761499998</v>
      </c>
      <c r="G167" s="22">
        <f t="shared" si="16"/>
        <v>52868999.850890093</v>
      </c>
      <c r="H167" s="27">
        <f t="shared" si="15"/>
        <v>1346.3953345867185</v>
      </c>
    </row>
    <row r="168" spans="3:8" x14ac:dyDescent="0.15">
      <c r="C168">
        <f t="shared" si="18"/>
        <v>13</v>
      </c>
      <c r="D168">
        <f t="shared" si="19"/>
        <v>11</v>
      </c>
      <c r="E168" s="25">
        <f t="shared" si="17"/>
        <v>8500000</v>
      </c>
      <c r="F168" s="22">
        <f t="shared" si="14"/>
        <v>272690.16761499998</v>
      </c>
      <c r="G168" s="22">
        <f t="shared" si="16"/>
        <v>53294254.428308785</v>
      </c>
      <c r="H168" s="27">
        <f t="shared" si="15"/>
        <v>1357.2251361843087</v>
      </c>
    </row>
    <row r="169" spans="3:8" x14ac:dyDescent="0.15">
      <c r="C169">
        <f t="shared" si="18"/>
        <v>13</v>
      </c>
      <c r="D169">
        <f t="shared" si="19"/>
        <v>12</v>
      </c>
      <c r="E169" s="25">
        <f t="shared" si="17"/>
        <v>8500000</v>
      </c>
      <c r="F169" s="22">
        <f t="shared" si="14"/>
        <v>272690.16761499998</v>
      </c>
      <c r="G169" s="22">
        <f t="shared" si="16"/>
        <v>53720729.868549071</v>
      </c>
      <c r="H169" s="27">
        <f t="shared" si="15"/>
        <v>1368.0860290454336</v>
      </c>
    </row>
    <row r="170" spans="3:8" x14ac:dyDescent="0.15">
      <c r="C170">
        <f t="shared" si="18"/>
        <v>14</v>
      </c>
      <c r="D170">
        <f t="shared" si="19"/>
        <v>1</v>
      </c>
      <c r="E170" s="25">
        <f t="shared" si="17"/>
        <v>8500000</v>
      </c>
      <c r="F170" s="22">
        <f t="shared" si="14"/>
        <v>272690.16761499998</v>
      </c>
      <c r="G170" s="22">
        <f t="shared" si="16"/>
        <v>54148429.67658446</v>
      </c>
      <c r="H170" s="27">
        <f t="shared" si="15"/>
        <v>1378.9781024299614</v>
      </c>
    </row>
    <row r="171" spans="3:8" x14ac:dyDescent="0.15">
      <c r="C171">
        <f t="shared" si="18"/>
        <v>14</v>
      </c>
      <c r="D171">
        <f t="shared" si="19"/>
        <v>2</v>
      </c>
      <c r="E171" s="25">
        <f t="shared" si="17"/>
        <v>8500000</v>
      </c>
      <c r="F171" s="22">
        <f t="shared" si="14"/>
        <v>272690.16761499998</v>
      </c>
      <c r="G171" s="22">
        <f t="shared" si="16"/>
        <v>54577357.367450885</v>
      </c>
      <c r="H171" s="27">
        <f t="shared" si="15"/>
        <v>1389.9014458540169</v>
      </c>
    </row>
    <row r="172" spans="3:8" x14ac:dyDescent="0.15">
      <c r="C172">
        <f t="shared" si="18"/>
        <v>14</v>
      </c>
      <c r="D172">
        <f t="shared" si="19"/>
        <v>3</v>
      </c>
      <c r="E172" s="25">
        <f t="shared" si="17"/>
        <v>8500000</v>
      </c>
      <c r="F172" s="22">
        <f t="shared" si="14"/>
        <v>272690.16761499998</v>
      </c>
      <c r="G172" s="22">
        <f t="shared" si="16"/>
        <v>55007516.466275595</v>
      </c>
      <c r="H172" s="27">
        <f t="shared" si="15"/>
        <v>1400.8561490907164</v>
      </c>
    </row>
    <row r="173" spans="3:8" x14ac:dyDescent="0.15">
      <c r="C173">
        <f t="shared" si="18"/>
        <v>14</v>
      </c>
      <c r="D173">
        <f t="shared" si="19"/>
        <v>4</v>
      </c>
      <c r="E173" s="25">
        <f t="shared" si="17"/>
        <v>8500000</v>
      </c>
      <c r="F173" s="22">
        <f t="shared" si="14"/>
        <v>272690.16761499998</v>
      </c>
      <c r="G173" s="22">
        <f t="shared" si="16"/>
        <v>55438910.508306123</v>
      </c>
      <c r="H173" s="27">
        <f t="shared" si="15"/>
        <v>1411.8423021709061</v>
      </c>
    </row>
    <row r="174" spans="3:8" x14ac:dyDescent="0.15">
      <c r="C174">
        <f t="shared" si="18"/>
        <v>14</v>
      </c>
      <c r="D174">
        <f t="shared" si="19"/>
        <v>5</v>
      </c>
      <c r="E174" s="25">
        <f t="shared" si="17"/>
        <v>8500000</v>
      </c>
      <c r="F174" s="22">
        <f t="shared" si="14"/>
        <v>272690.16761499998</v>
      </c>
      <c r="G174" s="22">
        <f t="shared" si="16"/>
        <v>55871543.038939334</v>
      </c>
      <c r="H174" s="27">
        <f t="shared" si="15"/>
        <v>1422.8599953839014</v>
      </c>
    </row>
    <row r="175" spans="3:8" x14ac:dyDescent="0.15">
      <c r="C175">
        <f t="shared" si="18"/>
        <v>14</v>
      </c>
      <c r="D175">
        <f t="shared" si="19"/>
        <v>6</v>
      </c>
      <c r="E175" s="25">
        <f t="shared" si="17"/>
        <v>8500000</v>
      </c>
      <c r="F175" s="22">
        <f t="shared" si="14"/>
        <v>272690.16761499998</v>
      </c>
      <c r="G175" s="22">
        <f t="shared" si="16"/>
        <v>56305417.61375057</v>
      </c>
      <c r="H175" s="27">
        <f t="shared" si="15"/>
        <v>1433.9093192782291</v>
      </c>
    </row>
    <row r="176" spans="3:8" x14ac:dyDescent="0.15">
      <c r="C176">
        <f t="shared" si="18"/>
        <v>14</v>
      </c>
      <c r="D176">
        <f t="shared" si="19"/>
        <v>7</v>
      </c>
      <c r="E176" s="25">
        <f t="shared" si="17"/>
        <v>8500000</v>
      </c>
      <c r="F176" s="22">
        <f t="shared" si="14"/>
        <v>272690.16761499998</v>
      </c>
      <c r="G176" s="22">
        <f t="shared" si="16"/>
        <v>56740537.798522867</v>
      </c>
      <c r="H176" s="27">
        <f t="shared" si="15"/>
        <v>1444.9903646623716</v>
      </c>
    </row>
    <row r="177" spans="3:8" x14ac:dyDescent="0.15">
      <c r="C177">
        <f t="shared" si="18"/>
        <v>14</v>
      </c>
      <c r="D177">
        <f t="shared" si="19"/>
        <v>8</v>
      </c>
      <c r="E177" s="25">
        <f t="shared" si="17"/>
        <v>8500000</v>
      </c>
      <c r="F177" s="22">
        <f t="shared" si="14"/>
        <v>272690.16761499998</v>
      </c>
      <c r="G177" s="22">
        <f t="shared" si="16"/>
        <v>57176907.169276275</v>
      </c>
      <c r="H177" s="27">
        <f t="shared" si="15"/>
        <v>1456.1032226055133</v>
      </c>
    </row>
    <row r="178" spans="3:8" x14ac:dyDescent="0.15">
      <c r="C178">
        <f t="shared" si="18"/>
        <v>14</v>
      </c>
      <c r="D178">
        <f t="shared" si="19"/>
        <v>9</v>
      </c>
      <c r="E178" s="25">
        <f t="shared" si="17"/>
        <v>8500000</v>
      </c>
      <c r="F178" s="22">
        <f t="shared" si="14"/>
        <v>272690.16761499998</v>
      </c>
      <c r="G178" s="22">
        <f t="shared" si="16"/>
        <v>57614529.312297218</v>
      </c>
      <c r="H178" s="27">
        <f t="shared" si="15"/>
        <v>1467.2479844382892</v>
      </c>
    </row>
    <row r="179" spans="3:8" x14ac:dyDescent="0.15">
      <c r="C179">
        <f t="shared" si="18"/>
        <v>14</v>
      </c>
      <c r="D179">
        <f t="shared" si="19"/>
        <v>10</v>
      </c>
      <c r="E179" s="25">
        <f t="shared" si="17"/>
        <v>8500000</v>
      </c>
      <c r="F179" s="22">
        <f t="shared" si="14"/>
        <v>272690.16761499998</v>
      </c>
      <c r="G179" s="22">
        <f t="shared" si="16"/>
        <v>58053407.824168004</v>
      </c>
      <c r="H179" s="27">
        <f t="shared" si="15"/>
        <v>1478.4247417535355</v>
      </c>
    </row>
    <row r="180" spans="3:8" x14ac:dyDescent="0.15">
      <c r="C180">
        <f t="shared" si="18"/>
        <v>14</v>
      </c>
      <c r="D180">
        <f t="shared" si="19"/>
        <v>11</v>
      </c>
      <c r="E180" s="25">
        <f t="shared" si="17"/>
        <v>8500000</v>
      </c>
      <c r="F180" s="22">
        <f t="shared" si="14"/>
        <v>272690.16761499998</v>
      </c>
      <c r="G180" s="22">
        <f t="shared" si="16"/>
        <v>58493546.311796352</v>
      </c>
      <c r="H180" s="27">
        <f t="shared" si="15"/>
        <v>1489.6335864070415</v>
      </c>
    </row>
    <row r="181" spans="3:8" x14ac:dyDescent="0.15">
      <c r="C181">
        <f t="shared" si="18"/>
        <v>14</v>
      </c>
      <c r="D181">
        <f t="shared" si="19"/>
        <v>12</v>
      </c>
      <c r="E181" s="25">
        <f t="shared" si="17"/>
        <v>8500000</v>
      </c>
      <c r="F181" s="22">
        <f t="shared" si="14"/>
        <v>272690.16761499998</v>
      </c>
      <c r="G181" s="22">
        <f t="shared" si="16"/>
        <v>58934948.392445043</v>
      </c>
      <c r="H181" s="27">
        <f t="shared" si="15"/>
        <v>1500.8746105183056</v>
      </c>
    </row>
    <row r="182" spans="3:8" x14ac:dyDescent="0.15">
      <c r="C182">
        <f t="shared" si="18"/>
        <v>15</v>
      </c>
      <c r="D182">
        <f t="shared" si="19"/>
        <v>1</v>
      </c>
      <c r="E182" s="25">
        <f t="shared" si="17"/>
        <v>8500000</v>
      </c>
      <c r="F182" s="22">
        <f t="shared" si="14"/>
        <v>272690.16761499998</v>
      </c>
      <c r="G182" s="22">
        <f t="shared" si="16"/>
        <v>59377617.693761669</v>
      </c>
      <c r="H182" s="27">
        <f t="shared" si="15"/>
        <v>1512.1479064712919</v>
      </c>
    </row>
    <row r="183" spans="3:8" x14ac:dyDescent="0.15">
      <c r="C183">
        <f t="shared" si="18"/>
        <v>15</v>
      </c>
      <c r="D183">
        <f t="shared" si="19"/>
        <v>2</v>
      </c>
      <c r="E183" s="25">
        <f t="shared" si="17"/>
        <v>8500000</v>
      </c>
      <c r="F183" s="22">
        <f t="shared" si="14"/>
        <v>272690.16761499998</v>
      </c>
      <c r="G183" s="22">
        <f t="shared" si="16"/>
        <v>59821557.853808418</v>
      </c>
      <c r="H183" s="27">
        <f t="shared" si="15"/>
        <v>1523.4535669151892</v>
      </c>
    </row>
    <row r="184" spans="3:8" x14ac:dyDescent="0.15">
      <c r="C184">
        <f t="shared" si="18"/>
        <v>15</v>
      </c>
      <c r="D184">
        <f t="shared" si="19"/>
        <v>3</v>
      </c>
      <c r="E184" s="25">
        <f t="shared" si="17"/>
        <v>8500000</v>
      </c>
      <c r="F184" s="22">
        <f t="shared" si="14"/>
        <v>272690.16761499998</v>
      </c>
      <c r="G184" s="22">
        <f t="shared" si="16"/>
        <v>60266772.52109199</v>
      </c>
      <c r="H184" s="27">
        <f t="shared" si="15"/>
        <v>1534.7916847651732</v>
      </c>
    </row>
    <row r="185" spans="3:8" x14ac:dyDescent="0.15">
      <c r="C185">
        <f t="shared" si="18"/>
        <v>15</v>
      </c>
      <c r="D185">
        <f t="shared" si="19"/>
        <v>4</v>
      </c>
      <c r="E185" s="25">
        <f t="shared" si="17"/>
        <v>8500000</v>
      </c>
      <c r="F185" s="22">
        <f t="shared" si="14"/>
        <v>272690.16761499998</v>
      </c>
      <c r="G185" s="22">
        <f t="shared" si="16"/>
        <v>60713265.354593582</v>
      </c>
      <c r="H185" s="27">
        <f t="shared" si="15"/>
        <v>1546.1623532031695</v>
      </c>
    </row>
    <row r="186" spans="3:8" x14ac:dyDescent="0.15">
      <c r="C186">
        <f t="shared" si="18"/>
        <v>15</v>
      </c>
      <c r="D186">
        <f t="shared" si="19"/>
        <v>5</v>
      </c>
      <c r="E186" s="25">
        <f t="shared" si="17"/>
        <v>8500000</v>
      </c>
      <c r="F186" s="22">
        <f t="shared" si="14"/>
        <v>272690.16761499998</v>
      </c>
      <c r="G186" s="22">
        <f t="shared" si="16"/>
        <v>61161040.02379895</v>
      </c>
      <c r="H186" s="27">
        <f t="shared" si="15"/>
        <v>1557.5656656786196</v>
      </c>
    </row>
    <row r="187" spans="3:8" x14ac:dyDescent="0.15">
      <c r="C187">
        <f t="shared" si="18"/>
        <v>15</v>
      </c>
      <c r="D187">
        <f t="shared" si="19"/>
        <v>6</v>
      </c>
      <c r="E187" s="25">
        <f t="shared" si="17"/>
        <v>8500000</v>
      </c>
      <c r="F187" s="22">
        <f t="shared" si="14"/>
        <v>272690.16761499998</v>
      </c>
      <c r="G187" s="22">
        <f t="shared" si="16"/>
        <v>61610100.208728574</v>
      </c>
      <c r="H187" s="27">
        <f t="shared" si="15"/>
        <v>1569.0017159092486</v>
      </c>
    </row>
    <row r="188" spans="3:8" x14ac:dyDescent="0.15">
      <c r="C188">
        <f t="shared" si="18"/>
        <v>15</v>
      </c>
      <c r="D188">
        <f t="shared" si="19"/>
        <v>7</v>
      </c>
      <c r="E188" s="25">
        <f t="shared" si="17"/>
        <v>8500000</v>
      </c>
      <c r="F188" s="22">
        <f t="shared" si="14"/>
        <v>272690.16761499998</v>
      </c>
      <c r="G188" s="22">
        <f t="shared" si="16"/>
        <v>62060449.599967904</v>
      </c>
      <c r="H188" s="27">
        <f t="shared" si="15"/>
        <v>1580.4705978818361</v>
      </c>
    </row>
    <row r="189" spans="3:8" x14ac:dyDescent="0.15">
      <c r="C189">
        <f t="shared" si="18"/>
        <v>15</v>
      </c>
      <c r="D189">
        <f t="shared" si="19"/>
        <v>8</v>
      </c>
      <c r="E189" s="25">
        <f t="shared" si="17"/>
        <v>8500000</v>
      </c>
      <c r="F189" s="22">
        <f t="shared" si="14"/>
        <v>272690.16761499998</v>
      </c>
      <c r="G189" s="22">
        <f t="shared" si="16"/>
        <v>62512091.898697682</v>
      </c>
      <c r="H189" s="27">
        <f t="shared" si="15"/>
        <v>1591.9724058529878</v>
      </c>
    </row>
    <row r="190" spans="3:8" x14ac:dyDescent="0.15">
      <c r="C190">
        <f t="shared" si="18"/>
        <v>15</v>
      </c>
      <c r="D190">
        <f t="shared" si="19"/>
        <v>9</v>
      </c>
      <c r="E190" s="25">
        <f t="shared" si="17"/>
        <v>8500000</v>
      </c>
      <c r="F190" s="22">
        <f t="shared" si="14"/>
        <v>272690.16761499998</v>
      </c>
      <c r="G190" s="22">
        <f t="shared" si="16"/>
        <v>62965030.81672436</v>
      </c>
      <c r="H190" s="27">
        <f t="shared" si="15"/>
        <v>1603.507234349911</v>
      </c>
    </row>
    <row r="191" spans="3:8" x14ac:dyDescent="0.15">
      <c r="C191">
        <f t="shared" si="18"/>
        <v>15</v>
      </c>
      <c r="D191">
        <f t="shared" si="19"/>
        <v>10</v>
      </c>
      <c r="E191" s="25">
        <f t="shared" si="17"/>
        <v>8500000</v>
      </c>
      <c r="F191" s="22">
        <f t="shared" si="14"/>
        <v>272690.16761499998</v>
      </c>
      <c r="G191" s="22">
        <f t="shared" si="16"/>
        <v>63419270.076510623</v>
      </c>
      <c r="H191" s="27">
        <f t="shared" si="15"/>
        <v>1615.0751781711908</v>
      </c>
    </row>
    <row r="192" spans="3:8" x14ac:dyDescent="0.15">
      <c r="C192">
        <f t="shared" si="18"/>
        <v>15</v>
      </c>
      <c r="D192">
        <f t="shared" si="19"/>
        <v>11</v>
      </c>
      <c r="E192" s="25">
        <f t="shared" si="17"/>
        <v>8500000</v>
      </c>
      <c r="F192" s="22">
        <f t="shared" si="14"/>
        <v>272690.16761499998</v>
      </c>
      <c r="G192" s="22">
        <f t="shared" si="16"/>
        <v>63874813.411205962</v>
      </c>
      <c r="H192" s="27">
        <f t="shared" si="15"/>
        <v>1626.6763323875696</v>
      </c>
    </row>
    <row r="193" spans="3:8" x14ac:dyDescent="0.15">
      <c r="C193">
        <f t="shared" si="18"/>
        <v>15</v>
      </c>
      <c r="D193">
        <f t="shared" si="19"/>
        <v>12</v>
      </c>
      <c r="E193" s="25">
        <f t="shared" si="17"/>
        <v>8500000</v>
      </c>
      <c r="F193" s="22">
        <f t="shared" si="14"/>
        <v>272690.16761499998</v>
      </c>
      <c r="G193" s="22">
        <f t="shared" si="16"/>
        <v>64331664.564677358</v>
      </c>
      <c r="H193" s="27">
        <f t="shared" si="15"/>
        <v>1638.3107923427278</v>
      </c>
    </row>
    <row r="194" spans="3:8" x14ac:dyDescent="0.15">
      <c r="C194">
        <f t="shared" si="18"/>
        <v>16</v>
      </c>
      <c r="D194">
        <f t="shared" si="19"/>
        <v>1</v>
      </c>
      <c r="E194" s="25">
        <f t="shared" si="17"/>
        <v>8500000</v>
      </c>
      <c r="F194" s="22">
        <f t="shared" si="14"/>
        <v>272690.16761499998</v>
      </c>
      <c r="G194" s="22">
        <f t="shared" si="16"/>
        <v>64789827.291540064</v>
      </c>
      <c r="H194" s="27">
        <f t="shared" si="15"/>
        <v>1649.9786536540685</v>
      </c>
    </row>
    <row r="195" spans="3:8" x14ac:dyDescent="0.15">
      <c r="C195">
        <f t="shared" si="18"/>
        <v>16</v>
      </c>
      <c r="D195">
        <f t="shared" si="19"/>
        <v>2</v>
      </c>
      <c r="E195" s="25">
        <f t="shared" si="17"/>
        <v>8500000</v>
      </c>
      <c r="F195" s="22">
        <f t="shared" si="14"/>
        <v>272690.16761499998</v>
      </c>
      <c r="G195" s="22">
        <f t="shared" si="16"/>
        <v>65249305.357188448</v>
      </c>
      <c r="H195" s="27">
        <f t="shared" si="15"/>
        <v>1661.6800122135023</v>
      </c>
    </row>
    <row r="196" spans="3:8" x14ac:dyDescent="0.15">
      <c r="C196">
        <f t="shared" si="18"/>
        <v>16</v>
      </c>
      <c r="D196">
        <f t="shared" si="19"/>
        <v>3</v>
      </c>
      <c r="E196" s="25">
        <f t="shared" si="17"/>
        <v>8500000</v>
      </c>
      <c r="F196" s="22">
        <f t="shared" si="14"/>
        <v>272690.16761499998</v>
      </c>
      <c r="G196" s="22">
        <f t="shared" si="16"/>
        <v>65710102.537826948</v>
      </c>
      <c r="H196" s="27">
        <f t="shared" si="15"/>
        <v>1673.4149641882359</v>
      </c>
    </row>
    <row r="197" spans="3:8" x14ac:dyDescent="0.15">
      <c r="C197">
        <f t="shared" si="18"/>
        <v>16</v>
      </c>
      <c r="D197">
        <f t="shared" si="19"/>
        <v>4</v>
      </c>
      <c r="E197" s="25">
        <f t="shared" si="17"/>
        <v>8500000</v>
      </c>
      <c r="F197" s="22">
        <f t="shared" si="14"/>
        <v>272690.16761499998</v>
      </c>
      <c r="G197" s="22">
        <f t="shared" si="16"/>
        <v>66172222.620501094</v>
      </c>
      <c r="H197" s="27">
        <f t="shared" si="15"/>
        <v>1685.1836060215619</v>
      </c>
    </row>
    <row r="198" spans="3:8" x14ac:dyDescent="0.15">
      <c r="C198">
        <f t="shared" si="18"/>
        <v>16</v>
      </c>
      <c r="D198">
        <f t="shared" si="19"/>
        <v>5</v>
      </c>
      <c r="E198" s="25">
        <f t="shared" si="17"/>
        <v>8500000</v>
      </c>
      <c r="F198" s="22">
        <f t="shared" si="14"/>
        <v>272690.16761499998</v>
      </c>
      <c r="G198" s="22">
        <f t="shared" si="16"/>
        <v>66635669.403128654</v>
      </c>
      <c r="H198" s="27">
        <f t="shared" si="15"/>
        <v>1696.9860344336528</v>
      </c>
    </row>
    <row r="199" spans="3:8" x14ac:dyDescent="0.15">
      <c r="C199">
        <f t="shared" si="18"/>
        <v>16</v>
      </c>
      <c r="D199">
        <f t="shared" si="19"/>
        <v>6</v>
      </c>
      <c r="E199" s="25">
        <f t="shared" si="17"/>
        <v>8500000</v>
      </c>
      <c r="F199" s="22">
        <f t="shared" si="14"/>
        <v>272690.16761499998</v>
      </c>
      <c r="G199" s="22">
        <f t="shared" si="16"/>
        <v>67100446.694530815</v>
      </c>
      <c r="H199" s="27">
        <f t="shared" si="15"/>
        <v>1708.8223464223538</v>
      </c>
    </row>
    <row r="200" spans="3:8" x14ac:dyDescent="0.15">
      <c r="C200">
        <f t="shared" si="18"/>
        <v>16</v>
      </c>
      <c r="D200">
        <f t="shared" si="19"/>
        <v>7</v>
      </c>
      <c r="E200" s="25">
        <f t="shared" si="17"/>
        <v>8500000</v>
      </c>
      <c r="F200" s="22">
        <f t="shared" si="14"/>
        <v>272690.16761499998</v>
      </c>
      <c r="G200" s="22">
        <f t="shared" si="16"/>
        <v>67566558.314463526</v>
      </c>
      <c r="H200" s="27">
        <f t="shared" si="15"/>
        <v>1720.6926392639818</v>
      </c>
    </row>
    <row r="201" spans="3:8" x14ac:dyDescent="0.15">
      <c r="C201">
        <f t="shared" si="18"/>
        <v>16</v>
      </c>
      <c r="D201">
        <f t="shared" si="19"/>
        <v>8</v>
      </c>
      <c r="E201" s="25">
        <f t="shared" si="17"/>
        <v>8500000</v>
      </c>
      <c r="F201" s="22">
        <f t="shared" si="14"/>
        <v>272690.16761499998</v>
      </c>
      <c r="G201" s="22">
        <f t="shared" si="16"/>
        <v>68034008.093648851</v>
      </c>
      <c r="H201" s="27">
        <f t="shared" si="15"/>
        <v>1732.5970105141241</v>
      </c>
    </row>
    <row r="202" spans="3:8" x14ac:dyDescent="0.15">
      <c r="C202">
        <f t="shared" si="18"/>
        <v>16</v>
      </c>
      <c r="D202">
        <f t="shared" si="19"/>
        <v>9</v>
      </c>
      <c r="E202" s="25">
        <f t="shared" si="17"/>
        <v>8500000</v>
      </c>
      <c r="F202" s="22">
        <f t="shared" si="14"/>
        <v>272690.16761499998</v>
      </c>
      <c r="G202" s="22">
        <f t="shared" si="16"/>
        <v>68502799.873806462</v>
      </c>
      <c r="H202" s="27">
        <f t="shared" si="15"/>
        <v>1744.5355580084397</v>
      </c>
    </row>
    <row r="203" spans="3:8" x14ac:dyDescent="0.15">
      <c r="C203">
        <f t="shared" si="18"/>
        <v>16</v>
      </c>
      <c r="D203">
        <f t="shared" si="19"/>
        <v>10</v>
      </c>
      <c r="E203" s="25">
        <f t="shared" si="17"/>
        <v>8500000</v>
      </c>
      <c r="F203" s="22">
        <f t="shared" si="14"/>
        <v>272690.16761499998</v>
      </c>
      <c r="G203" s="22">
        <f t="shared" si="16"/>
        <v>68972937.507685244</v>
      </c>
      <c r="H203" s="27">
        <f t="shared" si="15"/>
        <v>1756.5083798634644</v>
      </c>
    </row>
    <row r="204" spans="3:8" x14ac:dyDescent="0.15">
      <c r="C204">
        <f t="shared" si="18"/>
        <v>16</v>
      </c>
      <c r="D204">
        <f t="shared" si="19"/>
        <v>11</v>
      </c>
      <c r="E204" s="25">
        <f t="shared" si="17"/>
        <v>8500000</v>
      </c>
      <c r="F204" s="22">
        <f t="shared" si="14"/>
        <v>272690.16761499998</v>
      </c>
      <c r="G204" s="22">
        <f t="shared" si="16"/>
        <v>69444424.859094918</v>
      </c>
      <c r="H204" s="27">
        <f t="shared" si="15"/>
        <v>1768.5155744774163</v>
      </c>
    </row>
    <row r="205" spans="3:8" x14ac:dyDescent="0.15">
      <c r="C205">
        <f t="shared" si="18"/>
        <v>16</v>
      </c>
      <c r="D205">
        <f t="shared" si="19"/>
        <v>12</v>
      </c>
      <c r="E205" s="25">
        <f t="shared" si="17"/>
        <v>8500000</v>
      </c>
      <c r="F205" s="22">
        <f t="shared" si="14"/>
        <v>272690.16761499998</v>
      </c>
      <c r="G205" s="22">
        <f t="shared" si="16"/>
        <v>69917265.802937821</v>
      </c>
      <c r="H205" s="27">
        <f t="shared" si="15"/>
        <v>1780.5572405310052</v>
      </c>
    </row>
    <row r="206" spans="3:8" x14ac:dyDescent="0.15">
      <c r="C206">
        <f t="shared" si="18"/>
        <v>17</v>
      </c>
      <c r="D206">
        <f t="shared" si="19"/>
        <v>1</v>
      </c>
      <c r="E206" s="25">
        <f t="shared" si="17"/>
        <v>8500000</v>
      </c>
      <c r="F206" s="22">
        <f t="shared" si="14"/>
        <v>272690.16761499998</v>
      </c>
      <c r="G206" s="22">
        <f t="shared" si="16"/>
        <v>70391464.225240722</v>
      </c>
      <c r="H206" s="27">
        <f t="shared" si="15"/>
        <v>1792.6334769882428</v>
      </c>
    </row>
    <row r="207" spans="3:8" x14ac:dyDescent="0.15">
      <c r="C207">
        <f t="shared" si="18"/>
        <v>17</v>
      </c>
      <c r="D207">
        <f t="shared" si="19"/>
        <v>2</v>
      </c>
      <c r="E207" s="25">
        <f t="shared" si="17"/>
        <v>8500000</v>
      </c>
      <c r="F207" s="22">
        <f t="shared" ref="F207:F270" si="20">IF(E207/$D$3&lt;$D$2*(1+$D$11)^(C207-1),0.1*E207,0.1*$D$2*$D$3*(1+$D$11)^(C207-1))*(1-$D$9)</f>
        <v>272690.16761499998</v>
      </c>
      <c r="G207" s="22">
        <f t="shared" si="16"/>
        <v>70867024.023186803</v>
      </c>
      <c r="H207" s="27">
        <f t="shared" ref="H207:H270" si="21">G207/$D$3</f>
        <v>1804.7443830972568</v>
      </c>
    </row>
    <row r="208" spans="3:8" x14ac:dyDescent="0.15">
      <c r="C208">
        <f t="shared" si="18"/>
        <v>17</v>
      </c>
      <c r="D208">
        <f t="shared" si="19"/>
        <v>3</v>
      </c>
      <c r="E208" s="25">
        <f t="shared" si="17"/>
        <v>8500000</v>
      </c>
      <c r="F208" s="22">
        <f t="shared" si="20"/>
        <v>272690.16761499998</v>
      </c>
      <c r="G208" s="22">
        <f t="shared" ref="G208:G271" si="22">(F208+G207)*(1+$D$5)</f>
        <v>71343949.105147645</v>
      </c>
      <c r="H208" s="27">
        <f t="shared" si="21"/>
        <v>1816.8900583911059</v>
      </c>
    </row>
    <row r="209" spans="3:8" x14ac:dyDescent="0.15">
      <c r="C209">
        <f t="shared" si="18"/>
        <v>17</v>
      </c>
      <c r="D209">
        <f t="shared" si="19"/>
        <v>4</v>
      </c>
      <c r="E209" s="25">
        <f t="shared" ref="E209:E272" si="23">E208</f>
        <v>8500000</v>
      </c>
      <c r="F209" s="22">
        <f t="shared" si="20"/>
        <v>272690.16761499998</v>
      </c>
      <c r="G209" s="22">
        <f t="shared" si="22"/>
        <v>71822243.39071539</v>
      </c>
      <c r="H209" s="27">
        <f t="shared" si="21"/>
        <v>1829.0706026885987</v>
      </c>
    </row>
    <row r="210" spans="3:8" x14ac:dyDescent="0.15">
      <c r="C210">
        <f t="shared" si="18"/>
        <v>17</v>
      </c>
      <c r="D210">
        <f t="shared" si="19"/>
        <v>5</v>
      </c>
      <c r="E210" s="25">
        <f t="shared" si="23"/>
        <v>8500000</v>
      </c>
      <c r="F210" s="22">
        <f t="shared" si="20"/>
        <v>272690.16761499998</v>
      </c>
      <c r="G210" s="22">
        <f t="shared" si="22"/>
        <v>72301910.810734913</v>
      </c>
      <c r="H210" s="27">
        <f t="shared" si="21"/>
        <v>1841.2861160951127</v>
      </c>
    </row>
    <row r="211" spans="3:8" x14ac:dyDescent="0.15">
      <c r="C211">
        <f t="shared" si="18"/>
        <v>17</v>
      </c>
      <c r="D211">
        <f t="shared" si="19"/>
        <v>6</v>
      </c>
      <c r="E211" s="25">
        <f t="shared" si="23"/>
        <v>8500000</v>
      </c>
      <c r="F211" s="22">
        <f t="shared" si="20"/>
        <v>272690.16761499998</v>
      </c>
      <c r="G211" s="22">
        <f t="shared" si="22"/>
        <v>72782955.307336152</v>
      </c>
      <c r="H211" s="27">
        <f t="shared" si="21"/>
        <v>1853.5366990034181</v>
      </c>
    </row>
    <row r="212" spans="3:8" x14ac:dyDescent="0.15">
      <c r="C212">
        <f t="shared" si="18"/>
        <v>17</v>
      </c>
      <c r="D212">
        <f t="shared" si="19"/>
        <v>7</v>
      </c>
      <c r="E212" s="25">
        <f t="shared" si="23"/>
        <v>8500000</v>
      </c>
      <c r="F212" s="22">
        <f t="shared" si="20"/>
        <v>272690.16761499998</v>
      </c>
      <c r="G212" s="22">
        <f t="shared" si="22"/>
        <v>73265380.833966509</v>
      </c>
      <c r="H212" s="27">
        <f t="shared" si="21"/>
        <v>1865.8224520945034</v>
      </c>
    </row>
    <row r="213" spans="3:8" x14ac:dyDescent="0.15">
      <c r="C213">
        <f t="shared" si="18"/>
        <v>17</v>
      </c>
      <c r="D213">
        <f t="shared" si="19"/>
        <v>8</v>
      </c>
      <c r="E213" s="25">
        <f t="shared" si="23"/>
        <v>8500000</v>
      </c>
      <c r="F213" s="22">
        <f t="shared" si="20"/>
        <v>272690.16761499998</v>
      </c>
      <c r="G213" s="22">
        <f t="shared" si="22"/>
        <v>73749191.355423316</v>
      </c>
      <c r="H213" s="27">
        <f t="shared" si="21"/>
        <v>1878.1434763384004</v>
      </c>
    </row>
    <row r="214" spans="3:8" x14ac:dyDescent="0.15">
      <c r="C214">
        <f t="shared" si="18"/>
        <v>17</v>
      </c>
      <c r="D214">
        <f t="shared" si="19"/>
        <v>9</v>
      </c>
      <c r="E214" s="25">
        <f t="shared" si="23"/>
        <v>8500000</v>
      </c>
      <c r="F214" s="22">
        <f t="shared" si="20"/>
        <v>272690.16761499998</v>
      </c>
      <c r="G214" s="22">
        <f t="shared" si="22"/>
        <v>74234390.847886443</v>
      </c>
      <c r="H214" s="27">
        <f t="shared" si="21"/>
        <v>1890.4998729950171</v>
      </c>
    </row>
    <row r="215" spans="3:8" x14ac:dyDescent="0.15">
      <c r="C215">
        <f t="shared" si="18"/>
        <v>17</v>
      </c>
      <c r="D215">
        <f t="shared" si="19"/>
        <v>10</v>
      </c>
      <c r="E215" s="25">
        <f t="shared" si="23"/>
        <v>8500000</v>
      </c>
      <c r="F215" s="22">
        <f t="shared" si="20"/>
        <v>272690.16761499998</v>
      </c>
      <c r="G215" s="22">
        <f t="shared" si="22"/>
        <v>74720983.298950985</v>
      </c>
      <c r="H215" s="27">
        <f t="shared" si="21"/>
        <v>1902.8917436149677</v>
      </c>
    </row>
    <row r="216" spans="3:8" x14ac:dyDescent="0.15">
      <c r="C216">
        <f t="shared" si="18"/>
        <v>17</v>
      </c>
      <c r="D216">
        <f t="shared" si="19"/>
        <v>11</v>
      </c>
      <c r="E216" s="25">
        <f t="shared" si="23"/>
        <v>8500000</v>
      </c>
      <c r="F216" s="22">
        <f t="shared" si="20"/>
        <v>272690.16761499998</v>
      </c>
      <c r="G216" s="22">
        <f t="shared" si="22"/>
        <v>75208972.707660004</v>
      </c>
      <c r="H216" s="27">
        <f t="shared" si="21"/>
        <v>1915.3191900404081</v>
      </c>
    </row>
    <row r="217" spans="3:8" x14ac:dyDescent="0.15">
      <c r="C217">
        <f t="shared" si="18"/>
        <v>17</v>
      </c>
      <c r="D217">
        <f t="shared" si="19"/>
        <v>12</v>
      </c>
      <c r="E217" s="25">
        <f t="shared" si="23"/>
        <v>8500000</v>
      </c>
      <c r="F217" s="22">
        <f t="shared" si="20"/>
        <v>272690.16761499998</v>
      </c>
      <c r="G217" s="22">
        <f t="shared" si="22"/>
        <v>75698363.084537402</v>
      </c>
      <c r="H217" s="27">
        <f t="shared" si="21"/>
        <v>1927.7823144058725</v>
      </c>
    </row>
    <row r="218" spans="3:8" x14ac:dyDescent="0.15">
      <c r="C218">
        <f t="shared" si="18"/>
        <v>18</v>
      </c>
      <c r="D218">
        <f t="shared" si="19"/>
        <v>1</v>
      </c>
      <c r="E218" s="25">
        <f t="shared" si="23"/>
        <v>8500000</v>
      </c>
      <c r="F218" s="22">
        <f t="shared" si="20"/>
        <v>272690.16761499998</v>
      </c>
      <c r="G218" s="22">
        <f t="shared" si="22"/>
        <v>76189158.451620907</v>
      </c>
      <c r="H218" s="27">
        <f t="shared" si="21"/>
        <v>1940.2812191391135</v>
      </c>
    </row>
    <row r="219" spans="3:8" x14ac:dyDescent="0.15">
      <c r="C219">
        <f t="shared" si="18"/>
        <v>18</v>
      </c>
      <c r="D219">
        <f t="shared" si="19"/>
        <v>2</v>
      </c>
      <c r="E219" s="25">
        <f t="shared" si="23"/>
        <v>8500000</v>
      </c>
      <c r="F219" s="22">
        <f t="shared" si="20"/>
        <v>272690.16761499998</v>
      </c>
      <c r="G219" s="22">
        <f t="shared" si="22"/>
        <v>76681362.842495099</v>
      </c>
      <c r="H219" s="27">
        <f t="shared" si="21"/>
        <v>1952.816006961943</v>
      </c>
    </row>
    <row r="220" spans="3:8" x14ac:dyDescent="0.15">
      <c r="C220">
        <f t="shared" si="18"/>
        <v>18</v>
      </c>
      <c r="D220">
        <f t="shared" si="19"/>
        <v>3</v>
      </c>
      <c r="E220" s="25">
        <f t="shared" si="23"/>
        <v>8500000</v>
      </c>
      <c r="F220" s="22">
        <f t="shared" si="20"/>
        <v>272690.16761499998</v>
      </c>
      <c r="G220" s="22">
        <f t="shared" si="22"/>
        <v>77174980.302324578</v>
      </c>
      <c r="H220" s="27">
        <f t="shared" si="21"/>
        <v>1965.3867808910768</v>
      </c>
    </row>
    <row r="221" spans="3:8" x14ac:dyDescent="0.15">
      <c r="C221">
        <f t="shared" si="18"/>
        <v>18</v>
      </c>
      <c r="D221">
        <f t="shared" si="19"/>
        <v>4</v>
      </c>
      <c r="E221" s="25">
        <f t="shared" si="23"/>
        <v>8500000</v>
      </c>
      <c r="F221" s="22">
        <f t="shared" si="20"/>
        <v>272690.16761499998</v>
      </c>
      <c r="G221" s="22">
        <f t="shared" si="22"/>
        <v>77670014.887887195</v>
      </c>
      <c r="H221" s="27">
        <f t="shared" si="21"/>
        <v>1977.9936442389819</v>
      </c>
    </row>
    <row r="222" spans="3:8" x14ac:dyDescent="0.15">
      <c r="C222">
        <f t="shared" si="18"/>
        <v>18</v>
      </c>
      <c r="D222">
        <f t="shared" si="19"/>
        <v>5</v>
      </c>
      <c r="E222" s="25">
        <f t="shared" si="23"/>
        <v>8500000</v>
      </c>
      <c r="F222" s="22">
        <f t="shared" si="20"/>
        <v>272690.16761499998</v>
      </c>
      <c r="G222" s="22">
        <f t="shared" si="22"/>
        <v>78166470.667607397</v>
      </c>
      <c r="H222" s="27">
        <f t="shared" si="21"/>
        <v>1990.6367006147236</v>
      </c>
    </row>
    <row r="223" spans="3:8" x14ac:dyDescent="0.15">
      <c r="C223">
        <f t="shared" si="18"/>
        <v>18</v>
      </c>
      <c r="D223">
        <f t="shared" si="19"/>
        <v>6</v>
      </c>
      <c r="E223" s="25">
        <f t="shared" si="23"/>
        <v>8500000</v>
      </c>
      <c r="F223" s="22">
        <f t="shared" si="20"/>
        <v>272690.16761499998</v>
      </c>
      <c r="G223" s="22">
        <f t="shared" si="22"/>
        <v>78664351.721589684</v>
      </c>
      <c r="H223" s="27">
        <f t="shared" si="21"/>
        <v>2003.3160539248202</v>
      </c>
    </row>
    <row r="224" spans="3:8" x14ac:dyDescent="0.15">
      <c r="C224">
        <f t="shared" si="18"/>
        <v>18</v>
      </c>
      <c r="D224">
        <f t="shared" si="19"/>
        <v>7</v>
      </c>
      <c r="E224" s="25">
        <f t="shared" si="23"/>
        <v>8500000</v>
      </c>
      <c r="F224" s="22">
        <f t="shared" si="20"/>
        <v>272690.16761499998</v>
      </c>
      <c r="G224" s="22">
        <f t="shared" si="22"/>
        <v>79163662.141652092</v>
      </c>
      <c r="H224" s="27">
        <f t="shared" si="21"/>
        <v>2016.0318083740929</v>
      </c>
    </row>
    <row r="225" spans="3:8" x14ac:dyDescent="0.15">
      <c r="C225">
        <f t="shared" ref="C225:C288" si="24">IF(MOD(D224,12)=0,C224+1,C224)</f>
        <v>18</v>
      </c>
      <c r="D225">
        <f t="shared" ref="D225:D288" si="25">IF(MOD(D224,12)=0,1,D224+1)</f>
        <v>8</v>
      </c>
      <c r="E225" s="25">
        <f t="shared" si="23"/>
        <v>8500000</v>
      </c>
      <c r="F225" s="22">
        <f t="shared" si="20"/>
        <v>272690.16761499998</v>
      </c>
      <c r="G225" s="22">
        <f t="shared" si="22"/>
        <v>79664406.031359881</v>
      </c>
      <c r="H225" s="27">
        <f t="shared" si="21"/>
        <v>2028.7840684665264</v>
      </c>
    </row>
    <row r="226" spans="3:8" x14ac:dyDescent="0.15">
      <c r="C226">
        <f t="shared" si="24"/>
        <v>18</v>
      </c>
      <c r="D226">
        <f t="shared" si="25"/>
        <v>9</v>
      </c>
      <c r="E226" s="25">
        <f t="shared" si="23"/>
        <v>8500000</v>
      </c>
      <c r="F226" s="22">
        <f t="shared" si="20"/>
        <v>272690.16761499998</v>
      </c>
      <c r="G226" s="22">
        <f t="shared" si="22"/>
        <v>80166587.506059214</v>
      </c>
      <c r="H226" s="27">
        <f t="shared" si="21"/>
        <v>2041.5729390061244</v>
      </c>
    </row>
    <row r="227" spans="3:8" x14ac:dyDescent="0.15">
      <c r="C227">
        <f t="shared" si="24"/>
        <v>18</v>
      </c>
      <c r="D227">
        <f t="shared" si="25"/>
        <v>10</v>
      </c>
      <c r="E227" s="25">
        <f t="shared" si="23"/>
        <v>8500000</v>
      </c>
      <c r="F227" s="22">
        <f t="shared" si="20"/>
        <v>272690.16761499998</v>
      </c>
      <c r="G227" s="22">
        <f t="shared" si="22"/>
        <v>80670210.692911014</v>
      </c>
      <c r="H227" s="27">
        <f t="shared" si="21"/>
        <v>2054.398525097773</v>
      </c>
    </row>
    <row r="228" spans="3:8" x14ac:dyDescent="0.15">
      <c r="C228">
        <f t="shared" si="24"/>
        <v>18</v>
      </c>
      <c r="D228">
        <f t="shared" si="25"/>
        <v>11</v>
      </c>
      <c r="E228" s="25">
        <f t="shared" si="23"/>
        <v>8500000</v>
      </c>
      <c r="F228" s="22">
        <f t="shared" si="20"/>
        <v>272690.16761499998</v>
      </c>
      <c r="G228" s="22">
        <f t="shared" si="22"/>
        <v>81175279.730924845</v>
      </c>
      <c r="H228" s="27">
        <f t="shared" si="21"/>
        <v>2067.2609321481041</v>
      </c>
    </row>
    <row r="229" spans="3:8" x14ac:dyDescent="0.15">
      <c r="C229">
        <f t="shared" si="24"/>
        <v>18</v>
      </c>
      <c r="D229">
        <f t="shared" si="25"/>
        <v>12</v>
      </c>
      <c r="E229" s="25">
        <f t="shared" si="23"/>
        <v>8500000</v>
      </c>
      <c r="F229" s="22">
        <f t="shared" si="20"/>
        <v>272690.16761499998</v>
      </c>
      <c r="G229" s="22">
        <f t="shared" si="22"/>
        <v>81681798.77099295</v>
      </c>
      <c r="H229" s="27">
        <f t="shared" si="21"/>
        <v>2080.1602658663596</v>
      </c>
    </row>
    <row r="230" spans="3:8" x14ac:dyDescent="0.15">
      <c r="C230">
        <f t="shared" si="24"/>
        <v>19</v>
      </c>
      <c r="D230">
        <f t="shared" si="25"/>
        <v>1</v>
      </c>
      <c r="E230" s="25">
        <f t="shared" si="23"/>
        <v>8500000</v>
      </c>
      <c r="F230" s="22">
        <f t="shared" si="20"/>
        <v>272690.16761499998</v>
      </c>
      <c r="G230" s="22">
        <f t="shared" si="22"/>
        <v>82189771.975924373</v>
      </c>
      <c r="H230" s="27">
        <f t="shared" si="21"/>
        <v>2093.0966322652639</v>
      </c>
    </row>
    <row r="231" spans="3:8" x14ac:dyDescent="0.15">
      <c r="C231">
        <f t="shared" si="24"/>
        <v>19</v>
      </c>
      <c r="D231">
        <f t="shared" si="25"/>
        <v>2</v>
      </c>
      <c r="E231" s="25">
        <f t="shared" si="23"/>
        <v>8500000</v>
      </c>
      <c r="F231" s="22">
        <f t="shared" si="20"/>
        <v>272690.16761499998</v>
      </c>
      <c r="G231" s="22">
        <f t="shared" si="22"/>
        <v>82699203.520479158</v>
      </c>
      <c r="H231" s="27">
        <f t="shared" si="21"/>
        <v>2106.0701376618922</v>
      </c>
    </row>
    <row r="232" spans="3:8" x14ac:dyDescent="0.15">
      <c r="C232">
        <f t="shared" si="24"/>
        <v>19</v>
      </c>
      <c r="D232">
        <f t="shared" si="25"/>
        <v>3</v>
      </c>
      <c r="E232" s="25">
        <f t="shared" si="23"/>
        <v>8500000</v>
      </c>
      <c r="F232" s="22">
        <f t="shared" si="20"/>
        <v>272690.16761499998</v>
      </c>
      <c r="G232" s="22">
        <f t="shared" si="22"/>
        <v>83210097.591402665</v>
      </c>
      <c r="H232" s="27">
        <f t="shared" si="21"/>
        <v>2119.0808886785458</v>
      </c>
    </row>
    <row r="233" spans="3:8" x14ac:dyDescent="0.15">
      <c r="C233">
        <f t="shared" si="24"/>
        <v>19</v>
      </c>
      <c r="D233">
        <f t="shared" si="25"/>
        <v>4</v>
      </c>
      <c r="E233" s="25">
        <f t="shared" si="23"/>
        <v>8500000</v>
      </c>
      <c r="F233" s="22">
        <f t="shared" si="20"/>
        <v>272690.16761499998</v>
      </c>
      <c r="G233" s="22">
        <f t="shared" si="22"/>
        <v>83722458.387459978</v>
      </c>
      <c r="H233" s="27">
        <f t="shared" si="21"/>
        <v>2132.1289922436276</v>
      </c>
    </row>
    <row r="234" spans="3:8" x14ac:dyDescent="0.15">
      <c r="C234">
        <f t="shared" si="24"/>
        <v>19</v>
      </c>
      <c r="D234">
        <f t="shared" si="25"/>
        <v>5</v>
      </c>
      <c r="E234" s="25">
        <f t="shared" si="23"/>
        <v>8500000</v>
      </c>
      <c r="F234" s="22">
        <f t="shared" si="20"/>
        <v>272690.16761499998</v>
      </c>
      <c r="G234" s="22">
        <f t="shared" si="22"/>
        <v>84236290.119470388</v>
      </c>
      <c r="H234" s="27">
        <f t="shared" si="21"/>
        <v>2145.2145555925204</v>
      </c>
    </row>
    <row r="235" spans="3:8" x14ac:dyDescent="0.15">
      <c r="C235">
        <f t="shared" si="24"/>
        <v>19</v>
      </c>
      <c r="D235">
        <f t="shared" si="25"/>
        <v>6</v>
      </c>
      <c r="E235" s="25">
        <f t="shared" si="23"/>
        <v>8500000</v>
      </c>
      <c r="F235" s="22">
        <f t="shared" si="20"/>
        <v>272690.16761499998</v>
      </c>
      <c r="G235" s="22">
        <f t="shared" si="22"/>
        <v>84751597.010342047</v>
      </c>
      <c r="H235" s="27">
        <f t="shared" si="21"/>
        <v>2158.33768626847</v>
      </c>
    </row>
    <row r="236" spans="3:8" x14ac:dyDescent="0.15">
      <c r="C236">
        <f t="shared" si="24"/>
        <v>19</v>
      </c>
      <c r="D236">
        <f t="shared" si="25"/>
        <v>7</v>
      </c>
      <c r="E236" s="25">
        <f t="shared" si="23"/>
        <v>8500000</v>
      </c>
      <c r="F236" s="22">
        <f t="shared" si="20"/>
        <v>272690.16761499998</v>
      </c>
      <c r="G236" s="22">
        <f t="shared" si="22"/>
        <v>85268383.295106649</v>
      </c>
      <c r="H236" s="27">
        <f t="shared" si="21"/>
        <v>2171.4984921234677</v>
      </c>
    </row>
    <row r="237" spans="3:8" x14ac:dyDescent="0.15">
      <c r="C237">
        <f t="shared" si="24"/>
        <v>19</v>
      </c>
      <c r="D237">
        <f t="shared" si="25"/>
        <v>8</v>
      </c>
      <c r="E237" s="25">
        <f t="shared" si="23"/>
        <v>8500000</v>
      </c>
      <c r="F237" s="22">
        <f t="shared" si="20"/>
        <v>272690.16761499998</v>
      </c>
      <c r="G237" s="22">
        <f t="shared" si="22"/>
        <v>85786653.22095421</v>
      </c>
      <c r="H237" s="27">
        <f t="shared" si="21"/>
        <v>2184.697081319136</v>
      </c>
    </row>
    <row r="238" spans="3:8" x14ac:dyDescent="0.15">
      <c r="C238">
        <f t="shared" si="24"/>
        <v>19</v>
      </c>
      <c r="D238">
        <f t="shared" si="25"/>
        <v>9</v>
      </c>
      <c r="E238" s="25">
        <f t="shared" si="23"/>
        <v>8500000</v>
      </c>
      <c r="F238" s="22">
        <f t="shared" si="20"/>
        <v>272690.16761499998</v>
      </c>
      <c r="G238" s="22">
        <f t="shared" si="22"/>
        <v>86306411.047268033</v>
      </c>
      <c r="H238" s="27">
        <f t="shared" si="21"/>
        <v>2197.9335623276206</v>
      </c>
    </row>
    <row r="239" spans="3:8" x14ac:dyDescent="0.15">
      <c r="C239">
        <f t="shared" si="24"/>
        <v>19</v>
      </c>
      <c r="D239">
        <f t="shared" si="25"/>
        <v>10</v>
      </c>
      <c r="E239" s="25">
        <f t="shared" si="23"/>
        <v>8500000</v>
      </c>
      <c r="F239" s="22">
        <f t="shared" si="20"/>
        <v>272690.16761499998</v>
      </c>
      <c r="G239" s="22">
        <f t="shared" si="22"/>
        <v>86827661.045659646</v>
      </c>
      <c r="H239" s="27">
        <f t="shared" si="21"/>
        <v>2211.2080439324768</v>
      </c>
    </row>
    <row r="240" spans="3:8" x14ac:dyDescent="0.15">
      <c r="C240">
        <f t="shared" si="24"/>
        <v>19</v>
      </c>
      <c r="D240">
        <f t="shared" si="25"/>
        <v>11</v>
      </c>
      <c r="E240" s="25">
        <f t="shared" si="23"/>
        <v>8500000</v>
      </c>
      <c r="F240" s="22">
        <f t="shared" si="20"/>
        <v>272690.16761499998</v>
      </c>
      <c r="G240" s="22">
        <f t="shared" si="22"/>
        <v>87350407.500003964</v>
      </c>
      <c r="H240" s="27">
        <f t="shared" si="21"/>
        <v>2224.5206352295695</v>
      </c>
    </row>
    <row r="241" spans="3:8" x14ac:dyDescent="0.15">
      <c r="C241">
        <f t="shared" si="24"/>
        <v>19</v>
      </c>
      <c r="D241">
        <f t="shared" si="25"/>
        <v>12</v>
      </c>
      <c r="E241" s="25">
        <f t="shared" si="23"/>
        <v>8500000</v>
      </c>
      <c r="F241" s="22">
        <f t="shared" si="20"/>
        <v>272690.16761499998</v>
      </c>
      <c r="G241" s="22">
        <f t="shared" si="22"/>
        <v>87874654.706474453</v>
      </c>
      <c r="H241" s="27">
        <f t="shared" si="21"/>
        <v>2237.871445627964</v>
      </c>
    </row>
    <row r="242" spans="3:8" x14ac:dyDescent="0.15">
      <c r="C242">
        <f t="shared" si="24"/>
        <v>20</v>
      </c>
      <c r="D242">
        <f t="shared" si="25"/>
        <v>1</v>
      </c>
      <c r="E242" s="25">
        <f t="shared" si="23"/>
        <v>8500000</v>
      </c>
      <c r="F242" s="22">
        <f t="shared" si="20"/>
        <v>272690.16761499998</v>
      </c>
      <c r="G242" s="22">
        <f t="shared" si="22"/>
        <v>88400406.973578483</v>
      </c>
      <c r="H242" s="27">
        <f t="shared" si="21"/>
        <v>2251.2605848508301</v>
      </c>
    </row>
    <row r="243" spans="3:8" x14ac:dyDescent="0.15">
      <c r="C243">
        <f t="shared" si="24"/>
        <v>20</v>
      </c>
      <c r="D243">
        <f t="shared" si="25"/>
        <v>2</v>
      </c>
      <c r="E243" s="25">
        <f t="shared" si="23"/>
        <v>8500000</v>
      </c>
      <c r="F243" s="22">
        <f t="shared" si="20"/>
        <v>272690.16761499998</v>
      </c>
      <c r="G243" s="22">
        <f t="shared" si="22"/>
        <v>88927668.622192696</v>
      </c>
      <c r="H243" s="27">
        <f t="shared" si="21"/>
        <v>2264.6881629363406</v>
      </c>
    </row>
    <row r="244" spans="3:8" x14ac:dyDescent="0.15">
      <c r="C244">
        <f t="shared" si="24"/>
        <v>20</v>
      </c>
      <c r="D244">
        <f t="shared" si="25"/>
        <v>3</v>
      </c>
      <c r="E244" s="25">
        <f t="shared" si="23"/>
        <v>8500000</v>
      </c>
      <c r="F244" s="22">
        <f t="shared" si="20"/>
        <v>272690.16761499998</v>
      </c>
      <c r="G244" s="22">
        <f t="shared" si="22"/>
        <v>89456443.985598534</v>
      </c>
      <c r="H244" s="27">
        <f t="shared" si="21"/>
        <v>2278.1542902385772</v>
      </c>
    </row>
    <row r="245" spans="3:8" x14ac:dyDescent="0.15">
      <c r="C245">
        <f t="shared" si="24"/>
        <v>20</v>
      </c>
      <c r="D245">
        <f t="shared" si="25"/>
        <v>4</v>
      </c>
      <c r="E245" s="25">
        <f t="shared" si="23"/>
        <v>8500000</v>
      </c>
      <c r="F245" s="22">
        <f t="shared" si="20"/>
        <v>272690.16761499998</v>
      </c>
      <c r="G245" s="22">
        <f t="shared" si="22"/>
        <v>89986737.409517854</v>
      </c>
      <c r="H245" s="27">
        <f t="shared" si="21"/>
        <v>2291.6590774284368</v>
      </c>
    </row>
    <row r="246" spans="3:8" x14ac:dyDescent="0.15">
      <c r="C246">
        <f t="shared" si="24"/>
        <v>20</v>
      </c>
      <c r="D246">
        <f t="shared" si="25"/>
        <v>5</v>
      </c>
      <c r="E246" s="25">
        <f t="shared" si="23"/>
        <v>8500000</v>
      </c>
      <c r="F246" s="22">
        <f t="shared" si="20"/>
        <v>272690.16761499998</v>
      </c>
      <c r="G246" s="22">
        <f t="shared" si="22"/>
        <v>90518553.252148628</v>
      </c>
      <c r="H246" s="27">
        <f t="shared" si="21"/>
        <v>2305.202635494541</v>
      </c>
    </row>
    <row r="247" spans="3:8" x14ac:dyDescent="0.15">
      <c r="C247">
        <f t="shared" si="24"/>
        <v>20</v>
      </c>
      <c r="D247">
        <f t="shared" si="25"/>
        <v>6</v>
      </c>
      <c r="E247" s="25">
        <f t="shared" si="23"/>
        <v>8500000</v>
      </c>
      <c r="F247" s="22">
        <f t="shared" si="20"/>
        <v>272690.16761499998</v>
      </c>
      <c r="G247" s="22">
        <f t="shared" si="22"/>
        <v>91051895.884200796</v>
      </c>
      <c r="H247" s="27">
        <f t="shared" si="21"/>
        <v>2318.7850757441488</v>
      </c>
    </row>
    <row r="248" spans="3:8" x14ac:dyDescent="0.15">
      <c r="C248">
        <f t="shared" si="24"/>
        <v>20</v>
      </c>
      <c r="D248">
        <f t="shared" si="25"/>
        <v>7</v>
      </c>
      <c r="E248" s="25">
        <f t="shared" si="23"/>
        <v>8500000</v>
      </c>
      <c r="F248" s="22">
        <f t="shared" si="20"/>
        <v>272690.16761499998</v>
      </c>
      <c r="G248" s="22">
        <f t="shared" si="22"/>
        <v>91586769.688932151</v>
      </c>
      <c r="H248" s="27">
        <f t="shared" si="21"/>
        <v>2332.4065098040714</v>
      </c>
    </row>
    <row r="249" spans="3:8" x14ac:dyDescent="0.15">
      <c r="C249">
        <f t="shared" si="24"/>
        <v>20</v>
      </c>
      <c r="D249">
        <f t="shared" si="25"/>
        <v>8</v>
      </c>
      <c r="E249" s="25">
        <f t="shared" si="23"/>
        <v>8500000</v>
      </c>
      <c r="F249" s="22">
        <f t="shared" si="20"/>
        <v>272690.16761499998</v>
      </c>
      <c r="G249" s="22">
        <f t="shared" si="22"/>
        <v>92123179.062184379</v>
      </c>
      <c r="H249" s="27">
        <f t="shared" si="21"/>
        <v>2346.0670496215885</v>
      </c>
    </row>
    <row r="250" spans="3:8" x14ac:dyDescent="0.15">
      <c r="C250">
        <f t="shared" si="24"/>
        <v>20</v>
      </c>
      <c r="D250">
        <f t="shared" si="25"/>
        <v>9</v>
      </c>
      <c r="E250" s="25">
        <f t="shared" si="23"/>
        <v>8500000</v>
      </c>
      <c r="F250" s="22">
        <f t="shared" si="20"/>
        <v>272690.16761499998</v>
      </c>
      <c r="G250" s="22">
        <f t="shared" si="22"/>
        <v>92661128.412419185</v>
      </c>
      <c r="H250" s="27">
        <f t="shared" si="21"/>
        <v>2359.7668074653693</v>
      </c>
    </row>
    <row r="251" spans="3:8" x14ac:dyDescent="0.15">
      <c r="C251">
        <f t="shared" si="24"/>
        <v>20</v>
      </c>
      <c r="D251">
        <f t="shared" si="25"/>
        <v>10</v>
      </c>
      <c r="E251" s="25">
        <f t="shared" si="23"/>
        <v>8500000</v>
      </c>
      <c r="F251" s="22">
        <f t="shared" si="20"/>
        <v>272690.16761499998</v>
      </c>
      <c r="G251" s="22">
        <f t="shared" si="22"/>
        <v>93200622.160754502</v>
      </c>
      <c r="H251" s="27">
        <f t="shared" si="21"/>
        <v>2373.5058959263961</v>
      </c>
    </row>
    <row r="252" spans="3:8" x14ac:dyDescent="0.15">
      <c r="C252">
        <f t="shared" si="24"/>
        <v>20</v>
      </c>
      <c r="D252">
        <f t="shared" si="25"/>
        <v>11</v>
      </c>
      <c r="E252" s="25">
        <f t="shared" si="23"/>
        <v>8500000</v>
      </c>
      <c r="F252" s="22">
        <f t="shared" si="20"/>
        <v>272690.16761499998</v>
      </c>
      <c r="G252" s="22">
        <f t="shared" si="22"/>
        <v>93741664.741000861</v>
      </c>
      <c r="H252" s="27">
        <f t="shared" si="21"/>
        <v>2387.2844279188862</v>
      </c>
    </row>
    <row r="253" spans="3:8" x14ac:dyDescent="0.15">
      <c r="C253">
        <f t="shared" si="24"/>
        <v>20</v>
      </c>
      <c r="D253">
        <f t="shared" si="25"/>
        <v>12</v>
      </c>
      <c r="E253" s="25">
        <f t="shared" si="23"/>
        <v>8500000</v>
      </c>
      <c r="F253" s="22">
        <f t="shared" si="20"/>
        <v>272690.16761499998</v>
      </c>
      <c r="G253" s="22">
        <f t="shared" si="22"/>
        <v>94284260.599697813</v>
      </c>
      <c r="H253" s="27">
        <f t="shared" si="21"/>
        <v>2401.1025166812246</v>
      </c>
    </row>
    <row r="254" spans="3:8" x14ac:dyDescent="0.15">
      <c r="C254">
        <f t="shared" si="24"/>
        <v>21</v>
      </c>
      <c r="D254">
        <f t="shared" si="25"/>
        <v>1</v>
      </c>
      <c r="E254" s="25">
        <f t="shared" si="23"/>
        <v>8500000</v>
      </c>
      <c r="F254" s="22">
        <f t="shared" si="20"/>
        <v>272690.16761499998</v>
      </c>
      <c r="G254" s="22">
        <f t="shared" si="22"/>
        <v>94828414.196150482</v>
      </c>
      <c r="H254" s="27">
        <f t="shared" si="21"/>
        <v>2414.9602757768912</v>
      </c>
    </row>
    <row r="255" spans="3:8" x14ac:dyDescent="0.15">
      <c r="C255">
        <f t="shared" si="24"/>
        <v>21</v>
      </c>
      <c r="D255">
        <f t="shared" si="25"/>
        <v>2</v>
      </c>
      <c r="E255" s="25">
        <f t="shared" si="23"/>
        <v>8500000</v>
      </c>
      <c r="F255" s="22">
        <f t="shared" si="20"/>
        <v>272690.16761499998</v>
      </c>
      <c r="G255" s="22">
        <f t="shared" si="22"/>
        <v>95374130.002466187</v>
      </c>
      <c r="H255" s="27">
        <f t="shared" si="21"/>
        <v>2428.8578190953945</v>
      </c>
    </row>
    <row r="256" spans="3:8" x14ac:dyDescent="0.15">
      <c r="C256">
        <f t="shared" si="24"/>
        <v>21</v>
      </c>
      <c r="D256">
        <f t="shared" si="25"/>
        <v>3</v>
      </c>
      <c r="E256" s="25">
        <f t="shared" si="23"/>
        <v>8500000</v>
      </c>
      <c r="F256" s="22">
        <f t="shared" si="20"/>
        <v>272690.16761499998</v>
      </c>
      <c r="G256" s="22">
        <f t="shared" si="22"/>
        <v>95921412.503591225</v>
      </c>
      <c r="H256" s="27">
        <f t="shared" si="21"/>
        <v>2442.7952608532091</v>
      </c>
    </row>
    <row r="257" spans="3:8" x14ac:dyDescent="0.15">
      <c r="C257">
        <f t="shared" si="24"/>
        <v>21</v>
      </c>
      <c r="D257">
        <f t="shared" si="25"/>
        <v>4</v>
      </c>
      <c r="E257" s="25">
        <f t="shared" si="23"/>
        <v>8500000</v>
      </c>
      <c r="F257" s="22">
        <f t="shared" si="20"/>
        <v>272690.16761499998</v>
      </c>
      <c r="G257" s="22">
        <f t="shared" si="22"/>
        <v>96470266.197347715</v>
      </c>
      <c r="H257" s="27">
        <f t="shared" si="21"/>
        <v>2456.7727155947136</v>
      </c>
    </row>
    <row r="258" spans="3:8" x14ac:dyDescent="0.15">
      <c r="C258">
        <f t="shared" si="24"/>
        <v>21</v>
      </c>
      <c r="D258">
        <f t="shared" si="25"/>
        <v>5</v>
      </c>
      <c r="E258" s="25">
        <f t="shared" si="23"/>
        <v>8500000</v>
      </c>
      <c r="F258" s="22">
        <f t="shared" si="20"/>
        <v>272690.16761499998</v>
      </c>
      <c r="G258" s="22">
        <f t="shared" si="22"/>
        <v>97020695.594470575</v>
      </c>
      <c r="H258" s="27">
        <f t="shared" si="21"/>
        <v>2470.7902981931315</v>
      </c>
    </row>
    <row r="259" spans="3:8" x14ac:dyDescent="0.15">
      <c r="C259">
        <f t="shared" si="24"/>
        <v>21</v>
      </c>
      <c r="D259">
        <f t="shared" si="25"/>
        <v>6</v>
      </c>
      <c r="E259" s="25">
        <f t="shared" si="23"/>
        <v>8500000</v>
      </c>
      <c r="F259" s="22">
        <f t="shared" si="20"/>
        <v>272690.16761499998</v>
      </c>
      <c r="G259" s="22">
        <f t="shared" si="22"/>
        <v>97572705.218644574</v>
      </c>
      <c r="H259" s="27">
        <f t="shared" si="21"/>
        <v>2484.848123851476</v>
      </c>
    </row>
    <row r="260" spans="3:8" x14ac:dyDescent="0.15">
      <c r="C260">
        <f t="shared" si="24"/>
        <v>21</v>
      </c>
      <c r="D260">
        <f t="shared" si="25"/>
        <v>7</v>
      </c>
      <c r="E260" s="25">
        <f t="shared" si="23"/>
        <v>8500000</v>
      </c>
      <c r="F260" s="22">
        <f t="shared" si="20"/>
        <v>272690.16761499998</v>
      </c>
      <c r="G260" s="22">
        <f t="shared" si="22"/>
        <v>98126299.606541529</v>
      </c>
      <c r="H260" s="27">
        <f t="shared" si="21"/>
        <v>2498.9463081034955</v>
      </c>
    </row>
    <row r="261" spans="3:8" x14ac:dyDescent="0.15">
      <c r="C261">
        <f t="shared" si="24"/>
        <v>21</v>
      </c>
      <c r="D261">
        <f t="shared" si="25"/>
        <v>8</v>
      </c>
      <c r="E261" s="25">
        <f t="shared" si="23"/>
        <v>8500000</v>
      </c>
      <c r="F261" s="22">
        <f t="shared" si="20"/>
        <v>272690.16761499998</v>
      </c>
      <c r="G261" s="22">
        <f t="shared" si="22"/>
        <v>98681483.307857588</v>
      </c>
      <c r="H261" s="27">
        <f t="shared" si="21"/>
        <v>2513.0849668146257</v>
      </c>
    </row>
    <row r="262" spans="3:8" x14ac:dyDescent="0.15">
      <c r="C262">
        <f t="shared" si="24"/>
        <v>21</v>
      </c>
      <c r="D262">
        <f t="shared" si="25"/>
        <v>9</v>
      </c>
      <c r="E262" s="25">
        <f t="shared" si="23"/>
        <v>8500000</v>
      </c>
      <c r="F262" s="22">
        <f t="shared" si="20"/>
        <v>272690.16761499998</v>
      </c>
      <c r="G262" s="22">
        <f t="shared" si="22"/>
        <v>99238260.8853506</v>
      </c>
      <c r="H262" s="27">
        <f t="shared" si="21"/>
        <v>2527.264216182939</v>
      </c>
    </row>
    <row r="263" spans="3:8" x14ac:dyDescent="0.15">
      <c r="C263">
        <f t="shared" si="24"/>
        <v>21</v>
      </c>
      <c r="D263">
        <f t="shared" si="25"/>
        <v>10</v>
      </c>
      <c r="E263" s="25">
        <f t="shared" si="23"/>
        <v>8500000</v>
      </c>
      <c r="F263" s="22">
        <f t="shared" si="20"/>
        <v>272690.16761499998</v>
      </c>
      <c r="G263" s="22">
        <f t="shared" si="22"/>
        <v>99796636.914877653</v>
      </c>
      <c r="H263" s="27">
        <f t="shared" si="21"/>
        <v>2541.4841727401013</v>
      </c>
    </row>
    <row r="264" spans="3:8" x14ac:dyDescent="0.15">
      <c r="C264">
        <f t="shared" si="24"/>
        <v>21</v>
      </c>
      <c r="D264">
        <f t="shared" si="25"/>
        <v>11</v>
      </c>
      <c r="E264" s="25">
        <f t="shared" si="23"/>
        <v>8500000</v>
      </c>
      <c r="F264" s="22">
        <f t="shared" si="20"/>
        <v>272690.16761499998</v>
      </c>
      <c r="G264" s="22">
        <f t="shared" si="22"/>
        <v>100356615.98543264</v>
      </c>
      <c r="H264" s="27">
        <f t="shared" si="21"/>
        <v>2555.744953352329</v>
      </c>
    </row>
    <row r="265" spans="3:8" x14ac:dyDescent="0.15">
      <c r="C265">
        <f t="shared" si="24"/>
        <v>21</v>
      </c>
      <c r="D265">
        <f t="shared" si="25"/>
        <v>12</v>
      </c>
      <c r="E265" s="25">
        <f t="shared" si="23"/>
        <v>8500000</v>
      </c>
      <c r="F265" s="22">
        <f t="shared" si="20"/>
        <v>272690.16761499998</v>
      </c>
      <c r="G265" s="22">
        <f t="shared" si="22"/>
        <v>100918202.69918399</v>
      </c>
      <c r="H265" s="27">
        <f t="shared" si="21"/>
        <v>2570.0466752213492</v>
      </c>
    </row>
    <row r="266" spans="3:8" x14ac:dyDescent="0.15">
      <c r="C266">
        <f t="shared" si="24"/>
        <v>22</v>
      </c>
      <c r="D266">
        <f t="shared" si="25"/>
        <v>1</v>
      </c>
      <c r="E266" s="25">
        <f t="shared" si="23"/>
        <v>8500000</v>
      </c>
      <c r="F266" s="22">
        <f t="shared" si="20"/>
        <v>272690.16761499998</v>
      </c>
      <c r="G266" s="22">
        <f t="shared" si="22"/>
        <v>101481401.6715125</v>
      </c>
      <c r="H266" s="27">
        <f t="shared" si="21"/>
        <v>2584.389455885364</v>
      </c>
    </row>
    <row r="267" spans="3:8" x14ac:dyDescent="0.15">
      <c r="C267">
        <f t="shared" si="24"/>
        <v>22</v>
      </c>
      <c r="D267">
        <f t="shared" si="25"/>
        <v>2</v>
      </c>
      <c r="E267" s="25">
        <f t="shared" si="23"/>
        <v>8500000</v>
      </c>
      <c r="F267" s="22">
        <f t="shared" si="20"/>
        <v>272690.16761499998</v>
      </c>
      <c r="G267" s="22">
        <f t="shared" si="22"/>
        <v>102046217.53104925</v>
      </c>
      <c r="H267" s="27">
        <f t="shared" si="21"/>
        <v>2598.7734132200148</v>
      </c>
    </row>
    <row r="268" spans="3:8" x14ac:dyDescent="0.15">
      <c r="C268">
        <f t="shared" si="24"/>
        <v>22</v>
      </c>
      <c r="D268">
        <f t="shared" si="25"/>
        <v>3</v>
      </c>
      <c r="E268" s="25">
        <f t="shared" si="23"/>
        <v>8500000</v>
      </c>
      <c r="F268" s="22">
        <f t="shared" si="20"/>
        <v>272690.16761499998</v>
      </c>
      <c r="G268" s="22">
        <f t="shared" si="22"/>
        <v>102612654.91971366</v>
      </c>
      <c r="H268" s="27">
        <f t="shared" si="21"/>
        <v>2613.1986654393531</v>
      </c>
    </row>
    <row r="269" spans="3:8" x14ac:dyDescent="0.15">
      <c r="C269">
        <f t="shared" si="24"/>
        <v>22</v>
      </c>
      <c r="D269">
        <f t="shared" si="25"/>
        <v>4</v>
      </c>
      <c r="E269" s="25">
        <f t="shared" si="23"/>
        <v>8500000</v>
      </c>
      <c r="F269" s="22">
        <f t="shared" si="20"/>
        <v>272690.16761499998</v>
      </c>
      <c r="G269" s="22">
        <f t="shared" si="22"/>
        <v>103180718.49275163</v>
      </c>
      <c r="H269" s="27">
        <f t="shared" si="21"/>
        <v>2627.6653310968104</v>
      </c>
    </row>
    <row r="270" spans="3:8" x14ac:dyDescent="0.15">
      <c r="C270">
        <f t="shared" si="24"/>
        <v>22</v>
      </c>
      <c r="D270">
        <f t="shared" si="25"/>
        <v>5</v>
      </c>
      <c r="E270" s="25">
        <f t="shared" si="23"/>
        <v>8500000</v>
      </c>
      <c r="F270" s="22">
        <f t="shared" si="20"/>
        <v>272690.16761499998</v>
      </c>
      <c r="G270" s="22">
        <f t="shared" si="22"/>
        <v>103750412.91877379</v>
      </c>
      <c r="H270" s="27">
        <f t="shared" si="21"/>
        <v>2642.1735290861729</v>
      </c>
    </row>
    <row r="271" spans="3:8" x14ac:dyDescent="0.15">
      <c r="C271">
        <f t="shared" si="24"/>
        <v>22</v>
      </c>
      <c r="D271">
        <f t="shared" si="25"/>
        <v>6</v>
      </c>
      <c r="E271" s="25">
        <f t="shared" si="23"/>
        <v>8500000</v>
      </c>
      <c r="F271" s="22">
        <f t="shared" ref="F271:F334" si="26">IF(E271/$D$3&lt;$D$2*(1+$D$11)^(C271-1),0.1*E271,0.1*$D$2*$D$3*(1+$D$11)^(C271-1))*(1-$D$9)</f>
        <v>272690.16761499998</v>
      </c>
      <c r="G271" s="22">
        <f t="shared" si="22"/>
        <v>104321742.87979387</v>
      </c>
      <c r="H271" s="27">
        <f t="shared" ref="H271:H334" si="27">G271/$D$3</f>
        <v>2656.7233786425591</v>
      </c>
    </row>
    <row r="272" spans="3:8" x14ac:dyDescent="0.15">
      <c r="C272">
        <f t="shared" si="24"/>
        <v>22</v>
      </c>
      <c r="D272">
        <f t="shared" si="25"/>
        <v>7</v>
      </c>
      <c r="E272" s="25">
        <f t="shared" si="23"/>
        <v>8500000</v>
      </c>
      <c r="F272" s="22">
        <f t="shared" si="26"/>
        <v>272690.16761499998</v>
      </c>
      <c r="G272" s="22">
        <f t="shared" ref="G272:G335" si="28">(F272+G271)*(1+$D$5)</f>
        <v>104894713.07126722</v>
      </c>
      <c r="H272" s="27">
        <f t="shared" si="27"/>
        <v>2671.3149993433994</v>
      </c>
    </row>
    <row r="273" spans="3:8" x14ac:dyDescent="0.15">
      <c r="C273">
        <f t="shared" si="24"/>
        <v>22</v>
      </c>
      <c r="D273">
        <f t="shared" si="25"/>
        <v>8</v>
      </c>
      <c r="E273" s="25">
        <f t="shared" ref="E273:E336" si="29">E272</f>
        <v>8500000</v>
      </c>
      <c r="F273" s="22">
        <f t="shared" si="26"/>
        <v>272690.16761499998</v>
      </c>
      <c r="G273" s="22">
        <f t="shared" si="28"/>
        <v>105469328.20212933</v>
      </c>
      <c r="H273" s="27">
        <f t="shared" si="27"/>
        <v>2685.9485111094191</v>
      </c>
    </row>
    <row r="274" spans="3:8" x14ac:dyDescent="0.15">
      <c r="C274">
        <f t="shared" si="24"/>
        <v>22</v>
      </c>
      <c r="D274">
        <f t="shared" si="25"/>
        <v>9</v>
      </c>
      <c r="E274" s="25">
        <f t="shared" si="29"/>
        <v>8500000</v>
      </c>
      <c r="F274" s="22">
        <f t="shared" si="26"/>
        <v>272690.16761499998</v>
      </c>
      <c r="G274" s="22">
        <f t="shared" si="28"/>
        <v>106045592.9948346</v>
      </c>
      <c r="H274" s="27">
        <f t="shared" si="27"/>
        <v>2700.624034205623</v>
      </c>
    </row>
    <row r="275" spans="3:8" x14ac:dyDescent="0.15">
      <c r="C275">
        <f t="shared" si="24"/>
        <v>22</v>
      </c>
      <c r="D275">
        <f t="shared" si="25"/>
        <v>10</v>
      </c>
      <c r="E275" s="25">
        <f t="shared" si="29"/>
        <v>8500000</v>
      </c>
      <c r="F275" s="22">
        <f t="shared" si="26"/>
        <v>272690.16761499998</v>
      </c>
      <c r="G275" s="22">
        <f t="shared" si="28"/>
        <v>106623512.18539511</v>
      </c>
      <c r="H275" s="27">
        <f t="shared" si="27"/>
        <v>2715.3416892422865</v>
      </c>
    </row>
    <row r="276" spans="3:8" x14ac:dyDescent="0.15">
      <c r="C276">
        <f t="shared" si="24"/>
        <v>22</v>
      </c>
      <c r="D276">
        <f t="shared" si="25"/>
        <v>11</v>
      </c>
      <c r="E276" s="25">
        <f t="shared" si="29"/>
        <v>8500000</v>
      </c>
      <c r="F276" s="22">
        <f t="shared" si="26"/>
        <v>272690.16761499998</v>
      </c>
      <c r="G276" s="22">
        <f t="shared" si="28"/>
        <v>107203090.52341951</v>
      </c>
      <c r="H276" s="27">
        <f t="shared" si="27"/>
        <v>2730.1015971759421</v>
      </c>
    </row>
    <row r="277" spans="3:8" x14ac:dyDescent="0.15">
      <c r="C277">
        <f t="shared" si="24"/>
        <v>22</v>
      </c>
      <c r="D277">
        <f t="shared" si="25"/>
        <v>12</v>
      </c>
      <c r="E277" s="25">
        <f t="shared" si="29"/>
        <v>8500000</v>
      </c>
      <c r="F277" s="22">
        <f t="shared" si="26"/>
        <v>272690.16761499998</v>
      </c>
      <c r="G277" s="22">
        <f t="shared" si="28"/>
        <v>107784332.77215217</v>
      </c>
      <c r="H277" s="27">
        <f t="shared" si="27"/>
        <v>2744.9038793103782</v>
      </c>
    </row>
    <row r="278" spans="3:8" x14ac:dyDescent="0.15">
      <c r="C278">
        <f t="shared" si="24"/>
        <v>23</v>
      </c>
      <c r="D278">
        <f t="shared" si="25"/>
        <v>1</v>
      </c>
      <c r="E278" s="25">
        <f t="shared" si="29"/>
        <v>8500000</v>
      </c>
      <c r="F278" s="22">
        <f t="shared" si="26"/>
        <v>272690.16761499998</v>
      </c>
      <c r="G278" s="22">
        <f t="shared" si="28"/>
        <v>108367243.70851219</v>
      </c>
      <c r="H278" s="27">
        <f t="shared" si="27"/>
        <v>2759.7486572976336</v>
      </c>
    </row>
    <row r="279" spans="3:8" x14ac:dyDescent="0.15">
      <c r="C279">
        <f t="shared" si="24"/>
        <v>23</v>
      </c>
      <c r="D279">
        <f t="shared" si="25"/>
        <v>2</v>
      </c>
      <c r="E279" s="25">
        <f t="shared" si="29"/>
        <v>8500000</v>
      </c>
      <c r="F279" s="22">
        <f t="shared" si="26"/>
        <v>272690.16761499998</v>
      </c>
      <c r="G279" s="22">
        <f t="shared" si="28"/>
        <v>108951828.12313274</v>
      </c>
      <c r="H279" s="27">
        <f t="shared" si="27"/>
        <v>2774.6360531389973</v>
      </c>
    </row>
    <row r="280" spans="3:8" x14ac:dyDescent="0.15">
      <c r="C280">
        <f t="shared" si="24"/>
        <v>23</v>
      </c>
      <c r="D280">
        <f t="shared" si="25"/>
        <v>3</v>
      </c>
      <c r="E280" s="25">
        <f t="shared" si="29"/>
        <v>8500000</v>
      </c>
      <c r="F280" s="22">
        <f t="shared" si="26"/>
        <v>272690.16761499998</v>
      </c>
      <c r="G280" s="22">
        <f t="shared" si="28"/>
        <v>109538090.8204004</v>
      </c>
      <c r="H280" s="27">
        <f t="shared" si="27"/>
        <v>2789.5661891860127</v>
      </c>
    </row>
    <row r="281" spans="3:8" x14ac:dyDescent="0.15">
      <c r="C281">
        <f t="shared" si="24"/>
        <v>23</v>
      </c>
      <c r="D281">
        <f t="shared" si="25"/>
        <v>4</v>
      </c>
      <c r="E281" s="25">
        <f t="shared" si="29"/>
        <v>8500000</v>
      </c>
      <c r="F281" s="22">
        <f t="shared" si="26"/>
        <v>272690.16761499998</v>
      </c>
      <c r="G281" s="22">
        <f t="shared" si="28"/>
        <v>110126036.6184947</v>
      </c>
      <c r="H281" s="27">
        <f t="shared" si="27"/>
        <v>2804.5391881414812</v>
      </c>
    </row>
    <row r="282" spans="3:8" x14ac:dyDescent="0.15">
      <c r="C282">
        <f t="shared" si="24"/>
        <v>23</v>
      </c>
      <c r="D282">
        <f t="shared" si="25"/>
        <v>5</v>
      </c>
      <c r="E282" s="25">
        <f t="shared" si="29"/>
        <v>8500000</v>
      </c>
      <c r="F282" s="22">
        <f t="shared" si="26"/>
        <v>272690.16761499998</v>
      </c>
      <c r="G282" s="22">
        <f t="shared" si="28"/>
        <v>110715670.34942764</v>
      </c>
      <c r="H282" s="27">
        <f t="shared" si="27"/>
        <v>2819.5551730604711</v>
      </c>
    </row>
    <row r="283" spans="3:8" x14ac:dyDescent="0.15">
      <c r="C283">
        <f t="shared" si="24"/>
        <v>23</v>
      </c>
      <c r="D283">
        <f t="shared" si="25"/>
        <v>6</v>
      </c>
      <c r="E283" s="25">
        <f t="shared" si="29"/>
        <v>8500000</v>
      </c>
      <c r="F283" s="22">
        <f t="shared" si="26"/>
        <v>272690.16761499998</v>
      </c>
      <c r="G283" s="22">
        <f t="shared" si="28"/>
        <v>111306996.85908343</v>
      </c>
      <c r="H283" s="27">
        <f t="shared" si="27"/>
        <v>2834.6142673513309</v>
      </c>
    </row>
    <row r="284" spans="3:8" x14ac:dyDescent="0.15">
      <c r="C284">
        <f t="shared" si="24"/>
        <v>23</v>
      </c>
      <c r="D284">
        <f t="shared" si="25"/>
        <v>7</v>
      </c>
      <c r="E284" s="25">
        <f t="shared" si="29"/>
        <v>8500000</v>
      </c>
      <c r="F284" s="22">
        <f t="shared" si="26"/>
        <v>272690.16761499998</v>
      </c>
      <c r="G284" s="22">
        <f t="shared" si="28"/>
        <v>111900021.00725834</v>
      </c>
      <c r="H284" s="27">
        <f t="shared" si="27"/>
        <v>2849.7165947767007</v>
      </c>
    </row>
    <row r="285" spans="3:8" x14ac:dyDescent="0.15">
      <c r="C285">
        <f t="shared" si="24"/>
        <v>23</v>
      </c>
      <c r="D285">
        <f t="shared" si="25"/>
        <v>8</v>
      </c>
      <c r="E285" s="25">
        <f t="shared" si="29"/>
        <v>8500000</v>
      </c>
      <c r="F285" s="22">
        <f t="shared" si="26"/>
        <v>272690.16761499998</v>
      </c>
      <c r="G285" s="22">
        <f t="shared" si="28"/>
        <v>112494747.66770063</v>
      </c>
      <c r="H285" s="27">
        <f t="shared" si="27"/>
        <v>2864.8622794545313</v>
      </c>
    </row>
    <row r="286" spans="3:8" x14ac:dyDescent="0.15">
      <c r="C286">
        <f t="shared" si="24"/>
        <v>23</v>
      </c>
      <c r="D286">
        <f t="shared" si="25"/>
        <v>9</v>
      </c>
      <c r="E286" s="25">
        <f t="shared" si="29"/>
        <v>8500000</v>
      </c>
      <c r="F286" s="22">
        <f t="shared" si="26"/>
        <v>272690.16761499998</v>
      </c>
      <c r="G286" s="22">
        <f t="shared" si="28"/>
        <v>113091181.72815059</v>
      </c>
      <c r="H286" s="27">
        <f t="shared" si="27"/>
        <v>2880.0514458591024</v>
      </c>
    </row>
    <row r="287" spans="3:8" x14ac:dyDescent="0.15">
      <c r="C287">
        <f t="shared" si="24"/>
        <v>23</v>
      </c>
      <c r="D287">
        <f t="shared" si="25"/>
        <v>10</v>
      </c>
      <c r="E287" s="25">
        <f t="shared" si="29"/>
        <v>8500000</v>
      </c>
      <c r="F287" s="22">
        <f t="shared" si="26"/>
        <v>272690.16761499998</v>
      </c>
      <c r="G287" s="22">
        <f t="shared" si="28"/>
        <v>113689328.09038071</v>
      </c>
      <c r="H287" s="27">
        <f t="shared" si="27"/>
        <v>2895.2842188220488</v>
      </c>
    </row>
    <row r="288" spans="3:8" x14ac:dyDescent="0.15">
      <c r="C288">
        <f t="shared" si="24"/>
        <v>23</v>
      </c>
      <c r="D288">
        <f t="shared" si="25"/>
        <v>11</v>
      </c>
      <c r="E288" s="25">
        <f t="shared" si="29"/>
        <v>8500000</v>
      </c>
      <c r="F288" s="22">
        <f t="shared" si="26"/>
        <v>272690.16761499998</v>
      </c>
      <c r="G288" s="22">
        <f t="shared" si="28"/>
        <v>114289191.67023598</v>
      </c>
      <c r="H288" s="27">
        <f t="shared" si="27"/>
        <v>2910.5607235333823</v>
      </c>
    </row>
    <row r="289" spans="3:8" x14ac:dyDescent="0.15">
      <c r="C289">
        <f t="shared" ref="C289:C352" si="30">IF(MOD(D288,12)=0,C288+1,C288)</f>
        <v>23</v>
      </c>
      <c r="D289">
        <f t="shared" ref="D289:D352" si="31">IF(MOD(D288,12)=0,1,D288+1)</f>
        <v>12</v>
      </c>
      <c r="E289" s="25">
        <f t="shared" si="29"/>
        <v>8500000</v>
      </c>
      <c r="F289" s="22">
        <f t="shared" si="26"/>
        <v>272690.16761499998</v>
      </c>
      <c r="G289" s="22">
        <f t="shared" si="28"/>
        <v>114890777.39767426</v>
      </c>
      <c r="H289" s="27">
        <f t="shared" si="27"/>
        <v>2925.8810855425236</v>
      </c>
    </row>
    <row r="290" spans="3:8" x14ac:dyDescent="0.15">
      <c r="C290">
        <f t="shared" si="30"/>
        <v>24</v>
      </c>
      <c r="D290">
        <f t="shared" si="31"/>
        <v>1</v>
      </c>
      <c r="E290" s="25">
        <f t="shared" si="29"/>
        <v>8500000</v>
      </c>
      <c r="F290" s="22">
        <f t="shared" si="26"/>
        <v>272690.16761499998</v>
      </c>
      <c r="G290" s="22">
        <f t="shared" si="28"/>
        <v>115494090.21680687</v>
      </c>
      <c r="H290" s="27">
        <f t="shared" si="27"/>
        <v>2941.245430759333</v>
      </c>
    </row>
    <row r="291" spans="3:8" x14ac:dyDescent="0.15">
      <c r="C291">
        <f t="shared" si="30"/>
        <v>24</v>
      </c>
      <c r="D291">
        <f t="shared" si="31"/>
        <v>2</v>
      </c>
      <c r="E291" s="25">
        <f t="shared" si="29"/>
        <v>8500000</v>
      </c>
      <c r="F291" s="22">
        <f t="shared" si="26"/>
        <v>272690.16761499998</v>
      </c>
      <c r="G291" s="22">
        <f t="shared" si="28"/>
        <v>116099135.08593914</v>
      </c>
      <c r="H291" s="27">
        <f t="shared" si="27"/>
        <v>2956.6538854551445</v>
      </c>
    </row>
    <row r="292" spans="3:8" x14ac:dyDescent="0.15">
      <c r="C292">
        <f t="shared" si="30"/>
        <v>24</v>
      </c>
      <c r="D292">
        <f t="shared" si="31"/>
        <v>3</v>
      </c>
      <c r="E292" s="25">
        <f t="shared" si="29"/>
        <v>8500000</v>
      </c>
      <c r="F292" s="22">
        <f t="shared" si="26"/>
        <v>272690.16761499998</v>
      </c>
      <c r="G292" s="22">
        <f t="shared" si="28"/>
        <v>116705916.97761117</v>
      </c>
      <c r="H292" s="27">
        <f t="shared" si="27"/>
        <v>2972.106576263805</v>
      </c>
    </row>
    <row r="293" spans="3:8" x14ac:dyDescent="0.15">
      <c r="C293">
        <f t="shared" si="30"/>
        <v>24</v>
      </c>
      <c r="D293">
        <f t="shared" si="31"/>
        <v>4</v>
      </c>
      <c r="E293" s="25">
        <f t="shared" si="29"/>
        <v>8500000</v>
      </c>
      <c r="F293" s="22">
        <f t="shared" si="26"/>
        <v>272690.16761499998</v>
      </c>
      <c r="G293" s="22">
        <f t="shared" si="28"/>
        <v>117314440.87863876</v>
      </c>
      <c r="H293" s="27">
        <f t="shared" si="27"/>
        <v>2987.6036301827144</v>
      </c>
    </row>
    <row r="294" spans="3:8" x14ac:dyDescent="0.15">
      <c r="C294">
        <f t="shared" si="30"/>
        <v>24</v>
      </c>
      <c r="D294">
        <f t="shared" si="31"/>
        <v>5</v>
      </c>
      <c r="E294" s="25">
        <f t="shared" si="29"/>
        <v>8500000</v>
      </c>
      <c r="F294" s="22">
        <f t="shared" si="26"/>
        <v>272690.16761499998</v>
      </c>
      <c r="G294" s="22">
        <f t="shared" si="28"/>
        <v>117924711.79015434</v>
      </c>
      <c r="H294" s="27">
        <f t="shared" si="27"/>
        <v>3003.1451745738691</v>
      </c>
    </row>
    <row r="295" spans="3:8" x14ac:dyDescent="0.15">
      <c r="C295">
        <f t="shared" si="30"/>
        <v>24</v>
      </c>
      <c r="D295">
        <f t="shared" si="31"/>
        <v>6</v>
      </c>
      <c r="E295" s="25">
        <f t="shared" si="29"/>
        <v>8500000</v>
      </c>
      <c r="F295" s="22">
        <f t="shared" si="26"/>
        <v>272690.16761499998</v>
      </c>
      <c r="G295" s="22">
        <f t="shared" si="28"/>
        <v>118536734.72764808</v>
      </c>
      <c r="H295" s="27">
        <f t="shared" si="27"/>
        <v>3018.7313371649088</v>
      </c>
    </row>
    <row r="296" spans="3:8" x14ac:dyDescent="0.15">
      <c r="C296">
        <f t="shared" si="30"/>
        <v>24</v>
      </c>
      <c r="D296">
        <f t="shared" si="31"/>
        <v>7</v>
      </c>
      <c r="E296" s="25">
        <f t="shared" si="29"/>
        <v>8500000</v>
      </c>
      <c r="F296" s="22">
        <f t="shared" si="26"/>
        <v>272690.16761499998</v>
      </c>
      <c r="G296" s="22">
        <f t="shared" si="28"/>
        <v>119150514.72100912</v>
      </c>
      <c r="H296" s="27">
        <f t="shared" si="27"/>
        <v>3034.362246050167</v>
      </c>
    </row>
    <row r="297" spans="3:8" x14ac:dyDescent="0.15">
      <c r="C297">
        <f t="shared" si="30"/>
        <v>24</v>
      </c>
      <c r="D297">
        <f t="shared" si="31"/>
        <v>8</v>
      </c>
      <c r="E297" s="25">
        <f t="shared" si="29"/>
        <v>8500000</v>
      </c>
      <c r="F297" s="22">
        <f t="shared" si="26"/>
        <v>272690.16761499998</v>
      </c>
      <c r="G297" s="22">
        <f t="shared" si="28"/>
        <v>119766056.8145669</v>
      </c>
      <c r="H297" s="27">
        <f t="shared" si="27"/>
        <v>3050.038029691721</v>
      </c>
    </row>
    <row r="298" spans="3:8" x14ac:dyDescent="0.15">
      <c r="C298">
        <f t="shared" si="30"/>
        <v>24</v>
      </c>
      <c r="D298">
        <f t="shared" si="31"/>
        <v>9</v>
      </c>
      <c r="E298" s="25">
        <f t="shared" si="29"/>
        <v>8500000</v>
      </c>
      <c r="F298" s="22">
        <f t="shared" si="26"/>
        <v>272690.16761499998</v>
      </c>
      <c r="G298" s="22">
        <f t="shared" si="28"/>
        <v>120383366.06713261</v>
      </c>
      <c r="H298" s="27">
        <f t="shared" si="27"/>
        <v>3065.7588169204528</v>
      </c>
    </row>
    <row r="299" spans="3:8" x14ac:dyDescent="0.15">
      <c r="C299">
        <f t="shared" si="30"/>
        <v>24</v>
      </c>
      <c r="D299">
        <f t="shared" si="31"/>
        <v>10</v>
      </c>
      <c r="E299" s="25">
        <f t="shared" si="29"/>
        <v>8500000</v>
      </c>
      <c r="F299" s="22">
        <f t="shared" si="26"/>
        <v>272690.16761499998</v>
      </c>
      <c r="G299" s="22">
        <f t="shared" si="28"/>
        <v>121002447.55204079</v>
      </c>
      <c r="H299" s="27">
        <f t="shared" si="27"/>
        <v>3081.5247369371023</v>
      </c>
    </row>
    <row r="300" spans="3:8" x14ac:dyDescent="0.15">
      <c r="C300">
        <f t="shared" si="30"/>
        <v>24</v>
      </c>
      <c r="D300">
        <f t="shared" si="31"/>
        <v>11</v>
      </c>
      <c r="E300" s="25">
        <f t="shared" si="29"/>
        <v>8500000</v>
      </c>
      <c r="F300" s="22">
        <f t="shared" si="26"/>
        <v>272690.16761499998</v>
      </c>
      <c r="G300" s="22">
        <f t="shared" si="28"/>
        <v>121623306.35719098</v>
      </c>
      <c r="H300" s="27">
        <f t="shared" si="27"/>
        <v>3097.3359193133324</v>
      </c>
    </row>
    <row r="301" spans="3:8" x14ac:dyDescent="0.15">
      <c r="C301">
        <f t="shared" si="30"/>
        <v>24</v>
      </c>
      <c r="D301">
        <f t="shared" si="31"/>
        <v>12</v>
      </c>
      <c r="E301" s="25">
        <f t="shared" si="29"/>
        <v>8500000</v>
      </c>
      <c r="F301" s="22">
        <f t="shared" si="26"/>
        <v>272690.16761499998</v>
      </c>
      <c r="G301" s="22">
        <f t="shared" si="28"/>
        <v>122245947.58508961</v>
      </c>
      <c r="H301" s="27">
        <f t="shared" si="27"/>
        <v>3113.1924939927935</v>
      </c>
    </row>
    <row r="302" spans="3:8" x14ac:dyDescent="0.15">
      <c r="C302">
        <f t="shared" si="30"/>
        <v>25</v>
      </c>
      <c r="D302">
        <f t="shared" si="31"/>
        <v>1</v>
      </c>
      <c r="E302" s="25">
        <f t="shared" si="29"/>
        <v>8500000</v>
      </c>
      <c r="F302" s="22">
        <f t="shared" si="26"/>
        <v>272690.16761499998</v>
      </c>
      <c r="G302" s="22">
        <f t="shared" si="28"/>
        <v>122870376.35289186</v>
      </c>
      <c r="H302" s="27">
        <f t="shared" si="27"/>
        <v>3129.0945912921911</v>
      </c>
    </row>
    <row r="303" spans="3:8" x14ac:dyDescent="0.15">
      <c r="C303">
        <f t="shared" si="30"/>
        <v>25</v>
      </c>
      <c r="D303">
        <f t="shared" si="31"/>
        <v>2</v>
      </c>
      <c r="E303" s="25">
        <f t="shared" si="29"/>
        <v>8500000</v>
      </c>
      <c r="F303" s="22">
        <f t="shared" si="26"/>
        <v>272690.16761499998</v>
      </c>
      <c r="G303" s="22">
        <f t="shared" si="28"/>
        <v>123496597.79244375</v>
      </c>
      <c r="H303" s="27">
        <f t="shared" si="27"/>
        <v>3145.0423419023564</v>
      </c>
    </row>
    <row r="304" spans="3:8" x14ac:dyDescent="0.15">
      <c r="C304">
        <f t="shared" si="30"/>
        <v>25</v>
      </c>
      <c r="D304">
        <f t="shared" si="31"/>
        <v>3</v>
      </c>
      <c r="E304" s="25">
        <f t="shared" si="29"/>
        <v>8500000</v>
      </c>
      <c r="F304" s="22">
        <f t="shared" si="26"/>
        <v>272690.16761499998</v>
      </c>
      <c r="G304" s="22">
        <f t="shared" si="28"/>
        <v>124124617.05032431</v>
      </c>
      <c r="H304" s="27">
        <f t="shared" si="27"/>
        <v>3161.0358768893198</v>
      </c>
    </row>
    <row r="305" spans="3:8" x14ac:dyDescent="0.15">
      <c r="C305">
        <f t="shared" si="30"/>
        <v>25</v>
      </c>
      <c r="D305">
        <f t="shared" si="31"/>
        <v>4</v>
      </c>
      <c r="E305" s="25">
        <f t="shared" si="29"/>
        <v>8500000</v>
      </c>
      <c r="F305" s="22">
        <f t="shared" si="26"/>
        <v>272690.16761499998</v>
      </c>
      <c r="G305" s="22">
        <f t="shared" si="28"/>
        <v>124754439.28788787</v>
      </c>
      <c r="H305" s="27">
        <f t="shared" si="27"/>
        <v>3177.0753276953915</v>
      </c>
    </row>
    <row r="306" spans="3:8" x14ac:dyDescent="0.15">
      <c r="C306">
        <f t="shared" si="30"/>
        <v>25</v>
      </c>
      <c r="D306">
        <f t="shared" si="31"/>
        <v>5</v>
      </c>
      <c r="E306" s="25">
        <f t="shared" si="29"/>
        <v>8500000</v>
      </c>
      <c r="F306" s="22">
        <f t="shared" si="26"/>
        <v>272690.16761499998</v>
      </c>
      <c r="G306" s="22">
        <f t="shared" si="28"/>
        <v>125386069.6813065</v>
      </c>
      <c r="H306" s="27">
        <f t="shared" si="27"/>
        <v>3193.1608261402366</v>
      </c>
    </row>
    <row r="307" spans="3:8" x14ac:dyDescent="0.15">
      <c r="C307">
        <f t="shared" si="30"/>
        <v>25</v>
      </c>
      <c r="D307">
        <f t="shared" si="31"/>
        <v>6</v>
      </c>
      <c r="E307" s="25">
        <f t="shared" si="29"/>
        <v>8500000</v>
      </c>
      <c r="F307" s="22">
        <f t="shared" si="26"/>
        <v>272690.16761499998</v>
      </c>
      <c r="G307" s="22">
        <f t="shared" si="28"/>
        <v>126019513.42161252</v>
      </c>
      <c r="H307" s="27">
        <f t="shared" si="27"/>
        <v>3209.2925044219628</v>
      </c>
    </row>
    <row r="308" spans="3:8" x14ac:dyDescent="0.15">
      <c r="C308">
        <f t="shared" si="30"/>
        <v>25</v>
      </c>
      <c r="D308">
        <f t="shared" si="31"/>
        <v>7</v>
      </c>
      <c r="E308" s="25">
        <f t="shared" si="29"/>
        <v>8500000</v>
      </c>
      <c r="F308" s="22">
        <f t="shared" si="26"/>
        <v>272690.16761499998</v>
      </c>
      <c r="G308" s="22">
        <f t="shared" si="28"/>
        <v>126654775.71474119</v>
      </c>
      <c r="H308" s="27">
        <f t="shared" si="27"/>
        <v>3225.4704951182043</v>
      </c>
    </row>
    <row r="309" spans="3:8" x14ac:dyDescent="0.15">
      <c r="C309">
        <f t="shared" si="30"/>
        <v>25</v>
      </c>
      <c r="D309">
        <f t="shared" si="31"/>
        <v>8</v>
      </c>
      <c r="E309" s="25">
        <f t="shared" si="29"/>
        <v>8500000</v>
      </c>
      <c r="F309" s="22">
        <f t="shared" si="26"/>
        <v>272690.16761499998</v>
      </c>
      <c r="G309" s="22">
        <f t="shared" si="28"/>
        <v>127291861.78157349</v>
      </c>
      <c r="H309" s="27">
        <f t="shared" si="27"/>
        <v>3241.6949311872136</v>
      </c>
    </row>
    <row r="310" spans="3:8" x14ac:dyDescent="0.15">
      <c r="C310">
        <f t="shared" si="30"/>
        <v>25</v>
      </c>
      <c r="D310">
        <f t="shared" si="31"/>
        <v>9</v>
      </c>
      <c r="E310" s="25">
        <f t="shared" si="29"/>
        <v>8500000</v>
      </c>
      <c r="F310" s="22">
        <f t="shared" si="26"/>
        <v>272690.16761499998</v>
      </c>
      <c r="G310" s="22">
        <f t="shared" si="28"/>
        <v>127930776.857979</v>
      </c>
      <c r="H310" s="27">
        <f t="shared" si="27"/>
        <v>3257.9659459689506</v>
      </c>
    </row>
    <row r="311" spans="3:8" x14ac:dyDescent="0.15">
      <c r="C311">
        <f t="shared" si="30"/>
        <v>25</v>
      </c>
      <c r="D311">
        <f t="shared" si="31"/>
        <v>10</v>
      </c>
      <c r="E311" s="25">
        <f t="shared" si="29"/>
        <v>8500000</v>
      </c>
      <c r="F311" s="22">
        <f t="shared" si="26"/>
        <v>272690.16761499998</v>
      </c>
      <c r="G311" s="22">
        <f t="shared" si="28"/>
        <v>128571526.19485895</v>
      </c>
      <c r="H311" s="27">
        <f t="shared" si="27"/>
        <v>3274.2836731861826</v>
      </c>
    </row>
    <row r="312" spans="3:8" x14ac:dyDescent="0.15">
      <c r="C312">
        <f t="shared" si="30"/>
        <v>25</v>
      </c>
      <c r="D312">
        <f t="shared" si="31"/>
        <v>11</v>
      </c>
      <c r="E312" s="25">
        <f t="shared" si="29"/>
        <v>8500000</v>
      </c>
      <c r="F312" s="22">
        <f t="shared" si="26"/>
        <v>272690.16761499998</v>
      </c>
      <c r="G312" s="22">
        <f t="shared" si="28"/>
        <v>129214115.05818941</v>
      </c>
      <c r="H312" s="27">
        <f t="shared" si="27"/>
        <v>3290.6482469455809</v>
      </c>
    </row>
    <row r="313" spans="3:8" x14ac:dyDescent="0.15">
      <c r="C313">
        <f t="shared" si="30"/>
        <v>25</v>
      </c>
      <c r="D313">
        <f t="shared" si="31"/>
        <v>12</v>
      </c>
      <c r="E313" s="25">
        <f t="shared" si="29"/>
        <v>8500000</v>
      </c>
      <c r="F313" s="22">
        <f t="shared" si="26"/>
        <v>272690.16761499998</v>
      </c>
      <c r="G313" s="22">
        <f t="shared" si="28"/>
        <v>129858548.72906449</v>
      </c>
      <c r="H313" s="27">
        <f t="shared" si="27"/>
        <v>3307.0598017388234</v>
      </c>
    </row>
    <row r="314" spans="3:8" x14ac:dyDescent="0.15">
      <c r="C314">
        <f t="shared" si="30"/>
        <v>26</v>
      </c>
      <c r="D314">
        <f t="shared" si="31"/>
        <v>1</v>
      </c>
      <c r="E314" s="25">
        <f t="shared" si="29"/>
        <v>8500000</v>
      </c>
      <c r="F314" s="22">
        <f t="shared" si="26"/>
        <v>272690.16761499998</v>
      </c>
      <c r="G314" s="22">
        <f t="shared" si="28"/>
        <v>130504832.50373982</v>
      </c>
      <c r="H314" s="27">
        <f t="shared" si="27"/>
        <v>3323.5184724436995</v>
      </c>
    </row>
    <row r="315" spans="3:8" x14ac:dyDescent="0.15">
      <c r="C315">
        <f t="shared" si="30"/>
        <v>26</v>
      </c>
      <c r="D315">
        <f t="shared" si="31"/>
        <v>2</v>
      </c>
      <c r="E315" s="25">
        <f t="shared" si="29"/>
        <v>8500000</v>
      </c>
      <c r="F315" s="22">
        <f t="shared" si="26"/>
        <v>272690.16761499998</v>
      </c>
      <c r="G315" s="22">
        <f t="shared" si="28"/>
        <v>131152971.69367602</v>
      </c>
      <c r="H315" s="27">
        <f t="shared" si="27"/>
        <v>3340.0243943252203</v>
      </c>
    </row>
    <row r="316" spans="3:8" x14ac:dyDescent="0.15">
      <c r="C316">
        <f t="shared" si="30"/>
        <v>26</v>
      </c>
      <c r="D316">
        <f t="shared" si="31"/>
        <v>3</v>
      </c>
      <c r="E316" s="25">
        <f t="shared" si="29"/>
        <v>8500000</v>
      </c>
      <c r="F316" s="22">
        <f t="shared" si="26"/>
        <v>272690.16761499998</v>
      </c>
      <c r="G316" s="22">
        <f t="shared" si="28"/>
        <v>131802971.6255824</v>
      </c>
      <c r="H316" s="27">
        <f t="shared" si="27"/>
        <v>3356.5777030367276</v>
      </c>
    </row>
    <row r="317" spans="3:8" x14ac:dyDescent="0.15">
      <c r="C317">
        <f t="shared" si="30"/>
        <v>26</v>
      </c>
      <c r="D317">
        <f t="shared" si="31"/>
        <v>4</v>
      </c>
      <c r="E317" s="25">
        <f t="shared" si="29"/>
        <v>8500000</v>
      </c>
      <c r="F317" s="22">
        <f t="shared" si="26"/>
        <v>272690.16761499998</v>
      </c>
      <c r="G317" s="22">
        <f t="shared" si="28"/>
        <v>132454837.64146069</v>
      </c>
      <c r="H317" s="27">
        <f t="shared" si="27"/>
        <v>3373.1785346210117</v>
      </c>
    </row>
    <row r="318" spans="3:8" x14ac:dyDescent="0.15">
      <c r="C318">
        <f t="shared" si="30"/>
        <v>26</v>
      </c>
      <c r="D318">
        <f t="shared" si="31"/>
        <v>5</v>
      </c>
      <c r="E318" s="25">
        <f t="shared" si="29"/>
        <v>8500000</v>
      </c>
      <c r="F318" s="22">
        <f t="shared" si="26"/>
        <v>272690.16761499998</v>
      </c>
      <c r="G318" s="22">
        <f t="shared" si="28"/>
        <v>133108575.09864897</v>
      </c>
      <c r="H318" s="27">
        <f t="shared" si="27"/>
        <v>3389.8270255114262</v>
      </c>
    </row>
    <row r="319" spans="3:8" x14ac:dyDescent="0.15">
      <c r="C319">
        <f t="shared" si="30"/>
        <v>26</v>
      </c>
      <c r="D319">
        <f t="shared" si="31"/>
        <v>6</v>
      </c>
      <c r="E319" s="25">
        <f t="shared" si="29"/>
        <v>8500000</v>
      </c>
      <c r="F319" s="22">
        <f t="shared" si="26"/>
        <v>272690.16761499998</v>
      </c>
      <c r="G319" s="22">
        <f t="shared" si="28"/>
        <v>133764189.3698657</v>
      </c>
      <c r="H319" s="27">
        <f t="shared" si="27"/>
        <v>3406.5233125330133</v>
      </c>
    </row>
    <row r="320" spans="3:8" x14ac:dyDescent="0.15">
      <c r="C320">
        <f t="shared" si="30"/>
        <v>26</v>
      </c>
      <c r="D320">
        <f t="shared" si="31"/>
        <v>7</v>
      </c>
      <c r="E320" s="25">
        <f t="shared" si="29"/>
        <v>8500000</v>
      </c>
      <c r="F320" s="22">
        <f t="shared" si="26"/>
        <v>272690.16761499998</v>
      </c>
      <c r="G320" s="22">
        <f t="shared" si="28"/>
        <v>134421685.84325388</v>
      </c>
      <c r="H320" s="27">
        <f t="shared" si="27"/>
        <v>3423.2675329036233</v>
      </c>
    </row>
    <row r="321" spans="3:8" x14ac:dyDescent="0.15">
      <c r="C321">
        <f t="shared" si="30"/>
        <v>26</v>
      </c>
      <c r="D321">
        <f t="shared" si="31"/>
        <v>8</v>
      </c>
      <c r="E321" s="25">
        <f t="shared" si="29"/>
        <v>8500000</v>
      </c>
      <c r="F321" s="22">
        <f t="shared" si="26"/>
        <v>272690.16761499998</v>
      </c>
      <c r="G321" s="22">
        <f t="shared" si="28"/>
        <v>135081069.9224253</v>
      </c>
      <c r="H321" s="27">
        <f t="shared" si="27"/>
        <v>3440.0598242350475</v>
      </c>
    </row>
    <row r="322" spans="3:8" x14ac:dyDescent="0.15">
      <c r="C322">
        <f t="shared" si="30"/>
        <v>26</v>
      </c>
      <c r="D322">
        <f t="shared" si="31"/>
        <v>9</v>
      </c>
      <c r="E322" s="25">
        <f t="shared" si="29"/>
        <v>8500000</v>
      </c>
      <c r="F322" s="22">
        <f t="shared" si="26"/>
        <v>272690.16761499998</v>
      </c>
      <c r="G322" s="22">
        <f t="shared" si="28"/>
        <v>135742347.02650499</v>
      </c>
      <c r="H322" s="27">
        <f t="shared" si="27"/>
        <v>3456.9003245341451</v>
      </c>
    </row>
    <row r="323" spans="3:8" x14ac:dyDescent="0.15">
      <c r="C323">
        <f t="shared" si="30"/>
        <v>26</v>
      </c>
      <c r="D323">
        <f t="shared" si="31"/>
        <v>10</v>
      </c>
      <c r="E323" s="25">
        <f t="shared" si="29"/>
        <v>8500000</v>
      </c>
      <c r="F323" s="22">
        <f t="shared" si="26"/>
        <v>272690.16761499998</v>
      </c>
      <c r="G323" s="22">
        <f t="shared" si="28"/>
        <v>136405522.59017575</v>
      </c>
      <c r="H323" s="27">
        <f t="shared" si="27"/>
        <v>3473.7891722039803</v>
      </c>
    </row>
    <row r="324" spans="3:8" x14ac:dyDescent="0.15">
      <c r="C324">
        <f t="shared" si="30"/>
        <v>26</v>
      </c>
      <c r="D324">
        <f t="shared" si="31"/>
        <v>11</v>
      </c>
      <c r="E324" s="25">
        <f t="shared" si="29"/>
        <v>8500000</v>
      </c>
      <c r="F324" s="22">
        <f t="shared" si="26"/>
        <v>272690.16761499998</v>
      </c>
      <c r="G324" s="22">
        <f t="shared" si="28"/>
        <v>137070602.06372276</v>
      </c>
      <c r="H324" s="27">
        <f t="shared" si="27"/>
        <v>3490.7265060449572</v>
      </c>
    </row>
    <row r="325" spans="3:8" x14ac:dyDescent="0.15">
      <c r="C325">
        <f t="shared" si="30"/>
        <v>26</v>
      </c>
      <c r="D325">
        <f t="shared" si="31"/>
        <v>12</v>
      </c>
      <c r="E325" s="25">
        <f t="shared" si="29"/>
        <v>8500000</v>
      </c>
      <c r="F325" s="22">
        <f t="shared" si="26"/>
        <v>272690.16761499998</v>
      </c>
      <c r="G325" s="22">
        <f t="shared" si="28"/>
        <v>137737590.91307849</v>
      </c>
      <c r="H325" s="27">
        <f t="shared" si="27"/>
        <v>3507.7124652559637</v>
      </c>
    </row>
    <row r="326" spans="3:8" x14ac:dyDescent="0.15">
      <c r="C326">
        <f t="shared" si="30"/>
        <v>27</v>
      </c>
      <c r="D326">
        <f t="shared" si="31"/>
        <v>1</v>
      </c>
      <c r="E326" s="25">
        <f t="shared" si="29"/>
        <v>8500000</v>
      </c>
      <c r="F326" s="22">
        <f t="shared" si="26"/>
        <v>272690.16761499998</v>
      </c>
      <c r="G326" s="22">
        <f t="shared" si="28"/>
        <v>138406494.61986744</v>
      </c>
      <c r="H326" s="27">
        <f t="shared" si="27"/>
        <v>3524.7471894355103</v>
      </c>
    </row>
    <row r="327" spans="3:8" x14ac:dyDescent="0.15">
      <c r="C327">
        <f t="shared" si="30"/>
        <v>27</v>
      </c>
      <c r="D327">
        <f t="shared" si="31"/>
        <v>2</v>
      </c>
      <c r="E327" s="25">
        <f t="shared" si="29"/>
        <v>8500000</v>
      </c>
      <c r="F327" s="22">
        <f t="shared" si="26"/>
        <v>272690.16761499998</v>
      </c>
      <c r="G327" s="22">
        <f t="shared" si="28"/>
        <v>139077318.68145141</v>
      </c>
      <c r="H327" s="27">
        <f t="shared" si="27"/>
        <v>3541.8308185828841</v>
      </c>
    </row>
    <row r="328" spans="3:8" x14ac:dyDescent="0.15">
      <c r="C328">
        <f t="shared" si="30"/>
        <v>27</v>
      </c>
      <c r="D328">
        <f t="shared" si="31"/>
        <v>3</v>
      </c>
      <c r="E328" s="25">
        <f t="shared" si="29"/>
        <v>8500000</v>
      </c>
      <c r="F328" s="22">
        <f t="shared" si="26"/>
        <v>272690.16761499998</v>
      </c>
      <c r="G328" s="22">
        <f t="shared" si="28"/>
        <v>139750068.61097452</v>
      </c>
      <c r="H328" s="27">
        <f t="shared" si="27"/>
        <v>3558.9634930992947</v>
      </c>
    </row>
    <row r="329" spans="3:8" x14ac:dyDescent="0.15">
      <c r="C329">
        <f t="shared" si="30"/>
        <v>27</v>
      </c>
      <c r="D329">
        <f t="shared" si="31"/>
        <v>4</v>
      </c>
      <c r="E329" s="25">
        <f t="shared" si="29"/>
        <v>8500000</v>
      </c>
      <c r="F329" s="22">
        <f t="shared" si="26"/>
        <v>272690.16761499998</v>
      </c>
      <c r="G329" s="22">
        <f t="shared" si="28"/>
        <v>140424749.93740854</v>
      </c>
      <c r="H329" s="27">
        <f t="shared" si="27"/>
        <v>3576.1453537890284</v>
      </c>
    </row>
    <row r="330" spans="3:8" x14ac:dyDescent="0.15">
      <c r="C330">
        <f t="shared" si="30"/>
        <v>27</v>
      </c>
      <c r="D330">
        <f t="shared" si="31"/>
        <v>5</v>
      </c>
      <c r="E330" s="25">
        <f t="shared" si="29"/>
        <v>8500000</v>
      </c>
      <c r="F330" s="22">
        <f t="shared" si="26"/>
        <v>272690.16761499998</v>
      </c>
      <c r="G330" s="22">
        <f t="shared" si="28"/>
        <v>141101368.20559841</v>
      </c>
      <c r="H330" s="27">
        <f t="shared" si="27"/>
        <v>3593.3765418606076</v>
      </c>
    </row>
    <row r="331" spans="3:8" x14ac:dyDescent="0.15">
      <c r="C331">
        <f t="shared" si="30"/>
        <v>27</v>
      </c>
      <c r="D331">
        <f t="shared" si="31"/>
        <v>6</v>
      </c>
      <c r="E331" s="25">
        <f t="shared" si="29"/>
        <v>8500000</v>
      </c>
      <c r="F331" s="22">
        <f t="shared" si="26"/>
        <v>272690.16761499998</v>
      </c>
      <c r="G331" s="22">
        <f t="shared" si="28"/>
        <v>141779928.97630775</v>
      </c>
      <c r="H331" s="27">
        <f t="shared" si="27"/>
        <v>3610.6571989279505</v>
      </c>
    </row>
    <row r="332" spans="3:8" x14ac:dyDescent="0.15">
      <c r="C332">
        <f t="shared" si="30"/>
        <v>27</v>
      </c>
      <c r="D332">
        <f t="shared" si="31"/>
        <v>7</v>
      </c>
      <c r="E332" s="25">
        <f t="shared" si="29"/>
        <v>8500000</v>
      </c>
      <c r="F332" s="22">
        <f t="shared" si="26"/>
        <v>272690.16761499998</v>
      </c>
      <c r="G332" s="22">
        <f t="shared" si="28"/>
        <v>142460437.82626453</v>
      </c>
      <c r="H332" s="27">
        <f t="shared" si="27"/>
        <v>3627.9874670115323</v>
      </c>
    </row>
    <row r="333" spans="3:8" x14ac:dyDescent="0.15">
      <c r="C333">
        <f t="shared" si="30"/>
        <v>27</v>
      </c>
      <c r="D333">
        <f t="shared" si="31"/>
        <v>8</v>
      </c>
      <c r="E333" s="25">
        <f t="shared" si="29"/>
        <v>8500000</v>
      </c>
      <c r="F333" s="22">
        <f t="shared" si="26"/>
        <v>272690.16761499998</v>
      </c>
      <c r="G333" s="22">
        <f t="shared" si="28"/>
        <v>143142900.34820697</v>
      </c>
      <c r="H333" s="27">
        <f t="shared" si="27"/>
        <v>3645.3674885395567</v>
      </c>
    </row>
    <row r="334" spans="3:8" x14ac:dyDescent="0.15">
      <c r="C334">
        <f t="shared" si="30"/>
        <v>27</v>
      </c>
      <c r="D334">
        <f t="shared" si="31"/>
        <v>9</v>
      </c>
      <c r="E334" s="25">
        <f t="shared" si="29"/>
        <v>8500000</v>
      </c>
      <c r="F334" s="22">
        <f t="shared" si="26"/>
        <v>272690.16761499998</v>
      </c>
      <c r="G334" s="22">
        <f t="shared" si="28"/>
        <v>143827322.15092945</v>
      </c>
      <c r="H334" s="27">
        <f t="shared" si="27"/>
        <v>3662.7974063491229</v>
      </c>
    </row>
    <row r="335" spans="3:8" x14ac:dyDescent="0.15">
      <c r="C335">
        <f t="shared" si="30"/>
        <v>27</v>
      </c>
      <c r="D335">
        <f t="shared" si="31"/>
        <v>10</v>
      </c>
      <c r="E335" s="25">
        <f t="shared" si="29"/>
        <v>8500000</v>
      </c>
      <c r="F335" s="22">
        <f t="shared" ref="F335:F398" si="32">IF(E335/$D$3&lt;$D$2*(1+$D$11)^(C335-1),0.1*E335,0.1*$D$2*$D$3*(1+$D$11)^(C335-1))*(1-$D$9)</f>
        <v>272690.16761499998</v>
      </c>
      <c r="G335" s="22">
        <f t="shared" si="28"/>
        <v>144513708.85932869</v>
      </c>
      <c r="H335" s="27">
        <f t="shared" ref="H335:H398" si="33">G335/$D$3</f>
        <v>3680.2773636874026</v>
      </c>
    </row>
    <row r="336" spans="3:8" x14ac:dyDescent="0.15">
      <c r="C336">
        <f t="shared" si="30"/>
        <v>27</v>
      </c>
      <c r="D336">
        <f t="shared" si="31"/>
        <v>11</v>
      </c>
      <c r="E336" s="25">
        <f t="shared" si="29"/>
        <v>8500000</v>
      </c>
      <c r="F336" s="22">
        <f t="shared" si="32"/>
        <v>272690.16761499998</v>
      </c>
      <c r="G336" s="22">
        <f t="shared" ref="G336:G399" si="34">(F336+G335)*(1+$D$5)</f>
        <v>145202066.11444986</v>
      </c>
      <c r="H336" s="27">
        <f t="shared" si="33"/>
        <v>3697.8075042128139</v>
      </c>
    </row>
    <row r="337" spans="3:8" x14ac:dyDescent="0.15">
      <c r="C337">
        <f t="shared" si="30"/>
        <v>27</v>
      </c>
      <c r="D337">
        <f t="shared" si="31"/>
        <v>12</v>
      </c>
      <c r="E337" s="25">
        <f t="shared" ref="E337:E400" si="35">E336</f>
        <v>8500000</v>
      </c>
      <c r="F337" s="22">
        <f t="shared" si="32"/>
        <v>272690.16761499998</v>
      </c>
      <c r="G337" s="22">
        <f t="shared" si="34"/>
        <v>145892399.57353303</v>
      </c>
      <c r="H337" s="27">
        <f t="shared" si="33"/>
        <v>3715.3879719962051</v>
      </c>
    </row>
    <row r="338" spans="3:8" x14ac:dyDescent="0.15">
      <c r="C338">
        <f t="shared" si="30"/>
        <v>28</v>
      </c>
      <c r="D338">
        <f t="shared" si="31"/>
        <v>1</v>
      </c>
      <c r="E338" s="25">
        <f t="shared" si="35"/>
        <v>8500000</v>
      </c>
      <c r="F338" s="22">
        <f t="shared" si="32"/>
        <v>272690.16761499998</v>
      </c>
      <c r="G338" s="22">
        <f t="shared" si="34"/>
        <v>146584714.9100596</v>
      </c>
      <c r="H338" s="27">
        <f t="shared" si="33"/>
        <v>3733.018911522036</v>
      </c>
    </row>
    <row r="339" spans="3:8" x14ac:dyDescent="0.15">
      <c r="C339">
        <f t="shared" si="30"/>
        <v>28</v>
      </c>
      <c r="D339">
        <f t="shared" si="31"/>
        <v>2</v>
      </c>
      <c r="E339" s="25">
        <f t="shared" si="35"/>
        <v>8500000</v>
      </c>
      <c r="F339" s="22">
        <f t="shared" si="32"/>
        <v>272690.16761499998</v>
      </c>
      <c r="G339" s="22">
        <f t="shared" si="34"/>
        <v>147279017.81379902</v>
      </c>
      <c r="H339" s="27">
        <f t="shared" si="33"/>
        <v>3750.7004676895685</v>
      </c>
    </row>
    <row r="340" spans="3:8" x14ac:dyDescent="0.15">
      <c r="C340">
        <f t="shared" si="30"/>
        <v>28</v>
      </c>
      <c r="D340">
        <f t="shared" si="31"/>
        <v>3</v>
      </c>
      <c r="E340" s="25">
        <f t="shared" si="35"/>
        <v>8500000</v>
      </c>
      <c r="F340" s="22">
        <f t="shared" si="32"/>
        <v>272690.16761499998</v>
      </c>
      <c r="G340" s="22">
        <f t="shared" si="34"/>
        <v>147975313.99085543</v>
      </c>
      <c r="H340" s="27">
        <f t="shared" si="33"/>
        <v>3768.4327858140532</v>
      </c>
    </row>
    <row r="341" spans="3:8" x14ac:dyDescent="0.15">
      <c r="C341">
        <f t="shared" si="30"/>
        <v>28</v>
      </c>
      <c r="D341">
        <f t="shared" si="31"/>
        <v>4</v>
      </c>
      <c r="E341" s="25">
        <f t="shared" si="35"/>
        <v>8500000</v>
      </c>
      <c r="F341" s="22">
        <f t="shared" si="32"/>
        <v>272690.16761499998</v>
      </c>
      <c r="G341" s="22">
        <f t="shared" si="34"/>
        <v>148673609.16371465</v>
      </c>
      <c r="H341" s="27">
        <f t="shared" si="33"/>
        <v>3786.2160116279279</v>
      </c>
    </row>
    <row r="342" spans="3:8" x14ac:dyDescent="0.15">
      <c r="C342">
        <f t="shared" si="30"/>
        <v>28</v>
      </c>
      <c r="D342">
        <f t="shared" si="31"/>
        <v>5</v>
      </c>
      <c r="E342" s="25">
        <f t="shared" si="35"/>
        <v>8500000</v>
      </c>
      <c r="F342" s="22">
        <f t="shared" si="32"/>
        <v>272690.16761499998</v>
      </c>
      <c r="G342" s="22">
        <f t="shared" si="34"/>
        <v>149373909.07129118</v>
      </c>
      <c r="H342" s="27">
        <f t="shared" si="33"/>
        <v>3804.0502912820125</v>
      </c>
    </row>
    <row r="343" spans="3:8" x14ac:dyDescent="0.15">
      <c r="C343">
        <f t="shared" si="30"/>
        <v>28</v>
      </c>
      <c r="D343">
        <f t="shared" si="31"/>
        <v>6</v>
      </c>
      <c r="E343" s="25">
        <f t="shared" si="35"/>
        <v>8500000</v>
      </c>
      <c r="F343" s="22">
        <f t="shared" si="32"/>
        <v>272690.16761499998</v>
      </c>
      <c r="G343" s="22">
        <f t="shared" si="34"/>
        <v>150076219.46897534</v>
      </c>
      <c r="H343" s="27">
        <f t="shared" si="33"/>
        <v>3821.935771346712</v>
      </c>
    </row>
    <row r="344" spans="3:8" x14ac:dyDescent="0.15">
      <c r="C344">
        <f t="shared" si="30"/>
        <v>28</v>
      </c>
      <c r="D344">
        <f t="shared" si="31"/>
        <v>7</v>
      </c>
      <c r="E344" s="25">
        <f t="shared" si="35"/>
        <v>8500000</v>
      </c>
      <c r="F344" s="22">
        <f t="shared" si="32"/>
        <v>272690.16761499998</v>
      </c>
      <c r="G344" s="22">
        <f t="shared" si="34"/>
        <v>150780546.12868059</v>
      </c>
      <c r="H344" s="27">
        <f t="shared" si="33"/>
        <v>3839.8725988132192</v>
      </c>
    </row>
    <row r="345" spans="3:8" x14ac:dyDescent="0.15">
      <c r="C345">
        <f t="shared" si="30"/>
        <v>28</v>
      </c>
      <c r="D345">
        <f t="shared" si="31"/>
        <v>8</v>
      </c>
      <c r="E345" s="25">
        <f t="shared" si="35"/>
        <v>8500000</v>
      </c>
      <c r="F345" s="22">
        <f t="shared" si="32"/>
        <v>272690.16761499998</v>
      </c>
      <c r="G345" s="22">
        <f t="shared" si="34"/>
        <v>151486894.838891</v>
      </c>
      <c r="H345" s="27">
        <f t="shared" si="33"/>
        <v>3857.8609210947238</v>
      </c>
    </row>
    <row r="346" spans="3:8" x14ac:dyDescent="0.15">
      <c r="C346">
        <f t="shared" si="30"/>
        <v>28</v>
      </c>
      <c r="D346">
        <f t="shared" si="31"/>
        <v>9</v>
      </c>
      <c r="E346" s="25">
        <f t="shared" si="35"/>
        <v>8500000</v>
      </c>
      <c r="F346" s="22">
        <f t="shared" si="32"/>
        <v>272690.16761499998</v>
      </c>
      <c r="G346" s="22">
        <f t="shared" si="34"/>
        <v>152195271.40470877</v>
      </c>
      <c r="H346" s="27">
        <f t="shared" si="33"/>
        <v>3875.9008860276249</v>
      </c>
    </row>
    <row r="347" spans="3:8" x14ac:dyDescent="0.15">
      <c r="C347">
        <f t="shared" si="30"/>
        <v>28</v>
      </c>
      <c r="D347">
        <f t="shared" si="31"/>
        <v>10</v>
      </c>
      <c r="E347" s="25">
        <f t="shared" si="35"/>
        <v>8500000</v>
      </c>
      <c r="F347" s="22">
        <f t="shared" si="32"/>
        <v>272690.16761499998</v>
      </c>
      <c r="G347" s="22">
        <f t="shared" si="34"/>
        <v>152905681.64790198</v>
      </c>
      <c r="H347" s="27">
        <f t="shared" si="33"/>
        <v>3893.9926418727441</v>
      </c>
    </row>
    <row r="348" spans="3:8" x14ac:dyDescent="0.15">
      <c r="C348">
        <f t="shared" si="30"/>
        <v>28</v>
      </c>
      <c r="D348">
        <f t="shared" si="31"/>
        <v>11</v>
      </c>
      <c r="E348" s="25">
        <f t="shared" si="35"/>
        <v>8500000</v>
      </c>
      <c r="F348" s="22">
        <f t="shared" si="32"/>
        <v>272690.16761499998</v>
      </c>
      <c r="G348" s="22">
        <f t="shared" si="34"/>
        <v>153618131.40695238</v>
      </c>
      <c r="H348" s="27">
        <f t="shared" si="33"/>
        <v>3912.136337316545</v>
      </c>
    </row>
    <row r="349" spans="3:8" x14ac:dyDescent="0.15">
      <c r="C349">
        <f t="shared" si="30"/>
        <v>28</v>
      </c>
      <c r="D349">
        <f t="shared" si="31"/>
        <v>12</v>
      </c>
      <c r="E349" s="25">
        <f t="shared" si="35"/>
        <v>8500000</v>
      </c>
      <c r="F349" s="22">
        <f t="shared" si="32"/>
        <v>272690.16761499998</v>
      </c>
      <c r="G349" s="22">
        <f t="shared" si="34"/>
        <v>154332626.53710344</v>
      </c>
      <c r="H349" s="27">
        <f t="shared" si="33"/>
        <v>3930.3321214723546</v>
      </c>
    </row>
    <row r="350" spans="3:8" x14ac:dyDescent="0.15">
      <c r="C350">
        <f t="shared" si="30"/>
        <v>29</v>
      </c>
      <c r="D350">
        <f t="shared" si="31"/>
        <v>1</v>
      </c>
      <c r="E350" s="25">
        <f t="shared" si="35"/>
        <v>8500000</v>
      </c>
      <c r="F350" s="22">
        <f t="shared" si="32"/>
        <v>272690.16761499998</v>
      </c>
      <c r="G350" s="22">
        <f t="shared" si="34"/>
        <v>155049172.91040847</v>
      </c>
      <c r="H350" s="27">
        <f t="shared" si="33"/>
        <v>3948.5801438815902</v>
      </c>
    </row>
    <row r="351" spans="3:8" x14ac:dyDescent="0.15">
      <c r="C351">
        <f t="shared" si="30"/>
        <v>29</v>
      </c>
      <c r="D351">
        <f t="shared" si="31"/>
        <v>2</v>
      </c>
      <c r="E351" s="25">
        <f t="shared" si="35"/>
        <v>8500000</v>
      </c>
      <c r="F351" s="22">
        <f t="shared" si="32"/>
        <v>272690.16761499998</v>
      </c>
      <c r="G351" s="22">
        <f t="shared" si="34"/>
        <v>155767776.41577876</v>
      </c>
      <c r="H351" s="27">
        <f t="shared" si="33"/>
        <v>3966.8805545149858</v>
      </c>
    </row>
    <row r="352" spans="3:8" x14ac:dyDescent="0.15">
      <c r="C352">
        <f t="shared" si="30"/>
        <v>29</v>
      </c>
      <c r="D352">
        <f t="shared" si="31"/>
        <v>3</v>
      </c>
      <c r="E352" s="25">
        <f t="shared" si="35"/>
        <v>8500000</v>
      </c>
      <c r="F352" s="22">
        <f t="shared" si="32"/>
        <v>272690.16761499998</v>
      </c>
      <c r="G352" s="22">
        <f t="shared" si="34"/>
        <v>156488442.95903215</v>
      </c>
      <c r="H352" s="27">
        <f t="shared" si="33"/>
        <v>3985.2335037738276</v>
      </c>
    </row>
    <row r="353" spans="3:8" x14ac:dyDescent="0.15">
      <c r="C353">
        <f t="shared" ref="C353:C416" si="36">IF(MOD(D352,12)=0,C352+1,C352)</f>
        <v>29</v>
      </c>
      <c r="D353">
        <f t="shared" ref="D353:D416" si="37">IF(MOD(D352,12)=0,1,D352+1)</f>
        <v>4</v>
      </c>
      <c r="E353" s="25">
        <f t="shared" si="35"/>
        <v>8500000</v>
      </c>
      <c r="F353" s="22">
        <f t="shared" si="32"/>
        <v>272690.16761499998</v>
      </c>
      <c r="G353" s="22">
        <f t="shared" si="34"/>
        <v>157211178.46294144</v>
      </c>
      <c r="H353" s="27">
        <f t="shared" si="33"/>
        <v>4003.6391424911876</v>
      </c>
    </row>
    <row r="354" spans="3:8" x14ac:dyDescent="0.15">
      <c r="C354">
        <f t="shared" si="36"/>
        <v>29</v>
      </c>
      <c r="D354">
        <f t="shared" si="37"/>
        <v>5</v>
      </c>
      <c r="E354" s="25">
        <f t="shared" si="35"/>
        <v>8500000</v>
      </c>
      <c r="F354" s="22">
        <f t="shared" si="32"/>
        <v>272690.16761499998</v>
      </c>
      <c r="G354" s="22">
        <f t="shared" si="34"/>
        <v>157935988.86728314</v>
      </c>
      <c r="H354" s="27">
        <f t="shared" si="33"/>
        <v>4022.0976219331651</v>
      </c>
    </row>
    <row r="355" spans="3:8" x14ac:dyDescent="0.15">
      <c r="C355">
        <f t="shared" si="36"/>
        <v>29</v>
      </c>
      <c r="D355">
        <f t="shared" si="37"/>
        <v>6</v>
      </c>
      <c r="E355" s="25">
        <f t="shared" si="35"/>
        <v>8500000</v>
      </c>
      <c r="F355" s="22">
        <f t="shared" si="32"/>
        <v>272690.16761499998</v>
      </c>
      <c r="G355" s="22">
        <f t="shared" si="34"/>
        <v>158662880.12888622</v>
      </c>
      <c r="H355" s="27">
        <f t="shared" si="33"/>
        <v>4040.6090938001289</v>
      </c>
    </row>
    <row r="356" spans="3:8" x14ac:dyDescent="0.15">
      <c r="C356">
        <f t="shared" si="36"/>
        <v>29</v>
      </c>
      <c r="D356">
        <f t="shared" si="37"/>
        <v>7</v>
      </c>
      <c r="E356" s="25">
        <f t="shared" si="35"/>
        <v>8500000</v>
      </c>
      <c r="F356" s="22">
        <f t="shared" si="32"/>
        <v>272690.16761499998</v>
      </c>
      <c r="G356" s="22">
        <f t="shared" si="34"/>
        <v>159391858.22168115</v>
      </c>
      <c r="H356" s="27">
        <f t="shared" si="33"/>
        <v>4059.1737102279631</v>
      </c>
    </row>
    <row r="357" spans="3:8" x14ac:dyDescent="0.15">
      <c r="C357">
        <f t="shared" si="36"/>
        <v>29</v>
      </c>
      <c r="D357">
        <f t="shared" si="37"/>
        <v>8</v>
      </c>
      <c r="E357" s="25">
        <f t="shared" si="35"/>
        <v>8500000</v>
      </c>
      <c r="F357" s="22">
        <f t="shared" si="32"/>
        <v>272690.16761499998</v>
      </c>
      <c r="G357" s="22">
        <f t="shared" si="34"/>
        <v>160122929.13674894</v>
      </c>
      <c r="H357" s="27">
        <f t="shared" si="33"/>
        <v>4077.7916237893214</v>
      </c>
    </row>
    <row r="358" spans="3:8" x14ac:dyDescent="0.15">
      <c r="C358">
        <f t="shared" si="36"/>
        <v>29</v>
      </c>
      <c r="D358">
        <f t="shared" si="37"/>
        <v>9</v>
      </c>
      <c r="E358" s="25">
        <f t="shared" si="35"/>
        <v>8500000</v>
      </c>
      <c r="F358" s="22">
        <f t="shared" si="32"/>
        <v>272690.16761499998</v>
      </c>
      <c r="G358" s="22">
        <f t="shared" si="34"/>
        <v>160856098.88237035</v>
      </c>
      <c r="H358" s="27">
        <f t="shared" si="33"/>
        <v>4096.4629874948741</v>
      </c>
    </row>
    <row r="359" spans="3:8" x14ac:dyDescent="0.15">
      <c r="C359">
        <f t="shared" si="36"/>
        <v>29</v>
      </c>
      <c r="D359">
        <f t="shared" si="37"/>
        <v>10</v>
      </c>
      <c r="E359" s="25">
        <f t="shared" si="35"/>
        <v>8500000</v>
      </c>
      <c r="F359" s="22">
        <f t="shared" si="32"/>
        <v>272690.16761499998</v>
      </c>
      <c r="G359" s="22">
        <f t="shared" si="34"/>
        <v>161591373.48407531</v>
      </c>
      <c r="H359" s="27">
        <f t="shared" si="33"/>
        <v>4115.1879547945728</v>
      </c>
    </row>
    <row r="360" spans="3:8" x14ac:dyDescent="0.15">
      <c r="C360">
        <f t="shared" si="36"/>
        <v>29</v>
      </c>
      <c r="D360">
        <f t="shared" si="37"/>
        <v>11</v>
      </c>
      <c r="E360" s="25">
        <f t="shared" si="35"/>
        <v>8500000</v>
      </c>
      <c r="F360" s="22">
        <f t="shared" si="32"/>
        <v>272690.16761499998</v>
      </c>
      <c r="G360" s="22">
        <f t="shared" si="34"/>
        <v>162328758.98469248</v>
      </c>
      <c r="H360" s="27">
        <f t="shared" si="33"/>
        <v>4133.9666795789062</v>
      </c>
    </row>
    <row r="361" spans="3:8" x14ac:dyDescent="0.15">
      <c r="C361">
        <f t="shared" si="36"/>
        <v>29</v>
      </c>
      <c r="D361">
        <f t="shared" si="37"/>
        <v>12</v>
      </c>
      <c r="E361" s="25">
        <f t="shared" si="35"/>
        <v>8500000</v>
      </c>
      <c r="F361" s="22">
        <f t="shared" si="32"/>
        <v>272690.16761499998</v>
      </c>
      <c r="G361" s="22">
        <f t="shared" si="34"/>
        <v>163068261.44439885</v>
      </c>
      <c r="H361" s="27">
        <f t="shared" si="33"/>
        <v>4152.7993161801696</v>
      </c>
    </row>
    <row r="362" spans="3:8" x14ac:dyDescent="0.15">
      <c r="C362">
        <f t="shared" si="36"/>
        <v>30</v>
      </c>
      <c r="D362">
        <f t="shared" si="37"/>
        <v>1</v>
      </c>
      <c r="E362" s="25">
        <f t="shared" si="35"/>
        <v>8500000</v>
      </c>
      <c r="F362" s="22">
        <f t="shared" si="32"/>
        <v>272690.16761499998</v>
      </c>
      <c r="G362" s="22">
        <f t="shared" si="34"/>
        <v>163809886.94076952</v>
      </c>
      <c r="H362" s="27">
        <f t="shared" si="33"/>
        <v>4171.6860193737275</v>
      </c>
    </row>
    <row r="363" spans="3:8" x14ac:dyDescent="0.15">
      <c r="C363">
        <f t="shared" si="36"/>
        <v>30</v>
      </c>
      <c r="D363">
        <f t="shared" si="37"/>
        <v>2</v>
      </c>
      <c r="E363" s="25">
        <f t="shared" si="35"/>
        <v>8500000</v>
      </c>
      <c r="F363" s="22">
        <f t="shared" si="32"/>
        <v>272690.16761499998</v>
      </c>
      <c r="G363" s="22">
        <f t="shared" si="34"/>
        <v>164553641.56882778</v>
      </c>
      <c r="H363" s="27">
        <f t="shared" si="33"/>
        <v>4190.6269443792926</v>
      </c>
    </row>
    <row r="364" spans="3:8" x14ac:dyDescent="0.15">
      <c r="C364">
        <f t="shared" si="36"/>
        <v>30</v>
      </c>
      <c r="D364">
        <f t="shared" si="37"/>
        <v>3</v>
      </c>
      <c r="E364" s="25">
        <f t="shared" si="35"/>
        <v>8500000</v>
      </c>
      <c r="F364" s="22">
        <f t="shared" si="32"/>
        <v>272690.16761499998</v>
      </c>
      <c r="G364" s="22">
        <f t="shared" si="34"/>
        <v>165299531.44109502</v>
      </c>
      <c r="H364" s="27">
        <f t="shared" si="33"/>
        <v>4209.6222468621936</v>
      </c>
    </row>
    <row r="365" spans="3:8" x14ac:dyDescent="0.15">
      <c r="C365">
        <f t="shared" si="36"/>
        <v>30</v>
      </c>
      <c r="D365">
        <f t="shared" si="37"/>
        <v>4</v>
      </c>
      <c r="E365" s="25">
        <f t="shared" si="35"/>
        <v>8500000</v>
      </c>
      <c r="F365" s="22">
        <f t="shared" si="32"/>
        <v>272690.16761499998</v>
      </c>
      <c r="G365" s="22">
        <f t="shared" si="34"/>
        <v>166047562.68764114</v>
      </c>
      <c r="H365" s="27">
        <f t="shared" si="33"/>
        <v>4228.6720829346614</v>
      </c>
    </row>
    <row r="366" spans="3:8" x14ac:dyDescent="0.15">
      <c r="C366">
        <f t="shared" si="36"/>
        <v>30</v>
      </c>
      <c r="D366">
        <f t="shared" si="37"/>
        <v>5</v>
      </c>
      <c r="E366" s="25">
        <f t="shared" si="35"/>
        <v>8500000</v>
      </c>
      <c r="F366" s="22">
        <f t="shared" si="32"/>
        <v>272690.16761499998</v>
      </c>
      <c r="G366" s="22">
        <f t="shared" si="34"/>
        <v>166797741.4561348</v>
      </c>
      <c r="H366" s="27">
        <f t="shared" si="33"/>
        <v>4247.7766091571075</v>
      </c>
    </row>
    <row r="367" spans="3:8" x14ac:dyDescent="0.15">
      <c r="C367">
        <f t="shared" si="36"/>
        <v>30</v>
      </c>
      <c r="D367">
        <f t="shared" si="37"/>
        <v>6</v>
      </c>
      <c r="E367" s="25">
        <f t="shared" si="35"/>
        <v>8500000</v>
      </c>
      <c r="F367" s="22">
        <f t="shared" si="32"/>
        <v>272690.16761499998</v>
      </c>
      <c r="G367" s="22">
        <f t="shared" si="34"/>
        <v>167550073.91189399</v>
      </c>
      <c r="H367" s="27">
        <f t="shared" si="33"/>
        <v>4266.9359825394149</v>
      </c>
    </row>
    <row r="368" spans="3:8" x14ac:dyDescent="0.15">
      <c r="C368">
        <f t="shared" si="36"/>
        <v>30</v>
      </c>
      <c r="D368">
        <f t="shared" si="37"/>
        <v>7</v>
      </c>
      <c r="E368" s="25">
        <f t="shared" si="35"/>
        <v>8500000</v>
      </c>
      <c r="F368" s="22">
        <f t="shared" si="32"/>
        <v>272690.16761499998</v>
      </c>
      <c r="G368" s="22">
        <f t="shared" si="34"/>
        <v>168304566.23793676</v>
      </c>
      <c r="H368" s="27">
        <f t="shared" si="33"/>
        <v>4286.1503605422249</v>
      </c>
    </row>
    <row r="369" spans="3:8" x14ac:dyDescent="0.15">
      <c r="C369">
        <f t="shared" si="36"/>
        <v>30</v>
      </c>
      <c r="D369">
        <f t="shared" si="37"/>
        <v>8</v>
      </c>
      <c r="E369" s="25">
        <f t="shared" si="35"/>
        <v>8500000</v>
      </c>
      <c r="F369" s="22">
        <f t="shared" si="32"/>
        <v>272690.16761499998</v>
      </c>
      <c r="G369" s="22">
        <f t="shared" si="34"/>
        <v>169061224.63503191</v>
      </c>
      <c r="H369" s="27">
        <f t="shared" si="33"/>
        <v>4305.4199010782295</v>
      </c>
    </row>
    <row r="370" spans="3:8" x14ac:dyDescent="0.15">
      <c r="C370">
        <f t="shared" si="36"/>
        <v>30</v>
      </c>
      <c r="D370">
        <f t="shared" si="37"/>
        <v>9</v>
      </c>
      <c r="E370" s="25">
        <f t="shared" si="35"/>
        <v>8500000</v>
      </c>
      <c r="F370" s="22">
        <f t="shared" si="32"/>
        <v>272690.16761499998</v>
      </c>
      <c r="G370" s="22">
        <f t="shared" si="34"/>
        <v>169820055.32175004</v>
      </c>
      <c r="H370" s="27">
        <f t="shared" si="33"/>
        <v>4324.7447625134764</v>
      </c>
    </row>
    <row r="371" spans="3:8" x14ac:dyDescent="0.15">
      <c r="C371">
        <f t="shared" si="36"/>
        <v>30</v>
      </c>
      <c r="D371">
        <f t="shared" si="37"/>
        <v>10</v>
      </c>
      <c r="E371" s="25">
        <f t="shared" si="35"/>
        <v>8500000</v>
      </c>
      <c r="F371" s="22">
        <f t="shared" si="32"/>
        <v>272690.16761499998</v>
      </c>
      <c r="G371" s="22">
        <f t="shared" si="34"/>
        <v>170581064.5345147</v>
      </c>
      <c r="H371" s="27">
        <f t="shared" si="33"/>
        <v>4344.1251036686645</v>
      </c>
    </row>
    <row r="372" spans="3:8" x14ac:dyDescent="0.15">
      <c r="C372">
        <f t="shared" si="36"/>
        <v>30</v>
      </c>
      <c r="D372">
        <f t="shared" si="37"/>
        <v>11</v>
      </c>
      <c r="E372" s="25">
        <f t="shared" si="35"/>
        <v>8500000</v>
      </c>
      <c r="F372" s="22">
        <f t="shared" si="32"/>
        <v>272690.16761499998</v>
      </c>
      <c r="G372" s="22">
        <f t="shared" si="34"/>
        <v>171344258.52765349</v>
      </c>
      <c r="H372" s="27">
        <f t="shared" si="33"/>
        <v>4363.5610838204502</v>
      </c>
    </row>
    <row r="373" spans="3:8" x14ac:dyDescent="0.15">
      <c r="C373">
        <f t="shared" si="36"/>
        <v>30</v>
      </c>
      <c r="D373">
        <f t="shared" si="37"/>
        <v>12</v>
      </c>
      <c r="E373" s="25">
        <f t="shared" si="35"/>
        <v>8500000</v>
      </c>
      <c r="F373" s="22">
        <f t="shared" si="32"/>
        <v>272690.16761499998</v>
      </c>
      <c r="G373" s="22">
        <f t="shared" si="34"/>
        <v>172109643.57344958</v>
      </c>
      <c r="H373" s="27">
        <f t="shared" si="33"/>
        <v>4383.0528627027579</v>
      </c>
    </row>
    <row r="374" spans="3:8" x14ac:dyDescent="0.15">
      <c r="C374">
        <f t="shared" si="36"/>
        <v>31</v>
      </c>
      <c r="D374">
        <f t="shared" si="37"/>
        <v>1</v>
      </c>
      <c r="E374" s="25">
        <f t="shared" si="35"/>
        <v>8500000</v>
      </c>
      <c r="F374" s="22">
        <f t="shared" si="32"/>
        <v>272690.16761499998</v>
      </c>
      <c r="G374" s="22">
        <f t="shared" si="34"/>
        <v>172877225.96219325</v>
      </c>
      <c r="H374" s="27">
        <f t="shared" si="33"/>
        <v>4402.6006005080908</v>
      </c>
    </row>
    <row r="375" spans="3:8" x14ac:dyDescent="0.15">
      <c r="C375">
        <f t="shared" si="36"/>
        <v>31</v>
      </c>
      <c r="D375">
        <f t="shared" si="37"/>
        <v>2</v>
      </c>
      <c r="E375" s="25">
        <f t="shared" si="35"/>
        <v>8500000</v>
      </c>
      <c r="F375" s="22">
        <f t="shared" si="32"/>
        <v>272690.16761499998</v>
      </c>
      <c r="G375" s="22">
        <f t="shared" si="34"/>
        <v>173647012.00223354</v>
      </c>
      <c r="H375" s="27">
        <f t="shared" si="33"/>
        <v>4422.2044578888499</v>
      </c>
    </row>
    <row r="376" spans="3:8" x14ac:dyDescent="0.15">
      <c r="C376">
        <f t="shared" si="36"/>
        <v>31</v>
      </c>
      <c r="D376">
        <f t="shared" si="37"/>
        <v>3</v>
      </c>
      <c r="E376" s="25">
        <f t="shared" si="35"/>
        <v>8500000</v>
      </c>
      <c r="F376" s="22">
        <f t="shared" si="32"/>
        <v>272690.16761499998</v>
      </c>
      <c r="G376" s="22">
        <f t="shared" si="34"/>
        <v>174419008.02003014</v>
      </c>
      <c r="H376" s="27">
        <f t="shared" si="33"/>
        <v>4441.8645959586529</v>
      </c>
    </row>
    <row r="377" spans="3:8" x14ac:dyDescent="0.15">
      <c r="C377">
        <f t="shared" si="36"/>
        <v>31</v>
      </c>
      <c r="D377">
        <f t="shared" si="37"/>
        <v>4</v>
      </c>
      <c r="E377" s="25">
        <f t="shared" si="35"/>
        <v>8500000</v>
      </c>
      <c r="F377" s="22">
        <f t="shared" si="32"/>
        <v>272690.16761499998</v>
      </c>
      <c r="G377" s="22">
        <f t="shared" si="34"/>
        <v>175193220.36020538</v>
      </c>
      <c r="H377" s="27">
        <f t="shared" si="33"/>
        <v>4461.5811762936573</v>
      </c>
    </row>
    <row r="378" spans="3:8" x14ac:dyDescent="0.15">
      <c r="C378">
        <f t="shared" si="36"/>
        <v>31</v>
      </c>
      <c r="D378">
        <f t="shared" si="37"/>
        <v>5</v>
      </c>
      <c r="E378" s="25">
        <f t="shared" si="35"/>
        <v>8500000</v>
      </c>
      <c r="F378" s="22">
        <f t="shared" si="32"/>
        <v>272690.16761499998</v>
      </c>
      <c r="G378" s="22">
        <f t="shared" si="34"/>
        <v>175969655.38559631</v>
      </c>
      <c r="H378" s="27">
        <f t="shared" si="33"/>
        <v>4481.3543609338894</v>
      </c>
    </row>
    <row r="379" spans="3:8" x14ac:dyDescent="0.15">
      <c r="C379">
        <f t="shared" si="36"/>
        <v>31</v>
      </c>
      <c r="D379">
        <f t="shared" si="37"/>
        <v>6</v>
      </c>
      <c r="E379" s="25">
        <f t="shared" si="35"/>
        <v>8500000</v>
      </c>
      <c r="F379" s="22">
        <f t="shared" si="32"/>
        <v>272690.16761499998</v>
      </c>
      <c r="G379" s="22">
        <f t="shared" si="34"/>
        <v>176748319.47730708</v>
      </c>
      <c r="H379" s="27">
        <f t="shared" si="33"/>
        <v>4501.1843123845774</v>
      </c>
    </row>
    <row r="380" spans="3:8" x14ac:dyDescent="0.15">
      <c r="C380">
        <f t="shared" si="36"/>
        <v>31</v>
      </c>
      <c r="D380">
        <f t="shared" si="37"/>
        <v>7</v>
      </c>
      <c r="E380" s="25">
        <f t="shared" si="35"/>
        <v>8500000</v>
      </c>
      <c r="F380" s="22">
        <f t="shared" si="32"/>
        <v>272690.16761499998</v>
      </c>
      <c r="G380" s="22">
        <f t="shared" si="34"/>
        <v>177529219.03476134</v>
      </c>
      <c r="H380" s="27">
        <f t="shared" si="33"/>
        <v>4521.0711936174848</v>
      </c>
    </row>
    <row r="381" spans="3:8" x14ac:dyDescent="0.15">
      <c r="C381">
        <f t="shared" si="36"/>
        <v>31</v>
      </c>
      <c r="D381">
        <f t="shared" si="37"/>
        <v>8</v>
      </c>
      <c r="E381" s="25">
        <f t="shared" si="35"/>
        <v>8500000</v>
      </c>
      <c r="F381" s="22">
        <f t="shared" si="32"/>
        <v>272690.16761499998</v>
      </c>
      <c r="G381" s="22">
        <f t="shared" si="34"/>
        <v>178312360.47575483</v>
      </c>
      <c r="H381" s="27">
        <f t="shared" si="33"/>
        <v>4541.0151680722502</v>
      </c>
    </row>
    <row r="382" spans="3:8" x14ac:dyDescent="0.15">
      <c r="C382">
        <f t="shared" si="36"/>
        <v>31</v>
      </c>
      <c r="D382">
        <f t="shared" si="37"/>
        <v>9</v>
      </c>
      <c r="E382" s="25">
        <f t="shared" si="35"/>
        <v>8500000</v>
      </c>
      <c r="F382" s="22">
        <f t="shared" si="32"/>
        <v>272690.16761499998</v>
      </c>
      <c r="G382" s="22">
        <f t="shared" si="34"/>
        <v>179097750.2365081</v>
      </c>
      <c r="H382" s="27">
        <f t="shared" si="33"/>
        <v>4561.0163996577312</v>
      </c>
    </row>
    <row r="383" spans="3:8" x14ac:dyDescent="0.15">
      <c r="C383">
        <f t="shared" si="36"/>
        <v>31</v>
      </c>
      <c r="D383">
        <f t="shared" si="37"/>
        <v>10</v>
      </c>
      <c r="E383" s="25">
        <f t="shared" si="35"/>
        <v>8500000</v>
      </c>
      <c r="F383" s="22">
        <f t="shared" si="32"/>
        <v>272690.16761499998</v>
      </c>
      <c r="G383" s="22">
        <f t="shared" si="34"/>
        <v>179885394.77171952</v>
      </c>
      <c r="H383" s="27">
        <f t="shared" si="33"/>
        <v>4581.075052753351</v>
      </c>
    </row>
    <row r="384" spans="3:8" x14ac:dyDescent="0.15">
      <c r="C384">
        <f t="shared" si="36"/>
        <v>31</v>
      </c>
      <c r="D384">
        <f t="shared" si="37"/>
        <v>11</v>
      </c>
      <c r="E384" s="25">
        <f t="shared" si="35"/>
        <v>8500000</v>
      </c>
      <c r="F384" s="22">
        <f t="shared" si="32"/>
        <v>272690.16761499998</v>
      </c>
      <c r="G384" s="22">
        <f t="shared" si="34"/>
        <v>180675300.55461815</v>
      </c>
      <c r="H384" s="27">
        <f t="shared" si="33"/>
        <v>4601.1912922104493</v>
      </c>
    </row>
    <row r="385" spans="3:8" x14ac:dyDescent="0.15">
      <c r="C385">
        <f t="shared" si="36"/>
        <v>31</v>
      </c>
      <c r="D385">
        <f t="shared" si="37"/>
        <v>12</v>
      </c>
      <c r="E385" s="25">
        <f t="shared" si="35"/>
        <v>8500000</v>
      </c>
      <c r="F385" s="22">
        <f t="shared" si="32"/>
        <v>272690.16761499998</v>
      </c>
      <c r="G385" s="22">
        <f t="shared" si="34"/>
        <v>181467474.0770171</v>
      </c>
      <c r="H385" s="27">
        <f t="shared" si="33"/>
        <v>4621.3652833536371</v>
      </c>
    </row>
    <row r="386" spans="3:8" x14ac:dyDescent="0.15">
      <c r="C386">
        <f t="shared" si="36"/>
        <v>32</v>
      </c>
      <c r="D386">
        <f t="shared" si="37"/>
        <v>1</v>
      </c>
      <c r="E386" s="25">
        <f t="shared" si="35"/>
        <v>8500000</v>
      </c>
      <c r="F386" s="22">
        <f t="shared" si="32"/>
        <v>272690.16761499998</v>
      </c>
      <c r="G386" s="22">
        <f t="shared" si="34"/>
        <v>182261921.84936678</v>
      </c>
      <c r="H386" s="27">
        <f t="shared" si="33"/>
        <v>4641.5971919821568</v>
      </c>
    </row>
    <row r="387" spans="3:8" x14ac:dyDescent="0.15">
      <c r="C387">
        <f t="shared" si="36"/>
        <v>32</v>
      </c>
      <c r="D387">
        <f t="shared" si="37"/>
        <v>2</v>
      </c>
      <c r="E387" s="25">
        <f t="shared" si="35"/>
        <v>8500000</v>
      </c>
      <c r="F387" s="22">
        <f t="shared" si="32"/>
        <v>272690.16761499998</v>
      </c>
      <c r="G387" s="22">
        <f t="shared" si="34"/>
        <v>183058650.40080848</v>
      </c>
      <c r="H387" s="27">
        <f t="shared" si="33"/>
        <v>4661.8871843712423</v>
      </c>
    </row>
    <row r="388" spans="3:8" x14ac:dyDescent="0.15">
      <c r="C388">
        <f t="shared" si="36"/>
        <v>32</v>
      </c>
      <c r="D388">
        <f t="shared" si="37"/>
        <v>3</v>
      </c>
      <c r="E388" s="25">
        <f t="shared" si="35"/>
        <v>8500000</v>
      </c>
      <c r="F388" s="22">
        <f t="shared" si="32"/>
        <v>272690.16761499998</v>
      </c>
      <c r="G388" s="22">
        <f t="shared" si="34"/>
        <v>183857666.27922797</v>
      </c>
      <c r="H388" s="27">
        <f t="shared" si="33"/>
        <v>4682.2354272734883</v>
      </c>
    </row>
    <row r="389" spans="3:8" x14ac:dyDescent="0.15">
      <c r="C389">
        <f t="shared" si="36"/>
        <v>32</v>
      </c>
      <c r="D389">
        <f t="shared" si="37"/>
        <v>4</v>
      </c>
      <c r="E389" s="25">
        <f t="shared" si="35"/>
        <v>8500000</v>
      </c>
      <c r="F389" s="22">
        <f t="shared" si="32"/>
        <v>272690.16761499998</v>
      </c>
      <c r="G389" s="22">
        <f t="shared" si="34"/>
        <v>184658976.05130935</v>
      </c>
      <c r="H389" s="27">
        <f t="shared" si="33"/>
        <v>4702.6420879202178</v>
      </c>
    </row>
    <row r="390" spans="3:8" x14ac:dyDescent="0.15">
      <c r="C390">
        <f t="shared" si="36"/>
        <v>32</v>
      </c>
      <c r="D390">
        <f t="shared" si="37"/>
        <v>5</v>
      </c>
      <c r="E390" s="25">
        <f t="shared" si="35"/>
        <v>8500000</v>
      </c>
      <c r="F390" s="22">
        <f t="shared" si="32"/>
        <v>272690.16761499998</v>
      </c>
      <c r="G390" s="22">
        <f t="shared" si="34"/>
        <v>185462586.30258897</v>
      </c>
      <c r="H390" s="27">
        <f t="shared" si="33"/>
        <v>4723.1073340228586</v>
      </c>
    </row>
    <row r="391" spans="3:8" x14ac:dyDescent="0.15">
      <c r="C391">
        <f t="shared" si="36"/>
        <v>32</v>
      </c>
      <c r="D391">
        <f t="shared" si="37"/>
        <v>6</v>
      </c>
      <c r="E391" s="25">
        <f t="shared" si="35"/>
        <v>8500000</v>
      </c>
      <c r="F391" s="22">
        <f t="shared" si="32"/>
        <v>272690.16761499998</v>
      </c>
      <c r="G391" s="22">
        <f t="shared" si="34"/>
        <v>186268503.63750961</v>
      </c>
      <c r="H391" s="27">
        <f t="shared" si="33"/>
        <v>4743.6313337743204</v>
      </c>
    </row>
    <row r="392" spans="3:8" x14ac:dyDescent="0.15">
      <c r="C392">
        <f t="shared" si="36"/>
        <v>32</v>
      </c>
      <c r="D392">
        <f t="shared" si="37"/>
        <v>7</v>
      </c>
      <c r="E392" s="25">
        <f t="shared" si="35"/>
        <v>8500000</v>
      </c>
      <c r="F392" s="22">
        <f t="shared" si="32"/>
        <v>272690.16761499998</v>
      </c>
      <c r="G392" s="22">
        <f t="shared" si="34"/>
        <v>187076734.67947477</v>
      </c>
      <c r="H392" s="27">
        <f t="shared" si="33"/>
        <v>4764.2142558503801</v>
      </c>
    </row>
    <row r="393" spans="3:8" x14ac:dyDescent="0.15">
      <c r="C393">
        <f t="shared" si="36"/>
        <v>32</v>
      </c>
      <c r="D393">
        <f t="shared" si="37"/>
        <v>8</v>
      </c>
      <c r="E393" s="25">
        <f t="shared" si="35"/>
        <v>8500000</v>
      </c>
      <c r="F393" s="22">
        <f t="shared" si="32"/>
        <v>272690.16761499998</v>
      </c>
      <c r="G393" s="22">
        <f t="shared" si="34"/>
        <v>187887286.07090303</v>
      </c>
      <c r="H393" s="27">
        <f t="shared" si="33"/>
        <v>4784.8562694110624</v>
      </c>
    </row>
    <row r="394" spans="3:8" x14ac:dyDescent="0.15">
      <c r="C394">
        <f t="shared" si="36"/>
        <v>32</v>
      </c>
      <c r="D394">
        <f t="shared" si="37"/>
        <v>9</v>
      </c>
      <c r="E394" s="25">
        <f t="shared" si="35"/>
        <v>8500000</v>
      </c>
      <c r="F394" s="22">
        <f t="shared" si="32"/>
        <v>272690.16761499998</v>
      </c>
      <c r="G394" s="22">
        <f t="shared" si="34"/>
        <v>188700164.47328269</v>
      </c>
      <c r="H394" s="27">
        <f t="shared" si="33"/>
        <v>4805.5575441020346</v>
      </c>
    </row>
    <row r="395" spans="3:8" x14ac:dyDescent="0.15">
      <c r="C395">
        <f t="shared" si="36"/>
        <v>32</v>
      </c>
      <c r="D395">
        <f t="shared" si="37"/>
        <v>10</v>
      </c>
      <c r="E395" s="25">
        <f t="shared" si="35"/>
        <v>8500000</v>
      </c>
      <c r="F395" s="22">
        <f t="shared" si="32"/>
        <v>272690.16761499998</v>
      </c>
      <c r="G395" s="22">
        <f t="shared" si="34"/>
        <v>189515376.5672265</v>
      </c>
      <c r="H395" s="27">
        <f t="shared" si="33"/>
        <v>4826.3182500560015</v>
      </c>
    </row>
    <row r="396" spans="3:8" x14ac:dyDescent="0.15">
      <c r="C396">
        <f t="shared" si="36"/>
        <v>32</v>
      </c>
      <c r="D396">
        <f t="shared" si="37"/>
        <v>11</v>
      </c>
      <c r="E396" s="25">
        <f t="shared" si="35"/>
        <v>8500000</v>
      </c>
      <c r="F396" s="22">
        <f t="shared" si="32"/>
        <v>272690.16761499998</v>
      </c>
      <c r="G396" s="22">
        <f t="shared" si="34"/>
        <v>190332929.05252659</v>
      </c>
      <c r="H396" s="27">
        <f t="shared" si="33"/>
        <v>4847.1385578940981</v>
      </c>
    </row>
    <row r="397" spans="3:8" x14ac:dyDescent="0.15">
      <c r="C397">
        <f t="shared" si="36"/>
        <v>32</v>
      </c>
      <c r="D397">
        <f t="shared" si="37"/>
        <v>12</v>
      </c>
      <c r="E397" s="25">
        <f t="shared" si="35"/>
        <v>8500000</v>
      </c>
      <c r="F397" s="22">
        <f t="shared" si="32"/>
        <v>272690.16761499998</v>
      </c>
      <c r="G397" s="22">
        <f t="shared" si="34"/>
        <v>191152828.64820951</v>
      </c>
      <c r="H397" s="27">
        <f t="shared" si="33"/>
        <v>4868.0186387272979</v>
      </c>
    </row>
    <row r="398" spans="3:8" x14ac:dyDescent="0.15">
      <c r="C398">
        <f t="shared" si="36"/>
        <v>33</v>
      </c>
      <c r="D398">
        <f t="shared" si="37"/>
        <v>1</v>
      </c>
      <c r="E398" s="25">
        <f t="shared" si="35"/>
        <v>8500000</v>
      </c>
      <c r="F398" s="22">
        <f t="shared" si="32"/>
        <v>272690.16761499998</v>
      </c>
      <c r="G398" s="22">
        <f t="shared" si="34"/>
        <v>191975082.09259143</v>
      </c>
      <c r="H398" s="27">
        <f t="shared" si="33"/>
        <v>4888.9586641578153</v>
      </c>
    </row>
    <row r="399" spans="3:8" x14ac:dyDescent="0.15">
      <c r="C399">
        <f t="shared" si="36"/>
        <v>33</v>
      </c>
      <c r="D399">
        <f t="shared" si="37"/>
        <v>2</v>
      </c>
      <c r="E399" s="25">
        <f t="shared" si="35"/>
        <v>8500000</v>
      </c>
      <c r="F399" s="22">
        <f t="shared" ref="F399:F462" si="38">IF(E399/$D$3&lt;$D$2*(1+$D$11)^(C399-1),0.1*E399,0.1*$D$2*$D$3*(1+$D$11)^(C399-1))*(1-$D$9)</f>
        <v>272690.16761499998</v>
      </c>
      <c r="G399" s="22">
        <f t="shared" si="34"/>
        <v>192799696.14333358</v>
      </c>
      <c r="H399" s="27">
        <f t="shared" ref="H399:H462" si="39">G399/$D$3</f>
        <v>4909.9588062805187</v>
      </c>
    </row>
    <row r="400" spans="3:8" x14ac:dyDescent="0.15">
      <c r="C400">
        <f t="shared" si="36"/>
        <v>33</v>
      </c>
      <c r="D400">
        <f t="shared" si="37"/>
        <v>3</v>
      </c>
      <c r="E400" s="25">
        <f t="shared" si="35"/>
        <v>8500000</v>
      </c>
      <c r="F400" s="22">
        <f t="shared" si="38"/>
        <v>272690.16761499998</v>
      </c>
      <c r="G400" s="22">
        <f t="shared" ref="G400:G463" si="40">(F400+G399)*(1+$D$5)</f>
        <v>193626677.57749775</v>
      </c>
      <c r="H400" s="27">
        <f t="shared" si="39"/>
        <v>4931.0192376843434</v>
      </c>
    </row>
    <row r="401" spans="3:8" x14ac:dyDescent="0.15">
      <c r="C401">
        <f t="shared" si="36"/>
        <v>33</v>
      </c>
      <c r="D401">
        <f t="shared" si="37"/>
        <v>4</v>
      </c>
      <c r="E401" s="25">
        <f t="shared" ref="E401:E464" si="41">E400</f>
        <v>8500000</v>
      </c>
      <c r="F401" s="22">
        <f t="shared" si="38"/>
        <v>272690.16761499998</v>
      </c>
      <c r="G401" s="22">
        <f t="shared" si="40"/>
        <v>194456033.19160196</v>
      </c>
      <c r="H401" s="27">
        <f t="shared" si="39"/>
        <v>4952.1401314537079</v>
      </c>
    </row>
    <row r="402" spans="3:8" x14ac:dyDescent="0.15">
      <c r="C402">
        <f t="shared" si="36"/>
        <v>33</v>
      </c>
      <c r="D402">
        <f t="shared" si="37"/>
        <v>5</v>
      </c>
      <c r="E402" s="25">
        <f t="shared" si="41"/>
        <v>8500000</v>
      </c>
      <c r="F402" s="22">
        <f t="shared" si="38"/>
        <v>272690.16761499998</v>
      </c>
      <c r="G402" s="22">
        <f t="shared" si="40"/>
        <v>195287769.80167636</v>
      </c>
      <c r="H402" s="27">
        <f t="shared" si="39"/>
        <v>4973.3216611699409</v>
      </c>
    </row>
    <row r="403" spans="3:8" x14ac:dyDescent="0.15">
      <c r="C403">
        <f t="shared" si="36"/>
        <v>33</v>
      </c>
      <c r="D403">
        <f t="shared" si="37"/>
        <v>6</v>
      </c>
      <c r="E403" s="25">
        <f t="shared" si="41"/>
        <v>8500000</v>
      </c>
      <c r="F403" s="22">
        <f t="shared" si="38"/>
        <v>272690.16761499998</v>
      </c>
      <c r="G403" s="22">
        <f t="shared" si="40"/>
        <v>196121894.24331924</v>
      </c>
      <c r="H403" s="27">
        <f t="shared" si="39"/>
        <v>4994.5640009127046</v>
      </c>
    </row>
    <row r="404" spans="3:8" x14ac:dyDescent="0.15">
      <c r="C404">
        <f t="shared" si="36"/>
        <v>33</v>
      </c>
      <c r="D404">
        <f t="shared" si="37"/>
        <v>7</v>
      </c>
      <c r="E404" s="25">
        <f t="shared" si="41"/>
        <v>8500000</v>
      </c>
      <c r="F404" s="22">
        <f t="shared" si="38"/>
        <v>272690.16761499998</v>
      </c>
      <c r="G404" s="22">
        <f t="shared" si="40"/>
        <v>196958413.37175319</v>
      </c>
      <c r="H404" s="27">
        <f t="shared" si="39"/>
        <v>5015.8673252614262</v>
      </c>
    </row>
    <row r="405" spans="3:8" x14ac:dyDescent="0.15">
      <c r="C405">
        <f t="shared" si="36"/>
        <v>33</v>
      </c>
      <c r="D405">
        <f t="shared" si="37"/>
        <v>8</v>
      </c>
      <c r="E405" s="25">
        <f t="shared" si="41"/>
        <v>8500000</v>
      </c>
      <c r="F405" s="22">
        <f t="shared" si="38"/>
        <v>272690.16761499998</v>
      </c>
      <c r="G405" s="22">
        <f t="shared" si="40"/>
        <v>197797334.06188142</v>
      </c>
      <c r="H405" s="27">
        <f t="shared" si="39"/>
        <v>5037.2318092967316</v>
      </c>
    </row>
    <row r="406" spans="3:8" x14ac:dyDescent="0.15">
      <c r="C406">
        <f t="shared" si="36"/>
        <v>33</v>
      </c>
      <c r="D406">
        <f t="shared" si="37"/>
        <v>9</v>
      </c>
      <c r="E406" s="25">
        <f t="shared" si="41"/>
        <v>8500000</v>
      </c>
      <c r="F406" s="22">
        <f t="shared" si="38"/>
        <v>272690.16761499998</v>
      </c>
      <c r="G406" s="22">
        <f t="shared" si="40"/>
        <v>198638663.20834437</v>
      </c>
      <c r="H406" s="27">
        <f t="shared" si="39"/>
        <v>5058.657628601889</v>
      </c>
    </row>
    <row r="407" spans="3:8" x14ac:dyDescent="0.15">
      <c r="C407">
        <f t="shared" si="36"/>
        <v>33</v>
      </c>
      <c r="D407">
        <f t="shared" si="37"/>
        <v>10</v>
      </c>
      <c r="E407" s="25">
        <f t="shared" si="41"/>
        <v>8500000</v>
      </c>
      <c r="F407" s="22">
        <f t="shared" si="38"/>
        <v>272690.16761499998</v>
      </c>
      <c r="G407" s="22">
        <f t="shared" si="40"/>
        <v>199482407.72557622</v>
      </c>
      <c r="H407" s="27">
        <f t="shared" si="39"/>
        <v>5080.1449592642439</v>
      </c>
    </row>
    <row r="408" spans="3:8" x14ac:dyDescent="0.15">
      <c r="C408">
        <f t="shared" si="36"/>
        <v>33</v>
      </c>
      <c r="D408">
        <f t="shared" si="37"/>
        <v>11</v>
      </c>
      <c r="E408" s="25">
        <f t="shared" si="41"/>
        <v>8500000</v>
      </c>
      <c r="F408" s="22">
        <f t="shared" si="38"/>
        <v>272690.16761499998</v>
      </c>
      <c r="G408" s="22">
        <f t="shared" si="40"/>
        <v>200328574.54786181</v>
      </c>
      <c r="H408" s="27">
        <f t="shared" si="39"/>
        <v>5101.6939778766746</v>
      </c>
    </row>
    <row r="409" spans="3:8" x14ac:dyDescent="0.15">
      <c r="C409">
        <f t="shared" si="36"/>
        <v>33</v>
      </c>
      <c r="D409">
        <f t="shared" si="37"/>
        <v>12</v>
      </c>
      <c r="E409" s="25">
        <f t="shared" si="41"/>
        <v>8500000</v>
      </c>
      <c r="F409" s="22">
        <f t="shared" si="38"/>
        <v>272690.16761499998</v>
      </c>
      <c r="G409" s="22">
        <f t="shared" si="40"/>
        <v>201177170.62939364</v>
      </c>
      <c r="H409" s="27">
        <f t="shared" si="39"/>
        <v>5123.3048615390362</v>
      </c>
    </row>
    <row r="410" spans="3:8" x14ac:dyDescent="0.15">
      <c r="C410">
        <f t="shared" si="36"/>
        <v>34</v>
      </c>
      <c r="D410">
        <f t="shared" si="37"/>
        <v>1</v>
      </c>
      <c r="E410" s="25">
        <f t="shared" si="41"/>
        <v>8500000</v>
      </c>
      <c r="F410" s="22">
        <f t="shared" si="38"/>
        <v>272690.16761499998</v>
      </c>
      <c r="G410" s="22">
        <f t="shared" si="40"/>
        <v>202028202.94432893</v>
      </c>
      <c r="H410" s="27">
        <f t="shared" si="39"/>
        <v>5144.9777878596224</v>
      </c>
    </row>
    <row r="411" spans="3:8" x14ac:dyDescent="0.15">
      <c r="C411">
        <f t="shared" si="36"/>
        <v>34</v>
      </c>
      <c r="D411">
        <f t="shared" si="37"/>
        <v>2</v>
      </c>
      <c r="E411" s="25">
        <f t="shared" si="41"/>
        <v>8500000</v>
      </c>
      <c r="F411" s="22">
        <f t="shared" si="38"/>
        <v>272690.16761499998</v>
      </c>
      <c r="G411" s="22">
        <f t="shared" si="40"/>
        <v>202881678.48684707</v>
      </c>
      <c r="H411" s="27">
        <f t="shared" si="39"/>
        <v>5166.7129349566212</v>
      </c>
    </row>
    <row r="412" spans="3:8" x14ac:dyDescent="0.15">
      <c r="C412">
        <f t="shared" si="36"/>
        <v>34</v>
      </c>
      <c r="D412">
        <f t="shared" si="37"/>
        <v>3</v>
      </c>
      <c r="E412" s="25">
        <f t="shared" si="41"/>
        <v>8500000</v>
      </c>
      <c r="F412" s="22">
        <f t="shared" si="38"/>
        <v>272690.16761499998</v>
      </c>
      <c r="G412" s="22">
        <f t="shared" si="40"/>
        <v>203737604.27120697</v>
      </c>
      <c r="H412" s="27">
        <f t="shared" si="39"/>
        <v>5188.5104814595788</v>
      </c>
    </row>
    <row r="413" spans="3:8" x14ac:dyDescent="0.15">
      <c r="C413">
        <f t="shared" si="36"/>
        <v>34</v>
      </c>
      <c r="D413">
        <f t="shared" si="37"/>
        <v>4</v>
      </c>
      <c r="E413" s="25">
        <f t="shared" si="41"/>
        <v>8500000</v>
      </c>
      <c r="F413" s="22">
        <f t="shared" si="38"/>
        <v>272690.16761499998</v>
      </c>
      <c r="G413" s="22">
        <f t="shared" si="40"/>
        <v>204595987.33180484</v>
      </c>
      <c r="H413" s="27">
        <f t="shared" si="39"/>
        <v>5210.3706065108718</v>
      </c>
    </row>
    <row r="414" spans="3:8" x14ac:dyDescent="0.15">
      <c r="C414">
        <f t="shared" si="36"/>
        <v>34</v>
      </c>
      <c r="D414">
        <f t="shared" si="37"/>
        <v>5</v>
      </c>
      <c r="E414" s="25">
        <f t="shared" si="41"/>
        <v>8500000</v>
      </c>
      <c r="F414" s="22">
        <f t="shared" si="38"/>
        <v>272690.16761499998</v>
      </c>
      <c r="G414" s="22">
        <f t="shared" si="40"/>
        <v>205456834.72323185</v>
      </c>
      <c r="H414" s="27">
        <f t="shared" si="39"/>
        <v>5232.293489767173</v>
      </c>
    </row>
    <row r="415" spans="3:8" x14ac:dyDescent="0.15">
      <c r="C415">
        <f t="shared" si="36"/>
        <v>34</v>
      </c>
      <c r="D415">
        <f t="shared" si="37"/>
        <v>6</v>
      </c>
      <c r="E415" s="25">
        <f t="shared" si="41"/>
        <v>8500000</v>
      </c>
      <c r="F415" s="22">
        <f t="shared" si="38"/>
        <v>272690.16761499998</v>
      </c>
      <c r="G415" s="22">
        <f t="shared" si="40"/>
        <v>206320153.52033222</v>
      </c>
      <c r="H415" s="27">
        <f t="shared" si="39"/>
        <v>5254.2793114009328</v>
      </c>
    </row>
    <row r="416" spans="3:8" x14ac:dyDescent="0.15">
      <c r="C416">
        <f t="shared" si="36"/>
        <v>34</v>
      </c>
      <c r="D416">
        <f t="shared" si="37"/>
        <v>7</v>
      </c>
      <c r="E416" s="25">
        <f t="shared" si="41"/>
        <v>8500000</v>
      </c>
      <c r="F416" s="22">
        <f t="shared" si="38"/>
        <v>272690.16761499998</v>
      </c>
      <c r="G416" s="22">
        <f t="shared" si="40"/>
        <v>207185950.81826136</v>
      </c>
      <c r="H416" s="27">
        <f t="shared" si="39"/>
        <v>5276.3282521018591</v>
      </c>
    </row>
    <row r="417" spans="3:8" x14ac:dyDescent="0.15">
      <c r="C417">
        <f t="shared" ref="C417:C480" si="42">IF(MOD(D416,12)=0,C416+1,C416)</f>
        <v>34</v>
      </c>
      <c r="D417">
        <f t="shared" ref="D417:D480" si="43">IF(MOD(D416,12)=0,1,D416+1)</f>
        <v>8</v>
      </c>
      <c r="E417" s="25">
        <f t="shared" si="41"/>
        <v>8500000</v>
      </c>
      <c r="F417" s="22">
        <f t="shared" si="38"/>
        <v>272690.16761499998</v>
      </c>
      <c r="G417" s="22">
        <f t="shared" si="40"/>
        <v>208054233.73254409</v>
      </c>
      <c r="H417" s="27">
        <f t="shared" si="39"/>
        <v>5298.4404930784012</v>
      </c>
    </row>
    <row r="418" spans="3:8" x14ac:dyDescent="0.15">
      <c r="C418">
        <f t="shared" si="42"/>
        <v>34</v>
      </c>
      <c r="D418">
        <f t="shared" si="43"/>
        <v>9</v>
      </c>
      <c r="E418" s="25">
        <f t="shared" si="41"/>
        <v>8500000</v>
      </c>
      <c r="F418" s="22">
        <f t="shared" si="38"/>
        <v>272690.16761499998</v>
      </c>
      <c r="G418" s="22">
        <f t="shared" si="40"/>
        <v>208925009.39913324</v>
      </c>
      <c r="H418" s="27">
        <f t="shared" si="39"/>
        <v>5320.6162160592385</v>
      </c>
    </row>
    <row r="419" spans="3:8" x14ac:dyDescent="0.15">
      <c r="C419">
        <f t="shared" si="42"/>
        <v>34</v>
      </c>
      <c r="D419">
        <f t="shared" si="43"/>
        <v>10</v>
      </c>
      <c r="E419" s="25">
        <f t="shared" si="41"/>
        <v>8500000</v>
      </c>
      <c r="F419" s="22">
        <f t="shared" si="38"/>
        <v>272690.16761499998</v>
      </c>
      <c r="G419" s="22">
        <f t="shared" si="40"/>
        <v>209798284.9744682</v>
      </c>
      <c r="H419" s="27">
        <f t="shared" si="39"/>
        <v>5342.8556032947763</v>
      </c>
    </row>
    <row r="420" spans="3:8" x14ac:dyDescent="0.15">
      <c r="C420">
        <f t="shared" si="42"/>
        <v>34</v>
      </c>
      <c r="D420">
        <f t="shared" si="43"/>
        <v>11</v>
      </c>
      <c r="E420" s="25">
        <f t="shared" si="41"/>
        <v>8500000</v>
      </c>
      <c r="F420" s="22">
        <f t="shared" si="38"/>
        <v>272690.16761499998</v>
      </c>
      <c r="G420" s="22">
        <f t="shared" si="40"/>
        <v>210674067.63553378</v>
      </c>
      <c r="H420" s="27">
        <f t="shared" si="39"/>
        <v>5365.1588375586407</v>
      </c>
    </row>
    <row r="421" spans="3:8" x14ac:dyDescent="0.15">
      <c r="C421">
        <f t="shared" si="42"/>
        <v>34</v>
      </c>
      <c r="D421">
        <f t="shared" si="43"/>
        <v>12</v>
      </c>
      <c r="E421" s="25">
        <f t="shared" si="41"/>
        <v>8500000</v>
      </c>
      <c r="F421" s="22">
        <f t="shared" si="38"/>
        <v>272690.16761499998</v>
      </c>
      <c r="G421" s="22">
        <f t="shared" si="40"/>
        <v>211552364.57991922</v>
      </c>
      <c r="H421" s="27">
        <f t="shared" si="39"/>
        <v>5387.5261021491851</v>
      </c>
    </row>
    <row r="422" spans="3:8" x14ac:dyDescent="0.15">
      <c r="C422">
        <f t="shared" si="42"/>
        <v>35</v>
      </c>
      <c r="D422">
        <f t="shared" si="43"/>
        <v>1</v>
      </c>
      <c r="E422" s="25">
        <f t="shared" si="41"/>
        <v>8500000</v>
      </c>
      <c r="F422" s="22">
        <f t="shared" si="38"/>
        <v>272690.16761499998</v>
      </c>
      <c r="G422" s="22">
        <f t="shared" si="40"/>
        <v>212433183.02587724</v>
      </c>
      <c r="H422" s="27">
        <f t="shared" si="39"/>
        <v>5409.9575808909922</v>
      </c>
    </row>
    <row r="423" spans="3:8" x14ac:dyDescent="0.15">
      <c r="C423">
        <f t="shared" si="42"/>
        <v>35</v>
      </c>
      <c r="D423">
        <f t="shared" si="43"/>
        <v>2</v>
      </c>
      <c r="E423" s="25">
        <f t="shared" si="41"/>
        <v>8500000</v>
      </c>
      <c r="F423" s="22">
        <f t="shared" si="38"/>
        <v>272690.16761499998</v>
      </c>
      <c r="G423" s="22">
        <f t="shared" si="40"/>
        <v>213316530.21238351</v>
      </c>
      <c r="H423" s="27">
        <f t="shared" si="39"/>
        <v>5432.4534581363851</v>
      </c>
    </row>
    <row r="424" spans="3:8" x14ac:dyDescent="0.15">
      <c r="C424">
        <f t="shared" si="42"/>
        <v>35</v>
      </c>
      <c r="D424">
        <f t="shared" si="43"/>
        <v>3</v>
      </c>
      <c r="E424" s="25">
        <f t="shared" si="41"/>
        <v>8500000</v>
      </c>
      <c r="F424" s="22">
        <f t="shared" si="38"/>
        <v>272690.16761499998</v>
      </c>
      <c r="G424" s="22">
        <f t="shared" si="40"/>
        <v>214202413.39919603</v>
      </c>
      <c r="H424" s="27">
        <f t="shared" si="39"/>
        <v>5455.0139187669474</v>
      </c>
    </row>
    <row r="425" spans="3:8" x14ac:dyDescent="0.15">
      <c r="C425">
        <f t="shared" si="42"/>
        <v>35</v>
      </c>
      <c r="D425">
        <f t="shared" si="43"/>
        <v>4</v>
      </c>
      <c r="E425" s="25">
        <f t="shared" si="41"/>
        <v>8500000</v>
      </c>
      <c r="F425" s="22">
        <f t="shared" si="38"/>
        <v>272690.16761499998</v>
      </c>
      <c r="G425" s="22">
        <f t="shared" si="40"/>
        <v>215090839.86691481</v>
      </c>
      <c r="H425" s="27">
        <f t="shared" si="39"/>
        <v>5477.639148195035</v>
      </c>
    </row>
    <row r="426" spans="3:8" x14ac:dyDescent="0.15">
      <c r="C426">
        <f t="shared" si="42"/>
        <v>35</v>
      </c>
      <c r="D426">
        <f t="shared" si="43"/>
        <v>5</v>
      </c>
      <c r="E426" s="25">
        <f t="shared" si="41"/>
        <v>8500000</v>
      </c>
      <c r="F426" s="22">
        <f t="shared" si="38"/>
        <v>272690.16761499998</v>
      </c>
      <c r="G426" s="22">
        <f t="shared" si="40"/>
        <v>215981816.91704175</v>
      </c>
      <c r="H426" s="27">
        <f t="shared" si="39"/>
        <v>5500.3293323653061</v>
      </c>
    </row>
    <row r="427" spans="3:8" x14ac:dyDescent="0.15">
      <c r="C427">
        <f t="shared" si="42"/>
        <v>35</v>
      </c>
      <c r="D427">
        <f t="shared" si="43"/>
        <v>6</v>
      </c>
      <c r="E427" s="25">
        <f t="shared" si="41"/>
        <v>8500000</v>
      </c>
      <c r="F427" s="22">
        <f t="shared" si="38"/>
        <v>272690.16761499998</v>
      </c>
      <c r="G427" s="22">
        <f t="shared" si="40"/>
        <v>216875351.87204063</v>
      </c>
      <c r="H427" s="27">
        <f t="shared" si="39"/>
        <v>5523.0846577562479</v>
      </c>
    </row>
    <row r="428" spans="3:8" x14ac:dyDescent="0.15">
      <c r="C428">
        <f t="shared" si="42"/>
        <v>35</v>
      </c>
      <c r="D428">
        <f t="shared" si="43"/>
        <v>7</v>
      </c>
      <c r="E428" s="25">
        <f t="shared" si="41"/>
        <v>8500000</v>
      </c>
      <c r="F428" s="22">
        <f t="shared" si="38"/>
        <v>272690.16761499998</v>
      </c>
      <c r="G428" s="22">
        <f t="shared" si="40"/>
        <v>217771452.07539728</v>
      </c>
      <c r="H428" s="27">
        <f t="shared" si="39"/>
        <v>5545.9053113817072</v>
      </c>
    </row>
    <row r="429" spans="3:8" x14ac:dyDescent="0.15">
      <c r="C429">
        <f t="shared" si="42"/>
        <v>35</v>
      </c>
      <c r="D429">
        <f t="shared" si="43"/>
        <v>8</v>
      </c>
      <c r="E429" s="25">
        <f t="shared" si="41"/>
        <v>8500000</v>
      </c>
      <c r="F429" s="22">
        <f t="shared" si="38"/>
        <v>272690.16761499998</v>
      </c>
      <c r="G429" s="22">
        <f t="shared" si="40"/>
        <v>218670124.89167991</v>
      </c>
      <c r="H429" s="27">
        <f t="shared" si="39"/>
        <v>5568.791480792428</v>
      </c>
    </row>
    <row r="430" spans="3:8" x14ac:dyDescent="0.15">
      <c r="C430">
        <f t="shared" si="42"/>
        <v>35</v>
      </c>
      <c r="D430">
        <f t="shared" si="43"/>
        <v>9</v>
      </c>
      <c r="E430" s="25">
        <f t="shared" si="41"/>
        <v>8500000</v>
      </c>
      <c r="F430" s="22">
        <f t="shared" si="38"/>
        <v>272690.16761499998</v>
      </c>
      <c r="G430" s="22">
        <f t="shared" si="40"/>
        <v>219571377.70659968</v>
      </c>
      <c r="H430" s="27">
        <f t="shared" si="39"/>
        <v>5591.7433540775946</v>
      </c>
    </row>
    <row r="431" spans="3:8" x14ac:dyDescent="0.15">
      <c r="C431">
        <f t="shared" si="42"/>
        <v>35</v>
      </c>
      <c r="D431">
        <f t="shared" si="43"/>
        <v>10</v>
      </c>
      <c r="E431" s="25">
        <f t="shared" si="41"/>
        <v>8500000</v>
      </c>
      <c r="F431" s="22">
        <f t="shared" si="38"/>
        <v>272690.16761499998</v>
      </c>
      <c r="G431" s="22">
        <f t="shared" si="40"/>
        <v>220475217.92707136</v>
      </c>
      <c r="H431" s="27">
        <f t="shared" si="39"/>
        <v>5614.7611198663753</v>
      </c>
    </row>
    <row r="432" spans="3:8" x14ac:dyDescent="0.15">
      <c r="C432">
        <f t="shared" si="42"/>
        <v>35</v>
      </c>
      <c r="D432">
        <f t="shared" si="43"/>
        <v>11</v>
      </c>
      <c r="E432" s="25">
        <f t="shared" si="41"/>
        <v>8500000</v>
      </c>
      <c r="F432" s="22">
        <f t="shared" si="38"/>
        <v>272690.16761499998</v>
      </c>
      <c r="G432" s="22">
        <f t="shared" si="40"/>
        <v>221381652.98127425</v>
      </c>
      <c r="H432" s="27">
        <f t="shared" si="39"/>
        <v>5637.8449673294763</v>
      </c>
    </row>
    <row r="433" spans="3:8" x14ac:dyDescent="0.15">
      <c r="C433">
        <f t="shared" si="42"/>
        <v>35</v>
      </c>
      <c r="D433">
        <f t="shared" si="43"/>
        <v>12</v>
      </c>
      <c r="E433" s="25">
        <f t="shared" si="41"/>
        <v>8500000</v>
      </c>
      <c r="F433" s="22">
        <f t="shared" si="38"/>
        <v>272690.16761499998</v>
      </c>
      <c r="G433" s="22">
        <f t="shared" si="40"/>
        <v>222290690.31871316</v>
      </c>
      <c r="H433" s="27">
        <f t="shared" si="39"/>
        <v>5660.9950861806892</v>
      </c>
    </row>
    <row r="434" spans="3:8" x14ac:dyDescent="0.15">
      <c r="C434">
        <f t="shared" si="42"/>
        <v>36</v>
      </c>
      <c r="D434">
        <f t="shared" si="43"/>
        <v>1</v>
      </c>
      <c r="E434" s="25">
        <f t="shared" si="41"/>
        <v>8500000</v>
      </c>
      <c r="F434" s="22">
        <f t="shared" si="38"/>
        <v>272690.16761499998</v>
      </c>
      <c r="G434" s="22">
        <f t="shared" si="40"/>
        <v>223202337.41027972</v>
      </c>
      <c r="H434" s="27">
        <f t="shared" si="39"/>
        <v>5684.2116666784596</v>
      </c>
    </row>
    <row r="435" spans="3:8" x14ac:dyDescent="0.15">
      <c r="C435">
        <f t="shared" si="42"/>
        <v>36</v>
      </c>
      <c r="D435">
        <f t="shared" si="43"/>
        <v>2</v>
      </c>
      <c r="E435" s="25">
        <f t="shared" si="41"/>
        <v>8500000</v>
      </c>
      <c r="F435" s="22">
        <f t="shared" si="38"/>
        <v>272690.16761499998</v>
      </c>
      <c r="G435" s="22">
        <f t="shared" si="40"/>
        <v>224116601.74831372</v>
      </c>
      <c r="H435" s="27">
        <f t="shared" si="39"/>
        <v>5707.4948996274416</v>
      </c>
    </row>
    <row r="436" spans="3:8" x14ac:dyDescent="0.15">
      <c r="C436">
        <f t="shared" si="42"/>
        <v>36</v>
      </c>
      <c r="D436">
        <f t="shared" si="43"/>
        <v>3</v>
      </c>
      <c r="E436" s="25">
        <f t="shared" si="41"/>
        <v>8500000</v>
      </c>
      <c r="F436" s="22">
        <f t="shared" si="38"/>
        <v>272690.16761499998</v>
      </c>
      <c r="G436" s="22">
        <f t="shared" si="40"/>
        <v>225033490.84666467</v>
      </c>
      <c r="H436" s="27">
        <f t="shared" si="39"/>
        <v>5730.8449763800727</v>
      </c>
    </row>
    <row r="437" spans="3:8" x14ac:dyDescent="0.15">
      <c r="C437">
        <f t="shared" si="42"/>
        <v>36</v>
      </c>
      <c r="D437">
        <f t="shared" si="43"/>
        <v>4</v>
      </c>
      <c r="E437" s="25">
        <f t="shared" si="41"/>
        <v>8500000</v>
      </c>
      <c r="F437" s="22">
        <f t="shared" si="38"/>
        <v>272690.16761499998</v>
      </c>
      <c r="G437" s="22">
        <f t="shared" si="40"/>
        <v>225953012.24075362</v>
      </c>
      <c r="H437" s="27">
        <f t="shared" si="39"/>
        <v>5754.2620888381443</v>
      </c>
    </row>
    <row r="438" spans="3:8" x14ac:dyDescent="0.15">
      <c r="C438">
        <f t="shared" si="42"/>
        <v>36</v>
      </c>
      <c r="D438">
        <f t="shared" si="43"/>
        <v>5</v>
      </c>
      <c r="E438" s="25">
        <f t="shared" si="41"/>
        <v>8500000</v>
      </c>
      <c r="F438" s="22">
        <f t="shared" si="38"/>
        <v>272690.16761499998</v>
      </c>
      <c r="G438" s="22">
        <f t="shared" si="40"/>
        <v>226875173.48763502</v>
      </c>
      <c r="H438" s="27">
        <f t="shared" si="39"/>
        <v>5777.7464294543752</v>
      </c>
    </row>
    <row r="439" spans="3:8" x14ac:dyDescent="0.15">
      <c r="C439">
        <f t="shared" si="42"/>
        <v>36</v>
      </c>
      <c r="D439">
        <f t="shared" si="43"/>
        <v>6</v>
      </c>
      <c r="E439" s="25">
        <f t="shared" si="41"/>
        <v>8500000</v>
      </c>
      <c r="F439" s="22">
        <f t="shared" si="38"/>
        <v>272690.16761499998</v>
      </c>
      <c r="G439" s="22">
        <f t="shared" si="40"/>
        <v>227799982.16605887</v>
      </c>
      <c r="H439" s="27">
        <f t="shared" si="39"/>
        <v>5801.2981912340001</v>
      </c>
    </row>
    <row r="440" spans="3:8" x14ac:dyDescent="0.15">
      <c r="C440">
        <f t="shared" si="42"/>
        <v>36</v>
      </c>
      <c r="D440">
        <f t="shared" si="43"/>
        <v>7</v>
      </c>
      <c r="E440" s="25">
        <f t="shared" si="41"/>
        <v>8500000</v>
      </c>
      <c r="F440" s="22">
        <f t="shared" si="38"/>
        <v>272690.16761499998</v>
      </c>
      <c r="G440" s="22">
        <f t="shared" si="40"/>
        <v>228727445.876533</v>
      </c>
      <c r="H440" s="27">
        <f t="shared" si="39"/>
        <v>5824.9175677363501</v>
      </c>
    </row>
    <row r="441" spans="3:8" x14ac:dyDescent="0.15">
      <c r="C441">
        <f t="shared" si="42"/>
        <v>36</v>
      </c>
      <c r="D441">
        <f t="shared" si="43"/>
        <v>8</v>
      </c>
      <c r="E441" s="25">
        <f t="shared" si="41"/>
        <v>8500000</v>
      </c>
      <c r="F441" s="22">
        <f t="shared" si="38"/>
        <v>272690.16761499998</v>
      </c>
      <c r="G441" s="22">
        <f t="shared" si="40"/>
        <v>229657572.24138552</v>
      </c>
      <c r="H441" s="27">
        <f t="shared" si="39"/>
        <v>5848.6047530764463</v>
      </c>
    </row>
    <row r="442" spans="3:8" x14ac:dyDescent="0.15">
      <c r="C442">
        <f t="shared" si="42"/>
        <v>36</v>
      </c>
      <c r="D442">
        <f t="shared" si="43"/>
        <v>9</v>
      </c>
      <c r="E442" s="25">
        <f t="shared" si="41"/>
        <v>8500000</v>
      </c>
      <c r="F442" s="22">
        <f t="shared" si="38"/>
        <v>272690.16761499998</v>
      </c>
      <c r="G442" s="22">
        <f t="shared" si="40"/>
        <v>230590368.90482748</v>
      </c>
      <c r="H442" s="27">
        <f t="shared" si="39"/>
        <v>5872.3599419265938</v>
      </c>
    </row>
    <row r="443" spans="3:8" x14ac:dyDescent="0.15">
      <c r="C443">
        <f t="shared" si="42"/>
        <v>36</v>
      </c>
      <c r="D443">
        <f t="shared" si="43"/>
        <v>10</v>
      </c>
      <c r="E443" s="25">
        <f t="shared" si="41"/>
        <v>8500000</v>
      </c>
      <c r="F443" s="22">
        <f t="shared" si="38"/>
        <v>272690.16761499998</v>
      </c>
      <c r="G443" s="22">
        <f t="shared" si="40"/>
        <v>231525843.53301567</v>
      </c>
      <c r="H443" s="27">
        <f t="shared" si="39"/>
        <v>5896.1833295179822</v>
      </c>
    </row>
    <row r="444" spans="3:8" x14ac:dyDescent="0.15">
      <c r="C444">
        <f t="shared" si="42"/>
        <v>36</v>
      </c>
      <c r="D444">
        <f t="shared" si="43"/>
        <v>11</v>
      </c>
      <c r="E444" s="25">
        <f t="shared" si="41"/>
        <v>8500000</v>
      </c>
      <c r="F444" s="22">
        <f t="shared" si="38"/>
        <v>272690.16761499998</v>
      </c>
      <c r="G444" s="22">
        <f t="shared" si="40"/>
        <v>232464003.81411564</v>
      </c>
      <c r="H444" s="27">
        <f t="shared" si="39"/>
        <v>5920.0751116422907</v>
      </c>
    </row>
    <row r="445" spans="3:8" x14ac:dyDescent="0.15">
      <c r="C445">
        <f t="shared" si="42"/>
        <v>36</v>
      </c>
      <c r="D445">
        <f t="shared" si="43"/>
        <v>12</v>
      </c>
      <c r="E445" s="25">
        <f t="shared" si="41"/>
        <v>8500000</v>
      </c>
      <c r="F445" s="22">
        <f t="shared" si="38"/>
        <v>272690.16761499998</v>
      </c>
      <c r="G445" s="22">
        <f t="shared" si="40"/>
        <v>233404857.45836493</v>
      </c>
      <c r="H445" s="27">
        <f t="shared" si="39"/>
        <v>5944.0354846532973</v>
      </c>
    </row>
    <row r="446" spans="3:8" x14ac:dyDescent="0.15">
      <c r="C446">
        <f t="shared" si="42"/>
        <v>37</v>
      </c>
      <c r="D446">
        <f t="shared" si="43"/>
        <v>1</v>
      </c>
      <c r="E446" s="25">
        <f t="shared" si="41"/>
        <v>8500000</v>
      </c>
      <c r="F446" s="22">
        <f t="shared" si="38"/>
        <v>272690.16761499998</v>
      </c>
      <c r="G446" s="22">
        <f t="shared" si="40"/>
        <v>234348412.19813633</v>
      </c>
      <c r="H446" s="27">
        <f t="shared" si="39"/>
        <v>5968.0646454684884</v>
      </c>
    </row>
    <row r="447" spans="3:8" x14ac:dyDescent="0.15">
      <c r="C447">
        <f t="shared" si="42"/>
        <v>37</v>
      </c>
      <c r="D447">
        <f t="shared" si="43"/>
        <v>2</v>
      </c>
      <c r="E447" s="25">
        <f t="shared" si="41"/>
        <v>8500000</v>
      </c>
      <c r="F447" s="22">
        <f t="shared" si="38"/>
        <v>272690.16761499998</v>
      </c>
      <c r="G447" s="22">
        <f t="shared" si="40"/>
        <v>235294675.78800151</v>
      </c>
      <c r="H447" s="27">
        <f t="shared" si="39"/>
        <v>5992.1627915706849</v>
      </c>
    </row>
    <row r="448" spans="3:8" x14ac:dyDescent="0.15">
      <c r="C448">
        <f t="shared" si="42"/>
        <v>37</v>
      </c>
      <c r="D448">
        <f t="shared" si="43"/>
        <v>3</v>
      </c>
      <c r="E448" s="25">
        <f t="shared" si="41"/>
        <v>8500000</v>
      </c>
      <c r="F448" s="22">
        <f t="shared" si="38"/>
        <v>272690.16761499998</v>
      </c>
      <c r="G448" s="22">
        <f t="shared" si="40"/>
        <v>236243656.00479475</v>
      </c>
      <c r="H448" s="27">
        <f t="shared" si="39"/>
        <v>6016.3301210096588</v>
      </c>
    </row>
    <row r="449" spans="3:8" x14ac:dyDescent="0.15">
      <c r="C449">
        <f t="shared" si="42"/>
        <v>37</v>
      </c>
      <c r="D449">
        <f t="shared" si="43"/>
        <v>4</v>
      </c>
      <c r="E449" s="25">
        <f t="shared" si="41"/>
        <v>8500000</v>
      </c>
      <c r="F449" s="22">
        <f t="shared" si="38"/>
        <v>272690.16761499998</v>
      </c>
      <c r="G449" s="22">
        <f t="shared" si="40"/>
        <v>237195360.6476768</v>
      </c>
      <c r="H449" s="27">
        <f t="shared" si="39"/>
        <v>6040.5668324037624</v>
      </c>
    </row>
    <row r="450" spans="3:8" x14ac:dyDescent="0.15">
      <c r="C450">
        <f t="shared" si="42"/>
        <v>37</v>
      </c>
      <c r="D450">
        <f t="shared" si="43"/>
        <v>5</v>
      </c>
      <c r="E450" s="25">
        <f t="shared" si="41"/>
        <v>8500000</v>
      </c>
      <c r="F450" s="22">
        <f t="shared" si="38"/>
        <v>272690.16761499998</v>
      </c>
      <c r="G450" s="22">
        <f t="shared" si="40"/>
        <v>238149797.53819904</v>
      </c>
      <c r="H450" s="27">
        <f t="shared" si="39"/>
        <v>6064.8731249415614</v>
      </c>
    </row>
    <row r="451" spans="3:8" x14ac:dyDescent="0.15">
      <c r="C451">
        <f t="shared" si="42"/>
        <v>37</v>
      </c>
      <c r="D451">
        <f t="shared" si="43"/>
        <v>6</v>
      </c>
      <c r="E451" s="25">
        <f t="shared" si="41"/>
        <v>8500000</v>
      </c>
      <c r="F451" s="22">
        <f t="shared" si="38"/>
        <v>272690.16761499998</v>
      </c>
      <c r="G451" s="22">
        <f t="shared" si="40"/>
        <v>239106974.52036771</v>
      </c>
      <c r="H451" s="27">
        <f t="shared" si="39"/>
        <v>6089.2491983834725</v>
      </c>
    </row>
    <row r="452" spans="3:8" x14ac:dyDescent="0.15">
      <c r="C452">
        <f t="shared" si="42"/>
        <v>37</v>
      </c>
      <c r="D452">
        <f t="shared" si="43"/>
        <v>7</v>
      </c>
      <c r="E452" s="25">
        <f t="shared" si="41"/>
        <v>8500000</v>
      </c>
      <c r="F452" s="22">
        <f t="shared" si="38"/>
        <v>272690.16761499998</v>
      </c>
      <c r="G452" s="22">
        <f t="shared" si="40"/>
        <v>240066899.46070844</v>
      </c>
      <c r="H452" s="27">
        <f t="shared" si="39"/>
        <v>6113.6952530634053</v>
      </c>
    </row>
    <row r="453" spans="3:8" x14ac:dyDescent="0.15">
      <c r="C453">
        <f t="shared" si="42"/>
        <v>37</v>
      </c>
      <c r="D453">
        <f t="shared" si="43"/>
        <v>8</v>
      </c>
      <c r="E453" s="25">
        <f t="shared" si="41"/>
        <v>8500000</v>
      </c>
      <c r="F453" s="22">
        <f t="shared" si="38"/>
        <v>272690.16761499998</v>
      </c>
      <c r="G453" s="22">
        <f t="shared" si="40"/>
        <v>241029580.2483308</v>
      </c>
      <c r="H453" s="27">
        <f t="shared" si="39"/>
        <v>6138.2114898904047</v>
      </c>
    </row>
    <row r="454" spans="3:8" x14ac:dyDescent="0.15">
      <c r="C454">
        <f t="shared" si="42"/>
        <v>37</v>
      </c>
      <c r="D454">
        <f t="shared" si="43"/>
        <v>9</v>
      </c>
      <c r="E454" s="25">
        <f t="shared" si="41"/>
        <v>8500000</v>
      </c>
      <c r="F454" s="22">
        <f t="shared" si="38"/>
        <v>272690.16761499998</v>
      </c>
      <c r="G454" s="22">
        <f t="shared" si="40"/>
        <v>241995024.79499322</v>
      </c>
      <c r="H454" s="27">
        <f t="shared" si="39"/>
        <v>6162.7981103503071</v>
      </c>
    </row>
    <row r="455" spans="3:8" x14ac:dyDescent="0.15">
      <c r="C455">
        <f t="shared" si="42"/>
        <v>37</v>
      </c>
      <c r="D455">
        <f t="shared" si="43"/>
        <v>10</v>
      </c>
      <c r="E455" s="25">
        <f t="shared" si="41"/>
        <v>8500000</v>
      </c>
      <c r="F455" s="22">
        <f t="shared" si="38"/>
        <v>272690.16761499998</v>
      </c>
      <c r="G455" s="22">
        <f t="shared" si="40"/>
        <v>242963241.03516799</v>
      </c>
      <c r="H455" s="27">
        <f t="shared" si="39"/>
        <v>6187.4553165073939</v>
      </c>
    </row>
    <row r="456" spans="3:8" x14ac:dyDescent="0.15">
      <c r="C456">
        <f t="shared" si="42"/>
        <v>37</v>
      </c>
      <c r="D456">
        <f t="shared" si="43"/>
        <v>11</v>
      </c>
      <c r="E456" s="25">
        <f t="shared" si="41"/>
        <v>8500000</v>
      </c>
      <c r="F456" s="22">
        <f t="shared" si="38"/>
        <v>272690.16761499998</v>
      </c>
      <c r="G456" s="22">
        <f t="shared" si="40"/>
        <v>243934236.92610648</v>
      </c>
      <c r="H456" s="27">
        <f t="shared" si="39"/>
        <v>6212.1833110060534</v>
      </c>
    </row>
    <row r="457" spans="3:8" x14ac:dyDescent="0.15">
      <c r="C457">
        <f t="shared" si="42"/>
        <v>37</v>
      </c>
      <c r="D457">
        <f t="shared" si="43"/>
        <v>12</v>
      </c>
      <c r="E457" s="25">
        <f t="shared" si="41"/>
        <v>8500000</v>
      </c>
      <c r="F457" s="22">
        <f t="shared" si="38"/>
        <v>272690.16761499998</v>
      </c>
      <c r="G457" s="22">
        <f t="shared" si="40"/>
        <v>244908020.4479045</v>
      </c>
      <c r="H457" s="27">
        <f t="shared" si="39"/>
        <v>6236.9822970724454</v>
      </c>
    </row>
    <row r="458" spans="3:8" x14ac:dyDescent="0.15">
      <c r="C458">
        <f t="shared" si="42"/>
        <v>38</v>
      </c>
      <c r="D458">
        <f t="shared" si="43"/>
        <v>1</v>
      </c>
      <c r="E458" s="25">
        <f t="shared" si="41"/>
        <v>8500000</v>
      </c>
      <c r="F458" s="22">
        <f t="shared" si="38"/>
        <v>272690.16761499998</v>
      </c>
      <c r="G458" s="22">
        <f t="shared" si="40"/>
        <v>245884599.6035679</v>
      </c>
      <c r="H458" s="27">
        <f t="shared" si="39"/>
        <v>6261.852478516169</v>
      </c>
    </row>
    <row r="459" spans="3:8" x14ac:dyDescent="0.15">
      <c r="C459">
        <f t="shared" si="42"/>
        <v>38</v>
      </c>
      <c r="D459">
        <f t="shared" si="43"/>
        <v>2</v>
      </c>
      <c r="E459" s="25">
        <f t="shared" si="41"/>
        <v>8500000</v>
      </c>
      <c r="F459" s="22">
        <f t="shared" si="38"/>
        <v>272690.16761499998</v>
      </c>
      <c r="G459" s="22">
        <f t="shared" si="40"/>
        <v>246863982.41907835</v>
      </c>
      <c r="H459" s="27">
        <f t="shared" si="39"/>
        <v>6286.7940597319421</v>
      </c>
    </row>
    <row r="460" spans="3:8" x14ac:dyDescent="0.15">
      <c r="C460">
        <f t="shared" si="42"/>
        <v>38</v>
      </c>
      <c r="D460">
        <f t="shared" si="43"/>
        <v>3</v>
      </c>
      <c r="E460" s="25">
        <f t="shared" si="41"/>
        <v>8500000</v>
      </c>
      <c r="F460" s="22">
        <f t="shared" si="38"/>
        <v>272690.16761499998</v>
      </c>
      <c r="G460" s="22">
        <f t="shared" si="40"/>
        <v>247846176.94345936</v>
      </c>
      <c r="H460" s="27">
        <f t="shared" si="39"/>
        <v>6311.8072457012804</v>
      </c>
    </row>
    <row r="461" spans="3:8" x14ac:dyDescent="0.15">
      <c r="C461">
        <f t="shared" si="42"/>
        <v>38</v>
      </c>
      <c r="D461">
        <f t="shared" si="43"/>
        <v>4</v>
      </c>
      <c r="E461" s="25">
        <f t="shared" si="41"/>
        <v>8500000</v>
      </c>
      <c r="F461" s="22">
        <f t="shared" si="38"/>
        <v>272690.16761499998</v>
      </c>
      <c r="G461" s="22">
        <f t="shared" si="40"/>
        <v>248831191.2488423</v>
      </c>
      <c r="H461" s="27">
        <f t="shared" si="39"/>
        <v>6336.8922419941773</v>
      </c>
    </row>
    <row r="462" spans="3:8" x14ac:dyDescent="0.15">
      <c r="C462">
        <f t="shared" si="42"/>
        <v>38</v>
      </c>
      <c r="D462">
        <f t="shared" si="43"/>
        <v>5</v>
      </c>
      <c r="E462" s="25">
        <f t="shared" si="41"/>
        <v>8500000</v>
      </c>
      <c r="F462" s="22">
        <f t="shared" si="38"/>
        <v>272690.16761499998</v>
      </c>
      <c r="G462" s="22">
        <f t="shared" si="40"/>
        <v>249819033.43053281</v>
      </c>
      <c r="H462" s="27">
        <f t="shared" si="39"/>
        <v>6362.0492547707991</v>
      </c>
    </row>
    <row r="463" spans="3:8" x14ac:dyDescent="0.15">
      <c r="C463">
        <f t="shared" si="42"/>
        <v>38</v>
      </c>
      <c r="D463">
        <f t="shared" si="43"/>
        <v>6</v>
      </c>
      <c r="E463" s="25">
        <f t="shared" si="41"/>
        <v>8500000</v>
      </c>
      <c r="F463" s="22">
        <f t="shared" ref="F463:F493" si="44">IF(E463/$D$3&lt;$D$2*(1+$D$11)^(C463-1),0.1*E463,0.1*$D$2*$D$3*(1+$D$11)^(C463-1))*(1-$D$9)</f>
        <v>272690.16761499998</v>
      </c>
      <c r="G463" s="22">
        <f t="shared" si="40"/>
        <v>250809711.60707739</v>
      </c>
      <c r="H463" s="27">
        <f t="shared" ref="H463:H493" si="45">G463/$D$3</f>
        <v>6387.2784907831774</v>
      </c>
    </row>
    <row r="464" spans="3:8" x14ac:dyDescent="0.15">
      <c r="C464">
        <f t="shared" si="42"/>
        <v>38</v>
      </c>
      <c r="D464">
        <f t="shared" si="43"/>
        <v>7</v>
      </c>
      <c r="E464" s="25">
        <f t="shared" si="41"/>
        <v>8500000</v>
      </c>
      <c r="F464" s="22">
        <f t="shared" si="44"/>
        <v>272690.16761499998</v>
      </c>
      <c r="G464" s="22">
        <f t="shared" ref="G464:G493" si="46">(F464+G463)*(1+$D$5)</f>
        <v>251803233.92033005</v>
      </c>
      <c r="H464" s="27">
        <f t="shared" si="45"/>
        <v>6412.5801573769077</v>
      </c>
    </row>
    <row r="465" spans="3:8" x14ac:dyDescent="0.15">
      <c r="C465">
        <f t="shared" si="42"/>
        <v>38</v>
      </c>
      <c r="D465">
        <f t="shared" si="43"/>
        <v>8</v>
      </c>
      <c r="E465" s="25">
        <f t="shared" ref="E465:E493" si="47">E464</f>
        <v>8500000</v>
      </c>
      <c r="F465" s="22">
        <f t="shared" si="44"/>
        <v>272690.16761499998</v>
      </c>
      <c r="G465" s="22">
        <f t="shared" si="46"/>
        <v>252799608.53551918</v>
      </c>
      <c r="H465" s="27">
        <f t="shared" si="45"/>
        <v>6437.9544624928521</v>
      </c>
    </row>
    <row r="466" spans="3:8" x14ac:dyDescent="0.15">
      <c r="C466">
        <f t="shared" si="42"/>
        <v>38</v>
      </c>
      <c r="D466">
        <f t="shared" si="43"/>
        <v>9</v>
      </c>
      <c r="E466" s="25">
        <f t="shared" si="47"/>
        <v>8500000</v>
      </c>
      <c r="F466" s="22">
        <f t="shared" si="44"/>
        <v>272690.16761499998</v>
      </c>
      <c r="G466" s="22">
        <f t="shared" si="46"/>
        <v>253798843.64131477</v>
      </c>
      <c r="H466" s="27">
        <f t="shared" si="45"/>
        <v>6463.40161466885</v>
      </c>
    </row>
    <row r="467" spans="3:8" x14ac:dyDescent="0.15">
      <c r="C467">
        <f t="shared" si="42"/>
        <v>38</v>
      </c>
      <c r="D467">
        <f t="shared" si="43"/>
        <v>10</v>
      </c>
      <c r="E467" s="25">
        <f t="shared" si="47"/>
        <v>8500000</v>
      </c>
      <c r="F467" s="22">
        <f t="shared" si="44"/>
        <v>272690.16761499998</v>
      </c>
      <c r="G467" s="22">
        <f t="shared" si="46"/>
        <v>254800947.44989568</v>
      </c>
      <c r="H467" s="27">
        <f t="shared" si="45"/>
        <v>6488.9218230414363</v>
      </c>
    </row>
    <row r="468" spans="3:8" x14ac:dyDescent="0.15">
      <c r="C468">
        <f t="shared" si="42"/>
        <v>38</v>
      </c>
      <c r="D468">
        <f t="shared" si="43"/>
        <v>11</v>
      </c>
      <c r="E468" s="25">
        <f t="shared" si="47"/>
        <v>8500000</v>
      </c>
      <c r="F468" s="22">
        <f t="shared" si="44"/>
        <v>272690.16761499998</v>
      </c>
      <c r="G468" s="22">
        <f t="shared" si="46"/>
        <v>255805928.19701701</v>
      </c>
      <c r="H468" s="27">
        <f t="shared" si="45"/>
        <v>6514.5152973475488</v>
      </c>
    </row>
    <row r="469" spans="3:8" x14ac:dyDescent="0.15">
      <c r="C469">
        <f t="shared" si="42"/>
        <v>38</v>
      </c>
      <c r="D469">
        <f t="shared" si="43"/>
        <v>12</v>
      </c>
      <c r="E469" s="25">
        <f t="shared" si="47"/>
        <v>8500000</v>
      </c>
      <c r="F469" s="22">
        <f t="shared" si="44"/>
        <v>272690.16761499998</v>
      </c>
      <c r="G469" s="22">
        <f t="shared" si="46"/>
        <v>256813794.14207795</v>
      </c>
      <c r="H469" s="27">
        <f t="shared" si="45"/>
        <v>6540.1822479262637</v>
      </c>
    </row>
    <row r="470" spans="3:8" x14ac:dyDescent="0.15">
      <c r="C470">
        <f t="shared" si="42"/>
        <v>39</v>
      </c>
      <c r="D470">
        <f t="shared" si="43"/>
        <v>1</v>
      </c>
      <c r="E470" s="25">
        <f t="shared" si="47"/>
        <v>8500000</v>
      </c>
      <c r="F470" s="22">
        <f t="shared" si="44"/>
        <v>272690.16761499998</v>
      </c>
      <c r="G470" s="22">
        <f t="shared" si="46"/>
        <v>257824553.56818956</v>
      </c>
      <c r="H470" s="27">
        <f t="shared" si="45"/>
        <v>6565.9228857205171</v>
      </c>
    </row>
    <row r="471" spans="3:8" x14ac:dyDescent="0.15">
      <c r="C471">
        <f t="shared" si="42"/>
        <v>39</v>
      </c>
      <c r="D471">
        <f t="shared" si="43"/>
        <v>2</v>
      </c>
      <c r="E471" s="25">
        <f t="shared" si="47"/>
        <v>8500000</v>
      </c>
      <c r="F471" s="22">
        <f t="shared" si="44"/>
        <v>272690.16761499998</v>
      </c>
      <c r="G471" s="22">
        <f t="shared" si="46"/>
        <v>258838214.78224289</v>
      </c>
      <c r="H471" s="27">
        <f t="shared" si="45"/>
        <v>6591.737422278843</v>
      </c>
    </row>
    <row r="472" spans="3:8" x14ac:dyDescent="0.15">
      <c r="C472">
        <f t="shared" si="42"/>
        <v>39</v>
      </c>
      <c r="D472">
        <f t="shared" si="43"/>
        <v>3</v>
      </c>
      <c r="E472" s="25">
        <f t="shared" si="47"/>
        <v>8500000</v>
      </c>
      <c r="F472" s="22">
        <f t="shared" si="44"/>
        <v>272690.16761499998</v>
      </c>
      <c r="G472" s="22">
        <f t="shared" si="46"/>
        <v>259854786.11497724</v>
      </c>
      <c r="H472" s="27">
        <f t="shared" si="45"/>
        <v>6617.6260697571079</v>
      </c>
    </row>
    <row r="473" spans="3:8" x14ac:dyDescent="0.15">
      <c r="C473">
        <f t="shared" si="42"/>
        <v>39</v>
      </c>
      <c r="D473">
        <f t="shared" si="43"/>
        <v>4</v>
      </c>
      <c r="E473" s="25">
        <f t="shared" si="47"/>
        <v>8500000</v>
      </c>
      <c r="F473" s="22">
        <f t="shared" si="44"/>
        <v>272690.16761499998</v>
      </c>
      <c r="G473" s="22">
        <f t="shared" si="46"/>
        <v>260874275.92104858</v>
      </c>
      <c r="H473" s="27">
        <f t="shared" si="45"/>
        <v>6643.5890409202566</v>
      </c>
    </row>
    <row r="474" spans="3:8" x14ac:dyDescent="0.15">
      <c r="C474">
        <f t="shared" si="42"/>
        <v>39</v>
      </c>
      <c r="D474">
        <f t="shared" si="43"/>
        <v>5</v>
      </c>
      <c r="E474" s="25">
        <f t="shared" si="47"/>
        <v>8500000</v>
      </c>
      <c r="F474" s="22">
        <f t="shared" si="44"/>
        <v>272690.16761499998</v>
      </c>
      <c r="G474" s="22">
        <f t="shared" si="46"/>
        <v>261896692.57909828</v>
      </c>
      <c r="H474" s="27">
        <f t="shared" si="45"/>
        <v>6669.6265491440608</v>
      </c>
    </row>
    <row r="475" spans="3:8" x14ac:dyDescent="0.15">
      <c r="C475">
        <f t="shared" si="42"/>
        <v>39</v>
      </c>
      <c r="D475">
        <f t="shared" si="43"/>
        <v>6</v>
      </c>
      <c r="E475" s="25">
        <f t="shared" si="47"/>
        <v>8500000</v>
      </c>
      <c r="F475" s="22">
        <f t="shared" si="44"/>
        <v>272690.16761499998</v>
      </c>
      <c r="G475" s="22">
        <f t="shared" si="46"/>
        <v>262922044.49182194</v>
      </c>
      <c r="H475" s="27">
        <f t="shared" si="45"/>
        <v>6695.7388084168733</v>
      </c>
    </row>
    <row r="476" spans="3:8" x14ac:dyDescent="0.15">
      <c r="C476">
        <f t="shared" si="42"/>
        <v>39</v>
      </c>
      <c r="D476">
        <f t="shared" si="43"/>
        <v>7</v>
      </c>
      <c r="E476" s="25">
        <f t="shared" si="47"/>
        <v>8500000</v>
      </c>
      <c r="F476" s="22">
        <f t="shared" si="44"/>
        <v>272690.16761499998</v>
      </c>
      <c r="G476" s="22">
        <f t="shared" si="46"/>
        <v>263950340.08603844</v>
      </c>
      <c r="H476" s="27">
        <f t="shared" si="45"/>
        <v>6721.9260333413831</v>
      </c>
    </row>
    <row r="477" spans="3:8" x14ac:dyDescent="0.15">
      <c r="C477">
        <f t="shared" si="42"/>
        <v>39</v>
      </c>
      <c r="D477">
        <f t="shared" si="43"/>
        <v>8</v>
      </c>
      <c r="E477" s="25">
        <f t="shared" si="47"/>
        <v>8500000</v>
      </c>
      <c r="F477" s="22">
        <f t="shared" si="44"/>
        <v>272690.16761499998</v>
      </c>
      <c r="G477" s="22">
        <f t="shared" si="46"/>
        <v>264981587.81275919</v>
      </c>
      <c r="H477" s="27">
        <f t="shared" si="45"/>
        <v>6748.1884391363856</v>
      </c>
    </row>
    <row r="478" spans="3:8" x14ac:dyDescent="0.15">
      <c r="C478">
        <f t="shared" si="42"/>
        <v>39</v>
      </c>
      <c r="D478">
        <f t="shared" si="43"/>
        <v>9</v>
      </c>
      <c r="E478" s="25">
        <f t="shared" si="47"/>
        <v>8500000</v>
      </c>
      <c r="F478" s="22">
        <f t="shared" si="44"/>
        <v>272690.16761499998</v>
      </c>
      <c r="G478" s="22">
        <f t="shared" si="46"/>
        <v>266015796.14725766</v>
      </c>
      <c r="H478" s="27">
        <f t="shared" si="45"/>
        <v>6774.5262416385449</v>
      </c>
    </row>
    <row r="479" spans="3:8" x14ac:dyDescent="0.15">
      <c r="C479">
        <f t="shared" si="42"/>
        <v>39</v>
      </c>
      <c r="D479">
        <f t="shared" si="43"/>
        <v>10</v>
      </c>
      <c r="E479" s="25">
        <f t="shared" si="47"/>
        <v>8500000</v>
      </c>
      <c r="F479" s="22">
        <f t="shared" si="44"/>
        <v>272690.16761499998</v>
      </c>
      <c r="G479" s="22">
        <f t="shared" si="46"/>
        <v>267052973.58913887</v>
      </c>
      <c r="H479" s="27">
        <f t="shared" si="45"/>
        <v>6800.9396573041704</v>
      </c>
    </row>
    <row r="480" spans="3:8" x14ac:dyDescent="0.15">
      <c r="C480">
        <f t="shared" si="42"/>
        <v>39</v>
      </c>
      <c r="D480">
        <f t="shared" si="43"/>
        <v>11</v>
      </c>
      <c r="E480" s="25">
        <f t="shared" si="47"/>
        <v>8500000</v>
      </c>
      <c r="F480" s="22">
        <f t="shared" si="44"/>
        <v>272690.16761499998</v>
      </c>
      <c r="G480" s="22">
        <f t="shared" si="46"/>
        <v>268093128.66240945</v>
      </c>
      <c r="H480" s="27">
        <f t="shared" si="45"/>
        <v>6827.4289032109973</v>
      </c>
    </row>
    <row r="481" spans="3:8" x14ac:dyDescent="0.15">
      <c r="C481">
        <f t="shared" ref="C481:C493" si="48">IF(MOD(D480,12)=0,C480+1,C480)</f>
        <v>39</v>
      </c>
      <c r="D481">
        <f t="shared" ref="D481:D493" si="49">IF(MOD(D480,12)=0,1,D480+1)</f>
        <v>12</v>
      </c>
      <c r="E481" s="25">
        <f t="shared" si="47"/>
        <v>8500000</v>
      </c>
      <c r="F481" s="22">
        <f t="shared" si="44"/>
        <v>272690.16761499998</v>
      </c>
      <c r="G481" s="22">
        <f t="shared" si="46"/>
        <v>269136269.91554755</v>
      </c>
      <c r="H481" s="27">
        <f t="shared" si="45"/>
        <v>6853.9941970599675</v>
      </c>
    </row>
    <row r="482" spans="3:8" x14ac:dyDescent="0.15">
      <c r="C482">
        <f t="shared" si="48"/>
        <v>40</v>
      </c>
      <c r="D482">
        <f t="shared" si="49"/>
        <v>1</v>
      </c>
      <c r="E482" s="25">
        <f t="shared" si="47"/>
        <v>8500000</v>
      </c>
      <c r="F482" s="22">
        <f t="shared" si="44"/>
        <v>272690.16761499998</v>
      </c>
      <c r="G482" s="22">
        <f t="shared" si="46"/>
        <v>270182405.92157304</v>
      </c>
      <c r="H482" s="27">
        <f t="shared" si="45"/>
        <v>6880.6357571770195</v>
      </c>
    </row>
    <row r="483" spans="3:8" x14ac:dyDescent="0.15">
      <c r="C483">
        <f t="shared" si="48"/>
        <v>40</v>
      </c>
      <c r="D483">
        <f t="shared" si="49"/>
        <v>2</v>
      </c>
      <c r="E483" s="25">
        <f t="shared" si="47"/>
        <v>8500000</v>
      </c>
      <c r="F483" s="22">
        <f t="shared" si="44"/>
        <v>272690.16761499998</v>
      </c>
      <c r="G483" s="22">
        <f t="shared" si="46"/>
        <v>271231545.27811825</v>
      </c>
      <c r="H483" s="27">
        <f t="shared" si="45"/>
        <v>6907.3538025148873</v>
      </c>
    </row>
    <row r="484" spans="3:8" x14ac:dyDescent="0.15">
      <c r="C484">
        <f t="shared" si="48"/>
        <v>40</v>
      </c>
      <c r="D484">
        <f t="shared" si="49"/>
        <v>3</v>
      </c>
      <c r="E484" s="25">
        <f t="shared" si="47"/>
        <v>8500000</v>
      </c>
      <c r="F484" s="22">
        <f t="shared" si="44"/>
        <v>272690.16761499998</v>
      </c>
      <c r="G484" s="22">
        <f t="shared" si="46"/>
        <v>272283696.60749829</v>
      </c>
      <c r="H484" s="27">
        <f t="shared" si="45"/>
        <v>6934.1485526548913</v>
      </c>
    </row>
    <row r="485" spans="3:8" x14ac:dyDescent="0.15">
      <c r="C485">
        <f t="shared" si="48"/>
        <v>40</v>
      </c>
      <c r="D485">
        <f t="shared" si="49"/>
        <v>4</v>
      </c>
      <c r="E485" s="25">
        <f t="shared" si="47"/>
        <v>8500000</v>
      </c>
      <c r="F485" s="22">
        <f t="shared" si="44"/>
        <v>272690.16761499998</v>
      </c>
      <c r="G485" s="22">
        <f t="shared" si="46"/>
        <v>273338868.55678213</v>
      </c>
      <c r="H485" s="27">
        <f t="shared" si="45"/>
        <v>6961.02022780875</v>
      </c>
    </row>
    <row r="486" spans="3:8" x14ac:dyDescent="0.15">
      <c r="C486">
        <f t="shared" si="48"/>
        <v>40</v>
      </c>
      <c r="D486">
        <f t="shared" si="49"/>
        <v>5</v>
      </c>
      <c r="E486" s="25">
        <f t="shared" si="47"/>
        <v>8500000</v>
      </c>
      <c r="F486" s="22">
        <f t="shared" si="44"/>
        <v>272690.16761499998</v>
      </c>
      <c r="G486" s="22">
        <f t="shared" si="46"/>
        <v>274397069.79786354</v>
      </c>
      <c r="H486" s="27">
        <f t="shared" si="45"/>
        <v>6987.9690488203869</v>
      </c>
    </row>
    <row r="487" spans="3:8" x14ac:dyDescent="0.15">
      <c r="C487">
        <f t="shared" si="48"/>
        <v>40</v>
      </c>
      <c r="D487">
        <f t="shared" si="49"/>
        <v>6</v>
      </c>
      <c r="E487" s="25">
        <f t="shared" si="47"/>
        <v>8500000</v>
      </c>
      <c r="F487" s="22">
        <f t="shared" si="44"/>
        <v>272690.16761499998</v>
      </c>
      <c r="G487" s="22">
        <f t="shared" si="46"/>
        <v>275458309.02753252</v>
      </c>
      <c r="H487" s="27">
        <f t="shared" si="45"/>
        <v>7014.9952371677473</v>
      </c>
    </row>
    <row r="488" spans="3:8" x14ac:dyDescent="0.15">
      <c r="C488">
        <f t="shared" si="48"/>
        <v>40</v>
      </c>
      <c r="D488">
        <f t="shared" si="49"/>
        <v>7</v>
      </c>
      <c r="E488" s="25">
        <f t="shared" si="47"/>
        <v>8500000</v>
      </c>
      <c r="F488" s="22">
        <f t="shared" si="44"/>
        <v>272690.16761499998</v>
      </c>
      <c r="G488" s="22">
        <f t="shared" si="46"/>
        <v>276522594.96754658</v>
      </c>
      <c r="H488" s="27">
        <f t="shared" si="45"/>
        <v>7042.099014964615</v>
      </c>
    </row>
    <row r="489" spans="3:8" x14ac:dyDescent="0.15">
      <c r="C489">
        <f t="shared" si="48"/>
        <v>40</v>
      </c>
      <c r="D489">
        <f t="shared" si="49"/>
        <v>8</v>
      </c>
      <c r="E489" s="25">
        <f t="shared" si="47"/>
        <v>8500000</v>
      </c>
      <c r="F489" s="22">
        <f t="shared" si="44"/>
        <v>272690.16761499998</v>
      </c>
      <c r="G489" s="22">
        <f t="shared" si="46"/>
        <v>277589936.36470258</v>
      </c>
      <c r="H489" s="27">
        <f t="shared" si="45"/>
        <v>7069.2806049624423</v>
      </c>
    </row>
    <row r="490" spans="3:8" x14ac:dyDescent="0.15">
      <c r="C490">
        <f t="shared" si="48"/>
        <v>40</v>
      </c>
      <c r="D490">
        <f t="shared" si="49"/>
        <v>9</v>
      </c>
      <c r="E490" s="25">
        <f t="shared" si="47"/>
        <v>8500000</v>
      </c>
      <c r="F490" s="22">
        <f t="shared" si="44"/>
        <v>272690.16761499998</v>
      </c>
      <c r="G490" s="22">
        <f t="shared" si="46"/>
        <v>278660341.9909085</v>
      </c>
      <c r="H490" s="27">
        <f t="shared" si="45"/>
        <v>7096.5402305521775</v>
      </c>
    </row>
    <row r="491" spans="3:8" x14ac:dyDescent="0.15">
      <c r="C491">
        <f t="shared" si="48"/>
        <v>40</v>
      </c>
      <c r="D491">
        <f t="shared" si="49"/>
        <v>10</v>
      </c>
      <c r="E491" s="25">
        <f t="shared" si="47"/>
        <v>8500000</v>
      </c>
      <c r="F491" s="22">
        <f t="shared" si="44"/>
        <v>272690.16761499998</v>
      </c>
      <c r="G491" s="22">
        <f t="shared" si="46"/>
        <v>279733820.64325559</v>
      </c>
      <c r="H491" s="27">
        <f t="shared" si="45"/>
        <v>7123.8781157661015</v>
      </c>
    </row>
    <row r="492" spans="3:8" x14ac:dyDescent="0.15">
      <c r="C492">
        <f t="shared" si="48"/>
        <v>40</v>
      </c>
      <c r="D492">
        <f t="shared" si="49"/>
        <v>11</v>
      </c>
      <c r="E492" s="25">
        <f t="shared" si="47"/>
        <v>8500000</v>
      </c>
      <c r="F492" s="22">
        <f t="shared" si="44"/>
        <v>272690.16761499998</v>
      </c>
      <c r="G492" s="22">
        <f t="shared" si="46"/>
        <v>280810381.14409065</v>
      </c>
      <c r="H492" s="27">
        <f t="shared" si="45"/>
        <v>7151.2944852796672</v>
      </c>
    </row>
    <row r="493" spans="3:8" x14ac:dyDescent="0.15">
      <c r="C493">
        <f t="shared" si="48"/>
        <v>40</v>
      </c>
      <c r="D493">
        <f t="shared" si="49"/>
        <v>12</v>
      </c>
      <c r="E493" s="25">
        <f t="shared" si="47"/>
        <v>8500000</v>
      </c>
      <c r="F493" s="22">
        <f t="shared" si="44"/>
        <v>272690.16761499998</v>
      </c>
      <c r="G493" s="22">
        <f t="shared" si="46"/>
        <v>281890032.34108853</v>
      </c>
      <c r="H493" s="27">
        <f t="shared" si="45"/>
        <v>7178.7895644133505</v>
      </c>
    </row>
    <row r="494" spans="3:8" x14ac:dyDescent="0.15">
      <c r="G494" s="21"/>
    </row>
  </sheetData>
  <pageMargins left="0.7" right="0.7" top="0.75" bottom="0.75" header="0.3" footer="0.3"/>
  <pageSetup orientation="portrait" verticalDpi="300" r:id="rId1"/>
  <headerFooter>
    <oddFooter>&amp;L&amp;1#&amp;"Calibri"&amp;9&amp;K737373Classification: Customer Confidential</oddFooter>
  </headerFooter>
  <customProperties>
    <customPr name="QAA_DRILLPATH_NODE_ID" r:id="rId2"/>
  </customPropertie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B1:H20"/>
  <sheetViews>
    <sheetView workbookViewId="0">
      <selection activeCell="C18" sqref="C18"/>
    </sheetView>
  </sheetViews>
  <sheetFormatPr baseColWidth="10" defaultColWidth="8.83203125" defaultRowHeight="13" x14ac:dyDescent="0.15"/>
  <cols>
    <col min="1" max="1" width="11.6640625" customWidth="1"/>
    <col min="2" max="2" width="14.83203125" customWidth="1"/>
    <col min="3" max="3" width="13.83203125" bestFit="1" customWidth="1"/>
  </cols>
  <sheetData>
    <row r="1" spans="2:8" x14ac:dyDescent="0.15">
      <c r="B1" s="4" t="s">
        <v>112</v>
      </c>
      <c r="C1">
        <v>84.3</v>
      </c>
    </row>
    <row r="2" spans="2:8" x14ac:dyDescent="0.15">
      <c r="B2" s="4" t="s">
        <v>113</v>
      </c>
      <c r="C2">
        <v>122.6</v>
      </c>
    </row>
    <row r="3" spans="2:8" ht="14" thickBot="1" x14ac:dyDescent="0.2">
      <c r="B3" s="4" t="s">
        <v>114</v>
      </c>
      <c r="C3" s="6">
        <v>7.7000000000000002E-3</v>
      </c>
    </row>
    <row r="4" spans="2:8" x14ac:dyDescent="0.15">
      <c r="B4" s="4" t="s">
        <v>11</v>
      </c>
      <c r="C4" s="65">
        <f>Valor_UF</f>
        <v>39267.07</v>
      </c>
      <c r="E4" s="127">
        <v>0</v>
      </c>
      <c r="F4" s="128">
        <v>13.5</v>
      </c>
      <c r="G4" s="129">
        <v>0</v>
      </c>
      <c r="H4" s="130">
        <v>0</v>
      </c>
    </row>
    <row r="5" spans="2:8" x14ac:dyDescent="0.15">
      <c r="B5" s="4" t="s">
        <v>64</v>
      </c>
      <c r="C5" s="66">
        <f>'Deposito Convenido Anual'!I10</f>
        <v>68923</v>
      </c>
      <c r="E5" s="131">
        <f>F4+0.001</f>
        <v>13.500999999999999</v>
      </c>
      <c r="F5">
        <v>30</v>
      </c>
      <c r="G5" s="132">
        <v>0.04</v>
      </c>
      <c r="H5" s="133">
        <v>0.54</v>
      </c>
    </row>
    <row r="6" spans="2:8" x14ac:dyDescent="0.15">
      <c r="E6" s="131">
        <f t="shared" ref="E6:E11" si="0">F5+0.001</f>
        <v>30.001000000000001</v>
      </c>
      <c r="F6">
        <v>50</v>
      </c>
      <c r="G6" s="132">
        <v>0.08</v>
      </c>
      <c r="H6" s="133">
        <v>1.74</v>
      </c>
    </row>
    <row r="7" spans="2:8" x14ac:dyDescent="0.15">
      <c r="E7" s="131">
        <f t="shared" si="0"/>
        <v>50.000999999999998</v>
      </c>
      <c r="F7">
        <v>70</v>
      </c>
      <c r="G7" s="132">
        <v>0.13500000000000001</v>
      </c>
      <c r="H7" s="133">
        <v>4.49</v>
      </c>
    </row>
    <row r="8" spans="2:8" x14ac:dyDescent="0.15">
      <c r="B8" s="4" t="s">
        <v>115</v>
      </c>
      <c r="C8">
        <f>'Deposito Convenido Anual'!F9</f>
        <v>8500000</v>
      </c>
      <c r="E8" s="131">
        <f t="shared" si="0"/>
        <v>70.001000000000005</v>
      </c>
      <c r="F8">
        <v>90</v>
      </c>
      <c r="G8" s="132">
        <v>0.23</v>
      </c>
      <c r="H8" s="133">
        <v>11.14</v>
      </c>
    </row>
    <row r="9" spans="2:8" x14ac:dyDescent="0.15">
      <c r="B9" s="4" t="s">
        <v>116</v>
      </c>
      <c r="C9" s="7">
        <f>C8/C4</f>
        <v>216.46636736583605</v>
      </c>
      <c r="E9" s="131">
        <f t="shared" si="0"/>
        <v>90.001000000000005</v>
      </c>
      <c r="F9">
        <v>120</v>
      </c>
      <c r="G9" s="132">
        <v>0.30399999999999999</v>
      </c>
      <c r="H9" s="133">
        <v>17.8</v>
      </c>
    </row>
    <row r="10" spans="2:8" x14ac:dyDescent="0.15">
      <c r="B10" s="4" t="s">
        <v>117</v>
      </c>
      <c r="C10" s="3">
        <f>'Deposito Convenido Anual'!F10</f>
        <v>19000000</v>
      </c>
      <c r="D10" s="7"/>
      <c r="E10" s="131">
        <f t="shared" si="0"/>
        <v>120.001</v>
      </c>
      <c r="F10">
        <v>310</v>
      </c>
      <c r="G10" s="132">
        <v>0.35</v>
      </c>
      <c r="H10" s="133">
        <v>23.32</v>
      </c>
    </row>
    <row r="11" spans="2:8" ht="14" thickBot="1" x14ac:dyDescent="0.2">
      <c r="B11" s="4" t="s">
        <v>118</v>
      </c>
      <c r="C11" s="3">
        <f>IF(C9&lt;C1,C9*(1-0.176-C3),IF(C9&lt;C2,C9-C1*(0.17+C3)-C9*0.006,C9-C1*(0.17+C3)-C2*0.006))</f>
        <v>200.75065736583605</v>
      </c>
      <c r="E11" s="134">
        <f t="shared" si="0"/>
        <v>310.00099999999998</v>
      </c>
      <c r="F11" s="135" t="s">
        <v>119</v>
      </c>
      <c r="G11" s="136">
        <v>0.4</v>
      </c>
      <c r="H11" s="137">
        <v>38.82</v>
      </c>
    </row>
    <row r="12" spans="2:8" x14ac:dyDescent="0.15">
      <c r="B12" s="4" t="s">
        <v>120</v>
      </c>
      <c r="C12" s="3">
        <f>C11-C10</f>
        <v>-18999799.249342635</v>
      </c>
    </row>
    <row r="14" spans="2:8" x14ac:dyDescent="0.15">
      <c r="B14" s="4" t="s">
        <v>121</v>
      </c>
      <c r="C14" s="9" t="e">
        <f>C12*(1-VLOOKUP(C12*C4/C5,$E$4:$H$11,3))+VLOOKUP(C12*C4/C5,$E$4:$H$11,4)*C5/C4</f>
        <v>#N/A</v>
      </c>
    </row>
    <row r="15" spans="2:8" x14ac:dyDescent="0.15">
      <c r="B15" s="4" t="s">
        <v>122</v>
      </c>
      <c r="C15" s="8" t="e">
        <f>C14*C4</f>
        <v>#N/A</v>
      </c>
    </row>
    <row r="16" spans="2:8" x14ac:dyDescent="0.15">
      <c r="B16" s="4" t="s">
        <v>123</v>
      </c>
      <c r="C16" s="5">
        <f>VLOOKUP(C11*C4/C5,$E$4:$H$11,3)</f>
        <v>0.30399999999999999</v>
      </c>
      <c r="D16" s="7"/>
    </row>
    <row r="19" spans="2:3" x14ac:dyDescent="0.15">
      <c r="B19" s="4" t="s">
        <v>124</v>
      </c>
      <c r="C19">
        <v>217.1</v>
      </c>
    </row>
    <row r="20" spans="2:3" x14ac:dyDescent="0.15">
      <c r="B20" s="4" t="s">
        <v>125</v>
      </c>
      <c r="C20">
        <v>251.38</v>
      </c>
    </row>
  </sheetData>
  <pageMargins left="0.7" right="0.7" top="0.75" bottom="0.75" header="0.3" footer="0.3"/>
  <pageSetup orientation="portrait" r:id="rId1"/>
  <headerFooter>
    <oddFooter>&amp;L&amp;1#&amp;"Calibri"&amp;9&amp;K737373Classification: Customer Confidential</oddFooter>
  </headerFooter>
  <customProperties>
    <customPr name="QAA_DRILLPATH_NODE_ID" r:id="rId2"/>
  </customProperties>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WorkbookDrillPathInfo xmlns:xsd="http://www.w3.org/2001/XMLSchema" xmlns:xsi="http://www.w3.org/2001/XMLSchema-instance" xmlns="http://www.infor.com/qaa/DrillPath">
  <CurrentDrillPath>
    <DrillPathNode AnalysisType="NONE" Id="aaecfc78-d51a-4c29-a489-8f1234fd98b5" Name="Antecedentes" HandleSummaryReportOnly="false">
      <SuppressZero>false</SuppressZero>
      <Children/>
    </DrillPathNode>
    <DrillPathNode AnalysisType="NONE" Id="8f6a4c57-f27e-45ea-90c3-6bd61e27e1b3" Name="Deposito Convenido Anual" HandleSummaryReportOnly="false">
      <SuppressZero>false</SuppressZero>
      <Children/>
    </DrillPathNode>
    <DrillPathNode AnalysisType="NONE" Id="e1c2a7bf-7c84-417b-861b-eb1567a975fc" Name="UF" HandleSummaryReportOnly="false" Source="">
      <SuppressZero>false</SuppressZero>
      <Children/>
    </DrillPathNode>
  </CurrentDrillPath>
  <SavedDrillPath/>
</WorkbookDrillPathInfo>
</file>

<file path=customXml/itemProps1.xml><?xml version="1.0" encoding="utf-8"?>
<ds:datastoreItem xmlns:ds="http://schemas.openxmlformats.org/officeDocument/2006/customXml" ds:itemID="{51789E9F-741D-4B26-AF39-82207A2AB2B8}">
  <ds:schemaRefs>
    <ds:schemaRef ds:uri="http://www.w3.org/2001/XMLSchema"/>
    <ds:schemaRef ds:uri="http://www.infor.com/qaa/DrillPath"/>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6</vt:i4>
      </vt:variant>
      <vt:variant>
        <vt:lpstr>Rangos con nombre</vt:lpstr>
      </vt:variant>
      <vt:variant>
        <vt:i4>22</vt:i4>
      </vt:variant>
    </vt:vector>
  </HeadingPairs>
  <TitlesOfParts>
    <vt:vector size="28" baseType="lpstr">
      <vt:lpstr>Antecedentes</vt:lpstr>
      <vt:lpstr>Deposito Convenido Anual</vt:lpstr>
      <vt:lpstr>UF</vt:lpstr>
      <vt:lpstr>Change Log</vt:lpstr>
      <vt:lpstr>ahorro oblg</vt:lpstr>
      <vt:lpstr>Impuesto</vt:lpstr>
      <vt:lpstr>ahorroacum</vt:lpstr>
      <vt:lpstr>CNU_H</vt:lpstr>
      <vt:lpstr>CNU_M</vt:lpstr>
      <vt:lpstr>cot_oblg</vt:lpstr>
      <vt:lpstr>cotizacion_cesantia</vt:lpstr>
      <vt:lpstr>edadjub</vt:lpstr>
      <vt:lpstr>Monto_DC</vt:lpstr>
      <vt:lpstr>Sueldo_Bruto</vt:lpstr>
      <vt:lpstr>tabla</vt:lpstr>
      <vt:lpstr>tasa_com_AFP</vt:lpstr>
      <vt:lpstr>tasa_dcto_AFP</vt:lpstr>
      <vt:lpstr>tasa_dcto_Salud</vt:lpstr>
      <vt:lpstr>tasa_imp</vt:lpstr>
      <vt:lpstr>tasa_imp_max</vt:lpstr>
      <vt:lpstr>TMg</vt:lpstr>
      <vt:lpstr>tope_APVB_mensual</vt:lpstr>
      <vt:lpstr>tope_DC_mensual</vt:lpstr>
      <vt:lpstr>tope_imponible_mensual</vt:lpstr>
      <vt:lpstr>tope_imponible_mensual_cot_cesantia</vt:lpstr>
      <vt:lpstr>uf</vt:lpstr>
      <vt:lpstr>utm</vt:lpstr>
      <vt:lpstr>Valor_UF</vt:lpstr>
    </vt:vector>
  </TitlesOfParts>
  <Manager/>
  <Company>Principal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c110936</dc:creator>
  <cp:keywords/>
  <dc:description/>
  <cp:lastModifiedBy>Arriagada, Joaquin</cp:lastModifiedBy>
  <cp:revision/>
  <dcterms:created xsi:type="dcterms:W3CDTF">2010-02-02T15:49:21Z</dcterms:created>
  <dcterms:modified xsi:type="dcterms:W3CDTF">2025-07-02T00:29:51Z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SV_QUERY_LIST_4F35BF76-6C0D-4D9B-82B2-816C12CF3733">
    <vt:lpwstr>empty_477D106A-C0D6-4607-AEBD-E2C9D60EA279</vt:lpwstr>
  </property>
  <property fmtid="{D5CDD505-2E9C-101B-9397-08002B2CF9AE}" pid="4" name="MSIP_Label_d6ee3f6f-dfa9-4d1e-aa5d-d0dea03c4102_Enabled">
    <vt:lpwstr>true</vt:lpwstr>
  </property>
  <property fmtid="{D5CDD505-2E9C-101B-9397-08002B2CF9AE}" pid="5" name="MSIP_Label_d6ee3f6f-dfa9-4d1e-aa5d-d0dea03c4102_SetDate">
    <vt:lpwstr>2023-03-06T18:59:32Z</vt:lpwstr>
  </property>
  <property fmtid="{D5CDD505-2E9C-101B-9397-08002B2CF9AE}" pid="6" name="MSIP_Label_d6ee3f6f-dfa9-4d1e-aa5d-d0dea03c4102_Method">
    <vt:lpwstr>Privileged</vt:lpwstr>
  </property>
  <property fmtid="{D5CDD505-2E9C-101B-9397-08002B2CF9AE}" pid="7" name="MSIP_Label_d6ee3f6f-dfa9-4d1e-aa5d-d0dea03c4102_Name">
    <vt:lpwstr>Public</vt:lpwstr>
  </property>
  <property fmtid="{D5CDD505-2E9C-101B-9397-08002B2CF9AE}" pid="8" name="MSIP_Label_d6ee3f6f-dfa9-4d1e-aa5d-d0dea03c4102_SiteId">
    <vt:lpwstr>3bea478c-1684-4a8c-8e85-045ec54ba430</vt:lpwstr>
  </property>
  <property fmtid="{D5CDD505-2E9C-101B-9397-08002B2CF9AE}" pid="9" name="MSIP_Label_d6ee3f6f-dfa9-4d1e-aa5d-d0dea03c4102_ActionId">
    <vt:lpwstr>01238836-8c89-45e6-abd1-6a91029cb7c6</vt:lpwstr>
  </property>
  <property fmtid="{D5CDD505-2E9C-101B-9397-08002B2CF9AE}" pid="10" name="MSIP_Label_d6ee3f6f-dfa9-4d1e-aa5d-d0dea03c4102_ContentBits">
    <vt:lpwstr>2</vt:lpwstr>
  </property>
</Properties>
</file>