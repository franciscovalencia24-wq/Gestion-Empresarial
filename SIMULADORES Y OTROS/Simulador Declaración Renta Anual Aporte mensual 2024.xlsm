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drawings/drawing1.xml" ContentType="application/vnd.openxmlformats-officedocument.drawing+xml"/>
  <Override PartName="/xl/comments1.xml" ContentType="application/vnd.openxmlformats-officedocument.spreadsheetml.comments+xml"/>
  <Override PartName="/xl/customProperty2.bin" ContentType="application/vnd.openxmlformats-officedocument.spreadsheetml.customProperty"/>
  <Override PartName="/xl/drawings/drawing2.xml" ContentType="application/vnd.openxmlformats-officedocument.drawing+xml"/>
  <Override PartName="/xl/customProperty3.bin" ContentType="application/vnd.openxmlformats-officedocument.spreadsheetml.customProperty"/>
  <Override PartName="/xl/drawings/drawing3.xml" ContentType="application/vnd.openxmlformats-officedocument.drawing+xml"/>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omments2.xml" ContentType="application/vnd.openxmlformats-officedocument.spreadsheetml.comments+xml"/>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20" codeName="{65C56A31-55D7-CBBD-CD37-7C71EA340FA4}"/>
  <workbookPr codeName="ThisWorkbook"/>
  <mc:AlternateContent xmlns:mc="http://schemas.openxmlformats.org/markup-compatibility/2006">
    <mc:Choice Requires="x15">
      <x15ac:absPath xmlns:x15ac="http://schemas.microsoft.com/office/spreadsheetml/2010/11/ac" url="/Users/a018986/Desktop/SImuladores Excel/Julio/"/>
    </mc:Choice>
  </mc:AlternateContent>
  <xr:revisionPtr revIDLastSave="0" documentId="13_ncr:1_{86ED835A-EEB3-DF4E-B5BF-AE137885E91B}" xr6:coauthVersionLast="47" xr6:coauthVersionMax="47" xr10:uidLastSave="{00000000-0000-0000-0000-000000000000}"/>
  <workbookProtection workbookAlgorithmName="SHA-512" workbookHashValue="3ffuMMchLks6PZb8+DN2l3juzJvMXpJjvjDeT2P4oz6XlkonDTRLW4+p3AQ1saxqkPRMXg1Ss0c0n2+A32F9tg==" workbookSaltValue="Hr1WhE45ImLQGCBxMFEY4w==" workbookSpinCount="100000" lockStructure="1"/>
  <bookViews>
    <workbookView xWindow="-10820" yWindow="-28300" windowWidth="50800" windowHeight="27900" xr2:uid="{00000000-000D-0000-FFFF-FFFF00000000}"/>
  </bookViews>
  <sheets>
    <sheet name="Mes" sheetId="2" r:id="rId1"/>
    <sheet name="57 BIS" sheetId="5" state="hidden" r:id="rId2"/>
    <sheet name="Anual" sheetId="1" r:id="rId3"/>
    <sheet name="Liquidacion" sheetId="6" state="hidden" r:id="rId4"/>
    <sheet name="UF" sheetId="10" state="hidden" r:id="rId5"/>
    <sheet name="Impuesto" sheetId="4" state="hidden" r:id="rId6"/>
    <sheet name="Supuestos" sheetId="7" state="hidden" r:id="rId7"/>
    <sheet name="Control de Cambios" sheetId="9" state="hidden" r:id="rId8"/>
  </sheets>
  <definedNames>
    <definedName name="AFP_CCI">Supuestos!$F$2</definedName>
    <definedName name="AFP_comision">Supuestos!$F$3</definedName>
    <definedName name="_xlnm.Print_Area" localSheetId="1">'57 BIS'!$A$5:$I$45</definedName>
    <definedName name="_xlnm.Print_Area" localSheetId="2">Anual!$A$5:$J$51</definedName>
    <definedName name="_xlnm.Print_Area" localSheetId="0">Mes!$A$5:$Q$52</definedName>
    <definedName name="CorreccionMonetaria">Impuesto!$J$54:$J$66</definedName>
    <definedName name="Int55Bis">Mes!$M$40</definedName>
    <definedName name="MultiRenta">Mes!$U$46</definedName>
    <definedName name="Salud">Supuestos!$F$4</definedName>
    <definedName name="Seguro_Cesantia">Supuestos!$F$5</definedName>
    <definedName name="Tope_imponible_UF">Supuestos!$B$2</definedName>
    <definedName name="UTA">'57 BIS'!$H$10</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7" i="4" l="1"/>
  <c r="G22" i="2"/>
  <c r="H21" i="2"/>
  <c r="H21" i="6"/>
  <c r="H43" i="6" s="1"/>
  <c r="I10" i="2" l="1"/>
  <c r="B10" i="4" l="1"/>
  <c r="P14" i="2" l="1"/>
  <c r="H9" i="5" l="1"/>
  <c r="H10" i="5" s="1"/>
  <c r="G13" i="5"/>
  <c r="S15" i="2"/>
  <c r="J17" i="2"/>
  <c r="K17" i="2" s="1"/>
  <c r="N21" i="6" l="1"/>
  <c r="N43" i="6" s="1"/>
  <c r="M21" i="6"/>
  <c r="M43" i="6" s="1"/>
  <c r="L21" i="6"/>
  <c r="L43" i="6" s="1"/>
  <c r="K21" i="6"/>
  <c r="K43" i="6" s="1"/>
  <c r="J21" i="6"/>
  <c r="J43" i="6" s="1"/>
  <c r="I21" i="6"/>
  <c r="I43" i="6" s="1"/>
  <c r="G21" i="6"/>
  <c r="G43" i="6" s="1"/>
  <c r="F21" i="6"/>
  <c r="E21" i="6" a="1"/>
  <c r="E21" i="6" s="1"/>
  <c r="D21" i="6"/>
  <c r="C21" i="6"/>
  <c r="C43" i="6" s="1"/>
  <c r="C3" i="6"/>
  <c r="A26" i="4" l="1"/>
  <c r="A27" i="4"/>
  <c r="A28" i="4"/>
  <c r="A29" i="4"/>
  <c r="A30" i="4"/>
  <c r="A31" i="4"/>
  <c r="A25" i="4"/>
  <c r="H67" i="1"/>
  <c r="S25" i="2"/>
  <c r="I31" i="4" s="1"/>
  <c r="S24" i="2"/>
  <c r="S23" i="2"/>
  <c r="I29" i="4"/>
  <c r="S22" i="2"/>
  <c r="I28" i="4" s="1"/>
  <c r="S21" i="2"/>
  <c r="I27" i="4" s="1"/>
  <c r="S20" i="2"/>
  <c r="S19" i="2"/>
  <c r="I25" i="4" s="1"/>
  <c r="S18" i="2"/>
  <c r="I24" i="4" s="1"/>
  <c r="S17" i="2"/>
  <c r="I23" i="4" s="1"/>
  <c r="S16" i="2"/>
  <c r="I22" i="4" s="1"/>
  <c r="I21" i="4"/>
  <c r="S14" i="2"/>
  <c r="I20" i="4" s="1"/>
  <c r="H6" i="1"/>
  <c r="V20" i="2"/>
  <c r="X20" i="2" s="1"/>
  <c r="J16" i="2"/>
  <c r="K16" i="2" s="1"/>
  <c r="D43" i="6"/>
  <c r="N14" i="6"/>
  <c r="N15" i="6" s="1"/>
  <c r="M14" i="6"/>
  <c r="L14" i="6"/>
  <c r="L15" i="6" s="1"/>
  <c r="L16" i="6" s="1"/>
  <c r="J29" i="4" s="1"/>
  <c r="M23" i="2" s="1"/>
  <c r="K14" i="6"/>
  <c r="K15" i="6" s="1"/>
  <c r="K16" i="6" s="1"/>
  <c r="J14" i="6"/>
  <c r="J15" i="6" s="1"/>
  <c r="J18" i="6" s="1"/>
  <c r="K27" i="4" s="1"/>
  <c r="I14" i="6"/>
  <c r="H14" i="6"/>
  <c r="H15" i="6" s="1"/>
  <c r="G14" i="6"/>
  <c r="G15" i="6" s="1"/>
  <c r="G16" i="6" s="1"/>
  <c r="J24" i="4" s="1"/>
  <c r="F14" i="6"/>
  <c r="E14" i="6"/>
  <c r="E15" i="6" s="1"/>
  <c r="E16" i="6" s="1"/>
  <c r="D14" i="6"/>
  <c r="D15" i="6" s="1"/>
  <c r="D18" i="6" s="1"/>
  <c r="K21" i="4" s="1"/>
  <c r="C14" i="6"/>
  <c r="C15" i="6" s="1"/>
  <c r="H13" i="1"/>
  <c r="I13" i="1" s="1"/>
  <c r="E9" i="5"/>
  <c r="U37" i="2"/>
  <c r="I9" i="2"/>
  <c r="H8" i="5" s="1"/>
  <c r="G22" i="1"/>
  <c r="G23" i="1" s="1"/>
  <c r="J54" i="4"/>
  <c r="H15" i="2"/>
  <c r="P15" i="2" s="1"/>
  <c r="I22" i="1"/>
  <c r="I23" i="1" s="1"/>
  <c r="H22" i="1"/>
  <c r="H23" i="1" s="1"/>
  <c r="F22" i="1"/>
  <c r="F23" i="1" s="1"/>
  <c r="U30" i="2"/>
  <c r="D36" i="6"/>
  <c r="C42" i="1"/>
  <c r="H18" i="1" s="1"/>
  <c r="C41" i="1"/>
  <c r="B55" i="1" s="1"/>
  <c r="G22" i="5"/>
  <c r="H22" i="5"/>
  <c r="G24" i="5"/>
  <c r="H24" i="5"/>
  <c r="G23" i="5"/>
  <c r="H23" i="5"/>
  <c r="G21" i="5"/>
  <c r="H21" i="5"/>
  <c r="G20" i="5"/>
  <c r="H20" i="5"/>
  <c r="G19" i="5"/>
  <c r="H19" i="5"/>
  <c r="G18" i="5"/>
  <c r="H18" i="5"/>
  <c r="G17" i="5"/>
  <c r="H17" i="5"/>
  <c r="G16" i="5"/>
  <c r="H16" i="5"/>
  <c r="G15" i="5"/>
  <c r="H15" i="5"/>
  <c r="G14" i="5"/>
  <c r="H14" i="5"/>
  <c r="G26" i="5"/>
  <c r="F28" i="5"/>
  <c r="F30" i="5"/>
  <c r="J55" i="4"/>
  <c r="J56" i="4"/>
  <c r="J57" i="4"/>
  <c r="J58" i="4"/>
  <c r="J59" i="4"/>
  <c r="J60" i="4"/>
  <c r="J61" i="4"/>
  <c r="J62" i="4"/>
  <c r="J63" i="4"/>
  <c r="J64" i="4"/>
  <c r="J65" i="4"/>
  <c r="J66" i="4"/>
  <c r="E26" i="5"/>
  <c r="D26" i="5"/>
  <c r="F5" i="7"/>
  <c r="F4" i="7"/>
  <c r="F3" i="7"/>
  <c r="F2" i="7"/>
  <c r="P62" i="4"/>
  <c r="P27" i="4"/>
  <c r="P26" i="4"/>
  <c r="P25" i="4"/>
  <c r="P24" i="4"/>
  <c r="P64" i="4"/>
  <c r="P59" i="4"/>
  <c r="E39" i="2"/>
  <c r="E40" i="2"/>
  <c r="I38" i="4"/>
  <c r="I37" i="4"/>
  <c r="C36" i="6"/>
  <c r="U31" i="2"/>
  <c r="E36" i="6"/>
  <c r="U32" i="2"/>
  <c r="I39" i="4"/>
  <c r="F36" i="6"/>
  <c r="I40" i="4"/>
  <c r="U33" i="2"/>
  <c r="I41" i="4"/>
  <c r="G36" i="6"/>
  <c r="G37" i="6" s="1"/>
  <c r="U34" i="2"/>
  <c r="H36" i="6"/>
  <c r="H37" i="6" s="1"/>
  <c r="I42" i="4"/>
  <c r="U35" i="2"/>
  <c r="I36" i="6"/>
  <c r="I37" i="6" s="1"/>
  <c r="I38" i="6" s="1"/>
  <c r="I43" i="4"/>
  <c r="I44" i="4"/>
  <c r="J36" i="6"/>
  <c r="J37" i="6" s="1"/>
  <c r="J38" i="6" s="1"/>
  <c r="J44" i="4" s="1"/>
  <c r="I45" i="4"/>
  <c r="K36" i="6"/>
  <c r="K37" i="6" s="1"/>
  <c r="L36" i="6"/>
  <c r="L37" i="6" s="1"/>
  <c r="I46" i="4"/>
  <c r="I47" i="4"/>
  <c r="M36" i="6"/>
  <c r="M37" i="6" s="1"/>
  <c r="I48" i="4"/>
  <c r="U42" i="2"/>
  <c r="N36" i="6"/>
  <c r="I30" i="4"/>
  <c r="I26" i="4"/>
  <c r="D27" i="2"/>
  <c r="F27" i="2"/>
  <c r="E43" i="6"/>
  <c r="F15" i="6"/>
  <c r="F18" i="6" s="1"/>
  <c r="V18" i="2"/>
  <c r="X18" i="2" s="1"/>
  <c r="I15" i="6"/>
  <c r="I16" i="6" s="1"/>
  <c r="J21" i="2"/>
  <c r="K21" i="2" s="1"/>
  <c r="F43" i="6"/>
  <c r="V16" i="2"/>
  <c r="X16" i="2" s="1"/>
  <c r="J20" i="2"/>
  <c r="K20" i="2" s="1"/>
  <c r="H13" i="5"/>
  <c r="H26" i="5"/>
  <c r="J18" i="2"/>
  <c r="K18" i="2" s="1"/>
  <c r="J22" i="2"/>
  <c r="K22" i="2" s="1"/>
  <c r="V22" i="2"/>
  <c r="W22" i="2" s="1"/>
  <c r="J23" i="2"/>
  <c r="K23" i="2" s="1"/>
  <c r="V17" i="2"/>
  <c r="W17" i="2" s="1"/>
  <c r="C14" i="1"/>
  <c r="G6" i="5"/>
  <c r="V19" i="2"/>
  <c r="X19" i="2" s="1"/>
  <c r="J19" i="2"/>
  <c r="K19" i="2" s="1"/>
  <c r="M15" i="6"/>
  <c r="M18" i="6" s="1"/>
  <c r="K30" i="4" s="1"/>
  <c r="V23" i="2"/>
  <c r="W23" i="2" s="1"/>
  <c r="L20" i="1"/>
  <c r="V21" i="2"/>
  <c r="W21" i="2" s="1"/>
  <c r="J15" i="2"/>
  <c r="K15" i="2" s="1"/>
  <c r="V24" i="2"/>
  <c r="X24" i="2" s="1"/>
  <c r="J24" i="2"/>
  <c r="K24" i="2" s="1"/>
  <c r="B14" i="4"/>
  <c r="A15" i="4" s="1"/>
  <c r="H38" i="5"/>
  <c r="J25" i="2"/>
  <c r="K25" i="2" s="1"/>
  <c r="V25" i="2"/>
  <c r="W25" i="2" s="1"/>
  <c r="N16" i="2"/>
  <c r="N17" i="2"/>
  <c r="N25" i="2"/>
  <c r="N23" i="2"/>
  <c r="N19" i="2"/>
  <c r="N24" i="2"/>
  <c r="N21" i="2"/>
  <c r="N15" i="2"/>
  <c r="N20" i="2"/>
  <c r="N18" i="2"/>
  <c r="N22" i="2"/>
  <c r="W20" i="2" l="1"/>
  <c r="Y20" i="2" s="1"/>
  <c r="L17" i="1"/>
  <c r="G20" i="1" s="1"/>
  <c r="E37" i="6"/>
  <c r="G18" i="1"/>
  <c r="B56" i="1"/>
  <c r="F37" i="6"/>
  <c r="F40" i="6" s="1"/>
  <c r="K40" i="4" s="1"/>
  <c r="H16" i="2"/>
  <c r="P16" i="2" s="1"/>
  <c r="W18" i="2"/>
  <c r="Y18" i="2" s="1"/>
  <c r="I20" i="1"/>
  <c r="G67" i="1"/>
  <c r="M16" i="6"/>
  <c r="M17" i="6" s="1"/>
  <c r="M19" i="6" s="1"/>
  <c r="W19" i="2"/>
  <c r="Y19" i="2" s="1"/>
  <c r="D37" i="6"/>
  <c r="D38" i="6" s="1"/>
  <c r="N37" i="6"/>
  <c r="N38" i="6" s="1"/>
  <c r="J48" i="4" s="1"/>
  <c r="M18" i="2"/>
  <c r="H18" i="6"/>
  <c r="K25" i="4" s="1"/>
  <c r="H16" i="6"/>
  <c r="H17" i="6" s="1"/>
  <c r="J16" i="6"/>
  <c r="J17" i="6" s="1"/>
  <c r="J19" i="6" s="1"/>
  <c r="L18" i="6"/>
  <c r="K29" i="4" s="1"/>
  <c r="U46" i="2"/>
  <c r="K38" i="6"/>
  <c r="K40" i="6"/>
  <c r="K45" i="4" s="1"/>
  <c r="D16" i="4"/>
  <c r="F20" i="1"/>
  <c r="H20" i="1"/>
  <c r="L17" i="6"/>
  <c r="X22" i="2"/>
  <c r="Y22" i="2" s="1"/>
  <c r="I18" i="6"/>
  <c r="K26" i="4" s="1"/>
  <c r="W24" i="2"/>
  <c r="Y24" i="2" s="1"/>
  <c r="X23" i="2"/>
  <c r="Y23" i="2" s="1"/>
  <c r="K18" i="6"/>
  <c r="K28" i="4" s="1"/>
  <c r="J40" i="6"/>
  <c r="K44" i="4" s="1"/>
  <c r="X21" i="2"/>
  <c r="Y21" i="2" s="1"/>
  <c r="I40" i="6"/>
  <c r="K43" i="4" s="1"/>
  <c r="D15" i="4"/>
  <c r="G18" i="6"/>
  <c r="K24" i="4" s="1"/>
  <c r="X17" i="2"/>
  <c r="Y17" i="2" s="1"/>
  <c r="N16" i="6"/>
  <c r="J31" i="4" s="1"/>
  <c r="M25" i="2" s="1"/>
  <c r="N18" i="6"/>
  <c r="K31" i="4" s="1"/>
  <c r="B13" i="4"/>
  <c r="A14" i="4" s="1"/>
  <c r="B16" i="4"/>
  <c r="A17" i="4" s="1"/>
  <c r="X25" i="2"/>
  <c r="Y25" i="2" s="1"/>
  <c r="B15" i="4"/>
  <c r="A16" i="4" s="1"/>
  <c r="M40" i="6"/>
  <c r="K47" i="4" s="1"/>
  <c r="M38" i="6"/>
  <c r="L40" i="6"/>
  <c r="K46" i="4" s="1"/>
  <c r="L38" i="6"/>
  <c r="L39" i="6" s="1"/>
  <c r="K17" i="6"/>
  <c r="J28" i="4"/>
  <c r="M22" i="2" s="1"/>
  <c r="J39" i="6"/>
  <c r="J43" i="4"/>
  <c r="I39" i="6"/>
  <c r="I17" i="6"/>
  <c r="J26" i="4"/>
  <c r="M20" i="2" s="1"/>
  <c r="F16" i="6"/>
  <c r="H40" i="6"/>
  <c r="K42" i="4" s="1"/>
  <c r="H38" i="6"/>
  <c r="G38" i="6"/>
  <c r="G40" i="6"/>
  <c r="K41" i="4" s="1"/>
  <c r="F38" i="6"/>
  <c r="G17" i="6"/>
  <c r="K23" i="4"/>
  <c r="E40" i="6"/>
  <c r="K39" i="4" s="1"/>
  <c r="E38" i="6"/>
  <c r="J22" i="4"/>
  <c r="M16" i="2" s="1"/>
  <c r="E17" i="6"/>
  <c r="E18" i="6"/>
  <c r="K22" i="4" s="1"/>
  <c r="D16" i="6"/>
  <c r="D11" i="4"/>
  <c r="B12" i="4"/>
  <c r="A13" i="4" s="1"/>
  <c r="D13" i="4"/>
  <c r="A11" i="4"/>
  <c r="W16" i="2"/>
  <c r="Y16" i="2" s="1"/>
  <c r="D12" i="4"/>
  <c r="B11" i="4"/>
  <c r="A12" i="4" s="1"/>
  <c r="D17" i="4"/>
  <c r="D14" i="4"/>
  <c r="C13" i="1"/>
  <c r="H17" i="2" l="1"/>
  <c r="P17" i="2" s="1"/>
  <c r="H19" i="6"/>
  <c r="H20" i="6" s="1"/>
  <c r="D40" i="6"/>
  <c r="K38" i="4" s="1"/>
  <c r="J30" i="4"/>
  <c r="M24" i="2" s="1"/>
  <c r="J27" i="4"/>
  <c r="M21" i="2" s="1"/>
  <c r="K19" i="6"/>
  <c r="L28" i="4" s="1"/>
  <c r="N17" i="6"/>
  <c r="N19" i="6" s="1"/>
  <c r="N20" i="6" s="1"/>
  <c r="N40" i="6"/>
  <c r="K48" i="4" s="1"/>
  <c r="E21" i="2"/>
  <c r="J20" i="6"/>
  <c r="L27" i="4"/>
  <c r="L25" i="4"/>
  <c r="J25" i="4"/>
  <c r="M19" i="2" s="1"/>
  <c r="I19" i="6"/>
  <c r="I20" i="6" s="1"/>
  <c r="L19" i="6"/>
  <c r="L20" i="6" s="1"/>
  <c r="H18" i="2"/>
  <c r="K39" i="6"/>
  <c r="K41" i="6" s="1"/>
  <c r="J45" i="4"/>
  <c r="I41" i="6"/>
  <c r="L43" i="4" s="1"/>
  <c r="J41" i="6"/>
  <c r="J42" i="6" s="1"/>
  <c r="G19" i="6"/>
  <c r="E18" i="2" s="1"/>
  <c r="N39" i="6"/>
  <c r="L30" i="4"/>
  <c r="M20" i="6"/>
  <c r="E24" i="2"/>
  <c r="J47" i="4"/>
  <c r="M39" i="6"/>
  <c r="M41" i="6" s="1"/>
  <c r="J46" i="4"/>
  <c r="L41" i="6"/>
  <c r="F17" i="6"/>
  <c r="F19" i="6" s="1"/>
  <c r="J23" i="4"/>
  <c r="M17" i="2" s="1"/>
  <c r="J41" i="4"/>
  <c r="G39" i="6"/>
  <c r="G41" i="6" s="1"/>
  <c r="J42" i="4"/>
  <c r="H39" i="6"/>
  <c r="H41" i="6" s="1"/>
  <c r="F39" i="6"/>
  <c r="F41" i="6" s="1"/>
  <c r="J40" i="4"/>
  <c r="J39" i="4"/>
  <c r="E39" i="6"/>
  <c r="E41" i="6" s="1"/>
  <c r="E19" i="6"/>
  <c r="D39" i="6"/>
  <c r="J38" i="4"/>
  <c r="J21" i="4"/>
  <c r="M15" i="2" s="1"/>
  <c r="D17" i="6"/>
  <c r="D19" i="6" s="1"/>
  <c r="D41" i="6" l="1"/>
  <c r="K20" i="6"/>
  <c r="E19" i="2"/>
  <c r="E22" i="2"/>
  <c r="G20" i="6"/>
  <c r="E23" i="2"/>
  <c r="L29" i="4"/>
  <c r="L31" i="4"/>
  <c r="E25" i="2"/>
  <c r="G21" i="2"/>
  <c r="L21" i="2" s="1"/>
  <c r="Z21" i="2" s="1"/>
  <c r="G20" i="2"/>
  <c r="I42" i="6"/>
  <c r="N41" i="6"/>
  <c r="E20" i="2"/>
  <c r="L26" i="4"/>
  <c r="L24" i="4"/>
  <c r="P18" i="2"/>
  <c r="H19" i="2"/>
  <c r="L45" i="4"/>
  <c r="K42" i="6"/>
  <c r="L44" i="4"/>
  <c r="M42" i="6"/>
  <c r="G24" i="2"/>
  <c r="L24" i="2" s="1"/>
  <c r="Z24" i="2" s="1"/>
  <c r="L47" i="4"/>
  <c r="G23" i="2"/>
  <c r="L46" i="4"/>
  <c r="L42" i="6"/>
  <c r="L23" i="4"/>
  <c r="E17" i="2"/>
  <c r="F20" i="6"/>
  <c r="L40" i="4"/>
  <c r="G17" i="2"/>
  <c r="F42" i="6"/>
  <c r="G42" i="6"/>
  <c r="L41" i="4"/>
  <c r="G18" i="2"/>
  <c r="L18" i="2" s="1"/>
  <c r="Z18" i="2" s="1"/>
  <c r="L42" i="4"/>
  <c r="G19" i="2"/>
  <c r="H42" i="6"/>
  <c r="G16" i="2"/>
  <c r="E42" i="6"/>
  <c r="L39" i="4"/>
  <c r="L22" i="4"/>
  <c r="E16" i="2"/>
  <c r="E20" i="6"/>
  <c r="D20" i="6"/>
  <c r="E15" i="2"/>
  <c r="L21" i="4"/>
  <c r="L38" i="4"/>
  <c r="G15" i="2"/>
  <c r="D42" i="6"/>
  <c r="L19" i="2" l="1"/>
  <c r="Z19" i="2" s="1"/>
  <c r="L22" i="2"/>
  <c r="Z22" i="2" s="1"/>
  <c r="L17" i="2"/>
  <c r="Z17" i="2" s="1"/>
  <c r="L23" i="2"/>
  <c r="Z23" i="2" s="1"/>
  <c r="L20" i="2"/>
  <c r="Z20" i="2" s="1"/>
  <c r="L48" i="4"/>
  <c r="G25" i="2"/>
  <c r="L25" i="2" s="1"/>
  <c r="Z25" i="2" s="1"/>
  <c r="N42" i="6"/>
  <c r="H20" i="2"/>
  <c r="P19" i="2"/>
  <c r="L16" i="2"/>
  <c r="Z16" i="2" s="1"/>
  <c r="L15" i="2"/>
  <c r="P20" i="2" l="1"/>
  <c r="C18" i="6"/>
  <c r="K20" i="4" s="1"/>
  <c r="C37" i="6"/>
  <c r="J14" i="2"/>
  <c r="H22" i="2" l="1"/>
  <c r="P21" i="2"/>
  <c r="C16" i="6"/>
  <c r="C38" i="6"/>
  <c r="C40" i="6"/>
  <c r="K37" i="4" s="1"/>
  <c r="J27" i="2"/>
  <c r="I27" i="2" s="1"/>
  <c r="K14" i="2"/>
  <c r="H23" i="2" l="1"/>
  <c r="P22" i="2"/>
  <c r="C17" i="6"/>
  <c r="C19" i="6" s="1"/>
  <c r="J20" i="4"/>
  <c r="M14" i="2" s="1"/>
  <c r="K27" i="2"/>
  <c r="D31" i="2" s="1"/>
  <c r="J37" i="4"/>
  <c r="C39" i="6"/>
  <c r="C41" i="6" s="1"/>
  <c r="N14" i="2"/>
  <c r="H24" i="2" l="1"/>
  <c r="P23" i="2"/>
  <c r="N27" i="2"/>
  <c r="L31" i="1" s="1"/>
  <c r="C20" i="6"/>
  <c r="L20" i="4"/>
  <c r="E14" i="2"/>
  <c r="E27" i="2" s="1"/>
  <c r="E31" i="2"/>
  <c r="H12" i="1" s="1"/>
  <c r="H14" i="1" s="1"/>
  <c r="G14" i="2"/>
  <c r="C42" i="6"/>
  <c r="L37" i="4"/>
  <c r="H25" i="2" l="1"/>
  <c r="P25" i="2" s="1"/>
  <c r="P24" i="2"/>
  <c r="H27" i="2"/>
  <c r="H17" i="1"/>
  <c r="I17" i="1"/>
  <c r="F17" i="1"/>
  <c r="G17" i="1"/>
  <c r="G27" i="2"/>
  <c r="L14" i="2"/>
  <c r="L27" i="2" s="1"/>
  <c r="I12" i="1" s="1"/>
  <c r="I14" i="1" s="1"/>
  <c r="F19" i="1" l="1"/>
  <c r="B35" i="2"/>
  <c r="E35" i="2" s="1"/>
  <c r="D41" i="2" s="1"/>
  <c r="G33" i="1"/>
  <c r="F33" i="1"/>
  <c r="I33" i="1"/>
  <c r="H33" i="1"/>
  <c r="E41" i="2" l="1"/>
  <c r="C43" i="1"/>
  <c r="G19" i="1"/>
  <c r="F21" i="1"/>
  <c r="F24" i="1" s="1"/>
  <c r="F25" i="1" s="1"/>
  <c r="F26" i="1" s="1"/>
  <c r="E11" i="4" l="1"/>
  <c r="F11" i="4" s="1"/>
  <c r="C33" i="5"/>
  <c r="E33" i="5" s="1"/>
  <c r="E16" i="4"/>
  <c r="F16" i="4" s="1"/>
  <c r="E14" i="4"/>
  <c r="F14" i="4" s="1"/>
  <c r="E10" i="4"/>
  <c r="F10" i="4" s="1"/>
  <c r="E17" i="4"/>
  <c r="F17" i="4" s="1"/>
  <c r="E15" i="4"/>
  <c r="F15" i="4" s="1"/>
  <c r="E13" i="4"/>
  <c r="F13" i="4" s="1"/>
  <c r="E12" i="4"/>
  <c r="F12" i="4" s="1"/>
  <c r="H19" i="1"/>
  <c r="G21" i="1"/>
  <c r="G24" i="1" s="1"/>
  <c r="G25" i="1" s="1"/>
  <c r="G26" i="1" s="1"/>
  <c r="I18" i="1"/>
  <c r="B57" i="1"/>
  <c r="F27" i="1" l="1"/>
  <c r="G12" i="4"/>
  <c r="H12" i="4" s="1"/>
  <c r="G11" i="4"/>
  <c r="H11" i="4" s="1"/>
  <c r="G13" i="4"/>
  <c r="H13" i="4" s="1"/>
  <c r="G10" i="4"/>
  <c r="H10" i="4" s="1"/>
  <c r="G14" i="4"/>
  <c r="H14" i="4" s="1"/>
  <c r="G16" i="4"/>
  <c r="H16" i="4" s="1"/>
  <c r="G17" i="4"/>
  <c r="H17" i="4" s="1"/>
  <c r="F38" i="5"/>
  <c r="C34" i="5"/>
  <c r="E34" i="5" s="1"/>
  <c r="G15" i="4"/>
  <c r="H15" i="4" s="1"/>
  <c r="I19" i="1"/>
  <c r="I21" i="1" s="1"/>
  <c r="I24" i="1" s="1"/>
  <c r="I25" i="1" s="1"/>
  <c r="I26" i="1" s="1"/>
  <c r="H21" i="1"/>
  <c r="H24" i="1" s="1"/>
  <c r="H25" i="1" s="1"/>
  <c r="H26" i="1" s="1"/>
  <c r="F33" i="5"/>
  <c r="F36" i="1" s="1"/>
  <c r="G33" i="5"/>
  <c r="K17" i="4" l="1"/>
  <c r="L17" i="4" s="1"/>
  <c r="K13" i="4"/>
  <c r="L13" i="4" s="1"/>
  <c r="K14" i="4"/>
  <c r="L14" i="4" s="1"/>
  <c r="K12" i="4"/>
  <c r="L12" i="4" s="1"/>
  <c r="K15" i="4"/>
  <c r="L15" i="4" s="1"/>
  <c r="K10" i="4"/>
  <c r="L10" i="4" s="1"/>
  <c r="C36" i="5"/>
  <c r="E36" i="5" s="1"/>
  <c r="K11" i="4"/>
  <c r="L11" i="4" s="1"/>
  <c r="K16" i="4"/>
  <c r="L16" i="4" s="1"/>
  <c r="I16" i="4"/>
  <c r="J16" i="4" s="1"/>
  <c r="I13" i="4"/>
  <c r="J13" i="4" s="1"/>
  <c r="I10" i="4"/>
  <c r="J10" i="4" s="1"/>
  <c r="I11" i="4"/>
  <c r="J11" i="4" s="1"/>
  <c r="I17" i="4"/>
  <c r="J17" i="4" s="1"/>
  <c r="C35" i="5"/>
  <c r="E35" i="5" s="1"/>
  <c r="I15" i="4"/>
  <c r="J15" i="4" s="1"/>
  <c r="I14" i="4"/>
  <c r="J14" i="4" s="1"/>
  <c r="I12" i="4"/>
  <c r="J12" i="4" s="1"/>
  <c r="G27" i="1"/>
  <c r="G34" i="5"/>
  <c r="F34" i="5"/>
  <c r="G36" i="1" s="1"/>
  <c r="F29" i="1"/>
  <c r="F28" i="1"/>
  <c r="I27" i="1" l="1"/>
  <c r="I29" i="1" s="1"/>
  <c r="H27" i="1"/>
  <c r="H29" i="1" s="1"/>
  <c r="G36" i="5"/>
  <c r="F36" i="5"/>
  <c r="I36" i="1" s="1"/>
  <c r="F35" i="5"/>
  <c r="H36" i="1" s="1"/>
  <c r="G35" i="5"/>
  <c r="G28" i="1"/>
  <c r="G29" i="1"/>
  <c r="F31" i="1"/>
  <c r="I28" i="1" l="1"/>
  <c r="I31" i="1" s="1"/>
  <c r="I30" i="1" s="1"/>
  <c r="H28" i="1"/>
  <c r="H31" i="1" s="1"/>
  <c r="H35" i="1" s="1"/>
  <c r="H38" i="1" s="1"/>
  <c r="G31" i="1"/>
  <c r="F30" i="1"/>
  <c r="F35" i="1"/>
  <c r="F38" i="1" s="1"/>
  <c r="I35" i="1" l="1"/>
  <c r="I38" i="1" s="1"/>
  <c r="H30" i="1"/>
  <c r="G30" i="1"/>
  <c r="G35" i="1"/>
  <c r="G38"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Parra, David</author>
    <author>Administrador</author>
  </authors>
  <commentList>
    <comment ref="M10" authorId="0" shapeId="0" xr:uid="{F52D4F1F-F61B-443A-9D22-BBDAEB6067B5}">
      <text>
        <r>
          <rPr>
            <b/>
            <sz val="9"/>
            <color rgb="FF000000"/>
            <rFont val="Tahoma"/>
            <family val="2"/>
          </rPr>
          <t>Parra, David:</t>
        </r>
        <r>
          <rPr>
            <sz val="9"/>
            <color rgb="FF000000"/>
            <rFont val="Tahoma"/>
            <family val="2"/>
          </rPr>
          <t xml:space="preserve">
</t>
        </r>
        <r>
          <rPr>
            <sz val="9"/>
            <color rgb="FF000000"/>
            <rFont val="Tahoma"/>
            <family val="2"/>
          </rPr>
          <t>Mes en consideración para UF</t>
        </r>
      </text>
    </comment>
    <comment ref="H13" authorId="1" shapeId="0" xr:uid="{00000000-0006-0000-0000-000001000000}">
      <text>
        <r>
          <rPr>
            <b/>
            <sz val="8"/>
            <color indexed="81"/>
            <rFont val="Tahoma"/>
            <family val="2"/>
          </rPr>
          <t xml:space="preserve">v161420:
</t>
        </r>
        <r>
          <rPr>
            <sz val="8"/>
            <color indexed="81"/>
            <rFont val="Tahoma"/>
            <family val="2"/>
          </rPr>
          <t xml:space="preserve">Ingréselo para conocer el cupo disponible para APV único.
</t>
        </r>
      </text>
    </comment>
    <comment ref="I13" authorId="1" shapeId="0" xr:uid="{00000000-0006-0000-0000-000002000000}">
      <text>
        <r>
          <rPr>
            <b/>
            <sz val="8"/>
            <color rgb="FF000000"/>
            <rFont val="Tahoma"/>
            <family val="2"/>
          </rPr>
          <t xml:space="preserve">v161420:
</t>
        </r>
        <r>
          <rPr>
            <sz val="8"/>
            <color rgb="FF000000"/>
            <rFont val="Tahoma"/>
            <family val="2"/>
          </rPr>
          <t xml:space="preserve">Ingrese los valores de la UTM para todos los meses del año.
</t>
        </r>
      </text>
    </comment>
    <comment ref="C27" authorId="1" shapeId="0" xr:uid="{00000000-0006-0000-0000-000003000000}">
      <text>
        <r>
          <rPr>
            <b/>
            <sz val="8"/>
            <color indexed="81"/>
            <rFont val="Tahoma"/>
            <family val="2"/>
          </rPr>
          <t>v161420:</t>
        </r>
        <r>
          <rPr>
            <sz val="8"/>
            <color indexed="81"/>
            <rFont val="Tahoma"/>
            <family val="2"/>
          </rPr>
          <t xml:space="preserve">
Totales en pesos ajustados por corrección monetaria.</t>
        </r>
      </text>
    </comment>
    <comment ref="T28" authorId="1" shapeId="0" xr:uid="{00000000-0006-0000-0000-000004000000}">
      <text>
        <r>
          <rPr>
            <b/>
            <sz val="8"/>
            <color indexed="81"/>
            <rFont val="Tahoma"/>
            <family val="2"/>
          </rPr>
          <t>v161420:</t>
        </r>
        <r>
          <rPr>
            <sz val="8"/>
            <color indexed="81"/>
            <rFont val="Tahoma"/>
            <family val="2"/>
          </rPr>
          <t xml:space="preserve">
Para cada mes:
1: Sí
0: No</t>
        </r>
      </text>
    </comment>
    <comment ref="U46" authorId="1" shapeId="0" xr:uid="{00000000-0006-0000-0000-000005000000}">
      <text>
        <r>
          <rPr>
            <b/>
            <sz val="8"/>
            <color indexed="81"/>
            <rFont val="Tahoma"/>
            <family val="2"/>
          </rPr>
          <t>v161420:</t>
        </r>
        <r>
          <rPr>
            <sz val="8"/>
            <color indexed="81"/>
            <rFont val="Tahoma"/>
            <family val="2"/>
          </rPr>
          <t xml:space="preserve">
Cualquier valor mayor que cero implica que tuvo rentas simultáneas durante un mismo 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Administrador</author>
  </authors>
  <commentList>
    <comment ref="A2" authorId="0" shapeId="0" xr:uid="{00000000-0006-0000-0400-000001000000}">
      <text>
        <r>
          <rPr>
            <b/>
            <sz val="8"/>
            <color indexed="81"/>
            <rFont val="Tahoma"/>
            <family val="2"/>
          </rPr>
          <t>v161420:</t>
        </r>
        <r>
          <rPr>
            <sz val="8"/>
            <color indexed="81"/>
            <rFont val="Tahoma"/>
            <family val="2"/>
          </rPr>
          <t xml:space="preserve">
Fuente: http://www.sii.cl/pagina/valores/global/igc2011.htm</t>
        </r>
      </text>
    </comment>
    <comment ref="H52" authorId="0" shapeId="0" xr:uid="{00000000-0006-0000-0400-000002000000}">
      <text>
        <r>
          <rPr>
            <b/>
            <sz val="8"/>
            <color indexed="81"/>
            <rFont val="Tahoma"/>
            <family val="2"/>
          </rPr>
          <t>v161420r:</t>
        </r>
        <r>
          <rPr>
            <sz val="8"/>
            <color indexed="81"/>
            <rFont val="Tahoma"/>
            <family val="2"/>
          </rPr>
          <t xml:space="preserve">
http://www.sii.cl/pagina/valores/correccion/correccion2010.htm</t>
        </r>
      </text>
    </comment>
    <comment ref="I52" authorId="0" shapeId="0" xr:uid="{00000000-0006-0000-0400-000003000000}">
      <text>
        <r>
          <rPr>
            <b/>
            <sz val="8"/>
            <color indexed="81"/>
            <rFont val="Tahoma"/>
            <family val="2"/>
          </rPr>
          <t>v161420:</t>
        </r>
        <r>
          <rPr>
            <sz val="8"/>
            <color indexed="81"/>
            <rFont val="Tahoma"/>
            <family val="2"/>
          </rPr>
          <t xml:space="preserve">
Al trabajar con UTM, no fue necesaria. (16/11/2011).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<sst xmlns="http://schemas.openxmlformats.org/spreadsheetml/2006/main" count="372" uniqueCount="213">
  <si>
    <t>Complete las celdas de este color</t>
  </si>
  <si>
    <t>*Simuladores son de uso exclusivo de Principal y/o sus Intermediarios.</t>
  </si>
  <si>
    <t>Pyme General</t>
  </si>
  <si>
    <t>*Habilite las macros, boton opciones en barra de herramientas superior.</t>
  </si>
  <si>
    <t>Pyme Transparente</t>
  </si>
  <si>
    <t>Régimen General</t>
  </si>
  <si>
    <t>Renta Presunta</t>
  </si>
  <si>
    <t>No sujeto al 14 LIR</t>
  </si>
  <si>
    <t xml:space="preserve">Cliente:  </t>
  </si>
  <si>
    <t>Fecha</t>
  </si>
  <si>
    <t>Valor UF</t>
  </si>
  <si>
    <t>Abril</t>
  </si>
  <si>
    <t>Sueldo o Pensión 1</t>
  </si>
  <si>
    <t>Sueldo o Pensión 2</t>
  </si>
  <si>
    <t>N°</t>
  </si>
  <si>
    <t>Mes</t>
  </si>
  <si>
    <t xml:space="preserve">Renta Tributable </t>
  </si>
  <si>
    <t>Impuesto Retenido</t>
  </si>
  <si>
    <t>APV-B mensual (UF)</t>
  </si>
  <si>
    <t>UTM</t>
  </si>
  <si>
    <t>Renta Tributable Total (UTM)</t>
  </si>
  <si>
    <t>Renta tributable considerando APV (UTM)</t>
  </si>
  <si>
    <t>Impuesto Retenido (UTM)</t>
  </si>
  <si>
    <t>Tasa de impuesto</t>
  </si>
  <si>
    <t>Impuesto a pagar (UTM)</t>
  </si>
  <si>
    <t>APV mensual (UTM)</t>
  </si>
  <si>
    <t>Suma rentas tributables (UTM)</t>
  </si>
  <si>
    <t>Impuesto (UTM)</t>
  </si>
  <si>
    <t>Rebaja (UTM)</t>
  </si>
  <si>
    <t>Impuesto efectivo</t>
  </si>
  <si>
    <t>Diferencia en impuestos pagados</t>
  </si>
  <si>
    <t>Enero</t>
  </si>
  <si>
    <t>Febrero</t>
  </si>
  <si>
    <t>Marzo</t>
  </si>
  <si>
    <t>Mayo</t>
  </si>
  <si>
    <t>Junio</t>
  </si>
  <si>
    <t>Julio</t>
  </si>
  <si>
    <t>Agosto</t>
  </si>
  <si>
    <t>Septiembre</t>
  </si>
  <si>
    <t>Octubre</t>
  </si>
  <si>
    <t>Noviembre</t>
  </si>
  <si>
    <t>Diciembre</t>
  </si>
  <si>
    <t>TOTAL</t>
  </si>
  <si>
    <t>¿Tuvo rentas simulatáneas?</t>
  </si>
  <si>
    <t>En pesos</t>
  </si>
  <si>
    <t>Total Base tributable</t>
  </si>
  <si>
    <t>AHORRO PREVISIONAL VOLUNTARIO</t>
  </si>
  <si>
    <t>Monto Aportado (UF)</t>
  </si>
  <si>
    <t>LÍMITE (UF)</t>
  </si>
  <si>
    <t>Monto APV por Aportar (UF)</t>
  </si>
  <si>
    <t>Opción</t>
  </si>
  <si>
    <t>Aporte Directo Único</t>
  </si>
  <si>
    <t>Mensual (12 Meses)</t>
  </si>
  <si>
    <t>Información Adicional Anual</t>
  </si>
  <si>
    <t>Monto APV</t>
  </si>
  <si>
    <t>Rentas como Independiente</t>
  </si>
  <si>
    <t>Retiros de empresas (líquido)</t>
  </si>
  <si>
    <t>Intereses pagados 55 Bis (CCHH)</t>
  </si>
  <si>
    <t>Regimen Tributario</t>
  </si>
  <si>
    <t>Disclaimer</t>
  </si>
  <si>
    <t>Validador</t>
  </si>
  <si>
    <t>Esta simulación se ha preparado teniendo como base la información entregada por el Cliente y en consideración a beneficios tributarios solicitados o indicados por éste y no deben ser entendido en ningún caso como un pronóstico cierto ni como una proyección de rentabilidad.</t>
  </si>
  <si>
    <t>Principal no se hace responsable por las diferencias que pudiesen existir entre los montos simulados y la tasa de impuesto que en definitiva deba pagar el cliente.</t>
  </si>
  <si>
    <t>La simulación supone APV realizado en APV-B.</t>
  </si>
  <si>
    <t>UF</t>
  </si>
  <si>
    <t>Beneficio Tributario 57  bis</t>
  </si>
  <si>
    <t xml:space="preserve">Nombre: </t>
  </si>
  <si>
    <t>Valor UTM</t>
  </si>
  <si>
    <t>Valor UTA</t>
  </si>
  <si>
    <t>Aporte</t>
  </si>
  <si>
    <t>Rescate</t>
  </si>
  <si>
    <t>Proporción</t>
  </si>
  <si>
    <t>Ahorro neto</t>
  </si>
  <si>
    <t>Saldo de Arrastre</t>
  </si>
  <si>
    <t>12/12</t>
  </si>
  <si>
    <t>11/12</t>
  </si>
  <si>
    <t>10/12</t>
  </si>
  <si>
    <t>9/12</t>
  </si>
  <si>
    <t>8/12</t>
  </si>
  <si>
    <t>7/12</t>
  </si>
  <si>
    <t>6/12</t>
  </si>
  <si>
    <t>5/12</t>
  </si>
  <si>
    <t>4/12</t>
  </si>
  <si>
    <t>3/12</t>
  </si>
  <si>
    <t>2/12</t>
  </si>
  <si>
    <t>1/12</t>
  </si>
  <si>
    <t>Total</t>
  </si>
  <si>
    <t>Total Ahorro Neto año en curso</t>
  </si>
  <si>
    <t>Saldo arrastre y/o remanente año anterior</t>
  </si>
  <si>
    <t>TOTAL AHORRO NETO</t>
  </si>
  <si>
    <t>30% Rentas Anuales</t>
  </si>
  <si>
    <t>Tope 57 bis</t>
  </si>
  <si>
    <t>Beneficio 57 bis</t>
  </si>
  <si>
    <t>Remanente año 2016</t>
  </si>
  <si>
    <t>Actual</t>
  </si>
  <si>
    <t>Tope Beneficio 57 bis, es el menor valor entre el 30% de la Base Tributable</t>
  </si>
  <si>
    <t>y 65 UTA</t>
  </si>
  <si>
    <t>*Los simuladores son para uso exclusivo de Principal y/o intermediarios directos.</t>
  </si>
  <si>
    <t>La simulación supone APV realizado según opción b).</t>
  </si>
  <si>
    <t>Rentas Dependiente o Pensionado</t>
  </si>
  <si>
    <t>Rentas Independiente</t>
  </si>
  <si>
    <t>Retiros de Empresas</t>
  </si>
  <si>
    <t>Situación Actual</t>
  </si>
  <si>
    <t>APV Opción 1</t>
  </si>
  <si>
    <t>APV Opción 2</t>
  </si>
  <si>
    <t>APV Opción 3</t>
  </si>
  <si>
    <t>Total Rentas</t>
  </si>
  <si>
    <t>Monto APV Adicional (Aporte Directo)</t>
  </si>
  <si>
    <t>Flujo APV Mensual</t>
  </si>
  <si>
    <t>Gastos Presuntos (*) o Gastos Efectivos</t>
  </si>
  <si>
    <t>Base tributable para beneficio 55 Bis:</t>
  </si>
  <si>
    <t>Intereses efectivamente pagados 55 Bis</t>
  </si>
  <si>
    <t>Cantidad máxima a deducir (Max 8 UTA)</t>
  </si>
  <si>
    <t>Base tributable para beneficio 55 BIS (UTA)</t>
  </si>
  <si>
    <t>Beneficio a rebajar por 55 Bis</t>
  </si>
  <si>
    <t>Total base tributable</t>
  </si>
  <si>
    <t>Tasa de impuesto anual</t>
  </si>
  <si>
    <t>Impuesto según tramo</t>
  </si>
  <si>
    <t>Cantidad a Rebajar</t>
  </si>
  <si>
    <t>Tasa Efectiva de impuesto anual</t>
  </si>
  <si>
    <t>Impuesto a Pagar</t>
  </si>
  <si>
    <t>Total a pagar o recibir previo a 57 Bis</t>
  </si>
  <si>
    <t>Crédito (-) o débito (+) beneficio tributario 57 Bis</t>
  </si>
  <si>
    <t>Total de impuestos a pagar(+) o recibir(-)*</t>
  </si>
  <si>
    <t>Aporte Directo APV</t>
  </si>
  <si>
    <t>(*) Gastos Presuntos es beneficio por emisión de boletas de honorarios.   Rebaja el 30% del total anual emitido en boletas de honorarios, tope de 15 UTA.</t>
  </si>
  <si>
    <t>Los descuentos mensuales se pueden realizar a través del empleador o por descuento en cuenta corriente.</t>
  </si>
  <si>
    <t>CONCLUSIONES</t>
  </si>
  <si>
    <t>La tres opciones muestran montos distintos a completar, y pueden sufrir modificaciones dependiendo de su capacidad de ahorro.</t>
  </si>
  <si>
    <t>Pensión o sueldo 1</t>
  </si>
  <si>
    <t>Cifras en $</t>
  </si>
  <si>
    <t>Renta Bruta</t>
  </si>
  <si>
    <t>Renta Imponible</t>
  </si>
  <si>
    <t>Descuento AFP</t>
  </si>
  <si>
    <t>Comisión AFP</t>
  </si>
  <si>
    <t>Isapre</t>
  </si>
  <si>
    <t>Seguro Cesantía</t>
  </si>
  <si>
    <t>APV-B</t>
  </si>
  <si>
    <t>Renta Tributable</t>
  </si>
  <si>
    <t>Renta Tributable (UTM)</t>
  </si>
  <si>
    <t>Tasa de impuesto a la renta</t>
  </si>
  <si>
    <t>Impuesto a la renta</t>
  </si>
  <si>
    <t>Rebaja</t>
  </si>
  <si>
    <t>Impuesto retenido</t>
  </si>
  <si>
    <t>Renta Líquida</t>
  </si>
  <si>
    <t>Pensión o sueldo 2</t>
  </si>
  <si>
    <t>TRAMOS DE IMPUESTOS</t>
  </si>
  <si>
    <t>TABLA GLOBAL COMPLEMENTARIO</t>
  </si>
  <si>
    <t>Año 2021</t>
  </si>
  <si>
    <t>Situación actual</t>
  </si>
  <si>
    <t>Desde</t>
  </si>
  <si>
    <t>Hasta</t>
  </si>
  <si>
    <t>Factor</t>
  </si>
  <si>
    <t>Tramo impuesto anual</t>
  </si>
  <si>
    <t>Tasa impuesto</t>
  </si>
  <si>
    <t>y más</t>
  </si>
  <si>
    <t>Pensión o Sueldo 1</t>
  </si>
  <si>
    <t>Tramo Impuesto</t>
  </si>
  <si>
    <t>Beneficios para trabajadores dependientes y pensionados</t>
  </si>
  <si>
    <t>Impuesto Unico de Segunda Categoría 2021 (UTM)</t>
  </si>
  <si>
    <t>¿Deben efectuar declaración de renta los trabajadores dependientes?</t>
  </si>
  <si>
    <t>¿Qué pasa si tienen otras rentas?</t>
  </si>
  <si>
    <t>Dichos contribuyentes se mantienen liberados de presentar una Declaración de Impuesto Global</t>
  </si>
  <si>
    <t>Complementario, aún cuando durante el año hayan obtenido las rentas que se indican a continuación, con</t>
  </si>
  <si>
    <t>los topes que se señalan en el cuadro siguiente.  Estas rentas estarán exentas de impuestos hasta los topes</t>
  </si>
  <si>
    <t>señalados.</t>
  </si>
  <si>
    <t>Pensión o Sueldo 2</t>
  </si>
  <si>
    <t>Ingrese las rentas del contribuyente para conocer si tiene derecho al beneficio tributario:</t>
  </si>
  <si>
    <t>Límite (UTM)</t>
  </si>
  <si>
    <t>Renta (UTM)</t>
  </si>
  <si>
    <t>Rentas netas de fuente chilena provenientes de capitales mobiliarios, tales como: intereses reales, dividendos, rentas de seguros y rentas vitalicias, beneficios distribuidos por los Fondos de Inversión Nacionales y Privados y Fondos Mutuos.</t>
  </si>
  <si>
    <t>Para medir el monto de esta exención no considere los dividendos y rentas que por disposición legal se encuentren exentas del Impuesto Global Complementario, cualquiera sea su monto.</t>
  </si>
  <si>
    <t>Rentas netas de fuente chilena obtenidas de la enajenación de acciones de Sociedades Anónimas, no acogidas al Artículo 18 ter de la L.I.R., y afectas a los impuestos generales de la Ley de la Renta.</t>
  </si>
  <si>
    <t>Rentas netas de fuente chilena (rentabilidad) obtenidas del rescate de cuotas de fondos mutuos, no acogidas al mecanismo de incentivo al ahorro de los artículos 42 bis (APV) y 57 bis de la Ley de la Renta.</t>
  </si>
  <si>
    <t>Corrección monetaria</t>
  </si>
  <si>
    <t>Capital inicial</t>
  </si>
  <si>
    <t>Rentas netas (rentabilidad) de fuente chilena determinadas sobre los retiros efectuados de las cuentas de ahorro voluntario abiertas en las AFP.  (Cuenta 2)</t>
  </si>
  <si>
    <t>Topes</t>
  </si>
  <si>
    <t>Descuentos</t>
  </si>
  <si>
    <t>Tope imponible UF</t>
  </si>
  <si>
    <t>AFP CCI</t>
  </si>
  <si>
    <t>AFP comision</t>
  </si>
  <si>
    <t>Salud</t>
  </si>
  <si>
    <t>Control de Cambios por Camila Paniagua 06/12/2013</t>
  </si>
  <si>
    <t>1) En la celda para ingresar el nombre del cliente (EFG8) de la hoja Anual, se utilizó el nombre que ingresan en la celda FG9 de la joja Mes: =Mes!F9</t>
  </si>
  <si>
    <t>Además se bloqueó esa celda para que el cliente no viera la fórmula</t>
  </si>
  <si>
    <t>2) En la hoja Anual, en la fila 48, se amplió la fila para que se pudiera ver la palabra cliente ya que antes no estaba visible</t>
  </si>
  <si>
    <t>3) En la hoja Anual, en la fila 50 se cambió APB-B po APV-B</t>
  </si>
  <si>
    <t>Control de Cambios por Camila Paniagua 23/12/2013</t>
  </si>
  <si>
    <t>1) Se agregó un mensaje que dice "Actualizado a "Mes" de "Año"" en la fila 6 de la hoja Mes, en la fila 6 de la hoja Anual y en la fila 6 de la hoja 57 BIS (Actualizar mensual)</t>
  </si>
  <si>
    <t>Control de Cambios por C Vanier 27/12/2013</t>
  </si>
  <si>
    <t>1)</t>
  </si>
  <si>
    <t>Reforma tributaria de 2012, ley 20,630:</t>
  </si>
  <si>
    <t>Dado lo anterior, se cambian las fórmulas de la hoja Anual, filas 30, 34 y 37, afin de reliquidar siempre, sin aplicar condiciones.</t>
  </si>
  <si>
    <t>2)</t>
  </si>
  <si>
    <t>Supuesto de Declaración de Impuesto Año 2015</t>
  </si>
  <si>
    <t>por Renta e Ingresos del año 2014</t>
  </si>
  <si>
    <t>08/01/2014 por Camila Paniagua</t>
  </si>
  <si>
    <t>1) Se reemplazó el titulo de la hoja Anual por el mismo titulo de la hoja Mes para que quede más claro</t>
  </si>
  <si>
    <t>23/05/2014 por Camila Paniagua</t>
  </si>
  <si>
    <t>2) Se cambió la fórmula de la tasa efectiva de impuesto anual a pedido de Francisco Calvo, hoja Anual celdas F29:I29. La nueva fórmula es Impuesto a pagar/Base tributable para beneficio 55 Bis</t>
  </si>
  <si>
    <t>03/06/2014 por Camila Paniagua</t>
  </si>
  <si>
    <t>3) En la hoja mensual, a las celdas H14:H25 y H27 se les cambió la validación de datos para que en vez de sólo ingresar numeros enteros permitiera ingresar decimales</t>
  </si>
  <si>
    <t>05-08-2014 por Camila Paniagua</t>
  </si>
  <si>
    <t>4) Se cambió el nombre de "Renta Tributable" por "Renta tributable sin considerar APV-B" en las celdas D13 y F13 de la hoja Mes</t>
  </si>
  <si>
    <t>Declaración de Renta Anual 2024</t>
  </si>
  <si>
    <t>Retención Impuestos 2023</t>
  </si>
  <si>
    <t>Actualizado a Julio 2025</t>
  </si>
  <si>
    <t>Supuesto de Declaración de Impuesto Año 2025</t>
  </si>
  <si>
    <t>por Renta e Ingresos del año 2024</t>
  </si>
  <si>
    <t>Supuesto de Declaración de Impuesto año 2025 por Renta e Ingresos del año 2024</t>
  </si>
  <si>
    <t>Rentas 2024</t>
  </si>
  <si>
    <t>Impuesto Pagado 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</si>
</sst>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164" formatCode="_-* #,##0.00_-;\-* #,##0.00_-;_-* &quot;-&quot;??_-;_-@_-"/>
    <numFmt numFmtId="165" formatCode="_-* #,##0.00\ &quot;€&quot;_-;\-* #,##0.00\ &quot;€&quot;_-;_-* &quot;-&quot;??\ &quot;€&quot;_-;_-@_-"/>
    <numFmt numFmtId="166" formatCode="&quot;$&quot;\ #,##0"/>
    <numFmt numFmtId="167" formatCode="[$$-340A]\ #,##0"/>
    <numFmt numFmtId="168" formatCode="[$$-340A]\ #,##0.00"/>
    <numFmt numFmtId="169" formatCode="0.0000"/>
    <numFmt numFmtId="170" formatCode="_-* #,##0\ &quot;€&quot;_-;\-* #,##0\ &quot;€&quot;_-;_-* &quot;-&quot;??\ &quot;€&quot;_-;_-@_-"/>
    <numFmt numFmtId="171" formatCode="0.0%"/>
    <numFmt numFmtId="172" formatCode="0.000"/>
    <numFmt numFmtId="173" formatCode="[$-409]d\-mmm;@"/>
    <numFmt numFmtId="174" formatCode="_-[$$-340A]\ * #,##0.00_-;\-[$$-340A]\ * #,##0.00_-;_-[$$-340A]\ * &quot;-&quot;??_-;_-@_-"/>
    <numFmt numFmtId="175" formatCode="_-[$$-340A]\ * #,##0_-;\-[$$-340A]\ * #,##0_-;_-[$$-340A]\ * &quot;-&quot;??_-;_-@_-"/>
    <numFmt numFmtId="176" formatCode="_-* #,##0_-;\-* #,##0_-;_-* &quot;-&quot;??_-;_-@_-"/>
    <numFmt numFmtId="177" formatCode="_-* #,##0.000_-;\-* #,##0.000_-;_-* &quot;-&quot;??_-;_-@_-"/>
  </numFmts>
  <fonts count="38" x14ac:knownFonts="1">
    <font>
      <sz val="10"/>
      <name val="Arial"/>
    </font>
    <font>
      <sz val="10"/>
      <name val="Arial"/>
      <family val="2"/>
    </font>
    <font>
      <sz val="8"/>
      <name val="Arial"/>
      <family val="2"/>
    </font>
    <font>
      <sz val="8"/>
      <name val="Arial"/>
      <family val="2"/>
    </font>
    <font>
      <b/>
      <sz val="10"/>
      <color indexed="18"/>
      <name val="Verdana"/>
      <family val="2"/>
    </font>
    <font>
      <sz val="10"/>
      <color indexed="18"/>
      <name val="Verdana"/>
      <family val="2"/>
    </font>
    <font>
      <b/>
      <i/>
      <sz val="10"/>
      <color indexed="18"/>
      <name val="Verdana"/>
      <family val="2"/>
    </font>
    <font>
      <sz val="8"/>
      <color indexed="81"/>
      <name val="Tahoma"/>
      <family val="2"/>
    </font>
    <font>
      <b/>
      <sz val="8"/>
      <color indexed="81"/>
      <name val="Tahoma"/>
      <family val="2"/>
    </font>
    <font>
      <b/>
      <u/>
      <sz val="10"/>
      <color indexed="18"/>
      <name val="Verdana"/>
      <family val="2"/>
    </font>
    <font>
      <i/>
      <sz val="10"/>
      <name val="Arial"/>
      <family val="2"/>
    </font>
    <font>
      <sz val="10"/>
      <name val="Arial"/>
      <family val="2"/>
    </font>
    <font>
      <sz val="10"/>
      <name val="Arial"/>
      <family val="2"/>
    </font>
    <font>
      <b/>
      <sz val="10"/>
      <name val="Arial"/>
      <family val="2"/>
    </font>
    <font>
      <u/>
      <sz val="10"/>
      <color theme="10"/>
      <name val="Arial"/>
      <family val="2"/>
    </font>
    <font>
      <sz val="12"/>
      <color rgb="FF003580"/>
      <name val="Arial"/>
      <family val="2"/>
    </font>
    <font>
      <b/>
      <sz val="12"/>
      <color rgb="FF003580"/>
      <name val="Arial"/>
      <family val="2"/>
    </font>
    <font>
      <u/>
      <sz val="12"/>
      <color rgb="FF003580"/>
      <name val="Arial"/>
      <family val="2"/>
    </font>
    <font>
      <b/>
      <sz val="10"/>
      <color rgb="FFFF0000"/>
      <name val="Arial"/>
      <family val="2"/>
    </font>
    <font>
      <sz val="12"/>
      <color theme="0"/>
      <name val="Arial"/>
      <family val="2"/>
    </font>
    <font>
      <b/>
      <sz val="12"/>
      <color theme="0"/>
      <name val="Arial"/>
      <family val="2"/>
    </font>
    <font>
      <b/>
      <sz val="10"/>
      <color theme="3"/>
      <name val="Arial"/>
      <family val="2"/>
    </font>
    <font>
      <sz val="12"/>
      <color theme="3"/>
      <name val="Arial"/>
      <family val="2"/>
    </font>
    <font>
      <b/>
      <u/>
      <sz val="14"/>
      <color rgb="FF003580"/>
      <name val="Arial"/>
      <family val="2"/>
    </font>
    <font>
      <b/>
      <sz val="12"/>
      <color rgb="FF0091DA"/>
      <name val="Arial"/>
      <family val="2"/>
    </font>
    <font>
      <sz val="12"/>
      <color rgb="FF0091DA"/>
      <name val="Arial"/>
      <family val="2"/>
    </font>
    <font>
      <sz val="10"/>
      <color rgb="FF0091DA"/>
      <name val="Arial"/>
      <family val="2"/>
    </font>
    <font>
      <b/>
      <i/>
      <sz val="12"/>
      <color rgb="FF0091DA"/>
      <name val="Arial"/>
      <family val="2"/>
    </font>
    <font>
      <b/>
      <u/>
      <sz val="14"/>
      <color rgb="FF0091DA"/>
      <name val="Arial"/>
      <family val="2"/>
    </font>
    <font>
      <sz val="9"/>
      <color theme="3"/>
      <name val="Arial"/>
      <family val="2"/>
    </font>
    <font>
      <b/>
      <u/>
      <sz val="12"/>
      <color rgb="FF0091DA"/>
      <name val="Arial"/>
      <family val="2"/>
    </font>
    <font>
      <b/>
      <u/>
      <sz val="11"/>
      <color rgb="FF0091DA"/>
      <name val="Arial"/>
      <family val="2"/>
    </font>
    <font>
      <i/>
      <sz val="12"/>
      <color rgb="FF0091DA"/>
      <name val="Arial"/>
      <family val="2"/>
    </font>
    <font>
      <b/>
      <sz val="9"/>
      <color rgb="FF000000"/>
      <name val="Tahoma"/>
      <family val="2"/>
    </font>
    <font>
      <sz val="9"/>
      <color rgb="FF000000"/>
      <name val="Tahoma"/>
      <family val="2"/>
    </font>
    <font>
      <b/>
      <sz val="8"/>
      <color rgb="FF000000"/>
      <name val="Tahoma"/>
      <family val="2"/>
    </font>
    <font>
      <sz val="8"/>
      <color rgb="FF000000"/>
      <name val="Tahoma"/>
      <family val="2"/>
    </font>
    <font>
      <sz val="11"/>
      <color rgb="FF706F6F"/>
      <name val="Helvetica Neue"/>
      <family val="2"/>
    </font>
  </fonts>
  <fills count="14">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8"/>
        <bgColor indexed="64"/>
      </patternFill>
    </fill>
    <fill>
      <patternFill patternType="solid">
        <fgColor theme="0" tint="-0.14999847407452621"/>
        <bgColor indexed="64"/>
      </patternFill>
    </fill>
    <fill>
      <patternFill patternType="solid">
        <fgColor rgb="FFFDC745"/>
        <bgColor indexed="64"/>
      </patternFill>
    </fill>
    <fill>
      <patternFill patternType="solid">
        <fgColor rgb="FFA0C0DF"/>
        <bgColor indexed="64"/>
      </patternFill>
    </fill>
    <fill>
      <patternFill patternType="solid">
        <fgColor rgb="FFC4ECFF"/>
        <bgColor indexed="64"/>
      </patternFill>
    </fill>
    <fill>
      <patternFill patternType="solid">
        <fgColor rgb="FF0091DA"/>
        <bgColor indexed="64"/>
      </patternFill>
    </fill>
    <fill>
      <patternFill patternType="solid">
        <fgColor rgb="FFF2F2F2"/>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rgb="FFFFFF00"/>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14" fillId="0" borderId="0" applyNumberFormat="0" applyFill="0" applyBorder="0" applyAlignment="0" applyProtection="0">
      <alignment vertical="top"/>
      <protection locked="0"/>
    </xf>
    <xf numFmtId="164" fontId="12" fillId="0" borderId="0" applyFont="0" applyFill="0" applyBorder="0" applyAlignment="0" applyProtection="0"/>
    <xf numFmtId="165" fontId="11" fillId="0" borderId="0" applyFont="0" applyFill="0" applyBorder="0" applyAlignment="0" applyProtection="0"/>
    <xf numFmtId="9" fontId="1" fillId="0" borderId="0" applyFont="0" applyFill="0" applyBorder="0" applyAlignment="0" applyProtection="0"/>
  </cellStyleXfs>
  <cellXfs count="345">
    <xf numFmtId="0" fontId="0" fillId="0" borderId="0" xfId="0"/>
    <xf numFmtId="0" fontId="5" fillId="0" borderId="0" xfId="0" applyFont="1"/>
    <xf numFmtId="0" fontId="5" fillId="0" borderId="1" xfId="0" applyFont="1" applyBorder="1"/>
    <xf numFmtId="0" fontId="4" fillId="0" borderId="1" xfId="0" applyFont="1" applyBorder="1" applyAlignment="1">
      <alignment horizontal="center" vertical="center" wrapText="1"/>
    </xf>
    <xf numFmtId="0" fontId="5" fillId="0" borderId="1" xfId="0" applyFont="1" applyBorder="1" applyAlignment="1">
      <alignment horizontal="center"/>
    </xf>
    <xf numFmtId="0" fontId="4" fillId="0" borderId="0" xfId="0" applyFont="1"/>
    <xf numFmtId="0" fontId="4" fillId="0" borderId="1" xfId="0" applyFont="1" applyBorder="1" applyAlignment="1">
      <alignment horizontal="center"/>
    </xf>
    <xf numFmtId="2" fontId="4" fillId="0" borderId="0" xfId="0" applyNumberFormat="1" applyFont="1" applyAlignment="1">
      <alignment horizontal="center"/>
    </xf>
    <xf numFmtId="166" fontId="5" fillId="0" borderId="1" xfId="0" applyNumberFormat="1" applyFont="1" applyBorder="1"/>
    <xf numFmtId="167" fontId="5" fillId="0" borderId="1" xfId="0" applyNumberFormat="1" applyFont="1" applyBorder="1"/>
    <xf numFmtId="0" fontId="6" fillId="0" borderId="1" xfId="0" applyFont="1" applyBorder="1" applyAlignment="1">
      <alignment horizontal="center"/>
    </xf>
    <xf numFmtId="0" fontId="4" fillId="0" borderId="0" xfId="0" applyFont="1" applyAlignment="1">
      <alignment horizontal="center"/>
    </xf>
    <xf numFmtId="0" fontId="4" fillId="0" borderId="0" xfId="0" applyFont="1" applyAlignment="1">
      <alignment horizontal="center" vertical="center" wrapText="1"/>
    </xf>
    <xf numFmtId="0" fontId="5" fillId="3" borderId="2" xfId="0" applyFont="1" applyFill="1" applyBorder="1"/>
    <xf numFmtId="0" fontId="5" fillId="3" borderId="3" xfId="0" applyFont="1" applyFill="1" applyBorder="1"/>
    <xf numFmtId="0" fontId="5" fillId="3" borderId="4" xfId="0" applyFont="1" applyFill="1" applyBorder="1"/>
    <xf numFmtId="0" fontId="5" fillId="3" borderId="5" xfId="0" applyFont="1" applyFill="1" applyBorder="1"/>
    <xf numFmtId="0" fontId="5" fillId="3" borderId="0" xfId="0" applyFont="1" applyFill="1"/>
    <xf numFmtId="0" fontId="5" fillId="3" borderId="6" xfId="0" applyFont="1" applyFill="1" applyBorder="1"/>
    <xf numFmtId="0" fontId="5" fillId="3" borderId="7" xfId="0" applyFont="1" applyFill="1" applyBorder="1"/>
    <xf numFmtId="0" fontId="5" fillId="3" borderId="8" xfId="0" applyFont="1" applyFill="1" applyBorder="1"/>
    <xf numFmtId="0" fontId="5" fillId="3" borderId="9" xfId="0" applyFont="1" applyFill="1" applyBorder="1"/>
    <xf numFmtId="0" fontId="5" fillId="3" borderId="1" xfId="0" applyFont="1" applyFill="1" applyBorder="1" applyAlignment="1">
      <alignment vertical="center" wrapText="1"/>
    </xf>
    <xf numFmtId="0" fontId="4" fillId="0" borderId="1" xfId="0" applyFont="1" applyBorder="1" applyAlignment="1">
      <alignment vertical="center"/>
    </xf>
    <xf numFmtId="9" fontId="5" fillId="0" borderId="1" xfId="4" applyFont="1" applyBorder="1"/>
    <xf numFmtId="0" fontId="9" fillId="3" borderId="0" xfId="0" applyFont="1" applyFill="1"/>
    <xf numFmtId="0" fontId="5" fillId="3" borderId="10" xfId="0" applyFont="1" applyFill="1" applyBorder="1"/>
    <xf numFmtId="0" fontId="4" fillId="3" borderId="0" xfId="0" applyFont="1" applyFill="1"/>
    <xf numFmtId="167" fontId="5" fillId="0" borderId="0" xfId="0" applyNumberFormat="1" applyFont="1"/>
    <xf numFmtId="0" fontId="0" fillId="0" borderId="0" xfId="0" applyAlignment="1">
      <alignment horizontal="left"/>
    </xf>
    <xf numFmtId="0" fontId="0" fillId="4" borderId="1" xfId="0" applyFill="1" applyBorder="1"/>
    <xf numFmtId="0" fontId="10" fillId="4" borderId="1" xfId="0" applyFont="1" applyFill="1" applyBorder="1" applyAlignment="1">
      <alignment horizontal="right"/>
    </xf>
    <xf numFmtId="1" fontId="0" fillId="0" borderId="0" xfId="0" applyNumberFormat="1"/>
    <xf numFmtId="0" fontId="4" fillId="0" borderId="1" xfId="0" applyFont="1" applyBorder="1"/>
    <xf numFmtId="0" fontId="0" fillId="0" borderId="1" xfId="0" applyBorder="1"/>
    <xf numFmtId="2" fontId="0" fillId="0" borderId="1" xfId="0" applyNumberFormat="1" applyBorder="1"/>
    <xf numFmtId="9" fontId="0" fillId="0" borderId="1" xfId="4" applyFont="1" applyBorder="1"/>
    <xf numFmtId="167" fontId="0" fillId="0" borderId="1" xfId="0" applyNumberFormat="1" applyBorder="1"/>
    <xf numFmtId="10" fontId="0" fillId="0" borderId="1" xfId="4" applyNumberFormat="1" applyFont="1" applyBorder="1"/>
    <xf numFmtId="0" fontId="5" fillId="0" borderId="11" xfId="0" applyFont="1" applyBorder="1"/>
    <xf numFmtId="10" fontId="5" fillId="0" borderId="1" xfId="0" applyNumberFormat="1" applyFont="1" applyBorder="1"/>
    <xf numFmtId="167" fontId="0" fillId="5" borderId="1" xfId="0" applyNumberFormat="1" applyFill="1" applyBorder="1"/>
    <xf numFmtId="3" fontId="5" fillId="0" borderId="0" xfId="0" applyNumberFormat="1" applyFont="1"/>
    <xf numFmtId="169" fontId="5" fillId="0" borderId="1" xfId="0" applyNumberFormat="1" applyFont="1" applyBorder="1"/>
    <xf numFmtId="10" fontId="5" fillId="3" borderId="1" xfId="0" applyNumberFormat="1" applyFont="1" applyFill="1" applyBorder="1"/>
    <xf numFmtId="170" fontId="5" fillId="0" borderId="0" xfId="3" applyNumberFormat="1" applyFont="1"/>
    <xf numFmtId="0" fontId="1" fillId="3" borderId="0" xfId="0" applyFont="1" applyFill="1"/>
    <xf numFmtId="0" fontId="0" fillId="3" borderId="0" xfId="0" applyFill="1"/>
    <xf numFmtId="172" fontId="4" fillId="0" borderId="1" xfId="0" applyNumberFormat="1" applyFont="1" applyBorder="1" applyAlignment="1">
      <alignment horizontal="center"/>
    </xf>
    <xf numFmtId="171" fontId="5" fillId="0" borderId="1" xfId="4" applyNumberFormat="1" applyFont="1" applyBorder="1"/>
    <xf numFmtId="171" fontId="0" fillId="0" borderId="1" xfId="4" applyNumberFormat="1" applyFont="1" applyBorder="1"/>
    <xf numFmtId="167" fontId="5" fillId="3" borderId="1" xfId="0" applyNumberFormat="1" applyFont="1" applyFill="1" applyBorder="1"/>
    <xf numFmtId="167" fontId="5" fillId="6" borderId="1" xfId="0" applyNumberFormat="1" applyFont="1" applyFill="1" applyBorder="1"/>
    <xf numFmtId="0" fontId="0" fillId="7" borderId="1" xfId="0" applyFill="1" applyBorder="1"/>
    <xf numFmtId="167" fontId="5" fillId="7" borderId="1" xfId="0" applyNumberFormat="1" applyFont="1" applyFill="1" applyBorder="1"/>
    <xf numFmtId="0" fontId="15" fillId="0" borderId="0" xfId="0" applyFont="1"/>
    <xf numFmtId="0" fontId="15" fillId="3" borderId="12" xfId="0" applyFont="1" applyFill="1" applyBorder="1"/>
    <xf numFmtId="0" fontId="15" fillId="3" borderId="13" xfId="0" applyFont="1" applyFill="1" applyBorder="1"/>
    <xf numFmtId="0" fontId="15" fillId="3" borderId="14" xfId="0" applyFont="1" applyFill="1" applyBorder="1"/>
    <xf numFmtId="0" fontId="15" fillId="3" borderId="15" xfId="0" applyFont="1" applyFill="1" applyBorder="1" applyAlignment="1">
      <alignment vertical="center" wrapText="1"/>
    </xf>
    <xf numFmtId="0" fontId="15" fillId="3" borderId="0" xfId="0" applyFont="1" applyFill="1" applyAlignment="1">
      <alignment vertical="center" wrapText="1"/>
    </xf>
    <xf numFmtId="0" fontId="15" fillId="3" borderId="16" xfId="0" applyFont="1" applyFill="1" applyBorder="1" applyAlignment="1">
      <alignment vertical="center" wrapText="1"/>
    </xf>
    <xf numFmtId="0" fontId="15" fillId="0" borderId="0" xfId="0" applyFont="1" applyAlignment="1">
      <alignment vertical="center" wrapText="1"/>
    </xf>
    <xf numFmtId="14" fontId="15" fillId="3" borderId="0" xfId="0" applyNumberFormat="1" applyFont="1" applyFill="1" applyProtection="1">
      <protection locked="0"/>
    </xf>
    <xf numFmtId="167" fontId="16" fillId="3" borderId="0" xfId="0" applyNumberFormat="1" applyFont="1" applyFill="1" applyAlignment="1">
      <alignment vertical="center" wrapText="1"/>
    </xf>
    <xf numFmtId="0" fontId="15" fillId="3" borderId="15" xfId="0" applyFont="1" applyFill="1" applyBorder="1"/>
    <xf numFmtId="0" fontId="16" fillId="3" borderId="0" xfId="0" applyFont="1" applyFill="1" applyAlignment="1">
      <alignment vertical="center" wrapText="1"/>
    </xf>
    <xf numFmtId="0" fontId="15" fillId="3" borderId="0" xfId="0" applyFont="1" applyFill="1"/>
    <xf numFmtId="49" fontId="16" fillId="3" borderId="0" xfId="0" applyNumberFormat="1" applyFont="1" applyFill="1"/>
    <xf numFmtId="166" fontId="16" fillId="3" borderId="0" xfId="0" applyNumberFormat="1" applyFont="1" applyFill="1"/>
    <xf numFmtId="0" fontId="15" fillId="3" borderId="16" xfId="0" applyFont="1" applyFill="1" applyBorder="1"/>
    <xf numFmtId="0" fontId="16" fillId="3" borderId="0" xfId="0" applyFont="1" applyFill="1"/>
    <xf numFmtId="0" fontId="15" fillId="3" borderId="15" xfId="0" applyFont="1" applyFill="1" applyBorder="1" applyAlignment="1">
      <alignment horizontal="center" vertical="center" wrapText="1"/>
    </xf>
    <xf numFmtId="0" fontId="15" fillId="3" borderId="0" xfId="0" applyFont="1" applyFill="1" applyAlignment="1">
      <alignment horizontal="center" vertical="center" wrapText="1"/>
    </xf>
    <xf numFmtId="0" fontId="16" fillId="3" borderId="16" xfId="0" applyFont="1" applyFill="1" applyBorder="1" applyAlignment="1">
      <alignment horizontal="center" vertical="center" wrapText="1"/>
    </xf>
    <xf numFmtId="0" fontId="15" fillId="0" borderId="0" xfId="0" applyFont="1" applyAlignment="1">
      <alignment horizontal="center" vertical="center" wrapText="1"/>
    </xf>
    <xf numFmtId="0" fontId="16" fillId="0" borderId="0" xfId="0" applyFont="1" applyAlignment="1">
      <alignment horizontal="center" vertical="center" wrapText="1"/>
    </xf>
    <xf numFmtId="0" fontId="15" fillId="0" borderId="1" xfId="0" applyFont="1" applyBorder="1"/>
    <xf numFmtId="2" fontId="15" fillId="0" borderId="1" xfId="0" applyNumberFormat="1" applyFont="1" applyBorder="1" applyAlignment="1" applyProtection="1">
      <alignment horizontal="center"/>
      <protection hidden="1"/>
    </xf>
    <xf numFmtId="2" fontId="15" fillId="3" borderId="0" xfId="0" applyNumberFormat="1" applyFont="1" applyFill="1" applyAlignment="1">
      <alignment horizontal="center"/>
    </xf>
    <xf numFmtId="167" fontId="15" fillId="0" borderId="0" xfId="0" applyNumberFormat="1" applyFont="1"/>
    <xf numFmtId="168" fontId="15" fillId="0" borderId="0" xfId="0" applyNumberFormat="1" applyFont="1"/>
    <xf numFmtId="1" fontId="15" fillId="0" borderId="0" xfId="0" applyNumberFormat="1" applyFont="1"/>
    <xf numFmtId="1" fontId="15" fillId="0" borderId="0" xfId="4" applyNumberFormat="1" applyFont="1"/>
    <xf numFmtId="1" fontId="15" fillId="3" borderId="0" xfId="0" applyNumberFormat="1" applyFont="1" applyFill="1" applyAlignment="1" applyProtection="1">
      <alignment horizontal="center"/>
      <protection locked="0"/>
    </xf>
    <xf numFmtId="167" fontId="17" fillId="3" borderId="0" xfId="1" applyNumberFormat="1" applyFont="1" applyFill="1" applyBorder="1" applyAlignment="1" applyProtection="1">
      <alignment vertical="center"/>
      <protection locked="0"/>
    </xf>
    <xf numFmtId="0" fontId="16" fillId="3" borderId="16" xfId="0" applyFont="1" applyFill="1" applyBorder="1"/>
    <xf numFmtId="166" fontId="15" fillId="3" borderId="0" xfId="0" applyNumberFormat="1" applyFont="1" applyFill="1"/>
    <xf numFmtId="2" fontId="16" fillId="0" borderId="17" xfId="0" applyNumberFormat="1" applyFont="1" applyBorder="1" applyAlignment="1" applyProtection="1">
      <alignment horizontal="center" vertical="center"/>
      <protection hidden="1"/>
    </xf>
    <xf numFmtId="2" fontId="16" fillId="0" borderId="1" xfId="0" applyNumberFormat="1" applyFont="1" applyBorder="1" applyAlignment="1" applyProtection="1">
      <alignment horizontal="center" vertical="center"/>
      <protection hidden="1"/>
    </xf>
    <xf numFmtId="2" fontId="16" fillId="0" borderId="11" xfId="0" applyNumberFormat="1" applyFont="1" applyBorder="1" applyAlignment="1" applyProtection="1">
      <alignment horizontal="center" vertical="center"/>
      <protection hidden="1"/>
    </xf>
    <xf numFmtId="10" fontId="16" fillId="3" borderId="0" xfId="4" applyNumberFormat="1" applyFont="1" applyFill="1" applyBorder="1" applyAlignment="1" applyProtection="1">
      <alignment horizontal="center" vertical="center"/>
      <protection hidden="1"/>
    </xf>
    <xf numFmtId="2" fontId="16" fillId="0" borderId="17" xfId="0" applyNumberFormat="1" applyFont="1" applyBorder="1" applyAlignment="1" applyProtection="1">
      <alignment horizontal="center"/>
      <protection hidden="1"/>
    </xf>
    <xf numFmtId="1" fontId="16" fillId="3" borderId="0" xfId="0" applyNumberFormat="1" applyFont="1" applyFill="1" applyAlignment="1" applyProtection="1">
      <alignment horizontal="center"/>
      <protection hidden="1"/>
    </xf>
    <xf numFmtId="0" fontId="15" fillId="0" borderId="16" xfId="0" applyFont="1" applyBorder="1"/>
    <xf numFmtId="166" fontId="16" fillId="3" borderId="0" xfId="0" applyNumberFormat="1" applyFont="1" applyFill="1" applyAlignment="1">
      <alignment horizontal="center"/>
    </xf>
    <xf numFmtId="9" fontId="16" fillId="3" borderId="0" xfId="4" applyFont="1" applyFill="1" applyBorder="1" applyAlignment="1">
      <alignment horizontal="center"/>
    </xf>
    <xf numFmtId="2" fontId="16" fillId="3" borderId="0" xfId="0" applyNumberFormat="1" applyFont="1" applyFill="1" applyAlignment="1">
      <alignment horizontal="center"/>
    </xf>
    <xf numFmtId="168" fontId="15" fillId="3" borderId="0" xfId="0" applyNumberFormat="1" applyFont="1" applyFill="1"/>
    <xf numFmtId="167" fontId="15" fillId="3" borderId="0" xfId="0" applyNumberFormat="1" applyFont="1" applyFill="1"/>
    <xf numFmtId="3" fontId="15" fillId="0" borderId="1" xfId="0" applyNumberFormat="1" applyFont="1" applyBorder="1" applyAlignment="1">
      <alignment wrapText="1"/>
    </xf>
    <xf numFmtId="3" fontId="15" fillId="0" borderId="0" xfId="0" applyNumberFormat="1" applyFont="1" applyAlignment="1">
      <alignment wrapText="1"/>
    </xf>
    <xf numFmtId="0" fontId="15" fillId="0" borderId="0" xfId="0" applyFont="1" applyAlignment="1">
      <alignment wrapText="1"/>
    </xf>
    <xf numFmtId="166" fontId="15" fillId="3" borderId="11" xfId="0" applyNumberFormat="1" applyFont="1" applyFill="1" applyBorder="1" applyProtection="1">
      <protection hidden="1"/>
    </xf>
    <xf numFmtId="166" fontId="15" fillId="3" borderId="5" xfId="0" applyNumberFormat="1" applyFont="1" applyFill="1" applyBorder="1" applyProtection="1">
      <protection hidden="1"/>
    </xf>
    <xf numFmtId="167" fontId="15" fillId="3" borderId="0" xfId="0" applyNumberFormat="1" applyFont="1" applyFill="1" applyProtection="1">
      <protection locked="0"/>
    </xf>
    <xf numFmtId="1" fontId="16" fillId="3" borderId="0" xfId="0" applyNumberFormat="1" applyFont="1" applyFill="1" applyAlignment="1">
      <alignment horizontal="center"/>
    </xf>
    <xf numFmtId="0" fontId="16" fillId="0" borderId="1" xfId="0" applyFont="1" applyBorder="1"/>
    <xf numFmtId="3" fontId="15" fillId="0" borderId="1" xfId="0" applyNumberFormat="1" applyFont="1" applyBorder="1"/>
    <xf numFmtId="0" fontId="15" fillId="3" borderId="18" xfId="0" applyFont="1" applyFill="1" applyBorder="1"/>
    <xf numFmtId="0" fontId="15" fillId="3" borderId="19" xfId="0" applyFont="1" applyFill="1" applyBorder="1"/>
    <xf numFmtId="0" fontId="15" fillId="3" borderId="20" xfId="0" applyFont="1" applyFill="1" applyBorder="1"/>
    <xf numFmtId="0" fontId="15" fillId="3" borderId="16" xfId="0" applyFont="1" applyFill="1" applyBorder="1" applyAlignment="1">
      <alignment horizontal="center" vertical="center" wrapText="1"/>
    </xf>
    <xf numFmtId="3" fontId="16" fillId="3" borderId="0" xfId="0" applyNumberFormat="1" applyFont="1" applyFill="1" applyAlignment="1">
      <alignment horizontal="center"/>
    </xf>
    <xf numFmtId="170" fontId="15" fillId="0" borderId="0" xfId="3" applyNumberFormat="1" applyFont="1" applyAlignment="1">
      <alignment horizontal="right"/>
    </xf>
    <xf numFmtId="0" fontId="15" fillId="0" borderId="0" xfId="0" applyFont="1" applyAlignment="1">
      <alignment horizontal="right"/>
    </xf>
    <xf numFmtId="170" fontId="15" fillId="0" borderId="0" xfId="3" applyNumberFormat="1" applyFont="1" applyBorder="1" applyAlignment="1">
      <alignment horizontal="right"/>
    </xf>
    <xf numFmtId="3" fontId="15" fillId="0" borderId="0" xfId="0" applyNumberFormat="1" applyFont="1"/>
    <xf numFmtId="170" fontId="15" fillId="0" borderId="0" xfId="3" applyNumberFormat="1" applyFont="1"/>
    <xf numFmtId="0" fontId="16" fillId="3" borderId="0" xfId="0" quotePrefix="1" applyFont="1" applyFill="1"/>
    <xf numFmtId="0" fontId="15" fillId="3" borderId="15" xfId="0" applyFont="1" applyFill="1" applyBorder="1" applyAlignment="1">
      <alignment wrapText="1"/>
    </xf>
    <xf numFmtId="0" fontId="16" fillId="3" borderId="0" xfId="0" applyFont="1" applyFill="1" applyAlignment="1">
      <alignment horizontal="center" wrapText="1"/>
    </xf>
    <xf numFmtId="0" fontId="15" fillId="3" borderId="16" xfId="0" applyFont="1" applyFill="1" applyBorder="1" applyAlignment="1">
      <alignment wrapText="1"/>
    </xf>
    <xf numFmtId="0" fontId="15" fillId="0" borderId="0" xfId="0" applyFont="1" applyAlignment="1">
      <alignment vertical="center"/>
    </xf>
    <xf numFmtId="0" fontId="15" fillId="3" borderId="15" xfId="0" applyFont="1" applyFill="1" applyBorder="1" applyAlignment="1">
      <alignment vertical="center"/>
    </xf>
    <xf numFmtId="0" fontId="15" fillId="3" borderId="16" xfId="0" applyFont="1" applyFill="1" applyBorder="1" applyAlignment="1">
      <alignment vertical="center"/>
    </xf>
    <xf numFmtId="0" fontId="18" fillId="0" borderId="0" xfId="0" applyFont="1" applyAlignment="1">
      <alignment horizontal="right" vertical="center"/>
    </xf>
    <xf numFmtId="166" fontId="15" fillId="3" borderId="0" xfId="0" applyNumberFormat="1" applyFont="1" applyFill="1" applyAlignment="1">
      <alignment horizontal="center"/>
    </xf>
    <xf numFmtId="0" fontId="16" fillId="3" borderId="17" xfId="0" applyFont="1" applyFill="1" applyBorder="1" applyAlignment="1">
      <alignment horizontal="center" vertical="center" wrapText="1"/>
    </xf>
    <xf numFmtId="0" fontId="15" fillId="3" borderId="0" xfId="0" applyFont="1" applyFill="1" applyAlignment="1">
      <alignment vertical="center"/>
    </xf>
    <xf numFmtId="0" fontId="19" fillId="3" borderId="0" xfId="0" applyFont="1" applyFill="1"/>
    <xf numFmtId="0" fontId="20" fillId="3" borderId="0" xfId="0" applyFont="1" applyFill="1" applyAlignment="1">
      <alignment horizontal="center"/>
    </xf>
    <xf numFmtId="0" fontId="16" fillId="3" borderId="21" xfId="0" applyFont="1" applyFill="1" applyBorder="1"/>
    <xf numFmtId="167" fontId="15" fillId="3" borderId="0" xfId="0" applyNumberFormat="1" applyFont="1" applyFill="1" applyAlignment="1">
      <alignment horizontal="center"/>
    </xf>
    <xf numFmtId="167" fontId="16" fillId="3" borderId="0" xfId="0" applyNumberFormat="1" applyFont="1" applyFill="1" applyAlignment="1">
      <alignment horizontal="right"/>
    </xf>
    <xf numFmtId="0" fontId="15" fillId="3" borderId="0" xfId="0" applyFont="1" applyFill="1" applyAlignment="1">
      <alignment wrapText="1"/>
    </xf>
    <xf numFmtId="0" fontId="16" fillId="3" borderId="0" xfId="0" applyFont="1" applyFill="1" applyAlignment="1">
      <alignment horizontal="left" vertical="center" wrapText="1"/>
    </xf>
    <xf numFmtId="0" fontId="16" fillId="3" borderId="0" xfId="0" applyFont="1" applyFill="1" applyAlignment="1">
      <alignment horizontal="left"/>
    </xf>
    <xf numFmtId="0" fontId="16" fillId="3" borderId="0" xfId="0" applyFont="1" applyFill="1" applyAlignment="1">
      <alignment horizontal="center" vertical="center" wrapText="1"/>
    </xf>
    <xf numFmtId="0" fontId="21" fillId="3" borderId="0" xfId="0" applyFont="1" applyFill="1" applyAlignment="1">
      <alignment vertical="center"/>
    </xf>
    <xf numFmtId="166" fontId="21" fillId="3" borderId="0" xfId="0" applyNumberFormat="1" applyFont="1" applyFill="1" applyAlignment="1">
      <alignment horizontal="center" vertical="center"/>
    </xf>
    <xf numFmtId="0" fontId="21" fillId="3" borderId="0" xfId="0" applyFont="1" applyFill="1" applyAlignment="1">
      <alignment horizontal="center" vertical="center"/>
    </xf>
    <xf numFmtId="0" fontId="22" fillId="3" borderId="0" xfId="0" applyFont="1" applyFill="1" applyAlignment="1">
      <alignment vertical="center"/>
    </xf>
    <xf numFmtId="0" fontId="18" fillId="3" borderId="0" xfId="0" applyFont="1" applyFill="1" applyAlignment="1">
      <alignment horizontal="right" vertical="center"/>
    </xf>
    <xf numFmtId="0" fontId="23" fillId="3" borderId="0" xfId="0" applyFont="1" applyFill="1" applyAlignment="1">
      <alignment vertical="center" wrapText="1"/>
    </xf>
    <xf numFmtId="175" fontId="15" fillId="3" borderId="0" xfId="0" applyNumberFormat="1" applyFont="1" applyFill="1" applyProtection="1">
      <protection hidden="1"/>
    </xf>
    <xf numFmtId="175" fontId="15" fillId="3" borderId="0" xfId="0" applyNumberFormat="1" applyFont="1" applyFill="1" applyAlignment="1" applyProtection="1">
      <alignment horizontal="right"/>
      <protection hidden="1"/>
    </xf>
    <xf numFmtId="4" fontId="0" fillId="7" borderId="1" xfId="0" applyNumberFormat="1" applyFill="1" applyBorder="1"/>
    <xf numFmtId="0" fontId="24" fillId="3" borderId="0" xfId="0" applyFont="1" applyFill="1" applyAlignment="1">
      <alignment horizontal="right" vertical="center" wrapText="1"/>
    </xf>
    <xf numFmtId="0" fontId="24" fillId="0" borderId="0" xfId="0" applyFont="1" applyAlignment="1">
      <alignment horizontal="right" vertical="center" wrapText="1"/>
    </xf>
    <xf numFmtId="0" fontId="25" fillId="0" borderId="22" xfId="0" applyFont="1" applyBorder="1" applyAlignment="1">
      <alignment horizontal="center"/>
    </xf>
    <xf numFmtId="0" fontId="25" fillId="0" borderId="22" xfId="0" applyFont="1" applyBorder="1"/>
    <xf numFmtId="175" fontId="24" fillId="8" borderId="22" xfId="0" applyNumberFormat="1" applyFont="1" applyFill="1" applyBorder="1" applyProtection="1">
      <protection locked="0"/>
    </xf>
    <xf numFmtId="175" fontId="25" fillId="3" borderId="22" xfId="0" applyNumberFormat="1" applyFont="1" applyFill="1" applyBorder="1" applyProtection="1">
      <protection hidden="1"/>
    </xf>
    <xf numFmtId="175" fontId="24" fillId="8" borderId="22" xfId="3" applyNumberFormat="1" applyFont="1" applyFill="1" applyBorder="1" applyProtection="1">
      <protection locked="0"/>
    </xf>
    <xf numFmtId="2" fontId="24" fillId="8" borderId="22" xfId="0" applyNumberFormat="1" applyFont="1" applyFill="1" applyBorder="1" applyAlignment="1" applyProtection="1">
      <alignment horizontal="center"/>
      <protection locked="0"/>
    </xf>
    <xf numFmtId="174" fontId="25" fillId="3" borderId="22" xfId="0" applyNumberFormat="1" applyFont="1" applyFill="1" applyBorder="1" applyProtection="1">
      <protection hidden="1"/>
    </xf>
    <xf numFmtId="2" fontId="25" fillId="0" borderId="22" xfId="0" applyNumberFormat="1" applyFont="1" applyBorder="1" applyAlignment="1" applyProtection="1">
      <alignment horizontal="center"/>
      <protection hidden="1"/>
    </xf>
    <xf numFmtId="171" fontId="25" fillId="0" borderId="22" xfId="4" applyNumberFormat="1" applyFont="1" applyBorder="1" applyAlignment="1" applyProtection="1">
      <alignment horizontal="center"/>
      <protection hidden="1"/>
    </xf>
    <xf numFmtId="0" fontId="25" fillId="0" borderId="1" xfId="0" applyFont="1" applyBorder="1" applyAlignment="1">
      <alignment horizontal="center"/>
    </xf>
    <xf numFmtId="0" fontId="25" fillId="0" borderId="1" xfId="0" applyFont="1" applyBorder="1"/>
    <xf numFmtId="175" fontId="25" fillId="3" borderId="1" xfId="0" applyNumberFormat="1" applyFont="1" applyFill="1" applyBorder="1" applyProtection="1">
      <protection hidden="1"/>
    </xf>
    <xf numFmtId="2" fontId="24" fillId="8" borderId="1" xfId="0" applyNumberFormat="1" applyFont="1" applyFill="1" applyBorder="1" applyAlignment="1" applyProtection="1">
      <alignment horizontal="center"/>
      <protection locked="0"/>
    </xf>
    <xf numFmtId="2" fontId="25" fillId="0" borderId="1" xfId="0" applyNumberFormat="1" applyFont="1" applyBorder="1" applyAlignment="1" applyProtection="1">
      <alignment horizontal="center"/>
      <protection hidden="1"/>
    </xf>
    <xf numFmtId="14" fontId="20" fillId="9" borderId="1" xfId="0" applyNumberFormat="1" applyFont="1" applyFill="1" applyBorder="1" applyAlignment="1" applyProtection="1">
      <alignment horizontal="center" vertical="center"/>
      <protection hidden="1"/>
    </xf>
    <xf numFmtId="0" fontId="20" fillId="9" borderId="0" xfId="0" applyFont="1" applyFill="1" applyAlignment="1">
      <alignment horizontal="center" vertical="center" wrapText="1"/>
    </xf>
    <xf numFmtId="175" fontId="20" fillId="9" borderId="0" xfId="0" applyNumberFormat="1" applyFont="1" applyFill="1" applyAlignment="1" applyProtection="1">
      <alignment horizontal="center" vertical="center"/>
      <protection hidden="1"/>
    </xf>
    <xf numFmtId="2" fontId="20" fillId="9" borderId="0" xfId="0" applyNumberFormat="1" applyFont="1" applyFill="1" applyAlignment="1" applyProtection="1">
      <alignment horizontal="center" vertical="center"/>
      <protection hidden="1"/>
    </xf>
    <xf numFmtId="164" fontId="20" fillId="9" borderId="0" xfId="2" applyFont="1" applyFill="1" applyBorder="1" applyAlignment="1" applyProtection="1">
      <alignment horizontal="center" vertical="center"/>
      <protection hidden="1"/>
    </xf>
    <xf numFmtId="0" fontId="20" fillId="9" borderId="0" xfId="0" applyFont="1" applyFill="1"/>
    <xf numFmtId="0" fontId="24" fillId="0" borderId="7" xfId="0" applyFont="1" applyBorder="1" applyAlignment="1">
      <alignment horizontal="center"/>
    </xf>
    <xf numFmtId="0" fontId="24" fillId="0" borderId="11" xfId="0" applyFont="1" applyBorder="1" applyAlignment="1">
      <alignment horizontal="center"/>
    </xf>
    <xf numFmtId="175" fontId="24" fillId="8" borderId="9" xfId="0" applyNumberFormat="1" applyFont="1" applyFill="1" applyBorder="1" applyProtection="1">
      <protection locked="0"/>
    </xf>
    <xf numFmtId="175" fontId="24" fillId="8" borderId="17" xfId="0" applyNumberFormat="1" applyFont="1" applyFill="1" applyBorder="1" applyProtection="1">
      <protection locked="0"/>
    </xf>
    <xf numFmtId="175" fontId="24" fillId="0" borderId="17" xfId="0" applyNumberFormat="1" applyFont="1" applyBorder="1" applyProtection="1">
      <protection hidden="1"/>
    </xf>
    <xf numFmtId="175" fontId="24" fillId="8" borderId="1" xfId="0" applyNumberFormat="1" applyFont="1" applyFill="1" applyBorder="1" applyProtection="1">
      <protection locked="0"/>
    </xf>
    <xf numFmtId="0" fontId="24" fillId="3" borderId="0" xfId="0" applyFont="1" applyFill="1"/>
    <xf numFmtId="0" fontId="25" fillId="3" borderId="0" xfId="0" applyFont="1" applyFill="1"/>
    <xf numFmtId="0" fontId="25" fillId="0" borderId="0" xfId="0" applyFont="1"/>
    <xf numFmtId="0" fontId="25" fillId="3" borderId="0" xfId="0" applyFont="1" applyFill="1" applyAlignment="1">
      <alignment vertical="center" wrapText="1"/>
    </xf>
    <xf numFmtId="175" fontId="24" fillId="8" borderId="1" xfId="0" applyNumberFormat="1" applyFont="1" applyFill="1" applyBorder="1"/>
    <xf numFmtId="49" fontId="25" fillId="2" borderId="1" xfId="0" applyNumberFormat="1" applyFont="1" applyFill="1" applyBorder="1" applyAlignment="1" applyProtection="1">
      <alignment horizontal="center"/>
      <protection hidden="1"/>
    </xf>
    <xf numFmtId="175" fontId="25" fillId="0" borderId="1" xfId="0" applyNumberFormat="1" applyFont="1" applyBorder="1" applyProtection="1">
      <protection hidden="1"/>
    </xf>
    <xf numFmtId="0" fontId="20" fillId="9" borderId="0" xfId="0" applyFont="1" applyFill="1" applyAlignment="1">
      <alignment horizontal="right" vertical="center" wrapText="1"/>
    </xf>
    <xf numFmtId="17" fontId="24" fillId="3" borderId="1" xfId="0" applyNumberFormat="1" applyFont="1" applyFill="1" applyBorder="1" applyAlignment="1">
      <alignment horizontal="center" vertical="center" wrapText="1"/>
    </xf>
    <xf numFmtId="174" fontId="24" fillId="3" borderId="1" xfId="0" applyNumberFormat="1" applyFont="1" applyFill="1" applyBorder="1" applyAlignment="1">
      <alignment horizontal="center" vertical="center" wrapText="1"/>
    </xf>
    <xf numFmtId="0" fontId="24" fillId="3" borderId="0" xfId="0" applyFont="1" applyFill="1" applyAlignment="1">
      <alignment horizontal="center" vertical="center" wrapText="1"/>
    </xf>
    <xf numFmtId="0" fontId="26" fillId="0" borderId="0" xfId="0" applyFont="1"/>
    <xf numFmtId="0" fontId="24" fillId="3" borderId="0" xfId="0" applyFont="1" applyFill="1" applyAlignment="1" applyProtection="1">
      <alignment vertical="center" wrapText="1"/>
      <protection hidden="1"/>
    </xf>
    <xf numFmtId="166" fontId="24" fillId="0" borderId="1" xfId="0" applyNumberFormat="1" applyFont="1" applyBorder="1" applyAlignment="1" applyProtection="1">
      <alignment horizontal="right"/>
      <protection hidden="1"/>
    </xf>
    <xf numFmtId="0" fontId="20" fillId="9" borderId="11" xfId="0" applyFont="1" applyFill="1" applyBorder="1"/>
    <xf numFmtId="175" fontId="20" fillId="9" borderId="1" xfId="0" applyNumberFormat="1" applyFont="1" applyFill="1" applyBorder="1" applyAlignment="1" applyProtection="1">
      <alignment horizontal="center"/>
      <protection hidden="1"/>
    </xf>
    <xf numFmtId="166" fontId="20" fillId="9" borderId="1" xfId="0" applyNumberFormat="1" applyFont="1" applyFill="1" applyBorder="1" applyAlignment="1" applyProtection="1">
      <alignment horizontal="center"/>
      <protection hidden="1"/>
    </xf>
    <xf numFmtId="175" fontId="20" fillId="9" borderId="11" xfId="0" applyNumberFormat="1" applyFont="1" applyFill="1" applyBorder="1" applyAlignment="1" applyProtection="1">
      <alignment horizontal="center"/>
      <protection hidden="1"/>
    </xf>
    <xf numFmtId="167" fontId="24" fillId="8" borderId="1" xfId="0" applyNumberFormat="1" applyFont="1" applyFill="1" applyBorder="1"/>
    <xf numFmtId="167" fontId="20" fillId="9" borderId="1" xfId="0" applyNumberFormat="1" applyFont="1" applyFill="1" applyBorder="1" applyAlignment="1">
      <alignment horizontal="center"/>
    </xf>
    <xf numFmtId="167" fontId="24" fillId="3" borderId="1" xfId="0" applyNumberFormat="1" applyFont="1" applyFill="1" applyBorder="1" applyAlignment="1">
      <alignment horizontal="center"/>
    </xf>
    <xf numFmtId="167" fontId="24" fillId="3" borderId="17" xfId="0" applyNumberFormat="1" applyFont="1" applyFill="1" applyBorder="1" applyAlignment="1" applyProtection="1">
      <alignment horizontal="right"/>
      <protection hidden="1"/>
    </xf>
    <xf numFmtId="0" fontId="15" fillId="9" borderId="0" xfId="0" applyFont="1" applyFill="1"/>
    <xf numFmtId="0" fontId="20" fillId="9" borderId="0" xfId="0" applyFont="1" applyFill="1" applyAlignment="1">
      <alignment horizontal="right" vertical="center"/>
    </xf>
    <xf numFmtId="166" fontId="20" fillId="9" borderId="0" xfId="0" applyNumberFormat="1" applyFont="1" applyFill="1" applyAlignment="1">
      <alignment horizontal="right" vertical="center"/>
    </xf>
    <xf numFmtId="175" fontId="24" fillId="3" borderId="1" xfId="0" applyNumberFormat="1" applyFont="1" applyFill="1" applyBorder="1" applyAlignment="1" applyProtection="1">
      <alignment horizontal="right" vertical="center"/>
      <protection hidden="1"/>
    </xf>
    <xf numFmtId="0" fontId="25" fillId="0" borderId="0" xfId="0" applyFont="1" applyAlignment="1">
      <alignment vertical="center" wrapText="1"/>
    </xf>
    <xf numFmtId="175" fontId="24" fillId="3" borderId="1" xfId="0" applyNumberFormat="1" applyFont="1" applyFill="1" applyBorder="1" applyProtection="1">
      <protection hidden="1"/>
    </xf>
    <xf numFmtId="175" fontId="24" fillId="3" borderId="1" xfId="3" applyNumberFormat="1" applyFont="1" applyFill="1" applyBorder="1" applyAlignment="1" applyProtection="1">
      <alignment horizontal="center"/>
      <protection hidden="1"/>
    </xf>
    <xf numFmtId="175" fontId="24" fillId="0" borderId="1" xfId="3" applyNumberFormat="1" applyFont="1" applyBorder="1" applyAlignment="1" applyProtection="1">
      <alignment horizontal="center"/>
      <protection hidden="1"/>
    </xf>
    <xf numFmtId="0" fontId="20" fillId="9" borderId="11" xfId="0" applyFont="1" applyFill="1" applyBorder="1" applyAlignment="1">
      <alignment vertical="center"/>
    </xf>
    <xf numFmtId="0" fontId="19" fillId="9" borderId="21" xfId="0" applyFont="1" applyFill="1" applyBorder="1" applyAlignment="1">
      <alignment vertical="center" wrapText="1"/>
    </xf>
    <xf numFmtId="0" fontId="19" fillId="9" borderId="17" xfId="0" applyFont="1" applyFill="1" applyBorder="1" applyAlignment="1">
      <alignment vertical="center" wrapText="1"/>
    </xf>
    <xf numFmtId="0" fontId="20" fillId="9" borderId="11" xfId="0" applyFont="1" applyFill="1" applyBorder="1" applyAlignment="1">
      <alignment vertical="center" wrapText="1"/>
    </xf>
    <xf numFmtId="175" fontId="25" fillId="3" borderId="3" xfId="3" applyNumberFormat="1" applyFont="1" applyFill="1" applyBorder="1" applyAlignment="1" applyProtection="1">
      <protection hidden="1"/>
    </xf>
    <xf numFmtId="175" fontId="25" fillId="3" borderId="0" xfId="3" applyNumberFormat="1" applyFont="1" applyFill="1" applyBorder="1" applyAlignment="1" applyProtection="1">
      <alignment horizontal="right"/>
      <protection hidden="1"/>
    </xf>
    <xf numFmtId="175" fontId="25" fillId="10" borderId="0" xfId="3" applyNumberFormat="1" applyFont="1" applyFill="1" applyBorder="1" applyAlignment="1" applyProtection="1">
      <alignment horizontal="right"/>
      <protection hidden="1"/>
    </xf>
    <xf numFmtId="175" fontId="25" fillId="10" borderId="0" xfId="3" applyNumberFormat="1" applyFont="1" applyFill="1" applyBorder="1" applyAlignment="1" applyProtection="1">
      <protection hidden="1"/>
    </xf>
    <xf numFmtId="175" fontId="25" fillId="3" borderId="0" xfId="3" applyNumberFormat="1" applyFont="1" applyFill="1" applyBorder="1" applyAlignment="1" applyProtection="1">
      <protection hidden="1"/>
    </xf>
    <xf numFmtId="164" fontId="25" fillId="3" borderId="0" xfId="2" applyFont="1" applyFill="1" applyBorder="1" applyAlignment="1" applyProtection="1">
      <protection hidden="1"/>
    </xf>
    <xf numFmtId="164" fontId="25" fillId="3" borderId="0" xfId="2" applyFont="1" applyFill="1" applyBorder="1" applyAlignment="1" applyProtection="1">
      <alignment horizontal="right"/>
      <protection hidden="1"/>
    </xf>
    <xf numFmtId="10" fontId="27" fillId="10" borderId="0" xfId="4" applyNumberFormat="1" applyFont="1" applyFill="1" applyBorder="1" applyAlignment="1" applyProtection="1">
      <protection hidden="1"/>
    </xf>
    <xf numFmtId="175" fontId="25" fillId="3" borderId="0" xfId="0" applyNumberFormat="1" applyFont="1" applyFill="1" applyProtection="1">
      <protection hidden="1"/>
    </xf>
    <xf numFmtId="175" fontId="25" fillId="3" borderId="0" xfId="0" applyNumberFormat="1" applyFont="1" applyFill="1" applyAlignment="1" applyProtection="1">
      <alignment horizontal="right"/>
      <protection hidden="1"/>
    </xf>
    <xf numFmtId="175" fontId="25" fillId="10" borderId="0" xfId="0" applyNumberFormat="1" applyFont="1" applyFill="1" applyProtection="1">
      <protection hidden="1"/>
    </xf>
    <xf numFmtId="175" fontId="25" fillId="10" borderId="0" xfId="0" applyNumberFormat="1" applyFont="1" applyFill="1" applyAlignment="1" applyProtection="1">
      <alignment horizontal="right"/>
      <protection hidden="1"/>
    </xf>
    <xf numFmtId="10" fontId="27" fillId="3" borderId="0" xfId="4" applyNumberFormat="1" applyFont="1" applyFill="1" applyBorder="1" applyAlignment="1" applyProtection="1">
      <protection hidden="1"/>
    </xf>
    <xf numFmtId="175" fontId="20" fillId="9" borderId="1" xfId="0" applyNumberFormat="1" applyFont="1" applyFill="1" applyBorder="1" applyProtection="1">
      <protection hidden="1"/>
    </xf>
    <xf numFmtId="175" fontId="24" fillId="10" borderId="0" xfId="0" applyNumberFormat="1" applyFont="1" applyFill="1" applyProtection="1">
      <protection hidden="1"/>
    </xf>
    <xf numFmtId="175" fontId="24" fillId="10" borderId="0" xfId="0" applyNumberFormat="1" applyFont="1" applyFill="1" applyAlignment="1" applyProtection="1">
      <alignment horizontal="right"/>
      <protection hidden="1"/>
    </xf>
    <xf numFmtId="175" fontId="24" fillId="3" borderId="0" xfId="0" applyNumberFormat="1" applyFont="1" applyFill="1" applyProtection="1">
      <protection hidden="1"/>
    </xf>
    <xf numFmtId="175" fontId="24" fillId="3" borderId="0" xfId="0" applyNumberFormat="1" applyFont="1" applyFill="1" applyAlignment="1" applyProtection="1">
      <alignment horizontal="right"/>
      <protection hidden="1"/>
    </xf>
    <xf numFmtId="0" fontId="25" fillId="3" borderId="13" xfId="0" applyFont="1" applyFill="1" applyBorder="1"/>
    <xf numFmtId="176" fontId="5" fillId="0" borderId="0" xfId="0" applyNumberFormat="1" applyFont="1"/>
    <xf numFmtId="164" fontId="5" fillId="0" borderId="0" xfId="0" applyNumberFormat="1" applyFont="1"/>
    <xf numFmtId="177" fontId="5" fillId="0" borderId="0" xfId="0" applyNumberFormat="1" applyFont="1"/>
    <xf numFmtId="2" fontId="5" fillId="0" borderId="1" xfId="0" applyNumberFormat="1" applyFont="1" applyBorder="1"/>
    <xf numFmtId="0" fontId="16" fillId="3" borderId="3" xfId="0" applyFont="1" applyFill="1" applyBorder="1"/>
    <xf numFmtId="0" fontId="1" fillId="4" borderId="1" xfId="0" applyFont="1" applyFill="1" applyBorder="1" applyAlignment="1">
      <alignment horizontal="right"/>
    </xf>
    <xf numFmtId="166" fontId="5" fillId="0" borderId="0" xfId="0" applyNumberFormat="1" applyFont="1"/>
    <xf numFmtId="166" fontId="4" fillId="13" borderId="0" xfId="0" applyNumberFormat="1" applyFont="1" applyFill="1" applyAlignment="1">
      <alignment horizontal="center"/>
    </xf>
    <xf numFmtId="0" fontId="16" fillId="3" borderId="1" xfId="0" applyFont="1" applyFill="1" applyBorder="1" applyAlignment="1">
      <alignment horizontal="center"/>
    </xf>
    <xf numFmtId="0" fontId="25" fillId="3" borderId="0" xfId="0" applyFont="1" applyFill="1" applyAlignment="1">
      <alignment horizontal="left"/>
    </xf>
    <xf numFmtId="0" fontId="20" fillId="9" borderId="0" xfId="0" applyFont="1" applyFill="1" applyAlignment="1">
      <alignment horizontal="center"/>
    </xf>
    <xf numFmtId="166" fontId="20" fillId="9" borderId="0" xfId="0" applyNumberFormat="1" applyFont="1" applyFill="1" applyAlignment="1">
      <alignment horizontal="left"/>
    </xf>
    <xf numFmtId="1" fontId="16" fillId="3" borderId="1" xfId="0" applyNumberFormat="1" applyFont="1" applyFill="1" applyBorder="1" applyAlignment="1" applyProtection="1">
      <alignment horizontal="center"/>
      <protection hidden="1"/>
    </xf>
    <xf numFmtId="0" fontId="20" fillId="9" borderId="1" xfId="0" applyFont="1" applyFill="1" applyBorder="1" applyAlignment="1">
      <alignment horizontal="center"/>
    </xf>
    <xf numFmtId="167" fontId="24" fillId="3" borderId="1" xfId="0" applyNumberFormat="1" applyFont="1" applyFill="1" applyBorder="1" applyAlignment="1" applyProtection="1">
      <alignment horizontal="center"/>
      <protection hidden="1"/>
    </xf>
    <xf numFmtId="0" fontId="16" fillId="3" borderId="0" xfId="0" applyFont="1" applyFill="1" applyAlignment="1">
      <alignment horizontal="center"/>
    </xf>
    <xf numFmtId="0" fontId="25" fillId="10" borderId="0" xfId="0" applyFont="1" applyFill="1" applyAlignment="1">
      <alignment horizontal="left"/>
    </xf>
    <xf numFmtId="0" fontId="20" fillId="9" borderId="1" xfId="0" applyFont="1" applyFill="1" applyBorder="1" applyAlignment="1">
      <alignment horizontal="center" vertical="center" wrapText="1"/>
    </xf>
    <xf numFmtId="0" fontId="5" fillId="3" borderId="0" xfId="0" applyFont="1" applyFill="1" applyAlignment="1">
      <alignment horizontal="left" wrapText="1"/>
    </xf>
    <xf numFmtId="0" fontId="5" fillId="3" borderId="5" xfId="0" applyFont="1" applyFill="1" applyBorder="1" applyAlignment="1">
      <alignment horizontal="left" wrapText="1"/>
    </xf>
    <xf numFmtId="0" fontId="5" fillId="3" borderId="7" xfId="0" applyFont="1" applyFill="1" applyBorder="1" applyAlignment="1">
      <alignment horizontal="left" wrapText="1"/>
    </xf>
    <xf numFmtId="0" fontId="5" fillId="3" borderId="8" xfId="0" applyFont="1" applyFill="1" applyBorder="1" applyAlignment="1">
      <alignment horizontal="left" wrapText="1"/>
    </xf>
    <xf numFmtId="175" fontId="20" fillId="9" borderId="1" xfId="0" applyNumberFormat="1" applyFont="1" applyFill="1" applyBorder="1" applyAlignment="1" applyProtection="1">
      <alignment horizontal="center"/>
      <protection locked="0"/>
    </xf>
    <xf numFmtId="0" fontId="1" fillId="0" borderId="0" xfId="0" applyFont="1"/>
    <xf numFmtId="175" fontId="15" fillId="0" borderId="0" xfId="0" applyNumberFormat="1" applyFont="1"/>
    <xf numFmtId="0" fontId="21" fillId="8" borderId="11" xfId="0" applyFont="1" applyFill="1" applyBorder="1" applyAlignment="1">
      <alignment horizontal="center" vertical="center"/>
    </xf>
    <xf numFmtId="0" fontId="21" fillId="8" borderId="21" xfId="0" applyFont="1" applyFill="1" applyBorder="1" applyAlignment="1">
      <alignment horizontal="center" vertical="center"/>
    </xf>
    <xf numFmtId="0" fontId="21" fillId="8" borderId="17" xfId="0" applyFont="1" applyFill="1" applyBorder="1" applyAlignment="1">
      <alignment horizontal="center" vertical="center"/>
    </xf>
    <xf numFmtId="0" fontId="16" fillId="3" borderId="1" xfId="0" applyFont="1" applyFill="1" applyBorder="1" applyAlignment="1">
      <alignment horizontal="center"/>
    </xf>
    <xf numFmtId="166" fontId="20" fillId="9" borderId="0" xfId="0" applyNumberFormat="1" applyFont="1" applyFill="1" applyAlignment="1">
      <alignment horizontal="left"/>
    </xf>
    <xf numFmtId="0" fontId="28" fillId="3" borderId="0" xfId="0" applyFont="1" applyFill="1" applyAlignment="1">
      <alignment horizontal="center" vertical="center" wrapText="1"/>
    </xf>
    <xf numFmtId="17" fontId="29" fillId="3" borderId="0" xfId="0" applyNumberFormat="1" applyFont="1" applyFill="1" applyAlignment="1">
      <alignment horizontal="right" vertical="center"/>
    </xf>
    <xf numFmtId="0" fontId="29" fillId="3" borderId="0" xfId="0" applyFont="1" applyFill="1" applyAlignment="1">
      <alignment horizontal="right" vertical="center"/>
    </xf>
    <xf numFmtId="1" fontId="16" fillId="3" borderId="1" xfId="0" applyNumberFormat="1" applyFont="1" applyFill="1" applyBorder="1" applyAlignment="1" applyProtection="1">
      <alignment horizontal="center"/>
      <protection hidden="1"/>
    </xf>
    <xf numFmtId="167" fontId="15" fillId="8" borderId="11" xfId="0" applyNumberFormat="1" applyFont="1" applyFill="1" applyBorder="1" applyAlignment="1" applyProtection="1">
      <alignment horizontal="left"/>
      <protection locked="0"/>
    </xf>
    <xf numFmtId="167" fontId="15" fillId="8" borderId="17" xfId="0" applyNumberFormat="1" applyFont="1" applyFill="1" applyBorder="1" applyAlignment="1" applyProtection="1">
      <alignment horizontal="left"/>
      <protection locked="0"/>
    </xf>
    <xf numFmtId="0" fontId="20" fillId="9" borderId="1" xfId="0" applyFont="1" applyFill="1" applyBorder="1" applyAlignment="1">
      <alignment horizontal="center"/>
    </xf>
    <xf numFmtId="0" fontId="25" fillId="3" borderId="0" xfId="0" applyFont="1" applyFill="1" applyAlignment="1">
      <alignment horizontal="left"/>
    </xf>
    <xf numFmtId="0" fontId="20" fillId="9" borderId="0" xfId="0" applyFont="1" applyFill="1" applyAlignment="1">
      <alignment horizontal="center"/>
    </xf>
    <xf numFmtId="175" fontId="24" fillId="0" borderId="22" xfId="0" applyNumberFormat="1" applyFont="1" applyBorder="1" applyAlignment="1" applyProtection="1">
      <alignment horizontal="center"/>
      <protection hidden="1"/>
    </xf>
    <xf numFmtId="175" fontId="24" fillId="0" borderId="1" xfId="0" applyNumberFormat="1" applyFont="1" applyBorder="1" applyAlignment="1" applyProtection="1">
      <alignment horizontal="center"/>
      <protection hidden="1"/>
    </xf>
    <xf numFmtId="0" fontId="25" fillId="3" borderId="0" xfId="0" applyFont="1" applyFill="1" applyAlignment="1">
      <alignment horizontal="left" vertical="center" wrapText="1"/>
    </xf>
    <xf numFmtId="166" fontId="20" fillId="9" borderId="0" xfId="0" applyNumberFormat="1" applyFont="1" applyFill="1" applyAlignment="1">
      <alignment horizontal="center" vertical="top"/>
    </xf>
    <xf numFmtId="0" fontId="30" fillId="3" borderId="0" xfId="0" applyFont="1" applyFill="1" applyAlignment="1">
      <alignment horizontal="center" vertical="center" wrapText="1"/>
    </xf>
    <xf numFmtId="0" fontId="29" fillId="3" borderId="0" xfId="0" applyFont="1" applyFill="1" applyAlignment="1">
      <alignment horizontal="right" vertical="center" wrapText="1"/>
    </xf>
    <xf numFmtId="0" fontId="21" fillId="8" borderId="1" xfId="0" applyFont="1" applyFill="1" applyBorder="1" applyAlignment="1">
      <alignment horizontal="center" vertical="center"/>
    </xf>
    <xf numFmtId="166" fontId="20" fillId="9" borderId="11" xfId="0" applyNumberFormat="1" applyFont="1" applyFill="1" applyBorder="1" applyAlignment="1">
      <alignment horizontal="left"/>
    </xf>
    <xf numFmtId="166" fontId="20" fillId="9" borderId="21" xfId="0" applyNumberFormat="1" applyFont="1" applyFill="1" applyBorder="1" applyAlignment="1">
      <alignment horizontal="left"/>
    </xf>
    <xf numFmtId="166" fontId="20" fillId="9" borderId="17" xfId="0" applyNumberFormat="1" applyFont="1" applyFill="1" applyBorder="1" applyAlignment="1">
      <alignment horizontal="left"/>
    </xf>
    <xf numFmtId="0" fontId="20" fillId="9" borderId="11" xfId="0" applyFont="1" applyFill="1" applyBorder="1" applyAlignment="1">
      <alignment horizontal="left"/>
    </xf>
    <xf numFmtId="0" fontId="20" fillId="9" borderId="21" xfId="0" applyFont="1" applyFill="1" applyBorder="1" applyAlignment="1">
      <alignment horizontal="left"/>
    </xf>
    <xf numFmtId="0" fontId="20" fillId="9" borderId="17" xfId="0" applyFont="1" applyFill="1" applyBorder="1" applyAlignment="1">
      <alignment horizontal="left"/>
    </xf>
    <xf numFmtId="167" fontId="24" fillId="3" borderId="11" xfId="0" applyNumberFormat="1" applyFont="1" applyFill="1" applyBorder="1" applyAlignment="1">
      <alignment horizontal="center"/>
    </xf>
    <xf numFmtId="167" fontId="24" fillId="3" borderId="17" xfId="0" applyNumberFormat="1" applyFont="1" applyFill="1" applyBorder="1" applyAlignment="1">
      <alignment horizontal="center"/>
    </xf>
    <xf numFmtId="167" fontId="24" fillId="3" borderId="1" xfId="0" applyNumberFormat="1" applyFont="1" applyFill="1" applyBorder="1" applyAlignment="1" applyProtection="1">
      <alignment horizontal="center"/>
      <protection hidden="1"/>
    </xf>
    <xf numFmtId="0" fontId="16" fillId="3" borderId="0" xfId="0" applyFont="1" applyFill="1" applyAlignment="1">
      <alignment horizontal="center"/>
    </xf>
    <xf numFmtId="0" fontId="20" fillId="9" borderId="11" xfId="0" applyFont="1" applyFill="1" applyBorder="1" applyAlignment="1">
      <alignment horizontal="center"/>
    </xf>
    <xf numFmtId="0" fontId="20" fillId="9" borderId="17" xfId="0" applyFont="1" applyFill="1" applyBorder="1" applyAlignment="1">
      <alignment horizontal="center"/>
    </xf>
    <xf numFmtId="0" fontId="25" fillId="3" borderId="0" xfId="0" applyFont="1" applyFill="1" applyAlignment="1" applyProtection="1">
      <alignment horizontal="left"/>
      <protection hidden="1"/>
    </xf>
    <xf numFmtId="167" fontId="24" fillId="3" borderId="11" xfId="0" applyNumberFormat="1" applyFont="1" applyFill="1" applyBorder="1" applyAlignment="1" applyProtection="1">
      <alignment horizontal="center"/>
      <protection hidden="1"/>
    </xf>
    <xf numFmtId="167" fontId="24" fillId="3" borderId="17" xfId="0" applyNumberFormat="1" applyFont="1" applyFill="1" applyBorder="1" applyAlignment="1" applyProtection="1">
      <alignment horizontal="center"/>
      <protection hidden="1"/>
    </xf>
    <xf numFmtId="0" fontId="25" fillId="3" borderId="0" xfId="0" applyFont="1" applyFill="1" applyAlignment="1" applyProtection="1">
      <alignment horizontal="left" vertical="center" wrapText="1"/>
      <protection hidden="1"/>
    </xf>
    <xf numFmtId="0" fontId="25" fillId="3" borderId="0" xfId="0" applyFont="1" applyFill="1" applyAlignment="1" applyProtection="1">
      <alignment horizontal="left" wrapText="1"/>
      <protection hidden="1"/>
    </xf>
    <xf numFmtId="0" fontId="25" fillId="10" borderId="0" xfId="0" applyFont="1" applyFill="1" applyAlignment="1">
      <alignment horizontal="left"/>
    </xf>
    <xf numFmtId="0" fontId="24" fillId="10" borderId="0" xfId="0" applyFont="1" applyFill="1" applyAlignment="1">
      <alignment horizontal="left"/>
    </xf>
    <xf numFmtId="0" fontId="27" fillId="10" borderId="0" xfId="0" applyFont="1" applyFill="1" applyAlignment="1">
      <alignment horizontal="left"/>
    </xf>
    <xf numFmtId="0" fontId="27" fillId="3" borderId="0" xfId="0" applyFont="1" applyFill="1" applyAlignment="1">
      <alignment horizontal="left"/>
    </xf>
    <xf numFmtId="0" fontId="15" fillId="3" borderId="0" xfId="0" applyFont="1" applyFill="1" applyAlignment="1">
      <alignment horizontal="left"/>
    </xf>
    <xf numFmtId="0" fontId="32" fillId="10" borderId="0" xfId="0" applyFont="1" applyFill="1" applyAlignment="1">
      <alignment horizontal="right"/>
    </xf>
    <xf numFmtId="0" fontId="22" fillId="3" borderId="0" xfId="0" applyFont="1" applyFill="1" applyAlignment="1">
      <alignment horizontal="justify" vertical="center" wrapText="1"/>
    </xf>
    <xf numFmtId="0" fontId="20" fillId="9" borderId="1" xfId="0" applyFont="1" applyFill="1" applyBorder="1"/>
    <xf numFmtId="175" fontId="24" fillId="3" borderId="1" xfId="0" applyNumberFormat="1" applyFont="1" applyFill="1" applyBorder="1" applyAlignment="1" applyProtection="1">
      <alignment horizontal="center"/>
      <protection hidden="1"/>
    </xf>
    <xf numFmtId="0" fontId="24" fillId="3" borderId="0" xfId="0" applyFont="1" applyFill="1" applyAlignment="1">
      <alignment horizontal="left" vertical="center" wrapText="1"/>
    </xf>
    <xf numFmtId="175" fontId="24" fillId="11" borderId="0" xfId="0" applyNumberFormat="1" applyFont="1" applyFill="1" applyAlignment="1" applyProtection="1">
      <alignment horizontal="center"/>
      <protection hidden="1"/>
    </xf>
    <xf numFmtId="166" fontId="21" fillId="8" borderId="11" xfId="0" applyNumberFormat="1" applyFont="1" applyFill="1" applyBorder="1" applyAlignment="1">
      <alignment horizontal="center" vertical="center"/>
    </xf>
    <xf numFmtId="166" fontId="21" fillId="8" borderId="21" xfId="0" applyNumberFormat="1" applyFont="1" applyFill="1" applyBorder="1" applyAlignment="1">
      <alignment horizontal="center" vertical="center"/>
    </xf>
    <xf numFmtId="166" fontId="21" fillId="8" borderId="17" xfId="0" applyNumberFormat="1" applyFont="1" applyFill="1" applyBorder="1" applyAlignment="1">
      <alignment horizontal="center" vertical="center"/>
    </xf>
    <xf numFmtId="0" fontId="20" fillId="9" borderId="1" xfId="0" applyFont="1" applyFill="1" applyBorder="1" applyAlignment="1">
      <alignment horizontal="left"/>
    </xf>
    <xf numFmtId="0" fontId="24" fillId="3" borderId="0" xfId="0" applyFont="1" applyFill="1" applyAlignment="1">
      <alignment horizontal="left"/>
    </xf>
    <xf numFmtId="0" fontId="20" fillId="11" borderId="0" xfId="0" applyFont="1" applyFill="1" applyAlignment="1">
      <alignment horizontal="center" wrapText="1"/>
    </xf>
    <xf numFmtId="0" fontId="20" fillId="9" borderId="1" xfId="0" applyFont="1" applyFill="1" applyBorder="1" applyAlignment="1">
      <alignment horizontal="center" vertical="center" wrapText="1"/>
    </xf>
    <xf numFmtId="0" fontId="15" fillId="3" borderId="0" xfId="0" applyFont="1" applyFill="1" applyAlignment="1">
      <alignment horizontal="center"/>
    </xf>
    <xf numFmtId="0" fontId="24" fillId="3" borderId="11" xfId="0" applyFont="1" applyFill="1" applyBorder="1" applyAlignment="1" applyProtection="1">
      <alignment horizontal="left" vertical="center" wrapText="1"/>
      <protection locked="0"/>
    </xf>
    <xf numFmtId="0" fontId="24" fillId="3" borderId="21" xfId="0" applyFont="1" applyFill="1" applyBorder="1" applyAlignment="1" applyProtection="1">
      <alignment horizontal="left" vertical="center" wrapText="1"/>
      <protection locked="0"/>
    </xf>
    <xf numFmtId="0" fontId="24" fillId="3" borderId="17" xfId="0" applyFont="1" applyFill="1" applyBorder="1" applyAlignment="1" applyProtection="1">
      <alignment horizontal="left" vertical="center" wrapText="1"/>
      <protection locked="0"/>
    </xf>
    <xf numFmtId="173" fontId="20" fillId="9" borderId="1" xfId="0" applyNumberFormat="1" applyFont="1" applyFill="1" applyBorder="1" applyAlignment="1">
      <alignment horizontal="center" vertical="center" wrapText="1"/>
    </xf>
    <xf numFmtId="175" fontId="20" fillId="9" borderId="1" xfId="3" applyNumberFormat="1" applyFont="1" applyFill="1" applyBorder="1" applyAlignment="1">
      <alignment horizontal="left" vertical="center" wrapText="1"/>
    </xf>
    <xf numFmtId="0" fontId="31" fillId="3" borderId="0" xfId="0" applyFont="1" applyFill="1" applyAlignment="1">
      <alignment horizontal="right" vertical="center" wrapText="1"/>
    </xf>
    <xf numFmtId="0" fontId="5" fillId="12" borderId="23" xfId="0" applyFont="1" applyFill="1" applyBorder="1" applyAlignment="1" applyProtection="1">
      <alignment horizontal="center" vertical="center"/>
      <protection locked="0"/>
    </xf>
    <xf numFmtId="0" fontId="5" fillId="12" borderId="10" xfId="0" applyFont="1" applyFill="1" applyBorder="1" applyAlignment="1" applyProtection="1">
      <alignment horizontal="center" vertical="center"/>
      <protection locked="0"/>
    </xf>
    <xf numFmtId="0" fontId="5" fillId="12" borderId="22" xfId="0" applyFont="1" applyFill="1" applyBorder="1" applyAlignment="1" applyProtection="1">
      <alignment horizontal="center" vertical="center"/>
      <protection locked="0"/>
    </xf>
    <xf numFmtId="0" fontId="5" fillId="3" borderId="23" xfId="0" applyFont="1" applyFill="1" applyBorder="1" applyAlignment="1">
      <alignment horizontal="center" vertical="center"/>
    </xf>
    <xf numFmtId="0" fontId="5" fillId="3" borderId="10" xfId="0" applyFont="1" applyFill="1" applyBorder="1" applyAlignment="1">
      <alignment horizontal="center" vertical="center"/>
    </xf>
    <xf numFmtId="0" fontId="5" fillId="3" borderId="22" xfId="0" applyFont="1" applyFill="1" applyBorder="1" applyAlignment="1">
      <alignment horizontal="center" vertical="center"/>
    </xf>
    <xf numFmtId="0" fontId="5" fillId="3" borderId="0" xfId="0" applyFont="1" applyFill="1" applyAlignment="1">
      <alignment horizontal="left" wrapText="1"/>
    </xf>
    <xf numFmtId="0" fontId="5" fillId="3" borderId="0" xfId="0" applyFont="1" applyFill="1" applyAlignment="1">
      <alignment horizontal="left" vertical="center" wrapText="1"/>
    </xf>
    <xf numFmtId="0" fontId="5" fillId="3" borderId="2" xfId="0" applyFont="1" applyFill="1" applyBorder="1" applyAlignment="1">
      <alignment horizontal="left" wrapText="1"/>
    </xf>
    <xf numFmtId="0" fontId="5" fillId="3" borderId="3" xfId="0" applyFont="1" applyFill="1" applyBorder="1" applyAlignment="1">
      <alignment horizontal="left" wrapText="1"/>
    </xf>
    <xf numFmtId="0" fontId="5" fillId="3" borderId="5" xfId="0" applyFont="1" applyFill="1" applyBorder="1" applyAlignment="1">
      <alignment horizontal="left" wrapText="1"/>
    </xf>
    <xf numFmtId="0" fontId="5" fillId="3" borderId="4" xfId="0" applyFont="1" applyFill="1" applyBorder="1" applyAlignment="1">
      <alignment horizontal="left" wrapText="1"/>
    </xf>
    <xf numFmtId="0" fontId="5" fillId="3" borderId="6" xfId="0" applyFont="1" applyFill="1" applyBorder="1" applyAlignment="1">
      <alignment horizontal="left" wrapText="1"/>
    </xf>
    <xf numFmtId="0" fontId="5" fillId="3" borderId="7" xfId="0" applyFont="1" applyFill="1" applyBorder="1" applyAlignment="1">
      <alignment horizontal="left" wrapText="1"/>
    </xf>
    <xf numFmtId="0" fontId="5" fillId="3" borderId="8" xfId="0" applyFont="1" applyFill="1" applyBorder="1" applyAlignment="1">
      <alignment horizontal="left" wrapText="1"/>
    </xf>
    <xf numFmtId="0" fontId="5" fillId="3" borderId="9" xfId="0" applyFont="1" applyFill="1" applyBorder="1" applyAlignment="1">
      <alignment horizontal="left" wrapText="1"/>
    </xf>
    <xf numFmtId="0" fontId="4" fillId="0" borderId="0" xfId="0" applyFont="1" applyAlignment="1">
      <alignment horizontal="center"/>
    </xf>
    <xf numFmtId="0" fontId="5" fillId="3" borderId="5" xfId="0" applyFont="1" applyFill="1" applyBorder="1" applyAlignment="1">
      <alignment horizontal="left" vertical="top" wrapText="1"/>
    </xf>
    <xf numFmtId="0" fontId="5" fillId="3" borderId="0" xfId="0" applyFont="1" applyFill="1" applyAlignment="1">
      <alignment horizontal="left" vertical="top" wrapText="1"/>
    </xf>
    <xf numFmtId="0" fontId="5" fillId="3" borderId="7" xfId="0" applyFont="1" applyFill="1" applyBorder="1" applyAlignment="1">
      <alignment horizontal="left" vertical="top" wrapText="1"/>
    </xf>
    <xf numFmtId="0" fontId="5" fillId="3" borderId="8" xfId="0" applyFont="1" applyFill="1" applyBorder="1" applyAlignment="1">
      <alignment horizontal="left" vertical="top" wrapText="1"/>
    </xf>
    <xf numFmtId="0" fontId="0" fillId="3" borderId="8" xfId="0" applyFill="1" applyBorder="1" applyAlignment="1">
      <alignment horizontal="center"/>
    </xf>
    <xf numFmtId="0" fontId="0" fillId="3" borderId="0" xfId="0" applyFill="1" applyAlignment="1">
      <alignment horizontal="left"/>
    </xf>
    <xf numFmtId="14" fontId="13" fillId="3" borderId="8" xfId="0" applyNumberFormat="1" applyFont="1" applyFill="1" applyBorder="1" applyAlignment="1">
      <alignment horizontal="center"/>
    </xf>
    <xf numFmtId="0" fontId="13" fillId="3" borderId="8" xfId="0" applyFont="1" applyFill="1" applyBorder="1" applyAlignment="1">
      <alignment horizontal="center"/>
    </xf>
    <xf numFmtId="0" fontId="23" fillId="3" borderId="0" xfId="0" applyFont="1" applyFill="1" applyAlignment="1">
      <alignment horizontal="center" vertical="center" wrapText="1"/>
    </xf>
    <xf numFmtId="3" fontId="37" fillId="0" borderId="0" xfId="0" applyNumberFormat="1" applyFont="1"/>
    <xf numFmtId="4" fontId="37" fillId="0" borderId="0" xfId="0" applyNumberFormat="1" applyFont="1"/>
  </cellXfs>
  <cellStyles count="5">
    <cellStyle name="Hipervínculo" xfId="1" builtinId="8"/>
    <cellStyle name="Millares" xfId="2" builtinId="3"/>
    <cellStyle name="Moneda" xfId="3" builtinId="4"/>
    <cellStyle name="Normal" xfId="0" builtinId="0"/>
    <cellStyle name="Porcentaje" xfId="4" builtinId="5"/>
  </cellStyles>
  <dxfs count="5">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5</xdr:col>
      <xdr:colOff>390525</xdr:colOff>
      <xdr:row>0</xdr:row>
      <xdr:rowOff>19050</xdr:rowOff>
    </xdr:from>
    <xdr:to>
      <xdr:col>5</xdr:col>
      <xdr:colOff>952500</xdr:colOff>
      <xdr:row>3</xdr:row>
      <xdr:rowOff>22860</xdr:rowOff>
    </xdr:to>
    <xdr:pic macro="[0]!Macro3">
      <xdr:nvPicPr>
        <xdr:cNvPr id="2677" name="Picture 1">
          <a:extLst>
            <a:ext uri="{FF2B5EF4-FFF2-40B4-BE49-F238E27FC236}">
              <a16:creationId xmlns:a16="http://schemas.microsoft.com/office/drawing/2014/main" id="{B60D058F-DEE2-4AEE-8568-D5BCF7446C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81575" y="19050"/>
          <a:ext cx="561975" cy="685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0</xdr:col>
      <xdr:colOff>57150</xdr:colOff>
      <xdr:row>5</xdr:row>
      <xdr:rowOff>19050</xdr:rowOff>
    </xdr:from>
    <xdr:to>
      <xdr:col>2</xdr:col>
      <xdr:colOff>868680</xdr:colOff>
      <xdr:row>7</xdr:row>
      <xdr:rowOff>83820</xdr:rowOff>
    </xdr:to>
    <xdr:pic>
      <xdr:nvPicPr>
        <xdr:cNvPr id="2678" name="Imagen 3">
          <a:extLst>
            <a:ext uri="{FF2B5EF4-FFF2-40B4-BE49-F238E27FC236}">
              <a16:creationId xmlns:a16="http://schemas.microsoft.com/office/drawing/2014/main" id="{050F229D-559E-497A-950E-9407B4D6168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150" y="857250"/>
          <a:ext cx="1571625"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1038225</xdr:colOff>
      <xdr:row>0</xdr:row>
      <xdr:rowOff>9525</xdr:rowOff>
    </xdr:from>
    <xdr:to>
      <xdr:col>5</xdr:col>
      <xdr:colOff>276225</xdr:colOff>
      <xdr:row>3</xdr:row>
      <xdr:rowOff>104775</xdr:rowOff>
    </xdr:to>
    <xdr:pic macro="[0]!Macro5">
      <xdr:nvPicPr>
        <xdr:cNvPr id="5453" name="Picture 1">
          <a:extLst>
            <a:ext uri="{FF2B5EF4-FFF2-40B4-BE49-F238E27FC236}">
              <a16:creationId xmlns:a16="http://schemas.microsoft.com/office/drawing/2014/main" id="{82E068C9-DEF6-456E-B66E-79F01269BF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295900" y="9525"/>
          <a:ext cx="885825" cy="666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0</xdr:col>
      <xdr:colOff>66675</xdr:colOff>
      <xdr:row>5</xdr:row>
      <xdr:rowOff>19050</xdr:rowOff>
    </xdr:from>
    <xdr:to>
      <xdr:col>2</xdr:col>
      <xdr:colOff>800100</xdr:colOff>
      <xdr:row>8</xdr:row>
      <xdr:rowOff>47625</xdr:rowOff>
    </xdr:to>
    <xdr:pic>
      <xdr:nvPicPr>
        <xdr:cNvPr id="5454" name="Imagen 3">
          <a:extLst>
            <a:ext uri="{FF2B5EF4-FFF2-40B4-BE49-F238E27FC236}">
              <a16:creationId xmlns:a16="http://schemas.microsoft.com/office/drawing/2014/main" id="{FA75932F-94D5-4D4F-B7CB-D880902157B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6675" y="866775"/>
          <a:ext cx="1695450"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790575</xdr:colOff>
      <xdr:row>0</xdr:row>
      <xdr:rowOff>19050</xdr:rowOff>
    </xdr:from>
    <xdr:to>
      <xdr:col>6</xdr:col>
      <xdr:colOff>28575</xdr:colOff>
      <xdr:row>3</xdr:row>
      <xdr:rowOff>19050</xdr:rowOff>
    </xdr:to>
    <xdr:pic macro="[0]!Macro4">
      <xdr:nvPicPr>
        <xdr:cNvPr id="6477" name="Picture 1">
          <a:extLst>
            <a:ext uri="{FF2B5EF4-FFF2-40B4-BE49-F238E27FC236}">
              <a16:creationId xmlns:a16="http://schemas.microsoft.com/office/drawing/2014/main" id="{CD4F6E24-9F55-4C63-AD98-D4A5728A90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00" y="19050"/>
          <a:ext cx="885825" cy="685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0</xdr:col>
      <xdr:colOff>57150</xdr:colOff>
      <xdr:row>5</xdr:row>
      <xdr:rowOff>47625</xdr:rowOff>
    </xdr:from>
    <xdr:to>
      <xdr:col>2</xdr:col>
      <xdr:colOff>266700</xdr:colOff>
      <xdr:row>7</xdr:row>
      <xdr:rowOff>161925</xdr:rowOff>
    </xdr:to>
    <xdr:pic>
      <xdr:nvPicPr>
        <xdr:cNvPr id="6478" name="Imagen 3">
          <a:extLst>
            <a:ext uri="{FF2B5EF4-FFF2-40B4-BE49-F238E27FC236}">
              <a16:creationId xmlns:a16="http://schemas.microsoft.com/office/drawing/2014/main" id="{96C3F9BB-951C-4B57-9DAD-5EAA44AA616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150" y="857250"/>
          <a:ext cx="1438275"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15</xdr:row>
      <xdr:rowOff>0</xdr:rowOff>
    </xdr:from>
    <xdr:to>
      <xdr:col>7</xdr:col>
      <xdr:colOff>209550</xdr:colOff>
      <xdr:row>35</xdr:row>
      <xdr:rowOff>47625</xdr:rowOff>
    </xdr:to>
    <xdr:pic>
      <xdr:nvPicPr>
        <xdr:cNvPr id="7301" name="Picture 1">
          <a:extLst>
            <a:ext uri="{FF2B5EF4-FFF2-40B4-BE49-F238E27FC236}">
              <a16:creationId xmlns:a16="http://schemas.microsoft.com/office/drawing/2014/main" id="{6587475B-F5BE-4C2B-839F-C71C317495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428875"/>
          <a:ext cx="5543550" cy="3286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Principal color">
  <a:themeElements>
    <a:clrScheme name="Principal color">
      <a:dk1>
        <a:sysClr val="windowText" lastClr="000000"/>
      </a:dk1>
      <a:lt1>
        <a:sysClr val="window" lastClr="FFFFFF"/>
      </a:lt1>
      <a:dk2>
        <a:srgbClr val="0091DA"/>
      </a:dk2>
      <a:lt2>
        <a:srgbClr val="19B9D7"/>
      </a:lt2>
      <a:accent1>
        <a:srgbClr val="4B4687"/>
      </a:accent1>
      <a:accent2>
        <a:srgbClr val="FF841C"/>
      </a:accent2>
      <a:accent3>
        <a:srgbClr val="FFD20F"/>
      </a:accent3>
      <a:accent4>
        <a:srgbClr val="00C19F"/>
      </a:accent4>
      <a:accent5>
        <a:srgbClr val="70478D"/>
      </a:accent5>
      <a:accent6>
        <a:srgbClr val="666666"/>
      </a:accent6>
      <a:hlink>
        <a:srgbClr val="0563C1"/>
      </a:hlink>
      <a:folHlink>
        <a:srgbClr val="0563C1"/>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4.bin"/><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customProperty" Target="../customProperty6.bin"/><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2" Type="http://schemas.openxmlformats.org/officeDocument/2006/relationships/customProperty" Target="../customProperty7.bin"/><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8.bin"/><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IV62"/>
  <sheetViews>
    <sheetView showGridLines="0" tabSelected="1" zoomScale="90" zoomScaleNormal="90" workbookViewId="0">
      <selection activeCell="AA13" sqref="AA13"/>
    </sheetView>
  </sheetViews>
  <sheetFormatPr baseColWidth="10" defaultColWidth="11.33203125" defaultRowHeight="16" x14ac:dyDescent="0.2"/>
  <cols>
    <col min="1" max="1" width="1.6640625" style="55" customWidth="1"/>
    <col min="2" max="2" width="9.6640625" style="55" customWidth="1"/>
    <col min="3" max="3" width="18.6640625" style="55" customWidth="1"/>
    <col min="4" max="4" width="20" style="55" customWidth="1"/>
    <col min="5" max="5" width="18.6640625" style="55" customWidth="1"/>
    <col min="6" max="6" width="20" style="55" customWidth="1"/>
    <col min="7" max="8" width="18.6640625" style="55" customWidth="1"/>
    <col min="9" max="9" width="19.6640625" style="55" customWidth="1"/>
    <col min="10" max="10" width="19.6640625" style="55" hidden="1" customWidth="1"/>
    <col min="11" max="11" width="66.6640625" style="55" hidden="1" customWidth="1"/>
    <col min="12" max="12" width="22.33203125" style="55" hidden="1" customWidth="1"/>
    <col min="13" max="13" width="23.6640625" style="55" customWidth="1"/>
    <col min="14" max="14" width="20.33203125" style="55" hidden="1" customWidth="1"/>
    <col min="15" max="15" width="16.33203125" style="55" hidden="1" customWidth="1"/>
    <col min="16" max="16" width="10.6640625" style="55" hidden="1" customWidth="1"/>
    <col min="17" max="17" width="3.33203125" style="55" customWidth="1"/>
    <col min="18" max="18" width="13.33203125" style="55" bestFit="1" customWidth="1"/>
    <col min="19" max="20" width="13.33203125" style="55" hidden="1" customWidth="1"/>
    <col min="21" max="21" width="11.33203125" style="55" hidden="1" customWidth="1"/>
    <col min="22" max="22" width="16.33203125" style="55" hidden="1" customWidth="1"/>
    <col min="23" max="25" width="11.33203125" style="55" hidden="1" customWidth="1"/>
    <col min="26" max="26" width="9.83203125" style="55" hidden="1" customWidth="1"/>
    <col min="27" max="16384" width="11.33203125" style="55"/>
  </cols>
  <sheetData>
    <row r="1" spans="1:256" ht="18" customHeight="1" x14ac:dyDescent="0.2">
      <c r="A1" s="254" t="s">
        <v>0</v>
      </c>
      <c r="B1" s="255"/>
      <c r="C1" s="255"/>
      <c r="D1" s="256"/>
      <c r="E1" s="139"/>
      <c r="F1" s="139"/>
      <c r="G1" s="46"/>
      <c r="H1" s="46"/>
      <c r="I1" s="46"/>
      <c r="J1" s="46"/>
      <c r="K1" s="126" t="s">
        <v>1</v>
      </c>
      <c r="Q1" s="126" t="s">
        <v>1</v>
      </c>
      <c r="IV1" s="55" t="s">
        <v>2</v>
      </c>
    </row>
    <row r="2" spans="1:256" ht="18" customHeight="1" x14ac:dyDescent="0.2">
      <c r="A2" s="141"/>
      <c r="B2" s="141"/>
      <c r="C2" s="141"/>
      <c r="D2" s="141"/>
      <c r="E2" s="139"/>
      <c r="F2" s="139"/>
      <c r="G2" s="46"/>
      <c r="H2" s="46"/>
      <c r="I2" s="46"/>
      <c r="J2" s="46"/>
      <c r="K2" s="126"/>
      <c r="Q2" s="126" t="s">
        <v>3</v>
      </c>
      <c r="IV2" s="55" t="s">
        <v>4</v>
      </c>
    </row>
    <row r="3" spans="1:256" ht="18" customHeight="1" x14ac:dyDescent="0.2">
      <c r="A3" s="141"/>
      <c r="B3" s="141"/>
      <c r="C3" s="141"/>
      <c r="D3" s="141"/>
      <c r="E3" s="139"/>
      <c r="F3" s="139"/>
      <c r="G3" s="46"/>
      <c r="H3" s="46"/>
      <c r="I3" s="46"/>
      <c r="J3" s="46"/>
      <c r="K3" s="126"/>
      <c r="Q3" s="126"/>
      <c r="IV3" s="55" t="s">
        <v>5</v>
      </c>
    </row>
    <row r="4" spans="1:256" ht="6" customHeight="1" thickBot="1" x14ac:dyDescent="0.25">
      <c r="IV4" s="55" t="s">
        <v>6</v>
      </c>
    </row>
    <row r="5" spans="1:256" ht="6" customHeight="1" x14ac:dyDescent="0.2">
      <c r="A5" s="56"/>
      <c r="B5" s="57"/>
      <c r="C5" s="57"/>
      <c r="D5" s="57"/>
      <c r="E5" s="57"/>
      <c r="F5" s="57"/>
      <c r="G5" s="57"/>
      <c r="H5" s="57"/>
      <c r="I5" s="57"/>
      <c r="J5" s="57"/>
      <c r="K5" s="57"/>
      <c r="L5" s="57"/>
      <c r="M5" s="57"/>
      <c r="N5" s="57"/>
      <c r="O5" s="57"/>
      <c r="P5" s="57"/>
      <c r="Q5" s="58"/>
      <c r="IV5" s="55" t="s">
        <v>7</v>
      </c>
    </row>
    <row r="6" spans="1:256" s="62" customFormat="1" ht="18" customHeight="1" x14ac:dyDescent="0.15">
      <c r="A6" s="59"/>
      <c r="B6" s="259" t="s">
        <v>208</v>
      </c>
      <c r="C6" s="259"/>
      <c r="D6" s="259"/>
      <c r="E6" s="259"/>
      <c r="F6" s="259"/>
      <c r="G6" s="259"/>
      <c r="H6" s="259"/>
      <c r="I6" s="260" t="s">
        <v>207</v>
      </c>
      <c r="J6" s="261"/>
      <c r="K6" s="261"/>
      <c r="L6" s="261"/>
      <c r="M6" s="261"/>
      <c r="N6" s="144"/>
      <c r="O6" s="144"/>
      <c r="P6" s="60"/>
      <c r="Q6" s="61"/>
    </row>
    <row r="7" spans="1:256" s="62" customFormat="1" ht="18" customHeight="1" x14ac:dyDescent="0.15">
      <c r="A7" s="59"/>
      <c r="B7" s="259" t="s">
        <v>209</v>
      </c>
      <c r="C7" s="259"/>
      <c r="D7" s="259"/>
      <c r="E7" s="259"/>
      <c r="F7" s="259"/>
      <c r="G7" s="259"/>
      <c r="H7" s="259"/>
      <c r="I7" s="144"/>
      <c r="J7" s="144"/>
      <c r="K7" s="144"/>
      <c r="L7" s="144"/>
      <c r="M7" s="144"/>
      <c r="N7" s="144"/>
      <c r="O7" s="144"/>
      <c r="P7" s="60"/>
      <c r="Q7" s="61"/>
    </row>
    <row r="8" spans="1:256" s="62" customFormat="1" ht="18" customHeight="1" x14ac:dyDescent="0.15">
      <c r="A8" s="59"/>
      <c r="B8"/>
      <c r="C8" s="138"/>
      <c r="D8" s="138"/>
      <c r="E8" s="138"/>
      <c r="F8" s="138"/>
      <c r="G8" s="138"/>
      <c r="H8" s="138"/>
      <c r="I8" s="138"/>
      <c r="J8" s="138"/>
      <c r="K8" s="138"/>
      <c r="L8" s="138"/>
      <c r="M8" s="138"/>
      <c r="N8" s="138"/>
      <c r="O8" s="138"/>
      <c r="P8" s="60"/>
      <c r="Q8" s="61"/>
    </row>
    <row r="9" spans="1:256" s="62" customFormat="1" ht="18" customHeight="1" x14ac:dyDescent="0.2">
      <c r="A9" s="59"/>
      <c r="B9" s="138"/>
      <c r="C9" s="138"/>
      <c r="D9" s="138"/>
      <c r="E9" s="149" t="s">
        <v>8</v>
      </c>
      <c r="F9" s="263"/>
      <c r="G9" s="264"/>
      <c r="H9" s="148" t="s">
        <v>9</v>
      </c>
      <c r="I9" s="164">
        <f ca="1">TODAY()</f>
        <v>45839</v>
      </c>
      <c r="J9" s="138"/>
      <c r="K9" s="138"/>
      <c r="L9" s="138"/>
      <c r="M9" s="138"/>
      <c r="N9" s="138"/>
      <c r="O9" s="138"/>
      <c r="P9" s="60"/>
      <c r="Q9" s="61"/>
    </row>
    <row r="10" spans="1:256" s="62" customFormat="1" ht="18" customHeight="1" x14ac:dyDescent="0.2">
      <c r="A10" s="59"/>
      <c r="B10" s="138"/>
      <c r="C10" s="138"/>
      <c r="D10" s="138"/>
      <c r="E10" s="138"/>
      <c r="F10" s="60"/>
      <c r="G10" s="60"/>
      <c r="H10" s="149" t="s">
        <v>10</v>
      </c>
      <c r="I10" s="191">
        <f>IF(M10=UF!C3,UF!B3,UF!B4)</f>
        <v>39290.61</v>
      </c>
      <c r="L10" s="63"/>
      <c r="M10" s="251" t="s">
        <v>41</v>
      </c>
      <c r="N10" s="60"/>
      <c r="O10" s="60"/>
      <c r="P10" s="64"/>
      <c r="Q10" s="61"/>
    </row>
    <row r="11" spans="1:256" ht="6" customHeight="1" x14ac:dyDescent="0.2">
      <c r="A11" s="65"/>
      <c r="B11" s="66"/>
      <c r="C11" s="136"/>
      <c r="D11" s="136"/>
      <c r="E11" s="136"/>
      <c r="F11" s="136"/>
      <c r="G11" s="67"/>
      <c r="H11" s="67"/>
      <c r="I11" s="67"/>
      <c r="J11" s="68"/>
      <c r="K11" s="68"/>
      <c r="L11" s="68"/>
      <c r="M11" s="68"/>
      <c r="N11" s="68"/>
      <c r="O11" s="69"/>
      <c r="P11" s="67"/>
      <c r="Q11" s="70"/>
    </row>
    <row r="12" spans="1:256" ht="18" customHeight="1" x14ac:dyDescent="0.2">
      <c r="A12" s="65"/>
      <c r="B12" s="66"/>
      <c r="C12" s="136"/>
      <c r="D12" s="265" t="s">
        <v>12</v>
      </c>
      <c r="E12" s="265"/>
      <c r="F12" s="265" t="s">
        <v>13</v>
      </c>
      <c r="G12" s="265"/>
      <c r="H12" s="244"/>
      <c r="I12" s="71"/>
      <c r="J12" s="71"/>
      <c r="K12" s="71"/>
      <c r="L12" s="71"/>
      <c r="M12" s="71"/>
      <c r="N12" s="71"/>
      <c r="O12" s="68"/>
      <c r="P12" s="67"/>
      <c r="Q12" s="70"/>
    </row>
    <row r="13" spans="1:256" s="75" customFormat="1" ht="85" x14ac:dyDescent="0.15">
      <c r="A13" s="72"/>
      <c r="B13" s="246" t="s">
        <v>14</v>
      </c>
      <c r="C13" s="246" t="s">
        <v>15</v>
      </c>
      <c r="D13" s="246" t="s">
        <v>16</v>
      </c>
      <c r="E13" s="246" t="s">
        <v>17</v>
      </c>
      <c r="F13" s="246" t="s">
        <v>16</v>
      </c>
      <c r="G13" s="246" t="s">
        <v>17</v>
      </c>
      <c r="H13" s="246" t="s">
        <v>18</v>
      </c>
      <c r="I13" s="246" t="s">
        <v>19</v>
      </c>
      <c r="J13" s="246" t="s">
        <v>20</v>
      </c>
      <c r="K13" s="246" t="s">
        <v>21</v>
      </c>
      <c r="L13" s="246" t="s">
        <v>22</v>
      </c>
      <c r="M13" s="246" t="s">
        <v>23</v>
      </c>
      <c r="N13" s="128" t="s">
        <v>24</v>
      </c>
      <c r="O13" s="73"/>
      <c r="P13" s="138" t="s">
        <v>25</v>
      </c>
      <c r="Q13" s="74"/>
      <c r="S13" s="76"/>
      <c r="T13" s="76"/>
      <c r="V13" s="62" t="s">
        <v>26</v>
      </c>
      <c r="W13" s="62" t="s">
        <v>27</v>
      </c>
      <c r="X13" s="62" t="s">
        <v>28</v>
      </c>
      <c r="Y13" s="62" t="s">
        <v>29</v>
      </c>
      <c r="Z13" s="62" t="s">
        <v>30</v>
      </c>
      <c r="AA13" s="62"/>
      <c r="AB13" s="62"/>
      <c r="AC13" s="62"/>
    </row>
    <row r="14" spans="1:256" ht="18" customHeight="1" x14ac:dyDescent="0.2">
      <c r="A14" s="65"/>
      <c r="B14" s="150">
        <v>1</v>
      </c>
      <c r="C14" s="151" t="s">
        <v>31</v>
      </c>
      <c r="D14" s="152">
        <v>10000000</v>
      </c>
      <c r="E14" s="153">
        <f>+Liquidacion!C19</f>
        <v>2059546.92</v>
      </c>
      <c r="F14" s="154">
        <v>2000000</v>
      </c>
      <c r="G14" s="153">
        <f>+Liquidacion!C41</f>
        <v>52521.94</v>
      </c>
      <c r="H14" s="155">
        <v>1</v>
      </c>
      <c r="I14" s="156">
        <v>61769</v>
      </c>
      <c r="J14" s="157">
        <f>(D14+F14)*Impuesto!J54/I14</f>
        <v>194.27220774174748</v>
      </c>
      <c r="K14" s="157">
        <f>J14</f>
        <v>194.27220774174748</v>
      </c>
      <c r="L14" s="157">
        <f>(E14+G14)*Impuesto!J54/I14</f>
        <v>34.193023361232981</v>
      </c>
      <c r="M14" s="158">
        <f>IF(S14=VLOOKUP(S14,Impuesto!I20,1,FALSE),Impuesto!J20," ")</f>
        <v>0.35</v>
      </c>
      <c r="N14" s="78">
        <f t="shared" ref="N14:N25" si="0">pagotax(K14*I14,I14)/I14</f>
        <v>47.038883096698981</v>
      </c>
      <c r="O14" s="67"/>
      <c r="P14" s="79">
        <f>H14*$I$10/I14</f>
        <v>0.63608946235166508</v>
      </c>
      <c r="Q14" s="70"/>
      <c r="S14" s="80">
        <f>+D14+F14</f>
        <v>12000000</v>
      </c>
      <c r="T14" s="81"/>
      <c r="V14" s="82"/>
      <c r="W14" s="83"/>
      <c r="Y14" s="82"/>
      <c r="Z14" s="82"/>
    </row>
    <row r="15" spans="1:256" ht="18" customHeight="1" x14ac:dyDescent="0.2">
      <c r="A15" s="65"/>
      <c r="B15" s="159">
        <v>2</v>
      </c>
      <c r="C15" s="160" t="s">
        <v>32</v>
      </c>
      <c r="D15" s="152">
        <v>5000000</v>
      </c>
      <c r="E15" s="161">
        <f>+Liquidacion!D19</f>
        <v>459832.43999999994</v>
      </c>
      <c r="F15" s="154">
        <v>2000000</v>
      </c>
      <c r="G15" s="161">
        <f>+Liquidacion!D41</f>
        <v>52200.039999999994</v>
      </c>
      <c r="H15" s="162">
        <f>H14</f>
        <v>1</v>
      </c>
      <c r="I15" s="156">
        <v>61954</v>
      </c>
      <c r="J15" s="163">
        <f>(D15+F15)*Impuesto!J55/I15</f>
        <v>112.98705491170868</v>
      </c>
      <c r="K15" s="157">
        <f t="shared" ref="K15:K25" si="1">J15</f>
        <v>112.98705491170868</v>
      </c>
      <c r="L15" s="163">
        <f>(E15+G15)*Impuesto!J55/I15</f>
        <v>8.264720276334053</v>
      </c>
      <c r="M15" s="158">
        <f>IF(S15=VLOOKUP(S15,Impuesto!I21,1,FALSE),Impuesto!J21," ")</f>
        <v>0.23</v>
      </c>
      <c r="N15" s="78">
        <f t="shared" si="0"/>
        <v>16.548064693159443</v>
      </c>
      <c r="O15" s="67"/>
      <c r="P15" s="79">
        <f t="shared" ref="P15:P25" si="2">H15*$I$10/I15</f>
        <v>0.63419004422636149</v>
      </c>
      <c r="Q15" s="70"/>
      <c r="R15" s="84"/>
      <c r="S15" s="80">
        <f>+D15+F15</f>
        <v>7000000</v>
      </c>
      <c r="T15" s="81"/>
      <c r="V15" s="82"/>
      <c r="W15" s="83"/>
      <c r="Y15" s="82"/>
      <c r="Z15" s="82"/>
    </row>
    <row r="16" spans="1:256" ht="18" customHeight="1" x14ac:dyDescent="0.2">
      <c r="A16" s="65"/>
      <c r="B16" s="159">
        <v>3</v>
      </c>
      <c r="C16" s="160" t="s">
        <v>33</v>
      </c>
      <c r="D16" s="152">
        <v>5000000</v>
      </c>
      <c r="E16" s="161">
        <f>+Liquidacion!E19</f>
        <v>454307</v>
      </c>
      <c r="F16" s="154">
        <v>2000000</v>
      </c>
      <c r="G16" s="161">
        <f>+Liquidacion!E41</f>
        <v>51337</v>
      </c>
      <c r="H16" s="162">
        <f t="shared" ref="H16:H25" si="3">H15</f>
        <v>1</v>
      </c>
      <c r="I16" s="156">
        <v>62450</v>
      </c>
      <c r="J16" s="163">
        <f>(D16+F16)*Impuesto!J56/I16</f>
        <v>112.08967173738991</v>
      </c>
      <c r="K16" s="157">
        <f t="shared" si="1"/>
        <v>112.08967173738991</v>
      </c>
      <c r="L16" s="163">
        <f>(E16+G16)*Impuesto!J56/I16</f>
        <v>8.0967814251401116</v>
      </c>
      <c r="M16" s="158">
        <f>IF(S16=VLOOKUP(S16,Impuesto!I22,1,FALSE),Impuesto!J22," ")</f>
        <v>0.23</v>
      </c>
      <c r="N16" s="78">
        <f t="shared" si="0"/>
        <v>16.275260208166532</v>
      </c>
      <c r="O16" s="67"/>
      <c r="P16" s="79">
        <f>H16*$I$10/I16</f>
        <v>0.62915308246597279</v>
      </c>
      <c r="Q16" s="70"/>
      <c r="S16" s="80">
        <f t="shared" ref="S16:S25" si="4">+D16+F16</f>
        <v>7000000</v>
      </c>
      <c r="T16" s="81"/>
      <c r="V16" s="82">
        <f t="shared" ref="V16:V25" si="5">+(D16+F16)/I16</f>
        <v>112.08967173738991</v>
      </c>
      <c r="W16" s="83">
        <f>IF(V16&lt;=Impuesto!B26,Impuesto!$C$24,IF(V16&lt;=Impuesto!B27,Impuesto!$C$25,IF(V16&lt;=Impuesto!B28,Impuesto!$C$26,IF(V16&lt;=Impuesto!B29,Impuesto!$C$27,IF(V16&lt;=Impuesto!B30,Impuesto!$C$28,IF(V16&lt;=Impuesto!B31,Impuesto!$C$29,IF(V16&lt;=Impuesto!B32,Impuesto!$C$30,Impuesto!$C$31)))))))*V16</f>
        <v>15.132105684547639</v>
      </c>
      <c r="X16" s="55">
        <f>IF(V16&lt;=Impuesto!B26,Impuesto!$D$24,IF(V16&lt;=Impuesto!B27,Impuesto!$D$25,IF(V16&lt;=Impuesto!B28,Impuesto!$D$26,IF(V16&lt;=Impuesto!B29,Impuesto!$D$27,IF(V16&lt;=Impuesto!B30,Impuesto!$D$28,IF(V16&lt;=Impuesto!B31,Impuesto!$D$29,IF(V16&lt;=Impuesto!B32,Impuesto!$D$30,Impuesto!$D$31)))))))</f>
        <v>4.49</v>
      </c>
      <c r="Y16" s="82">
        <f>(W16-X16)*Impuesto!J56</f>
        <v>10.642105684547639</v>
      </c>
      <c r="Z16" s="82">
        <f t="shared" ref="Z16:Z25" si="6">+L16-Y16</f>
        <v>-2.5453242594075274</v>
      </c>
    </row>
    <row r="17" spans="1:33" ht="18" customHeight="1" x14ac:dyDescent="0.2">
      <c r="A17" s="65"/>
      <c r="B17" s="159">
        <v>4</v>
      </c>
      <c r="C17" s="160" t="s">
        <v>11</v>
      </c>
      <c r="D17" s="152">
        <v>5000000</v>
      </c>
      <c r="E17" s="161">
        <f>+Liquidacion!F19</f>
        <v>454997.67999999993</v>
      </c>
      <c r="F17" s="154">
        <v>2000000</v>
      </c>
      <c r="G17" s="161">
        <f>+Liquidacion!F41</f>
        <v>51444.880000000005</v>
      </c>
      <c r="H17" s="162">
        <f t="shared" si="3"/>
        <v>1</v>
      </c>
      <c r="I17" s="156">
        <v>62388</v>
      </c>
      <c r="J17" s="163">
        <f>(D17+F17)*Impuesto!J57/I17</f>
        <v>112.20106430723857</v>
      </c>
      <c r="K17" s="157">
        <f>J17</f>
        <v>112.20106430723857</v>
      </c>
      <c r="L17" s="163">
        <f>(E17+G17)*Impuesto!J57/I17</f>
        <v>8.1176277489260737</v>
      </c>
      <c r="M17" s="158">
        <f>IF(S17=VLOOKUP(S17,Impuesto!I23,1,FALSE),Impuesto!J23," ")</f>
        <v>0.23</v>
      </c>
      <c r="N17" s="78">
        <f t="shared" si="0"/>
        <v>16.309123549400525</v>
      </c>
      <c r="O17" s="67"/>
      <c r="P17" s="79">
        <f t="shared" si="2"/>
        <v>0.62977832275437584</v>
      </c>
      <c r="Q17" s="70"/>
      <c r="S17" s="80">
        <f t="shared" si="4"/>
        <v>7000000</v>
      </c>
      <c r="T17" s="81"/>
      <c r="V17" s="82">
        <f t="shared" si="5"/>
        <v>112.20106430723857</v>
      </c>
      <c r="W17" s="83">
        <f>IF(V17&lt;=Impuesto!B27,Impuesto!$C$24,IF(V17&lt;=Impuesto!B28,Impuesto!$C$25,IF(V17&lt;=Impuesto!B29,Impuesto!$C$26,IF(V17&lt;=Impuesto!B30,Impuesto!$C$27,IF(V17&lt;=Impuesto!B31,Impuesto!$C$28,IF(V17&lt;=Impuesto!B32,Impuesto!$C$29,IF(V17&lt;=Impuesto!B33,Impuesto!$C$30,Impuesto!$C$31)))))))*V17</f>
        <v>8.9760851445790859</v>
      </c>
      <c r="X17" s="55">
        <f>IF(V17&lt;=Impuesto!B27,Impuesto!$D$24,IF(V17&lt;=Impuesto!B28,Impuesto!$D$25,IF(V17&lt;=Impuesto!B29,Impuesto!$D$26,IF(V17&lt;=Impuesto!B30,Impuesto!$D$27,IF(V17&lt;=Impuesto!B31,Impuesto!$D$28,IF(V17&lt;=Impuesto!B32,Impuesto!$D$29,IF(V17&lt;=Impuesto!B33,Impuesto!$D$30,Impuesto!$D$31)))))))</f>
        <v>1.74</v>
      </c>
      <c r="Y17" s="82">
        <f>(W17-X17)*Impuesto!J57</f>
        <v>7.2360851445790857</v>
      </c>
      <c r="Z17" s="82">
        <f t="shared" si="6"/>
        <v>0.88154260434698806</v>
      </c>
    </row>
    <row r="18" spans="1:33" ht="18" customHeight="1" x14ac:dyDescent="0.2">
      <c r="A18" s="65"/>
      <c r="B18" s="159">
        <v>5</v>
      </c>
      <c r="C18" s="160" t="s">
        <v>34</v>
      </c>
      <c r="D18" s="152">
        <v>5000000</v>
      </c>
      <c r="E18" s="161">
        <f>+Liquidacion!G19</f>
        <v>447355.64</v>
      </c>
      <c r="F18" s="154">
        <v>2000000</v>
      </c>
      <c r="G18" s="161">
        <f>+Liquidacion!G41</f>
        <v>50251.240000000005</v>
      </c>
      <c r="H18" s="162">
        <f>H17</f>
        <v>1</v>
      </c>
      <c r="I18" s="156">
        <v>63074</v>
      </c>
      <c r="J18" s="163">
        <f>(D18+F18)*Impuesto!J58/I18</f>
        <v>110.98075276659162</v>
      </c>
      <c r="K18" s="157">
        <f t="shared" si="1"/>
        <v>110.98075276659162</v>
      </c>
      <c r="L18" s="163">
        <f>(E18+G18)*Impuesto!J58/I18</f>
        <v>7.8892551606050034</v>
      </c>
      <c r="M18" s="158">
        <f>IF(S18=VLOOKUP(S18,Impuesto!I24,1,FALSE),Impuesto!J24," ")</f>
        <v>0.23</v>
      </c>
      <c r="N18" s="78">
        <f t="shared" si="0"/>
        <v>15.938148841043853</v>
      </c>
      <c r="O18" s="67"/>
      <c r="P18" s="79">
        <f t="shared" si="2"/>
        <v>0.62292878206551039</v>
      </c>
      <c r="Q18" s="70"/>
      <c r="S18" s="80">
        <f t="shared" si="4"/>
        <v>7000000</v>
      </c>
      <c r="T18" s="81"/>
      <c r="V18" s="82">
        <f t="shared" si="5"/>
        <v>110.98075276659162</v>
      </c>
      <c r="W18" s="83">
        <f>IF(V18&lt;=Impuesto!B28,Impuesto!$C$24,IF(V18&lt;=Impuesto!B29,Impuesto!$C$25,IF(V18&lt;=Impuesto!B30,Impuesto!$C$26,IF(V18&lt;=Impuesto!B31,Impuesto!$C$27,IF(V18&lt;=Impuesto!B32,Impuesto!$C$28,IF(V18&lt;=Impuesto!B33,Impuesto!$C$29,IF(V18&lt;=Impuesto!B34,Impuesto!$C$30,Impuesto!$C$31)))))))*V18</f>
        <v>4.4392301106636651</v>
      </c>
      <c r="X18" s="55">
        <f>IF(V18&lt;=Impuesto!B28,Impuesto!$D$24,IF(V18&lt;=Impuesto!B29,Impuesto!$D$25,IF(V18&lt;=Impuesto!B30,Impuesto!$D$26,IF(V18&lt;=Impuesto!B31,Impuesto!$D$27,IF(V18&lt;=Impuesto!B32,Impuesto!$D$28,IF(V18&lt;=Impuesto!B33,Impuesto!$D$29,IF(V18&lt;=Impuesto!B34,Impuesto!$D$30,Impuesto!$D$31)))))))</f>
        <v>0.54</v>
      </c>
      <c r="Y18" s="82">
        <f>(W18-X18)*Impuesto!J58</f>
        <v>3.8992301106636651</v>
      </c>
      <c r="Z18" s="82">
        <f t="shared" si="6"/>
        <v>3.9900250499413383</v>
      </c>
    </row>
    <row r="19" spans="1:33" ht="18" customHeight="1" x14ac:dyDescent="0.2">
      <c r="A19" s="65"/>
      <c r="B19" s="159">
        <v>6</v>
      </c>
      <c r="C19" s="160" t="s">
        <v>35</v>
      </c>
      <c r="D19" s="152">
        <v>5000000</v>
      </c>
      <c r="E19" s="161">
        <f>+Liquidacion!H19</f>
        <v>445250.17999999993</v>
      </c>
      <c r="F19" s="154">
        <v>2000000</v>
      </c>
      <c r="G19" s="161">
        <f>+Liquidacion!H41</f>
        <v>49922.380000000005</v>
      </c>
      <c r="H19" s="162">
        <f t="shared" si="3"/>
        <v>1</v>
      </c>
      <c r="I19" s="156">
        <v>63263</v>
      </c>
      <c r="J19" s="163">
        <f>(D19+F19)*Impuesto!J59/I19</f>
        <v>110.64919463193336</v>
      </c>
      <c r="K19" s="157">
        <f t="shared" si="1"/>
        <v>110.64919463193336</v>
      </c>
      <c r="L19" s="163">
        <f>(E19+G19)*Impuesto!J59/I19</f>
        <v>7.827206423976099</v>
      </c>
      <c r="M19" s="158">
        <f>IF(S19=VLOOKUP(S19,Impuesto!I25,1,FALSE),Impuesto!J25," ")</f>
        <v>0.23</v>
      </c>
      <c r="N19" s="78">
        <f t="shared" si="0"/>
        <v>15.837355168107738</v>
      </c>
      <c r="O19" s="67"/>
      <c r="P19" s="79">
        <f t="shared" si="2"/>
        <v>0.62106776472819814</v>
      </c>
      <c r="Q19" s="70"/>
      <c r="S19" s="80">
        <f t="shared" si="4"/>
        <v>7000000</v>
      </c>
      <c r="T19" s="81"/>
      <c r="V19" s="82">
        <f t="shared" si="5"/>
        <v>110.64919463193336</v>
      </c>
      <c r="W19" s="83">
        <f>IF(V19&lt;=Impuesto!B29,Impuesto!$C$24,IF(V19&lt;=Impuesto!B30,Impuesto!$C$25,IF(V19&lt;=Impuesto!B31,Impuesto!$C$26,IF(V19&lt;=Impuesto!B32,Impuesto!$C$27,IF(V19&lt;=Impuesto!B33,Impuesto!$C$28,IF(V19&lt;=Impuesto!B34,Impuesto!$C$29,IF(V19&lt;=Impuesto!B35,Impuesto!$C$30,Impuesto!$C$31)))))))*V19</f>
        <v>0</v>
      </c>
      <c r="X19" s="55">
        <f>IF(V19&lt;=Impuesto!B29,Impuesto!$D$24,IF(V19&lt;=Impuesto!B30,Impuesto!$D$25,IF(V19&lt;=Impuesto!B31,Impuesto!$D$26,IF(V19&lt;=Impuesto!B32,Impuesto!$D$27,IF(V19&lt;=Impuesto!B33,Impuesto!$D$28,IF(V19&lt;=Impuesto!B34,Impuesto!$D$29,IF(V19&lt;=Impuesto!B35,Impuesto!$D$30,Impuesto!$D$31)))))))</f>
        <v>0</v>
      </c>
      <c r="Y19" s="82">
        <f>(W19-X19)*Impuesto!J59</f>
        <v>0</v>
      </c>
      <c r="Z19" s="82">
        <f t="shared" si="6"/>
        <v>7.827206423976099</v>
      </c>
    </row>
    <row r="20" spans="1:33" ht="18" customHeight="1" x14ac:dyDescent="0.2">
      <c r="A20" s="65"/>
      <c r="B20" s="159">
        <v>7</v>
      </c>
      <c r="C20" s="160" t="s">
        <v>36</v>
      </c>
      <c r="D20" s="152">
        <v>5000000</v>
      </c>
      <c r="E20" s="161">
        <f>+Liquidacion!I19</f>
        <v>444548.36</v>
      </c>
      <c r="F20" s="154">
        <v>2000000</v>
      </c>
      <c r="G20" s="161">
        <f>+Liquidacion!I41</f>
        <v>49812.759999999995</v>
      </c>
      <c r="H20" s="162">
        <f t="shared" si="3"/>
        <v>1</v>
      </c>
      <c r="I20" s="156">
        <v>63326</v>
      </c>
      <c r="J20" s="163">
        <f>(D20+F20)*Impuesto!J60/I20</f>
        <v>110.53911505542747</v>
      </c>
      <c r="K20" s="157">
        <f t="shared" si="1"/>
        <v>110.53911505542747</v>
      </c>
      <c r="L20" s="163">
        <f>(E20+G20)*Impuesto!J60/I20</f>
        <v>7.8066058175157123</v>
      </c>
      <c r="M20" s="158">
        <f>IF(S20=VLOOKUP(S20,Impuesto!I26,1,FALSE),Impuesto!J26," ")</f>
        <v>0.23</v>
      </c>
      <c r="N20" s="78">
        <f t="shared" si="0"/>
        <v>15.803890976849951</v>
      </c>
      <c r="O20" s="67"/>
      <c r="P20" s="79">
        <f t="shared" si="2"/>
        <v>0.62044989419827556</v>
      </c>
      <c r="Q20" s="70"/>
      <c r="S20" s="80">
        <f t="shared" si="4"/>
        <v>7000000</v>
      </c>
      <c r="T20" s="81"/>
      <c r="V20" s="82">
        <f t="shared" si="5"/>
        <v>110.53911505542747</v>
      </c>
      <c r="W20" s="83">
        <f>IF(V20&lt;=Impuesto!B30,Impuesto!$C$24,IF(V20&lt;=Impuesto!B31,Impuesto!$C$25,IF(V20&lt;=Impuesto!B32,Impuesto!$C$26,IF(V20&lt;=Impuesto!B33,Impuesto!$C$27,IF(V20&lt;=Impuesto!B34,Impuesto!$C$28,IF(V20&lt;=Impuesto!B35,Impuesto!$C$29,IF(V20&lt;=Impuesto!B36,Impuesto!$C$30,Impuesto!$C$31)))))))*V20</f>
        <v>0</v>
      </c>
      <c r="X20" s="55">
        <f>IF(V20&lt;=Impuesto!B30,Impuesto!$D$24,IF(V20&lt;=Impuesto!B31,Impuesto!$D$25,IF(V20&lt;=Impuesto!B32,Impuesto!$D$26,IF(V20&lt;=Impuesto!B33,Impuesto!$D$27,IF(V20&lt;=Impuesto!B34,Impuesto!$D$28,IF(V20&lt;=Impuesto!B35,Impuesto!$D$29,IF(V20&lt;=Impuesto!B36,Impuesto!$D$30,Impuesto!$D$31)))))))</f>
        <v>0</v>
      </c>
      <c r="Y20" s="82">
        <f>(W20-X20)*Impuesto!J60</f>
        <v>0</v>
      </c>
      <c r="Z20" s="82">
        <f t="shared" si="6"/>
        <v>7.8066058175157123</v>
      </c>
      <c r="AG20" s="85"/>
    </row>
    <row r="21" spans="1:33" ht="18" customHeight="1" x14ac:dyDescent="0.2">
      <c r="A21" s="65"/>
      <c r="B21" s="159">
        <v>8</v>
      </c>
      <c r="C21" s="160" t="s">
        <v>37</v>
      </c>
      <c r="D21" s="152">
        <v>5000000</v>
      </c>
      <c r="E21" s="161">
        <f>+Liquidacion!J19</f>
        <v>445963.14</v>
      </c>
      <c r="F21" s="154">
        <v>2000000</v>
      </c>
      <c r="G21" s="161">
        <f>+Liquidacion!J41</f>
        <v>50033.740000000005</v>
      </c>
      <c r="H21" s="162">
        <f t="shared" si="3"/>
        <v>1</v>
      </c>
      <c r="I21" s="156">
        <v>63199</v>
      </c>
      <c r="J21" s="163">
        <f>(D21+F21)*Impuesto!J61/I21</f>
        <v>110.76124622225035</v>
      </c>
      <c r="K21" s="157">
        <f t="shared" si="1"/>
        <v>110.76124622225035</v>
      </c>
      <c r="L21" s="163">
        <f>(E21+G21)*Impuesto!J61/I21</f>
        <v>7.8481760787354231</v>
      </c>
      <c r="M21" s="158">
        <f>IF(S21=VLOOKUP(S21,Impuesto!I27,1,FALSE),Impuesto!J27," ")</f>
        <v>0.23</v>
      </c>
      <c r="N21" s="78">
        <f t="shared" si="0"/>
        <v>15.871418851564108</v>
      </c>
      <c r="O21" s="67"/>
      <c r="P21" s="79">
        <f t="shared" si="2"/>
        <v>0.62169670406177313</v>
      </c>
      <c r="Q21" s="86"/>
      <c r="S21" s="80">
        <f t="shared" si="4"/>
        <v>7000000</v>
      </c>
      <c r="T21" s="81"/>
      <c r="V21" s="82">
        <f t="shared" si="5"/>
        <v>110.76124622225035</v>
      </c>
      <c r="W21" s="83">
        <f>IF(V21&lt;=Impuesto!B31,Impuesto!$C$24,IF(V21&lt;=Impuesto!B32,Impuesto!$C$25,IF(V21&lt;=Impuesto!B33,Impuesto!$C$26,IF(V21&lt;=Impuesto!B34,Impuesto!$C$27,IF(V21&lt;=Impuesto!B35,Impuesto!$C$28,IF(V21&lt;=Impuesto!B36,Impuesto!$C$29,IF(V21&lt;=Impuesto!B37,Impuesto!$C$30,Impuesto!$C$31)))))))*V21</f>
        <v>0</v>
      </c>
      <c r="X21" s="55">
        <f>IF(V21&lt;=Impuesto!B31,Impuesto!$D$24,IF(V21&lt;=Impuesto!B32,Impuesto!$D$25,IF(V21&lt;=Impuesto!B33,Impuesto!$D$26,IF(V21&lt;=Impuesto!B34,Impuesto!$D$27,IF(V21&lt;=Impuesto!B35,Impuesto!$D$28,IF(V21&lt;=Impuesto!B36,Impuesto!$D$29,IF(V21&lt;=Impuesto!B37,Impuesto!$D$30,Impuesto!$D$31)))))))</f>
        <v>0</v>
      </c>
      <c r="Y21" s="82">
        <f>(W21-X21)*Impuesto!J61</f>
        <v>0</v>
      </c>
      <c r="Z21" s="82">
        <f t="shared" si="6"/>
        <v>7.8481760787354231</v>
      </c>
    </row>
    <row r="22" spans="1:33" ht="18" customHeight="1" x14ac:dyDescent="0.2">
      <c r="A22" s="65"/>
      <c r="B22" s="159">
        <v>9</v>
      </c>
      <c r="C22" s="160" t="s">
        <v>38</v>
      </c>
      <c r="D22" s="152">
        <v>5000000</v>
      </c>
      <c r="E22" s="161">
        <f>+Liquidacion!K19</f>
        <v>443144.72</v>
      </c>
      <c r="F22" s="154">
        <v>2000000</v>
      </c>
      <c r="G22" s="161">
        <f>+Liquidacion!K41</f>
        <v>49593.520000000004</v>
      </c>
      <c r="H22" s="162">
        <f t="shared" si="3"/>
        <v>1</v>
      </c>
      <c r="I22" s="156">
        <v>63452</v>
      </c>
      <c r="J22" s="163">
        <f>(D22+F22)*Impuesto!J62/I22</f>
        <v>110.31961167496691</v>
      </c>
      <c r="K22" s="157">
        <f t="shared" si="1"/>
        <v>110.31961167496691</v>
      </c>
      <c r="L22" s="163">
        <f>(E22+G22)*Impuesto!J62/I22</f>
        <v>7.7655273277438059</v>
      </c>
      <c r="M22" s="158">
        <f>IF(S22=VLOOKUP(S22,Impuesto!I28,1,FALSE),Impuesto!J28," ")</f>
        <v>0.23</v>
      </c>
      <c r="N22" s="78">
        <f t="shared" si="0"/>
        <v>15.737161949189938</v>
      </c>
      <c r="O22" s="67"/>
      <c r="P22" s="79">
        <f t="shared" si="2"/>
        <v>0.61921783395322449</v>
      </c>
      <c r="Q22" s="86"/>
      <c r="S22" s="80">
        <f t="shared" si="4"/>
        <v>7000000</v>
      </c>
      <c r="T22" s="81"/>
      <c r="V22" s="82">
        <f t="shared" si="5"/>
        <v>110.31961167496691</v>
      </c>
      <c r="W22" s="83">
        <f>IF(V22&lt;=Impuesto!B32,Impuesto!$C$24,IF(V22&lt;=Impuesto!B33,Impuesto!$C$25,IF(V22&lt;=Impuesto!B34,Impuesto!$C$26,IF(V22&lt;=Impuesto!B35,Impuesto!$C$27,IF(V22&lt;=Impuesto!B36,Impuesto!$C$28,IF(V22&lt;=Impuesto!B37,Impuesto!$C$29,IF(V22&lt;=Impuesto!B38,Impuesto!$C$30,Impuesto!$C$31)))))))*V22</f>
        <v>44.127844669986764</v>
      </c>
      <c r="X22" s="55">
        <f>IF(V22&lt;=Impuesto!B32,Impuesto!$D$24,IF(V22&lt;=Impuesto!B33,Impuesto!$D$25,IF(V22&lt;=Impuesto!B34,Impuesto!$D$26,IF(V22&lt;=Impuesto!B35,Impuesto!$D$27,IF(V22&lt;=Impuesto!B36,Impuesto!$D$28,IF(V22&lt;=Impuesto!B37,Impuesto!$D$29,IF(V22&lt;=Impuesto!B38,Impuesto!$D$30,Impuesto!$D$31)))))))</f>
        <v>38.82</v>
      </c>
      <c r="Y22" s="82">
        <f>(W22-X22)*Impuesto!J62</f>
        <v>5.3078446699867641</v>
      </c>
      <c r="Z22" s="82">
        <f t="shared" si="6"/>
        <v>2.4576826577570419</v>
      </c>
    </row>
    <row r="23" spans="1:33" ht="18" customHeight="1" x14ac:dyDescent="0.2">
      <c r="A23" s="65"/>
      <c r="B23" s="159">
        <v>10</v>
      </c>
      <c r="C23" s="160" t="s">
        <v>39</v>
      </c>
      <c r="D23" s="152">
        <v>5000000</v>
      </c>
      <c r="E23" s="161">
        <f>+Liquidacion!L19</f>
        <v>442442.89999999991</v>
      </c>
      <c r="F23" s="154">
        <v>2000000</v>
      </c>
      <c r="G23" s="161">
        <f>+Liquidacion!L41</f>
        <v>49483.899999999994</v>
      </c>
      <c r="H23" s="162">
        <f t="shared" si="3"/>
        <v>1</v>
      </c>
      <c r="I23" s="156">
        <v>63515</v>
      </c>
      <c r="J23" s="163">
        <f>(D23+F23)*Impuesto!J63/I23</f>
        <v>110.21018657010156</v>
      </c>
      <c r="K23" s="157">
        <f t="shared" si="1"/>
        <v>110.21018657010156</v>
      </c>
      <c r="L23" s="163">
        <f>(E23+G23)*Impuesto!J63/I23</f>
        <v>7.7450492009761467</v>
      </c>
      <c r="M23" s="158">
        <f>IF(S23=VLOOKUP(S23,Impuesto!I29,1,FALSE),Impuesto!J29," ")</f>
        <v>0.23</v>
      </c>
      <c r="N23" s="78">
        <f t="shared" si="0"/>
        <v>15.703896717310872</v>
      </c>
      <c r="O23" s="67"/>
      <c r="P23" s="79">
        <f t="shared" si="2"/>
        <v>0.61860363693615683</v>
      </c>
      <c r="Q23" s="86"/>
      <c r="S23" s="80">
        <f t="shared" si="4"/>
        <v>7000000</v>
      </c>
      <c r="T23" s="81"/>
      <c r="V23" s="82">
        <f t="shared" si="5"/>
        <v>110.21018657010156</v>
      </c>
      <c r="W23" s="83">
        <f>IF(V23&lt;=Impuesto!B33,Impuesto!$C$24,IF(V23&lt;=Impuesto!B34,Impuesto!$C$25,IF(V23&lt;=Impuesto!B35,Impuesto!$C$26,IF(V23&lt;=Impuesto!B36,Impuesto!$C$27,IF(V23&lt;=Impuesto!B37,Impuesto!$C$28,IF(V23&lt;=Impuesto!B38,Impuesto!$C$29,IF(V23&lt;=Impuesto!B39,Impuesto!$C$30,Impuesto!$C$31)))))))*V23</f>
        <v>44.084074628040625</v>
      </c>
      <c r="X23" s="55">
        <f>IF(V23&lt;=Impuesto!B33,Impuesto!$D$24,IF(V23&lt;=Impuesto!B34,Impuesto!$D$25,IF(V23&lt;=Impuesto!B35,Impuesto!$D$26,IF(V23&lt;=Impuesto!B36,Impuesto!$D$27,IF(V23&lt;=Impuesto!B37,Impuesto!$D$28,IF(V23&lt;=Impuesto!B38,Impuesto!$D$29,IF(V23&lt;=Impuesto!B39,Impuesto!$D$30,Impuesto!$D$31)))))))</f>
        <v>38.82</v>
      </c>
      <c r="Y23" s="82">
        <f>(W23-X23)*Impuesto!J63</f>
        <v>5.2640746280406248</v>
      </c>
      <c r="Z23" s="82">
        <f t="shared" si="6"/>
        <v>2.4809745729355219</v>
      </c>
    </row>
    <row r="24" spans="1:33" ht="18" customHeight="1" x14ac:dyDescent="0.2">
      <c r="A24" s="65"/>
      <c r="B24" s="159">
        <v>11</v>
      </c>
      <c r="C24" s="160" t="s">
        <v>40</v>
      </c>
      <c r="D24" s="152">
        <v>5000000</v>
      </c>
      <c r="E24" s="161">
        <f>+Liquidacion!M19</f>
        <v>437485.6</v>
      </c>
      <c r="F24" s="154">
        <v>2000000</v>
      </c>
      <c r="G24" s="161">
        <f>+Liquidacion!M41</f>
        <v>48709.600000000006</v>
      </c>
      <c r="H24" s="162">
        <f t="shared" si="3"/>
        <v>1</v>
      </c>
      <c r="I24" s="156">
        <v>63960</v>
      </c>
      <c r="J24" s="163">
        <f>(D24+F24)*Impuesto!J64/I24</f>
        <v>109.44340212632896</v>
      </c>
      <c r="K24" s="157">
        <f t="shared" si="1"/>
        <v>109.44340212632896</v>
      </c>
      <c r="L24" s="163">
        <f>(E24+G24)*Impuesto!J64/I24</f>
        <v>7.6015509693558467</v>
      </c>
      <c r="M24" s="158">
        <f>IF(S24=VLOOKUP(S24,Impuesto!I30,1,FALSE),Impuesto!J30," ")</f>
        <v>0.23</v>
      </c>
      <c r="N24" s="78">
        <f t="shared" si="0"/>
        <v>15.470794246404003</v>
      </c>
      <c r="O24" s="67"/>
      <c r="P24" s="79">
        <f t="shared" si="2"/>
        <v>0.61429971857410881</v>
      </c>
      <c r="Q24" s="86"/>
      <c r="S24" s="80">
        <f t="shared" si="4"/>
        <v>7000000</v>
      </c>
      <c r="T24" s="81"/>
      <c r="V24" s="82">
        <f t="shared" si="5"/>
        <v>109.44340212632896</v>
      </c>
      <c r="W24" s="83">
        <f>IF(V24&lt;=Impuesto!B34,Impuesto!$C$24,IF(V24&lt;=Impuesto!B35,Impuesto!$C$25,IF(V24&lt;=Impuesto!B36,Impuesto!$C$26,IF(V24&lt;=Impuesto!B37,Impuesto!$C$27,IF(V24&lt;=Impuesto!B38,Impuesto!$C$28,IF(V24&lt;=Impuesto!B39,Impuesto!$C$29,IF(V24&lt;=Impuesto!B40,Impuesto!$C$30,Impuesto!$C$31)))))))*V24</f>
        <v>43.777360850531586</v>
      </c>
      <c r="X24" s="55">
        <f>IF(V24&lt;=Impuesto!B34,Impuesto!$D$24,IF(V24&lt;=Impuesto!B35,Impuesto!$D$25,IF(V24&lt;=Impuesto!B36,Impuesto!$D$26,IF(V24&lt;=Impuesto!B37,Impuesto!$D$27,IF(V24&lt;=Impuesto!B38,Impuesto!$D$28,IF(V24&lt;=Impuesto!B39,Impuesto!$D$29,IF(V24&lt;=Impuesto!B40,Impuesto!$D$30,Impuesto!$D$31)))))))</f>
        <v>38.82</v>
      </c>
      <c r="Y24" s="82">
        <f>(W24-X24)*Impuesto!J64</f>
        <v>4.957360850531586</v>
      </c>
      <c r="Z24" s="82">
        <f t="shared" si="6"/>
        <v>2.6441901188242607</v>
      </c>
    </row>
    <row r="25" spans="1:33" ht="18.75" customHeight="1" x14ac:dyDescent="0.2">
      <c r="A25" s="65"/>
      <c r="B25" s="159">
        <v>12</v>
      </c>
      <c r="C25" s="160" t="s">
        <v>41</v>
      </c>
      <c r="D25" s="152">
        <v>5000000</v>
      </c>
      <c r="E25" s="161">
        <f>+Liquidacion!N19</f>
        <v>434633.76</v>
      </c>
      <c r="F25" s="154">
        <v>2000000</v>
      </c>
      <c r="G25" s="161">
        <f>+Liquidacion!N41</f>
        <v>48264.160000000003</v>
      </c>
      <c r="H25" s="162">
        <f t="shared" si="3"/>
        <v>1</v>
      </c>
      <c r="I25" s="156">
        <v>64216</v>
      </c>
      <c r="J25" s="163">
        <f>(D25+F25)*Impuesto!J65/I25</f>
        <v>109.00710103401022</v>
      </c>
      <c r="K25" s="157">
        <f t="shared" si="1"/>
        <v>109.00710103401022</v>
      </c>
      <c r="L25" s="163">
        <f>(E25+G25)*Impuesto!J65/I25</f>
        <v>7.5199003363647696</v>
      </c>
      <c r="M25" s="158">
        <f>IF(S25=VLOOKUP(S25,Impuesto!I31,1,FALSE),Impuesto!J31," ")</f>
        <v>0.23</v>
      </c>
      <c r="N25" s="78">
        <f t="shared" si="0"/>
        <v>15.338158714339105</v>
      </c>
      <c r="O25" s="67"/>
      <c r="P25" s="79">
        <f t="shared" si="2"/>
        <v>0.61185078485112743</v>
      </c>
      <c r="Q25" s="86"/>
      <c r="S25" s="80">
        <f t="shared" si="4"/>
        <v>7000000</v>
      </c>
      <c r="T25" s="81"/>
      <c r="V25" s="82">
        <f t="shared" si="5"/>
        <v>109.00710103401022</v>
      </c>
      <c r="W25" s="83">
        <f>IF(V25&lt;=Impuesto!B35,Impuesto!$C$24,IF(V25&lt;=Impuesto!B36,Impuesto!$C$25,IF(V25&lt;=Impuesto!B37,Impuesto!$C$26,IF(V25&lt;=Impuesto!B38,Impuesto!$C$27,IF(V25&lt;=Impuesto!B39,Impuesto!$C$28,IF(V25&lt;=Impuesto!B40,Impuesto!$C$29,IF(V25&lt;=Impuesto!B41,Impuesto!$C$30,Impuesto!$C$31)))))))*V25</f>
        <v>43.602840413604092</v>
      </c>
      <c r="X25" s="55">
        <f>IF(V25&lt;=Impuesto!B35,Impuesto!$D$24,IF(V25&lt;=Impuesto!B36,Impuesto!$D$25,IF(V25&lt;=Impuesto!B37,Impuesto!$D$26,IF(V25&lt;=Impuesto!B38,Impuesto!$D$27,IF(V25&lt;=Impuesto!B39,Impuesto!$D$28,IF(V25&lt;=Impuesto!B40,Impuesto!$D$29,IF(V25&lt;=Impuesto!B41,Impuesto!$D$30,Impuesto!$D$31)))))))</f>
        <v>38.82</v>
      </c>
      <c r="Y25" s="82">
        <f>(W25-X25)*Impuesto!J65</f>
        <v>4.7828404136040916</v>
      </c>
      <c r="Z25" s="82">
        <f t="shared" si="6"/>
        <v>2.737059922760678</v>
      </c>
    </row>
    <row r="26" spans="1:33" ht="6" customHeight="1" x14ac:dyDescent="0.2">
      <c r="A26" s="65"/>
      <c r="B26" s="244"/>
      <c r="C26" s="67"/>
      <c r="D26" s="87"/>
      <c r="E26" s="87"/>
      <c r="F26" s="87"/>
      <c r="G26" s="87"/>
      <c r="H26" s="87"/>
      <c r="I26" s="87"/>
      <c r="J26" s="67"/>
      <c r="K26" s="67"/>
      <c r="L26" s="79"/>
      <c r="M26" s="79"/>
      <c r="N26" s="67"/>
      <c r="O26" s="79"/>
      <c r="P26" s="67"/>
      <c r="Q26" s="70"/>
    </row>
    <row r="27" spans="1:33" ht="17" x14ac:dyDescent="0.2">
      <c r="A27" s="65"/>
      <c r="C27" s="165" t="s">
        <v>42</v>
      </c>
      <c r="D27" s="166">
        <f>SUMPRODUCT(D14:D25,Impuesto!$J$55:$J$66)</f>
        <v>65000000</v>
      </c>
      <c r="E27" s="166">
        <f>SUMPRODUCT(E14:E25,Impuesto!$J$55:$J$66)</f>
        <v>6969508.3399999999</v>
      </c>
      <c r="F27" s="166">
        <f>SUMPRODUCT(F14:F25,Impuesto!$J$55:$J$66)</f>
        <v>24000000</v>
      </c>
      <c r="G27" s="166">
        <f>SUMPRODUCT(G14:G25,Impuesto!$J$55:$J$66)</f>
        <v>603575.16</v>
      </c>
      <c r="H27" s="167">
        <f>SUM(H14:H25)</f>
        <v>12</v>
      </c>
      <c r="I27" s="168">
        <f>SUMPRODUCT(J14:J25,I14:I25)/J27</f>
        <v>62966.027809461033</v>
      </c>
      <c r="J27" s="88">
        <f>SUM(J14:J25)</f>
        <v>1413.4606087796951</v>
      </c>
      <c r="K27" s="89">
        <f>SUM(K14:K25)</f>
        <v>1413.4606087796951</v>
      </c>
      <c r="L27" s="90">
        <f>SUM(L14:L25)</f>
        <v>120.67542412690601</v>
      </c>
      <c r="M27" s="91"/>
      <c r="N27" s="92">
        <f>SUM(N14:N25)</f>
        <v>221.87215701223502</v>
      </c>
      <c r="P27" s="93"/>
      <c r="Q27" s="94"/>
      <c r="Y27" s="82"/>
    </row>
    <row r="28" spans="1:33" x14ac:dyDescent="0.2">
      <c r="A28" s="65"/>
      <c r="B28" s="67"/>
      <c r="C28" s="244"/>
      <c r="D28" s="95"/>
      <c r="E28" s="95"/>
      <c r="F28" s="95"/>
      <c r="G28" s="67"/>
      <c r="H28" s="67"/>
      <c r="I28" s="67"/>
      <c r="J28" s="244"/>
      <c r="K28" s="244"/>
      <c r="L28" s="244"/>
      <c r="M28" s="96"/>
      <c r="N28" s="244"/>
      <c r="O28" s="97"/>
      <c r="P28" s="67"/>
      <c r="Q28" s="70"/>
      <c r="T28" s="55" t="s">
        <v>43</v>
      </c>
    </row>
    <row r="29" spans="1:33" hidden="1" x14ac:dyDescent="0.2">
      <c r="A29" s="65"/>
      <c r="B29" s="67"/>
      <c r="C29" s="244"/>
      <c r="D29" s="95"/>
      <c r="E29" s="95"/>
      <c r="F29" s="67"/>
      <c r="G29" s="67"/>
      <c r="H29" s="67"/>
      <c r="I29" s="67"/>
      <c r="J29" s="67"/>
      <c r="K29" s="67"/>
      <c r="L29" s="98"/>
      <c r="M29" s="67"/>
      <c r="N29" s="67"/>
      <c r="O29" s="99"/>
      <c r="P29" s="67"/>
      <c r="Q29" s="70"/>
    </row>
    <row r="30" spans="1:33" hidden="1" x14ac:dyDescent="0.2">
      <c r="A30" s="65"/>
      <c r="B30" s="67"/>
      <c r="C30" s="67"/>
      <c r="D30" s="237" t="s">
        <v>19</v>
      </c>
      <c r="E30" s="237" t="s">
        <v>44</v>
      </c>
      <c r="G30" s="67"/>
      <c r="H30" s="67"/>
      <c r="I30" s="87"/>
      <c r="J30" s="67"/>
      <c r="K30" s="98"/>
      <c r="L30" s="98"/>
      <c r="M30" s="98"/>
      <c r="N30" s="67"/>
      <c r="O30" s="67"/>
      <c r="P30" s="67"/>
      <c r="Q30" s="70"/>
      <c r="T30" s="77" t="s">
        <v>31</v>
      </c>
      <c r="U30" s="100">
        <f t="shared" ref="U30:U35" si="7">IF(AND(D14&lt;&gt;0,F14&lt;&gt;0),1,0)</f>
        <v>1</v>
      </c>
      <c r="V30" s="101"/>
      <c r="W30" s="102"/>
      <c r="X30" s="102"/>
      <c r="Y30" s="102"/>
      <c r="Z30" s="102"/>
    </row>
    <row r="31" spans="1:33" hidden="1" x14ac:dyDescent="0.2">
      <c r="A31" s="65"/>
      <c r="B31" s="257" t="s">
        <v>45</v>
      </c>
      <c r="C31" s="257"/>
      <c r="D31" s="241">
        <f>K27</f>
        <v>1413.4606087796951</v>
      </c>
      <c r="E31" s="103">
        <f>D31*I25</f>
        <v>90766786.453396901</v>
      </c>
      <c r="F31" s="104"/>
      <c r="G31" s="67"/>
      <c r="H31" s="67"/>
      <c r="I31" s="67"/>
      <c r="J31" s="67"/>
      <c r="K31" s="67"/>
      <c r="L31" s="67"/>
      <c r="M31" s="67"/>
      <c r="N31" s="67"/>
      <c r="O31" s="67"/>
      <c r="P31" s="67"/>
      <c r="Q31" s="70"/>
      <c r="T31" s="77" t="s">
        <v>32</v>
      </c>
      <c r="U31" s="100">
        <f t="shared" si="7"/>
        <v>1</v>
      </c>
      <c r="V31" s="101"/>
      <c r="W31" s="102"/>
      <c r="X31" s="102"/>
      <c r="Y31" s="102"/>
      <c r="Z31" s="102"/>
    </row>
    <row r="32" spans="1:33" hidden="1" x14ac:dyDescent="0.2">
      <c r="A32" s="65"/>
      <c r="B32" s="67"/>
      <c r="C32" s="67"/>
      <c r="D32" s="67"/>
      <c r="E32" s="67"/>
      <c r="F32" s="67"/>
      <c r="G32" s="67"/>
      <c r="H32" s="67"/>
      <c r="I32" s="67"/>
      <c r="J32" s="67"/>
      <c r="L32" s="85"/>
      <c r="M32" s="85"/>
      <c r="N32" s="85"/>
      <c r="O32" s="85"/>
      <c r="P32" s="85"/>
      <c r="Q32" s="94"/>
      <c r="T32" s="77" t="s">
        <v>33</v>
      </c>
      <c r="U32" s="100">
        <f t="shared" si="7"/>
        <v>1</v>
      </c>
      <c r="V32" s="101"/>
      <c r="W32" s="102"/>
      <c r="X32" s="102"/>
      <c r="Y32" s="102"/>
      <c r="Z32" s="102"/>
    </row>
    <row r="33" spans="1:26" hidden="1" x14ac:dyDescent="0.2">
      <c r="A33" s="65"/>
      <c r="B33" s="137" t="s">
        <v>46</v>
      </c>
      <c r="C33" s="67"/>
      <c r="D33" s="67"/>
      <c r="E33" s="67"/>
      <c r="F33" s="244"/>
      <c r="G33" s="67"/>
      <c r="H33" s="67"/>
      <c r="I33" s="67"/>
      <c r="J33" s="67"/>
      <c r="L33" s="105"/>
      <c r="M33" s="105"/>
      <c r="N33" s="105"/>
      <c r="O33" s="67"/>
      <c r="P33" s="67"/>
      <c r="Q33" s="70"/>
      <c r="T33" s="77" t="s">
        <v>11</v>
      </c>
      <c r="U33" s="100">
        <f t="shared" si="7"/>
        <v>1</v>
      </c>
      <c r="V33" s="101"/>
      <c r="W33" s="102"/>
      <c r="X33" s="102"/>
      <c r="Y33" s="102"/>
      <c r="Z33" s="102"/>
    </row>
    <row r="34" spans="1:26" hidden="1" x14ac:dyDescent="0.2">
      <c r="A34" s="65"/>
      <c r="B34" s="257" t="s">
        <v>47</v>
      </c>
      <c r="C34" s="257"/>
      <c r="D34" s="237" t="s">
        <v>48</v>
      </c>
      <c r="E34" s="257" t="s">
        <v>49</v>
      </c>
      <c r="F34" s="257"/>
      <c r="G34" s="67"/>
      <c r="H34" s="67"/>
      <c r="I34" s="67"/>
      <c r="J34" s="67"/>
      <c r="L34" s="105"/>
      <c r="M34" s="105"/>
      <c r="N34" s="105"/>
      <c r="O34" s="67"/>
      <c r="P34" s="67"/>
      <c r="Q34" s="70"/>
      <c r="T34" s="77" t="s">
        <v>34</v>
      </c>
      <c r="U34" s="100">
        <f t="shared" si="7"/>
        <v>1</v>
      </c>
      <c r="V34" s="101"/>
      <c r="W34" s="102"/>
      <c r="X34" s="102"/>
      <c r="Y34" s="102"/>
      <c r="Z34" s="102"/>
    </row>
    <row r="35" spans="1:26" hidden="1" x14ac:dyDescent="0.2">
      <c r="A35" s="65"/>
      <c r="B35" s="262">
        <f>H27</f>
        <v>12</v>
      </c>
      <c r="C35" s="262"/>
      <c r="D35" s="241">
        <v>600</v>
      </c>
      <c r="E35" s="262">
        <f>D35-B35</f>
        <v>588</v>
      </c>
      <c r="F35" s="262"/>
      <c r="G35" s="67"/>
      <c r="H35" s="67"/>
      <c r="I35" s="67"/>
      <c r="L35" s="105"/>
      <c r="M35" s="105"/>
      <c r="N35" s="105"/>
      <c r="O35" s="67"/>
      <c r="P35" s="67"/>
      <c r="Q35" s="70"/>
      <c r="T35" s="77" t="s">
        <v>35</v>
      </c>
      <c r="U35" s="100">
        <f t="shared" si="7"/>
        <v>1</v>
      </c>
      <c r="V35" s="101"/>
      <c r="W35" s="102"/>
      <c r="X35" s="102"/>
      <c r="Y35" s="102"/>
      <c r="Z35" s="102"/>
    </row>
    <row r="36" spans="1:26" hidden="1" x14ac:dyDescent="0.2">
      <c r="A36" s="65"/>
      <c r="B36" s="93"/>
      <c r="C36" s="93"/>
      <c r="D36" s="93"/>
      <c r="E36" s="93"/>
      <c r="F36" s="93"/>
      <c r="G36" s="67"/>
      <c r="H36" s="67"/>
      <c r="I36" s="67"/>
      <c r="L36" s="105"/>
      <c r="M36" s="105"/>
      <c r="N36" s="105"/>
      <c r="O36" s="67"/>
      <c r="P36" s="67"/>
      <c r="Q36" s="70"/>
      <c r="T36" s="77"/>
      <c r="U36" s="100"/>
      <c r="V36" s="101"/>
      <c r="W36" s="102"/>
      <c r="X36" s="102"/>
      <c r="Y36" s="102"/>
      <c r="Z36" s="102"/>
    </row>
    <row r="37" spans="1:26" ht="18" customHeight="1" x14ac:dyDescent="0.2">
      <c r="A37" s="65"/>
      <c r="B37" s="244"/>
      <c r="C37" s="106"/>
      <c r="D37" s="106"/>
      <c r="E37" s="106"/>
      <c r="F37" s="106"/>
      <c r="G37" s="106"/>
      <c r="H37" s="67"/>
      <c r="I37" s="67"/>
      <c r="J37" s="67"/>
      <c r="K37" s="67"/>
      <c r="L37" s="67"/>
      <c r="M37" s="67"/>
      <c r="N37" s="67"/>
      <c r="O37" s="67"/>
      <c r="P37" s="67"/>
      <c r="Q37" s="70"/>
      <c r="T37" s="77" t="s">
        <v>36</v>
      </c>
      <c r="U37" s="100">
        <f>IF(AND(D20&lt;&gt;0,F20&lt;&gt;0),1,0)</f>
        <v>1</v>
      </c>
      <c r="V37" s="101"/>
      <c r="W37" s="102"/>
      <c r="X37" s="102"/>
      <c r="Y37" s="102"/>
      <c r="Z37" s="102"/>
    </row>
    <row r="38" spans="1:26" ht="18" customHeight="1" x14ac:dyDescent="0.2">
      <c r="A38" s="65"/>
      <c r="B38" s="239" t="s">
        <v>50</v>
      </c>
      <c r="C38" s="267" t="s">
        <v>51</v>
      </c>
      <c r="D38" s="267"/>
      <c r="E38" s="267" t="s">
        <v>52</v>
      </c>
      <c r="F38" s="267"/>
      <c r="G38" s="106"/>
      <c r="H38" s="271" t="s">
        <v>53</v>
      </c>
      <c r="I38" s="271"/>
      <c r="J38" s="271"/>
      <c r="K38" s="271"/>
      <c r="L38" s="271"/>
      <c r="M38" s="271"/>
      <c r="N38" s="102"/>
      <c r="O38" s="102"/>
      <c r="Q38" s="94"/>
    </row>
    <row r="39" spans="1:26" ht="18" customHeight="1" x14ac:dyDescent="0.2">
      <c r="A39" s="65"/>
      <c r="B39" s="170">
        <v>1</v>
      </c>
      <c r="C39" s="169" t="s">
        <v>54</v>
      </c>
      <c r="D39" s="172">
        <v>5000000</v>
      </c>
      <c r="E39" s="268">
        <f>D39/12</f>
        <v>416666.66666666669</v>
      </c>
      <c r="F39" s="268"/>
      <c r="G39" s="106"/>
      <c r="H39" s="258" t="s">
        <v>55</v>
      </c>
      <c r="I39" s="258"/>
      <c r="K39" s="67"/>
      <c r="L39" s="67"/>
      <c r="M39" s="175"/>
      <c r="N39" s="102"/>
      <c r="O39" s="102"/>
      <c r="Q39" s="94"/>
    </row>
    <row r="40" spans="1:26" ht="18" customHeight="1" x14ac:dyDescent="0.2">
      <c r="A40" s="65"/>
      <c r="B40" s="171">
        <v>2</v>
      </c>
      <c r="C40" s="169" t="s">
        <v>54</v>
      </c>
      <c r="D40" s="173">
        <v>10000000</v>
      </c>
      <c r="E40" s="269">
        <f>D40/12</f>
        <v>833333.33333333337</v>
      </c>
      <c r="F40" s="269"/>
      <c r="G40" s="106"/>
      <c r="H40" s="240" t="s">
        <v>57</v>
      </c>
      <c r="I40" s="240"/>
      <c r="K40" s="67"/>
      <c r="L40" s="67"/>
      <c r="M40" s="175"/>
      <c r="N40" s="102"/>
      <c r="O40" s="102"/>
      <c r="Q40" s="94"/>
    </row>
    <row r="41" spans="1:26" ht="18" customHeight="1" x14ac:dyDescent="0.2">
      <c r="A41" s="65"/>
      <c r="B41" s="171">
        <v>3</v>
      </c>
      <c r="C41" s="169" t="s">
        <v>54</v>
      </c>
      <c r="D41" s="174">
        <f>E35*I10</f>
        <v>23102878.68</v>
      </c>
      <c r="E41" s="269">
        <f>D41/12</f>
        <v>1925239.89</v>
      </c>
      <c r="F41" s="269"/>
      <c r="G41" s="106"/>
      <c r="N41" s="102"/>
      <c r="O41" s="102"/>
      <c r="Q41" s="94"/>
    </row>
    <row r="42" spans="1:26" ht="18" customHeight="1" x14ac:dyDescent="0.2">
      <c r="A42" s="65"/>
      <c r="B42" s="67"/>
      <c r="C42" s="67"/>
      <c r="D42" s="67"/>
      <c r="E42" s="67"/>
      <c r="F42" s="67"/>
      <c r="G42" s="67"/>
      <c r="N42" s="67"/>
      <c r="O42" s="67"/>
      <c r="P42" s="67"/>
      <c r="Q42" s="70"/>
      <c r="T42" s="77" t="s">
        <v>41</v>
      </c>
      <c r="U42" s="100">
        <f>IF(AND(D25&lt;&gt;0,F25&lt;&gt;0),1,0)</f>
        <v>1</v>
      </c>
      <c r="V42" s="101"/>
    </row>
    <row r="43" spans="1:26" hidden="1" x14ac:dyDescent="0.2">
      <c r="A43" s="65"/>
      <c r="B43" s="67"/>
      <c r="C43" s="67"/>
      <c r="D43" s="67"/>
      <c r="E43" s="67"/>
      <c r="F43" s="67"/>
      <c r="G43" s="67"/>
      <c r="H43" s="67"/>
      <c r="I43" s="67"/>
      <c r="J43" s="67"/>
      <c r="K43" s="67"/>
      <c r="L43" s="67"/>
      <c r="M43" s="67"/>
      <c r="N43" s="67"/>
      <c r="O43" s="67"/>
      <c r="P43" s="67"/>
      <c r="Q43" s="70"/>
      <c r="T43" s="77"/>
      <c r="U43" s="77"/>
    </row>
    <row r="44" spans="1:26" hidden="1" x14ac:dyDescent="0.2">
      <c r="A44" s="65"/>
      <c r="B44" s="67"/>
      <c r="C44" s="67"/>
      <c r="D44" s="67"/>
      <c r="E44" s="67"/>
      <c r="F44" s="67"/>
      <c r="G44" s="67"/>
      <c r="H44" s="67"/>
      <c r="I44" s="67"/>
      <c r="J44" s="67"/>
      <c r="K44" s="67"/>
      <c r="L44" s="67"/>
      <c r="M44" s="67"/>
      <c r="N44" s="67"/>
      <c r="O44" s="67"/>
      <c r="P44" s="67"/>
      <c r="Q44" s="70"/>
      <c r="T44" s="77"/>
      <c r="U44" s="77"/>
    </row>
    <row r="45" spans="1:26" hidden="1" x14ac:dyDescent="0.2">
      <c r="A45" s="65"/>
      <c r="B45" s="67"/>
      <c r="C45" s="67"/>
      <c r="D45" s="67"/>
      <c r="E45" s="67"/>
      <c r="F45" s="67"/>
      <c r="G45" s="67"/>
      <c r="H45" s="258" t="s">
        <v>58</v>
      </c>
      <c r="I45" s="258"/>
      <c r="J45" s="67"/>
      <c r="K45" s="67"/>
      <c r="L45" s="67"/>
      <c r="M45" s="175" t="s">
        <v>6</v>
      </c>
      <c r="N45" s="67"/>
      <c r="O45" s="67"/>
      <c r="P45" s="67"/>
      <c r="Q45" s="70"/>
      <c r="T45" s="77"/>
      <c r="U45" s="77"/>
    </row>
    <row r="46" spans="1:26" ht="18" customHeight="1" x14ac:dyDescent="0.2">
      <c r="A46" s="65"/>
      <c r="B46" s="176" t="s">
        <v>59</v>
      </c>
      <c r="C46" s="177"/>
      <c r="D46" s="177"/>
      <c r="E46" s="177"/>
      <c r="F46" s="177"/>
      <c r="G46" s="177"/>
      <c r="H46" s="177"/>
      <c r="I46" s="177"/>
      <c r="J46" s="177"/>
      <c r="K46" s="177"/>
      <c r="L46" s="177"/>
      <c r="M46" s="177"/>
      <c r="N46" s="177"/>
      <c r="O46" s="177"/>
      <c r="P46" s="177"/>
      <c r="Q46" s="70"/>
      <c r="T46" s="107" t="s">
        <v>60</v>
      </c>
      <c r="U46" s="108">
        <f>SUM(U30:U42)</f>
        <v>8</v>
      </c>
    </row>
    <row r="47" spans="1:26" ht="18" hidden="1" customHeight="1" x14ac:dyDescent="0.2">
      <c r="A47" s="65"/>
      <c r="B47" s="178"/>
      <c r="C47" s="177"/>
      <c r="D47" s="177"/>
      <c r="E47" s="177"/>
      <c r="F47" s="177"/>
      <c r="G47" s="177"/>
      <c r="H47" s="177"/>
      <c r="I47" s="177"/>
      <c r="J47" s="177"/>
      <c r="K47" s="177"/>
      <c r="L47" s="177"/>
      <c r="M47" s="177"/>
      <c r="N47" s="177"/>
      <c r="O47" s="177"/>
      <c r="P47" s="177"/>
      <c r="Q47" s="70"/>
    </row>
    <row r="48" spans="1:26" ht="15" customHeight="1" x14ac:dyDescent="0.2">
      <c r="A48" s="65"/>
      <c r="B48" s="270" t="s">
        <v>61</v>
      </c>
      <c r="C48" s="270"/>
      <c r="D48" s="270"/>
      <c r="E48" s="270"/>
      <c r="F48" s="270"/>
      <c r="G48" s="270"/>
      <c r="H48" s="270"/>
      <c r="I48" s="270"/>
      <c r="J48" s="270"/>
      <c r="K48" s="270"/>
      <c r="L48" s="270"/>
      <c r="M48" s="270"/>
      <c r="N48" s="179"/>
      <c r="O48" s="179"/>
      <c r="P48" s="179"/>
      <c r="Q48" s="70"/>
    </row>
    <row r="49" spans="1:17" ht="15" customHeight="1" x14ac:dyDescent="0.2">
      <c r="A49" s="65"/>
      <c r="B49" s="270"/>
      <c r="C49" s="270"/>
      <c r="D49" s="270"/>
      <c r="E49" s="270"/>
      <c r="F49" s="270"/>
      <c r="G49" s="270"/>
      <c r="H49" s="270"/>
      <c r="I49" s="270"/>
      <c r="J49" s="270"/>
      <c r="K49" s="270"/>
      <c r="L49" s="270"/>
      <c r="M49" s="270"/>
      <c r="N49" s="179"/>
      <c r="O49" s="179"/>
      <c r="P49" s="179"/>
      <c r="Q49" s="70"/>
    </row>
    <row r="50" spans="1:17" ht="16" customHeight="1" x14ac:dyDescent="0.2">
      <c r="A50" s="65"/>
      <c r="B50" s="177" t="s">
        <v>62</v>
      </c>
      <c r="C50" s="177"/>
      <c r="D50" s="177"/>
      <c r="E50" s="177"/>
      <c r="F50" s="177"/>
      <c r="G50" s="177"/>
      <c r="H50" s="177"/>
      <c r="I50" s="177"/>
      <c r="J50" s="177"/>
      <c r="K50" s="177"/>
      <c r="L50" s="177"/>
      <c r="M50" s="177"/>
      <c r="N50" s="177"/>
      <c r="O50" s="177"/>
      <c r="P50" s="177"/>
      <c r="Q50" s="70"/>
    </row>
    <row r="51" spans="1:17" ht="15" customHeight="1" x14ac:dyDescent="0.2">
      <c r="A51" s="65"/>
      <c r="B51" s="266" t="s">
        <v>63</v>
      </c>
      <c r="C51" s="266"/>
      <c r="D51" s="266"/>
      <c r="E51" s="266"/>
      <c r="F51" s="266"/>
      <c r="G51" s="266"/>
      <c r="H51" s="266"/>
      <c r="I51" s="266"/>
      <c r="J51" s="266"/>
      <c r="K51" s="266"/>
      <c r="L51" s="266"/>
      <c r="M51" s="266"/>
      <c r="N51" s="266"/>
      <c r="O51" s="266"/>
      <c r="P51" s="266"/>
      <c r="Q51" s="70"/>
    </row>
    <row r="52" spans="1:17" ht="7" customHeight="1" thickBot="1" x14ac:dyDescent="0.25">
      <c r="A52" s="109"/>
      <c r="B52" s="110"/>
      <c r="C52" s="110"/>
      <c r="D52" s="110"/>
      <c r="E52" s="110"/>
      <c r="F52" s="110"/>
      <c r="G52" s="110"/>
      <c r="H52" s="110"/>
      <c r="I52" s="110"/>
      <c r="J52" s="110"/>
      <c r="K52" s="110"/>
      <c r="L52" s="110"/>
      <c r="M52" s="110"/>
      <c r="N52" s="110"/>
      <c r="O52" s="110"/>
      <c r="P52" s="110"/>
      <c r="Q52" s="111"/>
    </row>
    <row r="55" spans="1:17" hidden="1" x14ac:dyDescent="0.2"/>
    <row r="56" spans="1:17" hidden="1" x14ac:dyDescent="0.2"/>
    <row r="57" spans="1:17" hidden="1" x14ac:dyDescent="0.2"/>
    <row r="58" spans="1:17" hidden="1" x14ac:dyDescent="0.2"/>
    <row r="59" spans="1:17" hidden="1" x14ac:dyDescent="0.2">
      <c r="H59" s="258" t="s">
        <v>56</v>
      </c>
      <c r="I59" s="258"/>
      <c r="K59" s="67"/>
      <c r="L59" s="67"/>
      <c r="M59" s="175"/>
    </row>
    <row r="60" spans="1:17" hidden="1" x14ac:dyDescent="0.2"/>
    <row r="61" spans="1:17" hidden="1" x14ac:dyDescent="0.2"/>
    <row r="62" spans="1:17" hidden="1" x14ac:dyDescent="0.2"/>
  </sheetData>
  <sheetProtection algorithmName="SHA-512" hashValue="KR6GIDXmiqKKtmmtbMaC/9qtOi9IqMsrndGKlTs/S7JG1B5XW1MH+yCv/gcqQNUwAhguZpasZmQ+6ReDv8k1Vg==" saltValue="9HpKVLiP9Gk9hhFKwe4otA==" spinCount="100000" sheet="1" formatColumns="0" formatRows="0"/>
  <protectedRanges>
    <protectedRange sqref="F9" name="Rango1"/>
  </protectedRanges>
  <mergeCells count="23">
    <mergeCell ref="H59:I59"/>
    <mergeCell ref="B35:C35"/>
    <mergeCell ref="E35:F35"/>
    <mergeCell ref="F9:G9"/>
    <mergeCell ref="D12:E12"/>
    <mergeCell ref="F12:G12"/>
    <mergeCell ref="E34:F34"/>
    <mergeCell ref="B34:C34"/>
    <mergeCell ref="B51:P51"/>
    <mergeCell ref="C38:D38"/>
    <mergeCell ref="E38:F38"/>
    <mergeCell ref="E39:F39"/>
    <mergeCell ref="E41:F41"/>
    <mergeCell ref="E40:F40"/>
    <mergeCell ref="B48:M49"/>
    <mergeCell ref="H38:M38"/>
    <mergeCell ref="A1:D1"/>
    <mergeCell ref="B31:C31"/>
    <mergeCell ref="H39:I39"/>
    <mergeCell ref="H45:I45"/>
    <mergeCell ref="B6:H6"/>
    <mergeCell ref="B7:H7"/>
    <mergeCell ref="I6:M6"/>
  </mergeCells>
  <phoneticPr fontId="2" type="noConversion"/>
  <dataValidations count="3">
    <dataValidation type="decimal" allowBlank="1" showInputMessage="1" showErrorMessage="1" sqref="H14:H25" xr:uid="{00000000-0002-0000-0000-000000000000}">
      <formula1>0</formula1>
      <formula2>50</formula2>
    </dataValidation>
    <dataValidation type="decimal" allowBlank="1" showInputMessage="1" showErrorMessage="1" sqref="H27" xr:uid="{00000000-0002-0000-0000-000002000000}">
      <formula1>0</formula1>
      <formula2>1000</formula2>
    </dataValidation>
    <dataValidation type="list" allowBlank="1" showInputMessage="1" showErrorMessage="1" sqref="M45" xr:uid="{00000000-0002-0000-0000-000003000000}">
      <formula1>$IV$1:$IV$5</formula1>
    </dataValidation>
  </dataValidations>
  <printOptions horizontalCentered="1"/>
  <pageMargins left="0.39370078740157483" right="0.39370078740157483" top="0.39370078740157483" bottom="0.39370078740157483" header="0.15748031496062992" footer="0"/>
  <pageSetup scale="80" orientation="landscape" r:id="rId1"/>
  <headerFooter alignWithMargins="0">
    <oddFooter>&amp;L&amp;1#&amp;"Calibri"&amp;9&amp;K737373Classification: Customer Confidential</oddFooter>
  </headerFooter>
  <customProperties>
    <customPr name="QAA_DRILLPATH_NODE_ID" r:id="rId2"/>
  </customProperties>
  <ignoredErrors>
    <ignoredError sqref="H15:H21 H22:H25" unlockedFormula="1"/>
  </ignoredErrors>
  <drawing r:id="rId3"/>
  <legacyDrawing r:id="rId4"/>
  <extLst>
    <ext xmlns:x14="http://schemas.microsoft.com/office/spreadsheetml/2009/9/main" uri="{CCE6A557-97BC-4b89-ADB6-D9C93CAAB3DF}">
      <x14:dataValidations xmlns:xm="http://schemas.microsoft.com/office/excel/2006/main" count="1">
        <x14:dataValidation type="list" allowBlank="1" showInputMessage="1" showErrorMessage="1" xr:uid="{644A2445-EF65-48F5-9BDE-582C802C3C7F}">
          <x14:formula1>
            <xm:f>UF!$C$3:$C$4</xm:f>
          </x14:formula1>
          <xm:sqref>M10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AK45"/>
  <sheetViews>
    <sheetView topLeftCell="A20" zoomScale="90" zoomScaleNormal="90" workbookViewId="0">
      <selection activeCell="H10" sqref="H10"/>
    </sheetView>
  </sheetViews>
  <sheetFormatPr baseColWidth="10" defaultColWidth="11.33203125" defaultRowHeight="16" x14ac:dyDescent="0.2"/>
  <cols>
    <col min="1" max="1" width="1.6640625" style="55" customWidth="1"/>
    <col min="2" max="2" width="12.6640625" style="55" customWidth="1"/>
    <col min="3" max="8" width="24.6640625" style="55" customWidth="1"/>
    <col min="9" max="9" width="1.6640625" style="55" customWidth="1"/>
    <col min="10" max="10" width="12.33203125" style="67" bestFit="1" customWidth="1"/>
    <col min="11" max="11" width="11.33203125" style="67"/>
    <col min="12" max="12" width="12.33203125" style="67" bestFit="1" customWidth="1"/>
    <col min="13" max="37" width="11.33203125" style="67"/>
    <col min="38" max="16384" width="11.33203125" style="55"/>
  </cols>
  <sheetData>
    <row r="1" spans="1:18" x14ac:dyDescent="0.2">
      <c r="B1" s="274" t="s">
        <v>0</v>
      </c>
      <c r="C1" s="274"/>
      <c r="D1" s="274"/>
      <c r="E1" s="139"/>
      <c r="F1" s="139"/>
      <c r="G1" s="139"/>
      <c r="H1" s="143" t="s">
        <v>1</v>
      </c>
      <c r="I1" s="46"/>
      <c r="J1" s="46"/>
      <c r="K1" s="46"/>
      <c r="M1" s="55"/>
      <c r="N1" s="55"/>
      <c r="O1" s="55"/>
      <c r="P1" s="55"/>
      <c r="Q1" s="55"/>
      <c r="R1" s="126"/>
    </row>
    <row r="2" spans="1:18" x14ac:dyDescent="0.2">
      <c r="B2" s="141"/>
      <c r="C2" s="141"/>
      <c r="D2" s="141"/>
      <c r="E2" s="141"/>
      <c r="F2" s="139"/>
      <c r="G2" s="139"/>
      <c r="H2" s="143" t="s">
        <v>3</v>
      </c>
      <c r="I2" s="46"/>
      <c r="J2" s="46"/>
      <c r="K2" s="46"/>
      <c r="M2" s="55"/>
      <c r="N2" s="55"/>
      <c r="O2" s="55"/>
      <c r="P2" s="55"/>
      <c r="Q2" s="55"/>
      <c r="R2" s="126"/>
    </row>
    <row r="3" spans="1:18" x14ac:dyDescent="0.2">
      <c r="B3" s="141"/>
      <c r="C3" s="141"/>
      <c r="D3" s="141"/>
      <c r="E3" s="141"/>
      <c r="F3" s="139"/>
      <c r="G3" s="139"/>
      <c r="H3" s="143"/>
      <c r="I3" s="46"/>
      <c r="J3" s="46"/>
      <c r="K3" s="46"/>
      <c r="M3" s="55"/>
      <c r="N3" s="55"/>
      <c r="O3" s="55"/>
      <c r="P3" s="55"/>
      <c r="Q3" s="55"/>
      <c r="R3" s="126"/>
    </row>
    <row r="4" spans="1:18" ht="17" thickBot="1" x14ac:dyDescent="0.25">
      <c r="H4" s="67"/>
    </row>
    <row r="5" spans="1:18" ht="6" customHeight="1" x14ac:dyDescent="0.2">
      <c r="A5" s="56"/>
      <c r="B5" s="57"/>
      <c r="C5" s="57"/>
      <c r="D5" s="57"/>
      <c r="E5" s="57"/>
      <c r="F5" s="57"/>
      <c r="G5" s="57"/>
      <c r="H5" s="57"/>
      <c r="I5" s="58"/>
    </row>
    <row r="6" spans="1:18" ht="18" customHeight="1" x14ac:dyDescent="0.2">
      <c r="A6" s="59"/>
      <c r="B6" s="272" t="s">
        <v>65</v>
      </c>
      <c r="C6" s="272"/>
      <c r="D6" s="272"/>
      <c r="E6" s="272"/>
      <c r="F6" s="272"/>
      <c r="G6" s="273" t="str">
        <f>Mes!I6</f>
        <v>Actualizado a Julio 2025</v>
      </c>
      <c r="H6" s="273"/>
      <c r="I6" s="61"/>
    </row>
    <row r="7" spans="1:18" ht="6" customHeight="1" x14ac:dyDescent="0.2">
      <c r="A7" s="59"/>
      <c r="B7" s="186"/>
      <c r="C7" s="186"/>
      <c r="D7" s="186"/>
      <c r="E7" s="186"/>
      <c r="F7" s="186"/>
      <c r="G7" s="138"/>
      <c r="H7" s="138"/>
      <c r="I7" s="61"/>
    </row>
    <row r="8" spans="1:18" ht="18" customHeight="1" x14ac:dyDescent="0.2">
      <c r="A8" s="59"/>
      <c r="B8" s="187"/>
      <c r="C8" s="186"/>
      <c r="D8" s="186"/>
      <c r="E8" s="186"/>
      <c r="F8" s="186"/>
      <c r="G8" s="183" t="s">
        <v>9</v>
      </c>
      <c r="H8" s="184">
        <f ca="1">Mes!I9</f>
        <v>45839</v>
      </c>
      <c r="I8" s="61"/>
    </row>
    <row r="9" spans="1:18" ht="18" customHeight="1" x14ac:dyDescent="0.2">
      <c r="A9" s="59"/>
      <c r="B9" s="186"/>
      <c r="C9" s="186"/>
      <c r="D9" s="148" t="s">
        <v>66</v>
      </c>
      <c r="E9" s="188">
        <f>+Mes!F9</f>
        <v>0</v>
      </c>
      <c r="F9" s="178"/>
      <c r="G9" s="183" t="s">
        <v>67</v>
      </c>
      <c r="H9" s="185">
        <f>Mes!I25</f>
        <v>64216</v>
      </c>
      <c r="I9" s="61"/>
    </row>
    <row r="10" spans="1:18" ht="18" customHeight="1" x14ac:dyDescent="0.2">
      <c r="A10" s="59"/>
      <c r="B10" s="138"/>
      <c r="C10" s="138"/>
      <c r="D10" s="67"/>
      <c r="E10" s="67"/>
      <c r="F10" s="67"/>
      <c r="G10" s="183" t="s">
        <v>68</v>
      </c>
      <c r="H10" s="185">
        <f>H9*12</f>
        <v>770592</v>
      </c>
      <c r="I10" s="61"/>
    </row>
    <row r="11" spans="1:18" ht="18" customHeight="1" x14ac:dyDescent="0.2">
      <c r="A11" s="65"/>
      <c r="B11" s="67"/>
      <c r="C11" s="67"/>
      <c r="D11" s="284"/>
      <c r="E11" s="284"/>
      <c r="F11" s="284"/>
      <c r="G11" s="284"/>
      <c r="H11" s="67"/>
      <c r="I11" s="70"/>
    </row>
    <row r="12" spans="1:18" ht="18" customHeight="1" x14ac:dyDescent="0.2">
      <c r="A12" s="72"/>
      <c r="B12" s="246" t="s">
        <v>14</v>
      </c>
      <c r="C12" s="246" t="s">
        <v>15</v>
      </c>
      <c r="D12" s="246" t="s">
        <v>69</v>
      </c>
      <c r="E12" s="246" t="s">
        <v>70</v>
      </c>
      <c r="F12" s="246" t="s">
        <v>71</v>
      </c>
      <c r="G12" s="246" t="s">
        <v>72</v>
      </c>
      <c r="H12" s="246" t="s">
        <v>73</v>
      </c>
      <c r="I12" s="74"/>
      <c r="J12" s="73"/>
    </row>
    <row r="13" spans="1:18" ht="18" customHeight="1" x14ac:dyDescent="0.2">
      <c r="A13" s="65"/>
      <c r="B13" s="159">
        <v>1</v>
      </c>
      <c r="C13" s="160" t="s">
        <v>31</v>
      </c>
      <c r="D13" s="180"/>
      <c r="E13" s="180">
        <v>0</v>
      </c>
      <c r="F13" s="181" t="s">
        <v>74</v>
      </c>
      <c r="G13" s="161">
        <f>(D13-E13)*(12/12)</f>
        <v>0</v>
      </c>
      <c r="H13" s="182">
        <f>(D13-E13)-G13</f>
        <v>0</v>
      </c>
      <c r="I13" s="70"/>
    </row>
    <row r="14" spans="1:18" ht="18" customHeight="1" x14ac:dyDescent="0.2">
      <c r="A14" s="65"/>
      <c r="B14" s="159">
        <v>2</v>
      </c>
      <c r="C14" s="160" t="s">
        <v>32</v>
      </c>
      <c r="D14" s="180"/>
      <c r="E14" s="180">
        <v>0</v>
      </c>
      <c r="F14" s="181" t="s">
        <v>75</v>
      </c>
      <c r="G14" s="161">
        <f>(D14-E14)*(11/12)</f>
        <v>0</v>
      </c>
      <c r="H14" s="182">
        <f t="shared" ref="H14:H24" si="0">(D14-E14)-G14</f>
        <v>0</v>
      </c>
      <c r="I14" s="70"/>
    </row>
    <row r="15" spans="1:18" ht="18" customHeight="1" x14ac:dyDescent="0.2">
      <c r="A15" s="65"/>
      <c r="B15" s="159">
        <v>3</v>
      </c>
      <c r="C15" s="160" t="s">
        <v>33</v>
      </c>
      <c r="D15" s="180"/>
      <c r="E15" s="180">
        <v>0</v>
      </c>
      <c r="F15" s="181" t="s">
        <v>76</v>
      </c>
      <c r="G15" s="161">
        <f>(D15-E15)*(10/12)</f>
        <v>0</v>
      </c>
      <c r="H15" s="182">
        <f t="shared" si="0"/>
        <v>0</v>
      </c>
      <c r="I15" s="70"/>
    </row>
    <row r="16" spans="1:18" ht="18" customHeight="1" x14ac:dyDescent="0.2">
      <c r="A16" s="65"/>
      <c r="B16" s="159">
        <v>4</v>
      </c>
      <c r="C16" s="160" t="s">
        <v>11</v>
      </c>
      <c r="D16" s="180"/>
      <c r="E16" s="180">
        <v>0</v>
      </c>
      <c r="F16" s="181" t="s">
        <v>77</v>
      </c>
      <c r="G16" s="161">
        <f>(D16-E16)*(9/12)</f>
        <v>0</v>
      </c>
      <c r="H16" s="182">
        <f t="shared" si="0"/>
        <v>0</v>
      </c>
      <c r="I16" s="70"/>
    </row>
    <row r="17" spans="1:12" ht="18" customHeight="1" x14ac:dyDescent="0.2">
      <c r="A17" s="65"/>
      <c r="B17" s="159">
        <v>5</v>
      </c>
      <c r="C17" s="160" t="s">
        <v>34</v>
      </c>
      <c r="D17" s="180"/>
      <c r="E17" s="180">
        <v>0</v>
      </c>
      <c r="F17" s="181" t="s">
        <v>78</v>
      </c>
      <c r="G17" s="161">
        <f>(D17-E17)*(8/12)</f>
        <v>0</v>
      </c>
      <c r="H17" s="182">
        <f t="shared" si="0"/>
        <v>0</v>
      </c>
      <c r="I17" s="70"/>
    </row>
    <row r="18" spans="1:12" ht="18" customHeight="1" x14ac:dyDescent="0.2">
      <c r="A18" s="65"/>
      <c r="B18" s="159">
        <v>6</v>
      </c>
      <c r="C18" s="160" t="s">
        <v>35</v>
      </c>
      <c r="D18" s="180"/>
      <c r="E18" s="180">
        <v>0</v>
      </c>
      <c r="F18" s="181" t="s">
        <v>79</v>
      </c>
      <c r="G18" s="161">
        <f>(D18-E18)*(7/12)</f>
        <v>0</v>
      </c>
      <c r="H18" s="182">
        <f t="shared" si="0"/>
        <v>0</v>
      </c>
      <c r="I18" s="70"/>
    </row>
    <row r="19" spans="1:12" ht="18" customHeight="1" x14ac:dyDescent="0.2">
      <c r="A19" s="65"/>
      <c r="B19" s="159">
        <v>7</v>
      </c>
      <c r="C19" s="160" t="s">
        <v>36</v>
      </c>
      <c r="D19" s="180"/>
      <c r="E19" s="180">
        <v>0</v>
      </c>
      <c r="F19" s="181" t="s">
        <v>80</v>
      </c>
      <c r="G19" s="161">
        <f>(D19-E19)*(6/12)</f>
        <v>0</v>
      </c>
      <c r="H19" s="182">
        <f t="shared" si="0"/>
        <v>0</v>
      </c>
      <c r="I19" s="70"/>
    </row>
    <row r="20" spans="1:12" ht="18" customHeight="1" x14ac:dyDescent="0.2">
      <c r="A20" s="65"/>
      <c r="B20" s="159">
        <v>8</v>
      </c>
      <c r="C20" s="160" t="s">
        <v>37</v>
      </c>
      <c r="D20" s="180"/>
      <c r="E20" s="180">
        <v>0</v>
      </c>
      <c r="F20" s="181" t="s">
        <v>81</v>
      </c>
      <c r="G20" s="161">
        <f>(D20-E20)*(5/12)</f>
        <v>0</v>
      </c>
      <c r="H20" s="182">
        <f t="shared" si="0"/>
        <v>0</v>
      </c>
      <c r="I20" s="86"/>
    </row>
    <row r="21" spans="1:12" ht="18" customHeight="1" x14ac:dyDescent="0.2">
      <c r="A21" s="65"/>
      <c r="B21" s="159">
        <v>9</v>
      </c>
      <c r="C21" s="160" t="s">
        <v>38</v>
      </c>
      <c r="D21" s="180"/>
      <c r="E21" s="180">
        <v>0</v>
      </c>
      <c r="F21" s="181" t="s">
        <v>82</v>
      </c>
      <c r="G21" s="161">
        <f>(D21-E21)*(4/12)</f>
        <v>0</v>
      </c>
      <c r="H21" s="182">
        <f t="shared" si="0"/>
        <v>0</v>
      </c>
      <c r="I21" s="86"/>
    </row>
    <row r="22" spans="1:12" ht="18" customHeight="1" x14ac:dyDescent="0.2">
      <c r="A22" s="65"/>
      <c r="B22" s="159">
        <v>10</v>
      </c>
      <c r="C22" s="160" t="s">
        <v>39</v>
      </c>
      <c r="D22" s="180"/>
      <c r="E22" s="180">
        <v>0</v>
      </c>
      <c r="F22" s="181" t="s">
        <v>83</v>
      </c>
      <c r="G22" s="161">
        <f>(D22-E22)*(3/12)</f>
        <v>0</v>
      </c>
      <c r="H22" s="182">
        <f t="shared" si="0"/>
        <v>0</v>
      </c>
      <c r="I22" s="86"/>
    </row>
    <row r="23" spans="1:12" ht="18" customHeight="1" x14ac:dyDescent="0.2">
      <c r="A23" s="65"/>
      <c r="B23" s="159">
        <v>11</v>
      </c>
      <c r="C23" s="160" t="s">
        <v>40</v>
      </c>
      <c r="D23" s="180"/>
      <c r="E23" s="180">
        <v>0</v>
      </c>
      <c r="F23" s="181" t="s">
        <v>84</v>
      </c>
      <c r="G23" s="161">
        <f>(D23-E23)*(2/12)</f>
        <v>0</v>
      </c>
      <c r="H23" s="182">
        <f t="shared" si="0"/>
        <v>0</v>
      </c>
      <c r="I23" s="86"/>
    </row>
    <row r="24" spans="1:12" ht="18" customHeight="1" x14ac:dyDescent="0.2">
      <c r="A24" s="65"/>
      <c r="B24" s="159">
        <v>12</v>
      </c>
      <c r="C24" s="160" t="s">
        <v>41</v>
      </c>
      <c r="D24" s="180"/>
      <c r="E24" s="180">
        <v>0</v>
      </c>
      <c r="F24" s="181" t="s">
        <v>85</v>
      </c>
      <c r="G24" s="161">
        <f>(D24-E24)*(1/12)</f>
        <v>0</v>
      </c>
      <c r="H24" s="182">
        <f t="shared" si="0"/>
        <v>0</v>
      </c>
      <c r="I24" s="86"/>
    </row>
    <row r="25" spans="1:12" ht="6" customHeight="1" x14ac:dyDescent="0.2">
      <c r="A25" s="65"/>
      <c r="B25" s="244"/>
      <c r="C25" s="67"/>
      <c r="D25" s="87"/>
      <c r="E25" s="87"/>
      <c r="F25" s="87"/>
      <c r="G25" s="87"/>
      <c r="H25" s="87"/>
      <c r="I25" s="70"/>
    </row>
    <row r="26" spans="1:12" ht="18" customHeight="1" x14ac:dyDescent="0.2">
      <c r="A26" s="65"/>
      <c r="C26" s="190" t="s">
        <v>86</v>
      </c>
      <c r="D26" s="191">
        <f>SUM(D13:D24)</f>
        <v>0</v>
      </c>
      <c r="E26" s="191">
        <f>SUM(E13:E24)</f>
        <v>0</v>
      </c>
      <c r="F26" s="192"/>
      <c r="G26" s="191">
        <f>SUM(G13:G24)</f>
        <v>0</v>
      </c>
      <c r="H26" s="193">
        <f>SUM(H13:H24)</f>
        <v>0</v>
      </c>
      <c r="I26" s="70"/>
    </row>
    <row r="27" spans="1:12" ht="6" customHeight="1" x14ac:dyDescent="0.2">
      <c r="A27" s="65"/>
      <c r="B27" s="67"/>
      <c r="C27" s="244"/>
      <c r="D27" s="95"/>
      <c r="E27" s="95"/>
      <c r="F27" s="67"/>
      <c r="G27" s="67"/>
      <c r="H27" s="67"/>
      <c r="I27" s="70"/>
    </row>
    <row r="28" spans="1:12" ht="18" customHeight="1" x14ac:dyDescent="0.2">
      <c r="A28" s="65"/>
      <c r="B28" s="67"/>
      <c r="C28" s="278" t="s">
        <v>87</v>
      </c>
      <c r="D28" s="279"/>
      <c r="E28" s="280"/>
      <c r="F28" s="189">
        <f>G26</f>
        <v>0</v>
      </c>
      <c r="G28" s="67"/>
      <c r="H28" s="67"/>
      <c r="I28" s="70"/>
      <c r="L28" s="99"/>
    </row>
    <row r="29" spans="1:12" ht="18" customHeight="1" x14ac:dyDescent="0.2">
      <c r="A29" s="65"/>
      <c r="B29" s="67"/>
      <c r="C29" s="278" t="s">
        <v>88</v>
      </c>
      <c r="D29" s="279"/>
      <c r="E29" s="280"/>
      <c r="F29" s="194">
        <v>0</v>
      </c>
      <c r="G29" s="67"/>
      <c r="H29" s="67"/>
      <c r="I29" s="70"/>
    </row>
    <row r="30" spans="1:12" ht="18" customHeight="1" x14ac:dyDescent="0.2">
      <c r="A30" s="65"/>
      <c r="B30" s="67"/>
      <c r="C30" s="275" t="s">
        <v>89</v>
      </c>
      <c r="D30" s="276"/>
      <c r="E30" s="277"/>
      <c r="F30" s="189">
        <f>F28+F29</f>
        <v>0</v>
      </c>
      <c r="G30" s="67"/>
      <c r="H30" s="67"/>
      <c r="I30" s="70"/>
    </row>
    <row r="31" spans="1:12" ht="18" customHeight="1" x14ac:dyDescent="0.2">
      <c r="A31" s="65"/>
      <c r="B31" s="244"/>
      <c r="C31" s="67"/>
      <c r="D31" s="133"/>
      <c r="E31" s="133"/>
      <c r="F31" s="134"/>
      <c r="G31" s="133"/>
      <c r="H31" s="133"/>
      <c r="I31" s="70"/>
    </row>
    <row r="32" spans="1:12" ht="18" customHeight="1" x14ac:dyDescent="0.2">
      <c r="A32" s="65"/>
      <c r="B32" s="242" t="s">
        <v>50</v>
      </c>
      <c r="C32" s="285" t="s">
        <v>90</v>
      </c>
      <c r="D32" s="286"/>
      <c r="E32" s="195" t="s">
        <v>91</v>
      </c>
      <c r="F32" s="195" t="s">
        <v>92</v>
      </c>
      <c r="G32" s="265" t="s">
        <v>93</v>
      </c>
      <c r="H32" s="265"/>
      <c r="I32" s="70"/>
    </row>
    <row r="33" spans="1:12" ht="18" customHeight="1" x14ac:dyDescent="0.2">
      <c r="A33" s="65"/>
      <c r="B33" s="242" t="s">
        <v>94</v>
      </c>
      <c r="C33" s="281">
        <f>IF(Anual!F26*0.3&lt;0,0,Anual!F26*0.3)</f>
        <v>27088589.740019072</v>
      </c>
      <c r="D33" s="282"/>
      <c r="E33" s="196">
        <f>IF(C33&lt;$H$38,C33,$H$38)</f>
        <v>27088589.740019072</v>
      </c>
      <c r="F33" s="197">
        <f>IF(F$30&lt;E33,0.15*F$30,0.15*E33)</f>
        <v>0</v>
      </c>
      <c r="G33" s="283">
        <f>IF(F29-E33&gt;=0,F29-E33,0)</f>
        <v>0</v>
      </c>
      <c r="H33" s="283"/>
      <c r="I33" s="70"/>
    </row>
    <row r="34" spans="1:12" ht="18" customHeight="1" x14ac:dyDescent="0.2">
      <c r="A34" s="65"/>
      <c r="B34" s="242">
        <v>1</v>
      </c>
      <c r="C34" s="288">
        <f>IF(Anual!G26*0.3&lt;0,0,Anual!G26*0.3)</f>
        <v>25588589.740019072</v>
      </c>
      <c r="D34" s="289"/>
      <c r="E34" s="243">
        <f>IF(C34&lt;H$38,C34,H$38)</f>
        <v>25588589.740019072</v>
      </c>
      <c r="F34" s="197">
        <f>IF(F$30&lt;E34,0.15*F$30,0.15*E34)</f>
        <v>0</v>
      </c>
      <c r="G34" s="283">
        <f>IF(F30-E34&gt;=0,F30-E34,0)</f>
        <v>0</v>
      </c>
      <c r="H34" s="283"/>
      <c r="I34" s="70"/>
      <c r="J34" s="99"/>
    </row>
    <row r="35" spans="1:12" ht="18" customHeight="1" x14ac:dyDescent="0.2">
      <c r="A35" s="65"/>
      <c r="B35" s="242">
        <v>2</v>
      </c>
      <c r="C35" s="288">
        <f>IF(Anual!H26*0.3&lt;0,0,Anual!H26*0.3)</f>
        <v>24088589.740019072</v>
      </c>
      <c r="D35" s="289"/>
      <c r="E35" s="243">
        <f>IF(C35&lt;H$38,C35,H$38)</f>
        <v>24088589.740019072</v>
      </c>
      <c r="F35" s="197">
        <f>IF(F$30&lt;E35,0.15*F$30,0.15*E35)</f>
        <v>0</v>
      </c>
      <c r="G35" s="288">
        <f>IF(F30-E35&gt;=0,F30-E35,0)</f>
        <v>0</v>
      </c>
      <c r="H35" s="289"/>
      <c r="I35" s="70"/>
    </row>
    <row r="36" spans="1:12" ht="18" customHeight="1" x14ac:dyDescent="0.2">
      <c r="A36" s="65"/>
      <c r="B36" s="242">
        <v>3</v>
      </c>
      <c r="C36" s="288">
        <f>IF(Anual!I26*0.3&lt;0,0,Anual!I26*0.3)</f>
        <v>20157726.136019073</v>
      </c>
      <c r="D36" s="289"/>
      <c r="E36" s="243">
        <f>IF(C36&lt;H$38,C36,H$38)</f>
        <v>20157726.136019073</v>
      </c>
      <c r="F36" s="197">
        <f>IF(F$30&lt;E36,0.15*F$30,0.15*E36)</f>
        <v>0</v>
      </c>
      <c r="G36" s="288">
        <f>IF(F30-E36&gt;=0,F30-E36,0)</f>
        <v>0</v>
      </c>
      <c r="H36" s="289"/>
      <c r="I36" s="70"/>
    </row>
    <row r="37" spans="1:12" ht="18" customHeight="1" x14ac:dyDescent="0.2">
      <c r="A37" s="65"/>
      <c r="B37" s="244"/>
      <c r="C37" s="67"/>
      <c r="D37" s="67"/>
      <c r="E37" s="67"/>
      <c r="F37" s="67"/>
      <c r="G37" s="67"/>
      <c r="H37" s="67"/>
      <c r="I37" s="70"/>
    </row>
    <row r="38" spans="1:12" ht="18" customHeight="1" x14ac:dyDescent="0.2">
      <c r="A38" s="65"/>
      <c r="B38" s="198"/>
      <c r="C38" s="198"/>
      <c r="D38" s="199"/>
      <c r="E38" s="199" t="s">
        <v>95</v>
      </c>
      <c r="F38" s="201">
        <f>0.3*Anual!G26</f>
        <v>25588589.740019072</v>
      </c>
      <c r="G38" s="200" t="s">
        <v>96</v>
      </c>
      <c r="H38" s="201">
        <f>65*Mes!$I25*12</f>
        <v>50088480</v>
      </c>
      <c r="I38" s="70"/>
    </row>
    <row r="39" spans="1:12" ht="18" customHeight="1" x14ac:dyDescent="0.2">
      <c r="A39" s="65"/>
      <c r="B39" s="67"/>
      <c r="C39" s="67"/>
      <c r="D39" s="67"/>
      <c r="E39" s="67"/>
      <c r="F39" s="67"/>
      <c r="G39" s="67"/>
      <c r="H39" s="67"/>
      <c r="I39" s="70"/>
    </row>
    <row r="40" spans="1:12" ht="18" customHeight="1" x14ac:dyDescent="0.2">
      <c r="A40" s="65"/>
      <c r="B40" s="176" t="s">
        <v>59</v>
      </c>
      <c r="C40" s="177"/>
      <c r="D40" s="177"/>
      <c r="E40" s="177"/>
      <c r="F40" s="177"/>
      <c r="G40" s="177"/>
      <c r="H40" s="177"/>
      <c r="I40" s="70"/>
    </row>
    <row r="41" spans="1:12" ht="18" customHeight="1" x14ac:dyDescent="0.2">
      <c r="A41" s="65"/>
      <c r="B41" s="178" t="s">
        <v>97</v>
      </c>
      <c r="C41" s="177"/>
      <c r="D41" s="177"/>
      <c r="E41" s="177"/>
      <c r="F41" s="177"/>
      <c r="G41" s="177"/>
      <c r="H41" s="177"/>
      <c r="I41" s="70"/>
    </row>
    <row r="42" spans="1:12" ht="35.25" customHeight="1" x14ac:dyDescent="0.2">
      <c r="A42" s="65"/>
      <c r="B42" s="290" t="s">
        <v>61</v>
      </c>
      <c r="C42" s="290"/>
      <c r="D42" s="290"/>
      <c r="E42" s="290"/>
      <c r="F42" s="290"/>
      <c r="G42" s="290"/>
      <c r="H42" s="290"/>
      <c r="I42" s="122"/>
      <c r="J42" s="135"/>
      <c r="K42" s="135"/>
      <c r="L42" s="135"/>
    </row>
    <row r="43" spans="1:12" ht="35.25" customHeight="1" x14ac:dyDescent="0.2">
      <c r="A43" s="65"/>
      <c r="B43" s="291" t="s">
        <v>62</v>
      </c>
      <c r="C43" s="291"/>
      <c r="D43" s="291"/>
      <c r="E43" s="291"/>
      <c r="F43" s="291"/>
      <c r="G43" s="291"/>
      <c r="H43" s="291"/>
      <c r="I43" s="70"/>
    </row>
    <row r="44" spans="1:12" ht="18" customHeight="1" x14ac:dyDescent="0.2">
      <c r="A44" s="65"/>
      <c r="B44" s="287" t="s">
        <v>98</v>
      </c>
      <c r="C44" s="287"/>
      <c r="D44" s="287"/>
      <c r="E44" s="287"/>
      <c r="F44" s="287"/>
      <c r="G44" s="287"/>
      <c r="H44" s="287"/>
      <c r="I44" s="70"/>
    </row>
    <row r="45" spans="1:12" ht="6" customHeight="1" thickBot="1" x14ac:dyDescent="0.25">
      <c r="A45" s="109"/>
      <c r="B45" s="110"/>
      <c r="C45" s="110"/>
      <c r="D45" s="110"/>
      <c r="E45" s="110"/>
      <c r="F45" s="110"/>
      <c r="G45" s="110"/>
      <c r="H45" s="110"/>
      <c r="I45" s="111"/>
    </row>
  </sheetData>
  <sheetProtection formatColumns="0" formatRows="0"/>
  <protectedRanges>
    <protectedRange sqref="F29" name="Rango2"/>
    <protectedRange sqref="D13:E24" name="Rango1"/>
  </protectedRanges>
  <mergeCells count="21">
    <mergeCell ref="B44:H44"/>
    <mergeCell ref="C34:D34"/>
    <mergeCell ref="C35:D35"/>
    <mergeCell ref="C36:D36"/>
    <mergeCell ref="G34:H34"/>
    <mergeCell ref="G36:H36"/>
    <mergeCell ref="B42:H42"/>
    <mergeCell ref="B43:H43"/>
    <mergeCell ref="G35:H35"/>
    <mergeCell ref="C33:D33"/>
    <mergeCell ref="G33:H33"/>
    <mergeCell ref="G32:H32"/>
    <mergeCell ref="D11:E11"/>
    <mergeCell ref="F11:G11"/>
    <mergeCell ref="C28:E28"/>
    <mergeCell ref="C32:D32"/>
    <mergeCell ref="B6:F6"/>
    <mergeCell ref="G6:H6"/>
    <mergeCell ref="B1:D1"/>
    <mergeCell ref="C30:E30"/>
    <mergeCell ref="C29:E29"/>
  </mergeCells>
  <phoneticPr fontId="3" type="noConversion"/>
  <dataValidations count="1">
    <dataValidation type="decimal" operator="greaterThanOrEqual" allowBlank="1" showInputMessage="1" showErrorMessage="1" sqref="D13:E24" xr:uid="{00000000-0002-0000-0100-000000000000}">
      <formula1>0</formula1>
    </dataValidation>
  </dataValidations>
  <printOptions horizontalCentered="1"/>
  <pageMargins left="0.39370078740157483" right="0.39370078740157483" top="0.39370078740157483" bottom="0.39370078740157483" header="0.31496062992125984" footer="0.31496062992125984"/>
  <pageSetup scale="80" orientation="landscape" r:id="rId1"/>
  <headerFooter alignWithMargins="0">
    <oddFooter>&amp;L&amp;1#&amp;"Calibri"&amp;9&amp;K737373Classification: Customer Confidential</oddFooter>
  </headerFooter>
  <customProperties>
    <customPr name="QAA_DRILLPATH_NODE_ID" r:id="rId2"/>
  </customProperties>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P67"/>
  <sheetViews>
    <sheetView showGridLines="0" zoomScale="93" zoomScaleNormal="68" workbookViewId="0">
      <selection activeCell="P23" sqref="P23"/>
    </sheetView>
  </sheetViews>
  <sheetFormatPr baseColWidth="10" defaultColWidth="11.33203125" defaultRowHeight="16" x14ac:dyDescent="0.2"/>
  <cols>
    <col min="1" max="1" width="1.6640625" style="55" customWidth="1"/>
    <col min="2" max="4" width="16.6640625" style="55" customWidth="1"/>
    <col min="5" max="5" width="7.6640625" style="55" customWidth="1"/>
    <col min="6" max="8" width="24.6640625" style="55" customWidth="1"/>
    <col min="9" max="9" width="28" style="55" customWidth="1"/>
    <col min="10" max="10" width="1.6640625" style="55" customWidth="1"/>
    <col min="11" max="11" width="11.6640625" style="55" hidden="1" customWidth="1"/>
    <col min="12" max="12" width="13.33203125" style="55" hidden="1" customWidth="1"/>
    <col min="13" max="13" width="14.33203125" style="55" bestFit="1" customWidth="1"/>
    <col min="14" max="14" width="18.6640625" style="55" bestFit="1" customWidth="1"/>
    <col min="15" max="16384" width="11.33203125" style="55"/>
  </cols>
  <sheetData>
    <row r="1" spans="1:14" ht="18" customHeight="1" x14ac:dyDescent="0.2">
      <c r="A1" s="67"/>
      <c r="B1" s="303" t="s">
        <v>0</v>
      </c>
      <c r="C1" s="304"/>
      <c r="D1" s="305"/>
      <c r="E1" s="67"/>
      <c r="F1" s="67"/>
      <c r="G1" s="67"/>
      <c r="H1" s="67"/>
      <c r="I1" s="126" t="s">
        <v>1</v>
      </c>
      <c r="J1" s="67"/>
    </row>
    <row r="2" spans="1:14" ht="18" customHeight="1" x14ac:dyDescent="0.2">
      <c r="A2" s="67"/>
      <c r="B2" s="140"/>
      <c r="C2" s="140"/>
      <c r="D2" s="140"/>
      <c r="E2" s="67"/>
      <c r="F2" s="67"/>
      <c r="G2" s="67"/>
      <c r="H2" s="67"/>
      <c r="I2" s="126" t="s">
        <v>3</v>
      </c>
      <c r="J2" s="67"/>
    </row>
    <row r="3" spans="1:14" ht="18" customHeight="1" x14ac:dyDescent="0.2">
      <c r="A3" s="67"/>
      <c r="B3" s="140"/>
      <c r="C3" s="140"/>
      <c r="D3" s="140"/>
      <c r="E3" s="67"/>
      <c r="F3" s="67"/>
      <c r="G3" s="67"/>
      <c r="H3" s="67"/>
      <c r="I3" s="126"/>
      <c r="J3" s="67"/>
    </row>
    <row r="4" spans="1:14" ht="6" customHeight="1" thickBot="1" x14ac:dyDescent="0.25">
      <c r="A4" s="67"/>
      <c r="B4" s="67"/>
      <c r="C4" s="67"/>
      <c r="D4" s="67"/>
      <c r="E4" s="67"/>
      <c r="F4" s="67"/>
      <c r="G4" s="67"/>
      <c r="H4" s="67"/>
      <c r="I4" s="67"/>
      <c r="J4" s="67"/>
    </row>
    <row r="5" spans="1:14" ht="4" customHeight="1" x14ac:dyDescent="0.2">
      <c r="A5" s="56"/>
      <c r="B5" s="57"/>
      <c r="C5" s="57"/>
      <c r="D5" s="57"/>
      <c r="E5" s="57"/>
      <c r="F5" s="57"/>
      <c r="G5" s="57"/>
      <c r="H5" s="57"/>
      <c r="I5" s="57"/>
      <c r="J5" s="58"/>
    </row>
    <row r="6" spans="1:14" ht="18" customHeight="1" x14ac:dyDescent="0.2">
      <c r="A6" s="65"/>
      <c r="B6" s="316" t="s">
        <v>210</v>
      </c>
      <c r="C6" s="316"/>
      <c r="D6" s="316"/>
      <c r="E6" s="316"/>
      <c r="F6" s="316"/>
      <c r="G6" s="316"/>
      <c r="H6" s="273" t="str">
        <f>Mes!I6</f>
        <v>Actualizado a Julio 2025</v>
      </c>
      <c r="I6" s="273"/>
      <c r="J6" s="70"/>
    </row>
    <row r="7" spans="1:14" ht="6" customHeight="1" x14ac:dyDescent="0.2">
      <c r="A7" s="65"/>
      <c r="B7" s="186"/>
      <c r="C7" s="186"/>
      <c r="D7" s="186"/>
      <c r="E7" s="186"/>
      <c r="F7" s="186"/>
      <c r="G7" s="186"/>
      <c r="H7" s="138"/>
      <c r="I7" s="138"/>
      <c r="J7" s="70"/>
    </row>
    <row r="8" spans="1:14" ht="18" customHeight="1" x14ac:dyDescent="0.2">
      <c r="A8" s="65"/>
      <c r="B8" s="186"/>
      <c r="C8" s="186"/>
      <c r="D8" s="148" t="s">
        <v>66</v>
      </c>
      <c r="E8" s="311"/>
      <c r="F8" s="312"/>
      <c r="G8" s="313"/>
      <c r="H8" s="67"/>
      <c r="I8" s="67"/>
      <c r="J8" s="70"/>
    </row>
    <row r="9" spans="1:14" s="62" customFormat="1" ht="6" customHeight="1" x14ac:dyDescent="0.15">
      <c r="A9" s="59"/>
      <c r="B9" s="179"/>
      <c r="C9" s="179"/>
      <c r="D9" s="179"/>
      <c r="E9" s="179"/>
      <c r="F9" s="179"/>
      <c r="G9" s="202"/>
      <c r="H9" s="60"/>
      <c r="I9" s="60"/>
      <c r="J9" s="61"/>
    </row>
    <row r="10" spans="1:14" s="75" customFormat="1" ht="27" hidden="1" customHeight="1" x14ac:dyDescent="0.15">
      <c r="A10" s="72"/>
      <c r="B10"/>
      <c r="C10" s="66"/>
      <c r="D10" s="66"/>
      <c r="E10" s="66"/>
      <c r="J10" s="112"/>
    </row>
    <row r="11" spans="1:14" ht="18" customHeight="1" x14ac:dyDescent="0.2">
      <c r="A11" s="65"/>
      <c r="B11" s="130"/>
      <c r="C11" s="131"/>
      <c r="D11" s="130"/>
      <c r="E11" s="130"/>
      <c r="F11" s="75"/>
      <c r="G11" s="73"/>
      <c r="H11" s="165" t="s">
        <v>211</v>
      </c>
      <c r="I11" s="165" t="s">
        <v>212</v>
      </c>
      <c r="J11" s="70"/>
    </row>
    <row r="12" spans="1:14" ht="18" customHeight="1" x14ac:dyDescent="0.2">
      <c r="A12" s="65"/>
      <c r="B12" s="67"/>
      <c r="C12" s="67"/>
      <c r="D12" s="130"/>
      <c r="E12" s="130"/>
      <c r="F12" s="198"/>
      <c r="G12" s="199" t="s">
        <v>99</v>
      </c>
      <c r="H12" s="203">
        <f>Mes!E31</f>
        <v>90766786.453396901</v>
      </c>
      <c r="I12" s="204">
        <f>Mes!L27*Mes!I25</f>
        <v>7749293.0357333962</v>
      </c>
      <c r="J12" s="70"/>
    </row>
    <row r="13" spans="1:14" ht="18" customHeight="1" x14ac:dyDescent="0.2">
      <c r="A13" s="65"/>
      <c r="B13" s="148" t="s">
        <v>9</v>
      </c>
      <c r="C13" s="314">
        <f ca="1">Mes!I9</f>
        <v>45839</v>
      </c>
      <c r="D13" s="314"/>
      <c r="E13" s="130"/>
      <c r="F13" s="198"/>
      <c r="G13" s="199" t="s">
        <v>100</v>
      </c>
      <c r="H13" s="203">
        <f>Mes!M39</f>
        <v>0</v>
      </c>
      <c r="I13" s="205">
        <f>0.13*H13</f>
        <v>0</v>
      </c>
      <c r="J13" s="70"/>
    </row>
    <row r="14" spans="1:14" ht="18" customHeight="1" x14ac:dyDescent="0.2">
      <c r="A14" s="65"/>
      <c r="B14" s="148" t="s">
        <v>10</v>
      </c>
      <c r="C14" s="315">
        <f>Mes!I10</f>
        <v>39290.61</v>
      </c>
      <c r="D14" s="315"/>
      <c r="E14" s="130"/>
      <c r="F14" s="198"/>
      <c r="G14" s="199" t="s">
        <v>86</v>
      </c>
      <c r="H14" s="203">
        <f>H12+H13+G67</f>
        <v>90766786.453396901</v>
      </c>
      <c r="I14" s="204">
        <f>IF(Mes!$M$45="Régimen General",I12+H67*65%,IF(Mes!$M$45="Pyme Transparente",I12,SUM(I12:I13)))</f>
        <v>7749293.0357333962</v>
      </c>
      <c r="J14" s="70"/>
      <c r="M14" s="253"/>
      <c r="N14" s="62"/>
    </row>
    <row r="15" spans="1:14" ht="6" customHeight="1" x14ac:dyDescent="0.2">
      <c r="A15" s="65"/>
      <c r="B15" s="67"/>
      <c r="C15" s="67"/>
      <c r="D15" s="67"/>
      <c r="E15" s="67"/>
      <c r="F15" s="67"/>
      <c r="G15" s="67"/>
      <c r="H15" s="67"/>
      <c r="I15" s="67"/>
      <c r="J15" s="70"/>
    </row>
    <row r="16" spans="1:14" s="62" customFormat="1" ht="18" customHeight="1" x14ac:dyDescent="0.15">
      <c r="A16" s="59"/>
      <c r="B16" s="206" t="s">
        <v>205</v>
      </c>
      <c r="C16" s="207"/>
      <c r="D16" s="207"/>
      <c r="E16" s="208"/>
      <c r="F16" s="209" t="s">
        <v>102</v>
      </c>
      <c r="G16" s="246" t="s">
        <v>103</v>
      </c>
      <c r="H16" s="246" t="s">
        <v>104</v>
      </c>
      <c r="I16" s="246" t="s">
        <v>105</v>
      </c>
      <c r="J16" s="61"/>
    </row>
    <row r="17" spans="1:14" ht="18" customHeight="1" x14ac:dyDescent="0.2">
      <c r="A17" s="65"/>
      <c r="B17" s="266" t="s">
        <v>106</v>
      </c>
      <c r="C17" s="266"/>
      <c r="D17" s="266"/>
      <c r="E17" s="266"/>
      <c r="F17" s="210">
        <f>H14</f>
        <v>90766786.453396901</v>
      </c>
      <c r="G17" s="211">
        <f>H14</f>
        <v>90766786.453396901</v>
      </c>
      <c r="H17" s="211">
        <f>H14</f>
        <v>90766786.453396901</v>
      </c>
      <c r="I17" s="211">
        <f>H14</f>
        <v>90766786.453396901</v>
      </c>
      <c r="J17" s="70"/>
      <c r="L17" s="80">
        <f>0.3*H13</f>
        <v>0</v>
      </c>
      <c r="N17" s="114"/>
    </row>
    <row r="18" spans="1:14" ht="18" customHeight="1" x14ac:dyDescent="0.2">
      <c r="A18" s="65"/>
      <c r="B18" s="292" t="s">
        <v>107</v>
      </c>
      <c r="C18" s="292"/>
      <c r="D18" s="292"/>
      <c r="E18" s="292"/>
      <c r="F18" s="212">
        <v>0</v>
      </c>
      <c r="G18" s="212">
        <f>C41</f>
        <v>5000000</v>
      </c>
      <c r="H18" s="212">
        <f>C42</f>
        <v>10000000</v>
      </c>
      <c r="I18" s="212">
        <f>C43</f>
        <v>23102878.68</v>
      </c>
      <c r="J18" s="70"/>
      <c r="L18" s="80"/>
      <c r="M18" s="115"/>
      <c r="N18" s="116"/>
    </row>
    <row r="19" spans="1:14" ht="18" customHeight="1" x14ac:dyDescent="0.2">
      <c r="A19" s="65"/>
      <c r="B19" s="245" t="s">
        <v>108</v>
      </c>
      <c r="C19" s="245"/>
      <c r="D19" s="245"/>
      <c r="E19" s="245"/>
      <c r="F19" s="213">
        <f>Mes!H27*Mes!I10</f>
        <v>471487.32</v>
      </c>
      <c r="G19" s="212">
        <f>+F19</f>
        <v>471487.32</v>
      </c>
      <c r="H19" s="212">
        <f>+G19</f>
        <v>471487.32</v>
      </c>
      <c r="I19" s="212">
        <f>+H19</f>
        <v>471487.32</v>
      </c>
      <c r="J19" s="70"/>
      <c r="L19" s="80"/>
      <c r="M19" s="115"/>
      <c r="N19" s="116"/>
    </row>
    <row r="20" spans="1:14" ht="18" customHeight="1" x14ac:dyDescent="0.2">
      <c r="A20" s="65"/>
      <c r="B20" s="266" t="s">
        <v>109</v>
      </c>
      <c r="C20" s="266"/>
      <c r="D20" s="266"/>
      <c r="E20" s="266"/>
      <c r="F20" s="214">
        <f>IF(L17&gt;L20,L20,L17)</f>
        <v>0</v>
      </c>
      <c r="G20" s="211">
        <f>IF(L17&gt;L20,L20,L17)</f>
        <v>0</v>
      </c>
      <c r="H20" s="211">
        <f>IF(L17&gt;L20,L20,L17)</f>
        <v>0</v>
      </c>
      <c r="I20" s="211">
        <f>IF(L17&gt;L20,L20,L17)</f>
        <v>0</v>
      </c>
      <c r="J20" s="70"/>
      <c r="L20" s="80">
        <f>15*'57 BIS'!H10</f>
        <v>11558880</v>
      </c>
      <c r="M20" s="117"/>
    </row>
    <row r="21" spans="1:14" ht="18" customHeight="1" x14ac:dyDescent="0.2">
      <c r="A21" s="65"/>
      <c r="B21" s="292" t="s">
        <v>110</v>
      </c>
      <c r="C21" s="292"/>
      <c r="D21" s="292"/>
      <c r="E21" s="292"/>
      <c r="F21" s="213">
        <f>F17-F19-F20</f>
        <v>90295299.133396909</v>
      </c>
      <c r="G21" s="212">
        <f>+G17-G18-G20-G19</f>
        <v>85295299.133396909</v>
      </c>
      <c r="H21" s="212">
        <f>+H17-H18-H20-H19</f>
        <v>80295299.133396909</v>
      </c>
      <c r="I21" s="212">
        <f>+I17-I18-I20-I19</f>
        <v>67192420.453396916</v>
      </c>
      <c r="J21" s="70"/>
      <c r="L21" s="80"/>
    </row>
    <row r="22" spans="1:14" ht="18" customHeight="1" x14ac:dyDescent="0.2">
      <c r="A22" s="65"/>
      <c r="B22" s="266" t="s">
        <v>111</v>
      </c>
      <c r="C22" s="266"/>
      <c r="D22" s="266"/>
      <c r="E22" s="266"/>
      <c r="F22" s="214">
        <f>Int55Bis</f>
        <v>0</v>
      </c>
      <c r="G22" s="211">
        <f>Int55Bis</f>
        <v>0</v>
      </c>
      <c r="H22" s="211">
        <f>Int55Bis</f>
        <v>0</v>
      </c>
      <c r="I22" s="211">
        <f>Int55Bis</f>
        <v>0</v>
      </c>
      <c r="J22" s="70"/>
    </row>
    <row r="23" spans="1:14" ht="18" customHeight="1" x14ac:dyDescent="0.2">
      <c r="A23" s="65"/>
      <c r="B23" s="297" t="s">
        <v>112</v>
      </c>
      <c r="C23" s="297"/>
      <c r="D23" s="297"/>
      <c r="E23" s="297"/>
      <c r="F23" s="213">
        <f>MIN(F22,8*UTA)</f>
        <v>0</v>
      </c>
      <c r="G23" s="212">
        <f>MIN(G22,8*UTA)</f>
        <v>0</v>
      </c>
      <c r="H23" s="212">
        <f>MIN(H22,8*UTA)</f>
        <v>0</v>
      </c>
      <c r="I23" s="212">
        <f>MIN(I22,8*UTA)</f>
        <v>0</v>
      </c>
      <c r="J23" s="70"/>
    </row>
    <row r="24" spans="1:14" ht="18" customHeight="1" x14ac:dyDescent="0.2">
      <c r="A24" s="65"/>
      <c r="B24" s="266" t="s">
        <v>113</v>
      </c>
      <c r="C24" s="266"/>
      <c r="D24" s="266"/>
      <c r="E24" s="266"/>
      <c r="F24" s="215">
        <f>F21/UTA</f>
        <v>117.17653328012348</v>
      </c>
      <c r="G24" s="216">
        <f>G21/UTA</f>
        <v>110.68801536143239</v>
      </c>
      <c r="H24" s="216">
        <f>H21/UTA</f>
        <v>104.1994974427413</v>
      </c>
      <c r="I24" s="216">
        <f>I21/UTA</f>
        <v>87.195844822418238</v>
      </c>
      <c r="J24" s="70"/>
    </row>
    <row r="25" spans="1:14" ht="18" customHeight="1" x14ac:dyDescent="0.2">
      <c r="A25" s="65"/>
      <c r="B25" s="292" t="s">
        <v>114</v>
      </c>
      <c r="C25" s="292"/>
      <c r="D25" s="292"/>
      <c r="E25" s="292"/>
      <c r="F25" s="213">
        <f>IF(F24&lt;90,MIN(8*UTA,F23/UTA),IF(F24&gt;150,0,(F23/UTA)*(250-1.667*F24)/100))*UTA</f>
        <v>0</v>
      </c>
      <c r="G25" s="212">
        <f>IF(G24&lt;90,MIN(8*UTA,G23/UTA),IF(G24&gt;150,0,(G23/UTA)*(250-1.667*G24)/100))*UTA</f>
        <v>0</v>
      </c>
      <c r="H25" s="212">
        <f>IF(H24&lt;90,MIN(8*UTA,H23/UTA),IF(H24&gt;150,0,(H23/UTA)*(250-1.667*H24)/100))*UTA</f>
        <v>0</v>
      </c>
      <c r="I25" s="212">
        <f>IF(I24&lt;90,MIN(8*UTA,I23/UTA),IF(I24&gt;150,0,(I23/UTA)*(250-1.667*I24)/100))*UTA</f>
        <v>0</v>
      </c>
      <c r="J25" s="70"/>
    </row>
    <row r="26" spans="1:14" ht="18" customHeight="1" x14ac:dyDescent="0.2">
      <c r="A26" s="65"/>
      <c r="B26" s="266" t="s">
        <v>115</v>
      </c>
      <c r="C26" s="266"/>
      <c r="D26" s="266"/>
      <c r="E26" s="266"/>
      <c r="F26" s="214">
        <f>IF(F19&lt;=600*Mes!I10,F17-F19-F20-F25,F17-Mes!D35*Mes!I10-F20-F25)</f>
        <v>90295299.133396909</v>
      </c>
      <c r="G26" s="211">
        <f>IF(G18&lt;=600*Mes!I10,G17-G18-G19-G20-G25,G17-Mes!D35*Mes!I10-G20-G25)</f>
        <v>85295299.133396909</v>
      </c>
      <c r="H26" s="211">
        <f>IF(H18&lt;=600*Mes!I10,H17-H18-H19-H20-H25,H17-Mes!D35*Mes!I10-H20-H25)</f>
        <v>80295299.133396909</v>
      </c>
      <c r="I26" s="211">
        <f>IF(I18&lt;=Mes!$I$10*600,I17-I18-I19-I20-I25,I17-Mes!$I$10*600-I20-I25)</f>
        <v>67192420.453396916</v>
      </c>
      <c r="J26" s="70"/>
    </row>
    <row r="27" spans="1:14" ht="18" customHeight="1" x14ac:dyDescent="0.2">
      <c r="A27" s="65"/>
      <c r="B27" s="294" t="s">
        <v>116</v>
      </c>
      <c r="C27" s="294"/>
      <c r="D27" s="294"/>
      <c r="E27" s="294"/>
      <c r="F27" s="217">
        <f>SUMPRODUCT(Impuesto!E10:E17,Impuesto!F10:F17)</f>
        <v>0.30399999999999999</v>
      </c>
      <c r="G27" s="217">
        <f>SUMPRODUCT(Impuesto!G10:G17,Impuesto!H10:H17)</f>
        <v>0.30399999999999999</v>
      </c>
      <c r="H27" s="217">
        <f>SUMPRODUCT(Impuesto!I10:I17,Impuesto!J10:J17)</f>
        <v>0.30399999999999999</v>
      </c>
      <c r="I27" s="217">
        <f>SUMPRODUCT(Impuesto!K10:K17,Impuesto!L10:L17)</f>
        <v>0.23</v>
      </c>
      <c r="J27" s="70"/>
    </row>
    <row r="28" spans="1:14" ht="18" customHeight="1" x14ac:dyDescent="0.2">
      <c r="A28" s="65"/>
      <c r="B28" s="266" t="s">
        <v>117</v>
      </c>
      <c r="C28" s="266"/>
      <c r="D28" s="266"/>
      <c r="E28" s="266"/>
      <c r="F28" s="218">
        <f>F26*F27</f>
        <v>27449770.936552659</v>
      </c>
      <c r="G28" s="219">
        <f>G26*G27</f>
        <v>25929770.936552659</v>
      </c>
      <c r="H28" s="219">
        <f>H26*H27</f>
        <v>24409770.936552659</v>
      </c>
      <c r="I28" s="219">
        <f>I26*I27</f>
        <v>15454256.704281291</v>
      </c>
      <c r="J28" s="70"/>
      <c r="M28" s="117"/>
    </row>
    <row r="29" spans="1:14" ht="18" customHeight="1" x14ac:dyDescent="0.2">
      <c r="A29" s="65"/>
      <c r="B29" s="292" t="s">
        <v>118</v>
      </c>
      <c r="C29" s="292"/>
      <c r="D29" s="292"/>
      <c r="E29" s="292"/>
      <c r="F29" s="220">
        <f>IF(F27=Impuesto!$C$10,-Impuesto!$D$10,IF(F27=Impuesto!$C$11,-Impuesto!$D$11,IF(F27=Impuesto!$C$12,-Impuesto!$D$12,IF(F27=Impuesto!$C$13,-Impuesto!$D$13,IF(F27=Impuesto!$C$14,-Impuesto!$D$14,IF(F27=Impuesto!$C$15,-Impuesto!$D$15,IF(F27=Impuesto!$C$16,-Impuesto!$D$16,IF(F27=Impuesto!$C$17,-Impuesto!$D$17," "))))))))</f>
        <v>-13716537.600000001</v>
      </c>
      <c r="G29" s="221">
        <f>IF(G27=Impuesto!$C$10,-Impuesto!$D$10,IF(G27=Impuesto!$C$11,-Impuesto!$D$11,IF(G27=Impuesto!$C$12,-Impuesto!$D$12,IF(G27=Impuesto!$C$13,-Impuesto!$D$13,IF(G27=Impuesto!$C$14,-Impuesto!$D$14,IF(G27=Impuesto!$C$15,-Impuesto!$D$15,IF(G27=Impuesto!$C$16,-Impuesto!$D$16,IF(G27=Impuesto!$C$17,-Impuesto!$D$17," "))))))))</f>
        <v>-13716537.600000001</v>
      </c>
      <c r="H29" s="221">
        <f>IF(H27=Impuesto!$C$10,-Impuesto!$D$10,IF(H27=Impuesto!$C$11,-Impuesto!$D$11,IF(H27=Impuesto!$C$12,-Impuesto!$D$12,IF(H27=Impuesto!$C$13,-Impuesto!$D$13,IF(H27=Impuesto!$C$14,-Impuesto!$D$14,IF(H27=Impuesto!$C$15,-Impuesto!$D$15,IF(H27=Impuesto!$C$16,-Impuesto!$D$16,IF(H27=Impuesto!$C$17,-Impuesto!$D$17," "))))))))</f>
        <v>-13716537.600000001</v>
      </c>
      <c r="I29" s="221">
        <f>IF(I27=Impuesto!$C$10,-Impuesto!$D$10,IF(I27=Impuesto!$C$11,-Impuesto!$D$11,IF(I27=Impuesto!$C$12,-Impuesto!$D$12,IF(I27=Impuesto!$C$13,-Impuesto!$D$13,IF(I27=Impuesto!$C$14,-Impuesto!$D$14,IF(I27=Impuesto!$C$15,-Impuesto!$D$15,IF(I27=Impuesto!$C$16,-Impuesto!$D$16,IF(I27=Impuesto!$C$17,-Impuesto!$D$17," "))))))))</f>
        <v>-8584394.8800000008</v>
      </c>
      <c r="J29" s="70"/>
      <c r="M29" s="117"/>
    </row>
    <row r="30" spans="1:14" ht="18" customHeight="1" x14ac:dyDescent="0.2">
      <c r="A30" s="65"/>
      <c r="B30" s="295" t="s">
        <v>119</v>
      </c>
      <c r="C30" s="295"/>
      <c r="D30" s="295"/>
      <c r="E30" s="295"/>
      <c r="F30" s="222">
        <f>F31/F21</f>
        <v>0.15209245075166089</v>
      </c>
      <c r="G30" s="222">
        <f>G31/G21</f>
        <v>0.14318764879940063</v>
      </c>
      <c r="H30" s="222">
        <f>H31/H21</f>
        <v>0.13317384021183704</v>
      </c>
      <c r="I30" s="222">
        <f>I31/I21</f>
        <v>0.10224161859217536</v>
      </c>
      <c r="J30" s="70"/>
      <c r="M30" s="117"/>
    </row>
    <row r="31" spans="1:14" ht="18" customHeight="1" x14ac:dyDescent="0.2">
      <c r="A31" s="65"/>
      <c r="B31" s="306" t="s">
        <v>120</v>
      </c>
      <c r="C31" s="306"/>
      <c r="D31" s="306"/>
      <c r="E31" s="306"/>
      <c r="F31" s="223">
        <f>SUM(F28:F29)</f>
        <v>13733233.336552657</v>
      </c>
      <c r="G31" s="223">
        <f>SUM(G28:G29)</f>
        <v>12213233.336552657</v>
      </c>
      <c r="H31" s="223">
        <f>SUM(H28:H29)</f>
        <v>10693233.336552657</v>
      </c>
      <c r="I31" s="223">
        <f>SUM(I28:I29)</f>
        <v>6869861.8242812902</v>
      </c>
      <c r="J31" s="70"/>
      <c r="L31" s="118">
        <f>Mes!N27*Mes!I25</f>
        <v>14247742.434697684</v>
      </c>
      <c r="M31" s="117"/>
      <c r="N31" s="118"/>
    </row>
    <row r="32" spans="1:14" ht="6" customHeight="1" x14ac:dyDescent="0.2">
      <c r="A32" s="65"/>
      <c r="B32" s="296"/>
      <c r="C32" s="296"/>
      <c r="D32" s="296"/>
      <c r="E32" s="296"/>
      <c r="F32" s="145"/>
      <c r="G32" s="146"/>
      <c r="H32" s="146"/>
      <c r="I32" s="146"/>
      <c r="J32" s="70"/>
    </row>
    <row r="33" spans="1:16" ht="18" customHeight="1" x14ac:dyDescent="0.2">
      <c r="A33" s="65"/>
      <c r="B33" s="293" t="s">
        <v>206</v>
      </c>
      <c r="C33" s="293"/>
      <c r="D33" s="293"/>
      <c r="E33" s="293"/>
      <c r="F33" s="224">
        <f>I14</f>
        <v>7749293.0357333962</v>
      </c>
      <c r="G33" s="225">
        <f>I14</f>
        <v>7749293.0357333962</v>
      </c>
      <c r="H33" s="225">
        <f>I14</f>
        <v>7749293.0357333962</v>
      </c>
      <c r="I33" s="225">
        <f>I14</f>
        <v>7749293.0357333962</v>
      </c>
      <c r="J33" s="70"/>
    </row>
    <row r="34" spans="1:16" ht="18" hidden="1" customHeight="1" x14ac:dyDescent="0.2">
      <c r="A34" s="65"/>
      <c r="B34" s="238"/>
      <c r="C34" s="238"/>
      <c r="D34" s="238"/>
      <c r="E34" s="238"/>
      <c r="F34" s="219"/>
      <c r="G34" s="219"/>
      <c r="H34" s="219"/>
      <c r="I34" s="219"/>
      <c r="J34" s="70"/>
    </row>
    <row r="35" spans="1:16" ht="16" hidden="1" customHeight="1" x14ac:dyDescent="0.2">
      <c r="A35" s="65"/>
      <c r="B35" s="307" t="s">
        <v>121</v>
      </c>
      <c r="C35" s="307"/>
      <c r="D35" s="307"/>
      <c r="E35" s="307"/>
      <c r="F35" s="226">
        <f>F31-F33</f>
        <v>5983940.300819261</v>
      </c>
      <c r="G35" s="226">
        <f>G31-G33</f>
        <v>4463940.300819261</v>
      </c>
      <c r="H35" s="226">
        <f>H31-H33</f>
        <v>2943940.300819261</v>
      </c>
      <c r="I35" s="226">
        <f>I31-I33</f>
        <v>-879431.21145210601</v>
      </c>
      <c r="J35" s="70"/>
    </row>
    <row r="36" spans="1:16" ht="18" customHeight="1" x14ac:dyDescent="0.2">
      <c r="A36" s="65"/>
      <c r="B36" s="307" t="s">
        <v>122</v>
      </c>
      <c r="C36" s="307"/>
      <c r="D36" s="307"/>
      <c r="E36" s="307"/>
      <c r="F36" s="226">
        <f>-'57 BIS'!$F$33</f>
        <v>0</v>
      </c>
      <c r="G36" s="227">
        <f>-'57 BIS'!F34</f>
        <v>0</v>
      </c>
      <c r="H36" s="227">
        <f>-'57 BIS'!F35</f>
        <v>0</v>
      </c>
      <c r="I36" s="227">
        <f>-'57 BIS'!F36</f>
        <v>0</v>
      </c>
      <c r="J36" s="70"/>
    </row>
    <row r="37" spans="1:16" ht="6" customHeight="1" x14ac:dyDescent="0.2">
      <c r="A37" s="65"/>
      <c r="B37" s="310"/>
      <c r="C37" s="310"/>
      <c r="D37" s="310"/>
      <c r="E37" s="310"/>
      <c r="F37" s="145"/>
      <c r="G37" s="145"/>
      <c r="H37" s="145"/>
      <c r="I37" s="145"/>
      <c r="J37" s="70"/>
      <c r="M37" s="67"/>
      <c r="N37" s="67"/>
      <c r="O37" s="67"/>
      <c r="P37" s="67"/>
    </row>
    <row r="38" spans="1:16" ht="18" customHeight="1" x14ac:dyDescent="0.2">
      <c r="A38" s="65"/>
      <c r="B38" s="299" t="s">
        <v>123</v>
      </c>
      <c r="C38" s="299"/>
      <c r="D38" s="299"/>
      <c r="E38" s="299"/>
      <c r="F38" s="223">
        <f>F35+F36</f>
        <v>5983940.300819261</v>
      </c>
      <c r="G38" s="223">
        <f>G35+G36</f>
        <v>4463940.300819261</v>
      </c>
      <c r="H38" s="223">
        <f>H35+H36</f>
        <v>2943940.300819261</v>
      </c>
      <c r="I38" s="223">
        <f>I35+I36</f>
        <v>-879431.21145210601</v>
      </c>
      <c r="J38" s="70"/>
      <c r="M38" s="119"/>
      <c r="N38" s="67"/>
      <c r="O38" s="67"/>
      <c r="P38" s="67"/>
    </row>
    <row r="39" spans="1:16" ht="7" customHeight="1" x14ac:dyDescent="0.2">
      <c r="A39" s="65"/>
      <c r="B39" s="132"/>
      <c r="C39" s="132"/>
      <c r="D39" s="132"/>
      <c r="E39" s="233"/>
      <c r="F39" s="137"/>
      <c r="G39" s="113"/>
      <c r="H39" s="113"/>
      <c r="I39" s="113"/>
      <c r="J39" s="70"/>
    </row>
    <row r="40" spans="1:16" s="123" customFormat="1" ht="18" customHeight="1" x14ac:dyDescent="0.2">
      <c r="A40" s="120"/>
      <c r="B40" s="246" t="s">
        <v>50</v>
      </c>
      <c r="C40" s="309" t="s">
        <v>124</v>
      </c>
      <c r="D40" s="309"/>
      <c r="E40" s="308"/>
      <c r="F40" s="308"/>
      <c r="G40" s="129"/>
      <c r="H40" s="129"/>
      <c r="I40" s="121"/>
      <c r="J40" s="122"/>
    </row>
    <row r="41" spans="1:16" s="123" customFormat="1" ht="18" customHeight="1" x14ac:dyDescent="0.2">
      <c r="A41" s="65"/>
      <c r="B41" s="242">
        <v>1</v>
      </c>
      <c r="C41" s="300">
        <f>Mes!D39</f>
        <v>5000000</v>
      </c>
      <c r="D41" s="300"/>
      <c r="E41" s="302"/>
      <c r="F41" s="302"/>
      <c r="G41" s="129"/>
      <c r="H41" s="129"/>
      <c r="I41" s="87"/>
      <c r="J41" s="70"/>
    </row>
    <row r="42" spans="1:16" ht="18" customHeight="1" x14ac:dyDescent="0.2">
      <c r="A42" s="65"/>
      <c r="B42" s="242">
        <v>2</v>
      </c>
      <c r="C42" s="300">
        <f>Mes!D40</f>
        <v>10000000</v>
      </c>
      <c r="D42" s="300"/>
      <c r="E42" s="302"/>
      <c r="F42" s="302"/>
      <c r="G42" s="67"/>
      <c r="H42" s="67"/>
      <c r="I42" s="87"/>
      <c r="J42" s="70"/>
    </row>
    <row r="43" spans="1:16" ht="18" customHeight="1" x14ac:dyDescent="0.2">
      <c r="A43" s="65"/>
      <c r="B43" s="242">
        <v>3</v>
      </c>
      <c r="C43" s="300">
        <f>Mes!D41</f>
        <v>23102878.68</v>
      </c>
      <c r="D43" s="300"/>
      <c r="E43" s="302"/>
      <c r="F43" s="302"/>
      <c r="G43" s="67"/>
      <c r="H43" s="67"/>
      <c r="I43" s="87"/>
      <c r="J43" s="70"/>
    </row>
    <row r="44" spans="1:16" ht="5.25" customHeight="1" x14ac:dyDescent="0.2">
      <c r="A44" s="65"/>
      <c r="B44" s="244"/>
      <c r="C44" s="244"/>
      <c r="D44" s="244"/>
      <c r="E44" s="127"/>
      <c r="F44" s="127"/>
      <c r="G44" s="127"/>
      <c r="H44" s="127"/>
      <c r="I44" s="87"/>
      <c r="J44" s="70"/>
    </row>
    <row r="45" spans="1:16" ht="18" customHeight="1" x14ac:dyDescent="0.2">
      <c r="A45" s="65"/>
      <c r="B45" s="270" t="s">
        <v>125</v>
      </c>
      <c r="C45" s="270"/>
      <c r="D45" s="270"/>
      <c r="E45" s="270"/>
      <c r="F45" s="270"/>
      <c r="G45" s="270"/>
      <c r="H45" s="270"/>
      <c r="I45" s="270"/>
      <c r="J45" s="70"/>
    </row>
    <row r="46" spans="1:16" ht="2.5" customHeight="1" x14ac:dyDescent="0.2">
      <c r="A46" s="65"/>
      <c r="B46" s="177"/>
      <c r="C46" s="177"/>
      <c r="D46" s="177"/>
      <c r="E46" s="177"/>
      <c r="F46" s="177"/>
      <c r="G46" s="177"/>
      <c r="H46" s="177"/>
      <c r="I46" s="177"/>
      <c r="J46" s="70"/>
    </row>
    <row r="47" spans="1:16" ht="15" customHeight="1" x14ac:dyDescent="0.2">
      <c r="A47" s="65"/>
      <c r="B47" s="301" t="s">
        <v>59</v>
      </c>
      <c r="C47" s="301"/>
      <c r="D47" s="301"/>
      <c r="E47" s="301"/>
      <c r="F47" s="301"/>
      <c r="G47" s="301"/>
      <c r="H47" s="301"/>
      <c r="I47" s="301"/>
      <c r="J47" s="70"/>
    </row>
    <row r="48" spans="1:16" ht="32.25" customHeight="1" x14ac:dyDescent="0.2">
      <c r="A48" s="65"/>
      <c r="B48" s="270" t="s">
        <v>61</v>
      </c>
      <c r="C48" s="270"/>
      <c r="D48" s="270"/>
      <c r="E48" s="270"/>
      <c r="F48" s="270"/>
      <c r="G48" s="270"/>
      <c r="H48" s="270"/>
      <c r="I48" s="270"/>
      <c r="J48" s="70"/>
    </row>
    <row r="49" spans="1:10" ht="30" customHeight="1" x14ac:dyDescent="0.2">
      <c r="A49" s="65"/>
      <c r="B49" s="270" t="s">
        <v>62</v>
      </c>
      <c r="C49" s="270"/>
      <c r="D49" s="270"/>
      <c r="E49" s="270"/>
      <c r="F49" s="270"/>
      <c r="G49" s="270"/>
      <c r="H49" s="270"/>
      <c r="I49" s="270"/>
      <c r="J49" s="70"/>
    </row>
    <row r="50" spans="1:10" ht="18" customHeight="1" x14ac:dyDescent="0.2">
      <c r="A50" s="65"/>
      <c r="B50" s="270" t="s">
        <v>126</v>
      </c>
      <c r="C50" s="270"/>
      <c r="D50" s="270"/>
      <c r="E50" s="270"/>
      <c r="F50" s="270"/>
      <c r="G50" s="270"/>
      <c r="H50" s="270"/>
      <c r="I50" s="270"/>
      <c r="J50" s="70"/>
    </row>
    <row r="51" spans="1:10" ht="18" customHeight="1" thickBot="1" x14ac:dyDescent="0.25">
      <c r="A51" s="65"/>
      <c r="B51" s="270" t="s">
        <v>98</v>
      </c>
      <c r="C51" s="270"/>
      <c r="D51" s="270"/>
      <c r="E51" s="270"/>
      <c r="F51" s="270"/>
      <c r="G51" s="270"/>
      <c r="H51" s="270"/>
      <c r="I51" s="270"/>
      <c r="J51" s="70"/>
    </row>
    <row r="52" spans="1:10" ht="0.75" customHeight="1" x14ac:dyDescent="0.2">
      <c r="A52" s="56"/>
      <c r="B52" s="228"/>
      <c r="C52" s="228"/>
      <c r="D52" s="228"/>
      <c r="E52" s="228"/>
      <c r="F52" s="228"/>
      <c r="G52" s="228"/>
      <c r="H52" s="228"/>
      <c r="I52" s="228"/>
      <c r="J52" s="58"/>
    </row>
    <row r="53" spans="1:10" ht="18" customHeight="1" x14ac:dyDescent="0.2">
      <c r="A53" s="65"/>
      <c r="B53" s="176" t="s">
        <v>127</v>
      </c>
      <c r="C53" s="176"/>
      <c r="D53" s="176"/>
      <c r="E53" s="176"/>
      <c r="F53" s="177"/>
      <c r="G53" s="177"/>
      <c r="H53" s="177"/>
      <c r="I53" s="177"/>
      <c r="J53" s="70"/>
    </row>
    <row r="54" spans="1:10" ht="18" customHeight="1" x14ac:dyDescent="0.2">
      <c r="A54" s="124"/>
      <c r="B54" s="142" t="s">
        <v>128</v>
      </c>
      <c r="C54" s="142"/>
      <c r="D54" s="142"/>
      <c r="E54" s="142"/>
      <c r="F54" s="142"/>
      <c r="G54" s="142"/>
      <c r="H54" s="142"/>
      <c r="I54" s="142"/>
      <c r="J54" s="125"/>
    </row>
    <row r="55" spans="1:10" ht="18" customHeight="1" x14ac:dyDescent="0.2">
      <c r="A55" s="124"/>
      <c r="B55" s="298" t="str">
        <f>"En la Opción 1 se propone un aporte único de "&amp;TEXT(C41,"$#.###")</f>
        <v>En la Opción 1 se propone un aporte único de $5.000.000</v>
      </c>
      <c r="C55" s="298"/>
      <c r="D55" s="298"/>
      <c r="E55" s="298"/>
      <c r="F55" s="298"/>
      <c r="G55" s="298"/>
      <c r="H55" s="298"/>
      <c r="I55" s="298"/>
      <c r="J55" s="125"/>
    </row>
    <row r="56" spans="1:10" ht="18" customHeight="1" x14ac:dyDescent="0.2">
      <c r="A56" s="124"/>
      <c r="B56" s="298" t="str">
        <f>"En la Opción 2 se propone un aporte único de "&amp;TEXT(C42,"$#.###")</f>
        <v>En la Opción 2 se propone un aporte único de $10.000.000</v>
      </c>
      <c r="C56" s="298"/>
      <c r="D56" s="298"/>
      <c r="E56" s="298"/>
      <c r="F56" s="298"/>
      <c r="G56" s="298"/>
      <c r="H56" s="298"/>
      <c r="I56" s="298"/>
      <c r="J56" s="125"/>
    </row>
    <row r="57" spans="1:10" ht="18" customHeight="1" x14ac:dyDescent="0.2">
      <c r="A57" s="124"/>
      <c r="B57" s="298" t="str">
        <f>"En la Opción 3 se propone un aporte único de "&amp;TEXT(C43,"$#.###")</f>
        <v>En la Opción 3 se propone un aporte único de $23.102.879</v>
      </c>
      <c r="C57" s="298"/>
      <c r="D57" s="298"/>
      <c r="E57" s="298"/>
      <c r="F57" s="298"/>
      <c r="G57" s="298"/>
      <c r="H57" s="298"/>
      <c r="I57" s="298"/>
      <c r="J57" s="125"/>
    </row>
    <row r="67" spans="5:8" hidden="1" x14ac:dyDescent="0.2">
      <c r="E67" s="198"/>
      <c r="F67" s="199" t="s">
        <v>101</v>
      </c>
      <c r="G67" s="203">
        <f>Mes!M59+H67</f>
        <v>0</v>
      </c>
      <c r="H67" s="204">
        <f>(Mes!M59/(IF(Mes!$M$45="SI",0.75,0.73))-Mes!M59)</f>
        <v>0</v>
      </c>
    </row>
  </sheetData>
  <sheetProtection algorithmName="SHA-512" hashValue="8/e6uphRGXgHvmSTNgBxLN27Kre7917qJ7vrs3cPQh13kB3aWCXkH27kseWGaCQJ6CFxOg+ouBu9vTguxU1Vnw==" saltValue="3fPrToEOqXNeCliFgWBRqw==" spinCount="100000" sheet="1" objects="1" scenarios="1"/>
  <protectedRanges>
    <protectedRange sqref="D1:D3" name="Rango1_1"/>
  </protectedRanges>
  <mergeCells count="43">
    <mergeCell ref="B1:D1"/>
    <mergeCell ref="B45:I45"/>
    <mergeCell ref="B28:E28"/>
    <mergeCell ref="B31:E31"/>
    <mergeCell ref="B29:E29"/>
    <mergeCell ref="B26:E26"/>
    <mergeCell ref="B35:E35"/>
    <mergeCell ref="E40:F40"/>
    <mergeCell ref="E41:F41"/>
    <mergeCell ref="C40:D40"/>
    <mergeCell ref="B36:E36"/>
    <mergeCell ref="B37:E37"/>
    <mergeCell ref="E8:G8"/>
    <mergeCell ref="C13:D13"/>
    <mergeCell ref="C14:D14"/>
    <mergeCell ref="B6:G6"/>
    <mergeCell ref="B57:I57"/>
    <mergeCell ref="B55:I55"/>
    <mergeCell ref="B56:I56"/>
    <mergeCell ref="B38:E38"/>
    <mergeCell ref="C42:D42"/>
    <mergeCell ref="C43:D43"/>
    <mergeCell ref="C41:D41"/>
    <mergeCell ref="B47:I47"/>
    <mergeCell ref="E42:F42"/>
    <mergeCell ref="E43:F43"/>
    <mergeCell ref="B51:I51"/>
    <mergeCell ref="B48:I48"/>
    <mergeCell ref="B49:I49"/>
    <mergeCell ref="B50:I50"/>
    <mergeCell ref="H6:I6"/>
    <mergeCell ref="B25:E25"/>
    <mergeCell ref="B33:E33"/>
    <mergeCell ref="B27:E27"/>
    <mergeCell ref="B30:E30"/>
    <mergeCell ref="B32:E32"/>
    <mergeCell ref="B23:E23"/>
    <mergeCell ref="B17:E17"/>
    <mergeCell ref="B21:E21"/>
    <mergeCell ref="B18:E18"/>
    <mergeCell ref="B24:E24"/>
    <mergeCell ref="B20:E20"/>
    <mergeCell ref="B22:E22"/>
  </mergeCells>
  <phoneticPr fontId="2" type="noConversion"/>
  <printOptions horizontalCentered="1"/>
  <pageMargins left="0.39370078740157483" right="0.39370078740157483" top="0.39370078740157483" bottom="0.19685039370078741" header="0" footer="0"/>
  <pageSetup scale="80" orientation="landscape" r:id="rId1"/>
  <headerFooter alignWithMargins="0">
    <oddFooter>&amp;L&amp;1#&amp;"Calibri"&amp;9&amp;K737373Classification: Customer Confidential</oddFooter>
  </headerFooter>
  <rowBreaks count="1" manualBreakCount="1">
    <brk id="51" max="10" man="1"/>
  </rowBreaks>
  <customProperties>
    <customPr name="QAA_DRILLPATH_NODE_ID" r:id="rId2"/>
  </customProperties>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5"/>
  <dimension ref="B3:Q43"/>
  <sheetViews>
    <sheetView showGridLines="0" topLeftCell="A15" workbookViewId="0">
      <selection activeCell="D43" sqref="D43"/>
    </sheetView>
  </sheetViews>
  <sheetFormatPr baseColWidth="10" defaultColWidth="8.83203125" defaultRowHeight="13" x14ac:dyDescent="0.15"/>
  <cols>
    <col min="1" max="1" width="11.6640625" customWidth="1"/>
    <col min="2" max="2" width="24.33203125" bestFit="1" customWidth="1"/>
    <col min="3" max="3" width="12.33203125" bestFit="1" customWidth="1"/>
    <col min="4" max="10" width="10.6640625" bestFit="1" customWidth="1"/>
    <col min="11" max="11" width="11.6640625" bestFit="1" customWidth="1"/>
    <col min="12" max="14" width="10.6640625" bestFit="1" customWidth="1"/>
  </cols>
  <sheetData>
    <row r="3" spans="2:17" x14ac:dyDescent="0.15">
      <c r="B3" s="53" t="s">
        <v>64</v>
      </c>
      <c r="C3" s="147">
        <f>Mes!I10</f>
        <v>39290.61</v>
      </c>
    </row>
    <row r="5" spans="2:17" x14ac:dyDescent="0.15">
      <c r="B5" t="s">
        <v>129</v>
      </c>
    </row>
    <row r="6" spans="2:17" x14ac:dyDescent="0.15">
      <c r="B6" s="29" t="s">
        <v>130</v>
      </c>
      <c r="C6" s="2" t="s">
        <v>31</v>
      </c>
      <c r="D6" s="2" t="s">
        <v>32</v>
      </c>
      <c r="E6" s="2" t="s">
        <v>33</v>
      </c>
      <c r="F6" s="2" t="s">
        <v>11</v>
      </c>
      <c r="G6" s="2" t="s">
        <v>34</v>
      </c>
      <c r="H6" s="2" t="s">
        <v>35</v>
      </c>
      <c r="I6" s="2" t="s">
        <v>36</v>
      </c>
      <c r="J6" s="2" t="s">
        <v>37</v>
      </c>
      <c r="K6" s="2" t="s">
        <v>38</v>
      </c>
      <c r="L6" s="2" t="s">
        <v>39</v>
      </c>
      <c r="M6" s="2" t="s">
        <v>40</v>
      </c>
      <c r="N6" s="2" t="s">
        <v>41</v>
      </c>
    </row>
    <row r="7" spans="2:17" hidden="1" x14ac:dyDescent="0.15">
      <c r="B7" s="30" t="s">
        <v>131</v>
      </c>
      <c r="C7" s="37"/>
      <c r="D7" s="37"/>
      <c r="E7" s="37"/>
      <c r="F7" s="37"/>
      <c r="G7" s="37"/>
      <c r="H7" s="37"/>
      <c r="I7" s="37"/>
      <c r="J7" s="37"/>
      <c r="K7" s="37"/>
      <c r="L7" s="37"/>
      <c r="M7" s="37"/>
      <c r="N7" s="37"/>
    </row>
    <row r="8" spans="2:17" hidden="1" x14ac:dyDescent="0.15">
      <c r="B8" s="30" t="s">
        <v>132</v>
      </c>
      <c r="C8" s="37"/>
      <c r="D8" s="37"/>
      <c r="E8" s="37"/>
      <c r="F8" s="37"/>
      <c r="G8" s="37"/>
      <c r="H8" s="37"/>
      <c r="I8" s="37"/>
      <c r="J8" s="37"/>
      <c r="K8" s="37"/>
      <c r="L8" s="37"/>
      <c r="M8" s="37"/>
      <c r="N8" s="37"/>
    </row>
    <row r="9" spans="2:17" hidden="1" x14ac:dyDescent="0.15">
      <c r="B9" s="31" t="s">
        <v>133</v>
      </c>
      <c r="C9" s="37"/>
      <c r="D9" s="37"/>
      <c r="E9" s="37"/>
      <c r="F9" s="37"/>
      <c r="G9" s="37"/>
      <c r="H9" s="37"/>
      <c r="I9" s="37"/>
      <c r="J9" s="37"/>
      <c r="K9" s="37"/>
      <c r="L9" s="37"/>
      <c r="M9" s="37"/>
      <c r="N9" s="37"/>
    </row>
    <row r="10" spans="2:17" hidden="1" x14ac:dyDescent="0.15">
      <c r="B10" s="31" t="s">
        <v>134</v>
      </c>
      <c r="C10" s="37"/>
      <c r="D10" s="37"/>
      <c r="E10" s="37"/>
      <c r="F10" s="37"/>
      <c r="G10" s="37"/>
      <c r="H10" s="37"/>
      <c r="I10" s="37"/>
      <c r="J10" s="37"/>
      <c r="K10" s="37"/>
      <c r="L10" s="37"/>
      <c r="M10" s="37"/>
      <c r="N10" s="37"/>
    </row>
    <row r="11" spans="2:17" hidden="1" x14ac:dyDescent="0.15">
      <c r="B11" s="31" t="s">
        <v>135</v>
      </c>
      <c r="C11" s="37"/>
      <c r="D11" s="37"/>
      <c r="E11" s="37"/>
      <c r="F11" s="37"/>
      <c r="G11" s="37"/>
      <c r="H11" s="37"/>
      <c r="I11" s="37"/>
      <c r="J11" s="37"/>
      <c r="K11" s="37"/>
      <c r="L11" s="37"/>
      <c r="M11" s="37"/>
      <c r="N11" s="37"/>
    </row>
    <row r="12" spans="2:17" hidden="1" x14ac:dyDescent="0.15">
      <c r="B12" s="31" t="s">
        <v>136</v>
      </c>
      <c r="C12" s="37"/>
      <c r="D12" s="37"/>
      <c r="E12" s="37"/>
      <c r="F12" s="37"/>
      <c r="G12" s="37"/>
      <c r="H12" s="37"/>
      <c r="I12" s="37"/>
      <c r="J12" s="37"/>
      <c r="K12" s="37"/>
      <c r="L12" s="37"/>
      <c r="M12" s="37"/>
      <c r="N12" s="37"/>
      <c r="Q12" s="32"/>
    </row>
    <row r="13" spans="2:17" hidden="1" x14ac:dyDescent="0.15">
      <c r="B13" s="234" t="s">
        <v>137</v>
      </c>
      <c r="C13" s="37"/>
      <c r="D13" s="37"/>
      <c r="E13" s="37"/>
      <c r="F13" s="37"/>
      <c r="G13" s="37"/>
      <c r="H13" s="37"/>
      <c r="I13" s="37"/>
      <c r="J13" s="37"/>
      <c r="K13" s="37"/>
      <c r="L13" s="37"/>
      <c r="M13" s="37"/>
      <c r="N13" s="37"/>
      <c r="Q13" s="32"/>
    </row>
    <row r="14" spans="2:17" x14ac:dyDescent="0.15">
      <c r="B14" s="30" t="s">
        <v>138</v>
      </c>
      <c r="C14" s="37">
        <f>+Mes!D14</f>
        <v>10000000</v>
      </c>
      <c r="D14" s="37">
        <f>+Mes!D15</f>
        <v>5000000</v>
      </c>
      <c r="E14" s="37">
        <f>+Mes!D16</f>
        <v>5000000</v>
      </c>
      <c r="F14" s="37">
        <f>+Mes!D17</f>
        <v>5000000</v>
      </c>
      <c r="G14" s="37">
        <f>+Mes!D18</f>
        <v>5000000</v>
      </c>
      <c r="H14" s="37">
        <f>+Mes!D19</f>
        <v>5000000</v>
      </c>
      <c r="I14" s="37">
        <f>+Mes!D20</f>
        <v>5000000</v>
      </c>
      <c r="J14" s="37">
        <f>+Mes!D21</f>
        <v>5000000</v>
      </c>
      <c r="K14" s="37">
        <f>+Mes!D22</f>
        <v>5000000</v>
      </c>
      <c r="L14" s="37">
        <f>+Mes!D23</f>
        <v>5000000</v>
      </c>
      <c r="M14" s="37">
        <f>+Mes!D24</f>
        <v>5000000</v>
      </c>
      <c r="N14" s="37">
        <f>+Mes!D25</f>
        <v>5000000</v>
      </c>
      <c r="Q14" s="32"/>
    </row>
    <row r="15" spans="2:17" x14ac:dyDescent="0.15">
      <c r="B15" s="31" t="s">
        <v>139</v>
      </c>
      <c r="C15" s="35">
        <f>C14/C21</f>
        <v>161.89350645145623</v>
      </c>
      <c r="D15" s="35">
        <f t="shared" ref="D15:N15" si="0">D14/D21</f>
        <v>80.705039222649063</v>
      </c>
      <c r="E15" s="35">
        <f t="shared" si="0"/>
        <v>80.064051240992796</v>
      </c>
      <c r="F15" s="35">
        <f t="shared" si="0"/>
        <v>80.143617362313265</v>
      </c>
      <c r="G15" s="35">
        <f t="shared" si="0"/>
        <v>79.271966261851162</v>
      </c>
      <c r="H15" s="35">
        <f t="shared" si="0"/>
        <v>79.035139022809545</v>
      </c>
      <c r="I15" s="35">
        <f t="shared" si="0"/>
        <v>78.956510753876771</v>
      </c>
      <c r="J15" s="35">
        <f t="shared" si="0"/>
        <v>79.115175873035966</v>
      </c>
      <c r="K15" s="35">
        <f t="shared" si="0"/>
        <v>78.799722624976354</v>
      </c>
      <c r="L15" s="35">
        <f t="shared" si="0"/>
        <v>78.721561835786815</v>
      </c>
      <c r="M15" s="35">
        <f t="shared" si="0"/>
        <v>78.173858661663544</v>
      </c>
      <c r="N15" s="35">
        <f t="shared" si="0"/>
        <v>77.862215024293008</v>
      </c>
      <c r="Q15" s="32"/>
    </row>
    <row r="16" spans="2:17" x14ac:dyDescent="0.15">
      <c r="B16" s="30" t="s">
        <v>140</v>
      </c>
      <c r="C16" s="50">
        <f>IF(C15&lt;=Impuesto!$B$24,Impuesto!$C$24,IF(C15&lt;=Impuesto!$B$25,Impuesto!$C$25,IF(C15&lt;=Impuesto!$B$26,Impuesto!$C$26,IF(C15&lt;=Impuesto!$B$27,Impuesto!$C$27,IF(C15&lt;=Impuesto!$B$28,Impuesto!$C$28,IF(C15&lt;=Impuesto!$B$29,Impuesto!$C$29,IF(C15&lt;=Impuesto!$B$30,Impuesto!$C$30,Impuesto!$C$31)))))))</f>
        <v>0.35</v>
      </c>
      <c r="D16" s="50">
        <f>IF(D15&lt;=Impuesto!$B$24,Impuesto!$C$24,IF(D15&lt;=Impuesto!$B$25,Impuesto!$C$25,IF(D15&lt;=Impuesto!$B$26,Impuesto!$C$26,IF(D15&lt;=Impuesto!$B$27,Impuesto!$C$27,IF(D15&lt;=Impuesto!$B$28,Impuesto!$C$28,IF(D15&lt;=Impuesto!$B$29,Impuesto!$C$29,IF(D15&lt;=Impuesto!$B$30,Impuesto!$C$30,Impuesto!$C$31)))))))</f>
        <v>0.23</v>
      </c>
      <c r="E16" s="50">
        <f>IF(E15&lt;=Impuesto!$B$24,Impuesto!$C$24,IF(E15&lt;=Impuesto!$B$25,Impuesto!$C$25,IF(E15&lt;=Impuesto!$B$26,Impuesto!$C$26,IF(E15&lt;=Impuesto!$B$27,Impuesto!$C$27,IF(E15&lt;=Impuesto!$B$28,Impuesto!$C$28,IF(E15&lt;=Impuesto!$B$29,Impuesto!$C$29,IF(E15&lt;=Impuesto!$B$30,Impuesto!$C$30,Impuesto!$C$31)))))))</f>
        <v>0.23</v>
      </c>
      <c r="F16" s="50">
        <f>IF(F15&lt;=Impuesto!$B$24,Impuesto!$C$24,IF(F15&lt;=Impuesto!$B$25,Impuesto!$C$25,IF(F15&lt;=Impuesto!$B$26,Impuesto!$C$26,IF(F15&lt;=Impuesto!$B$27,Impuesto!$C$27,IF(F15&lt;=Impuesto!$B$28,Impuesto!$C$28,IF(F15&lt;=Impuesto!$B$29,Impuesto!$C$29,IF(F15&lt;=Impuesto!$B$30,Impuesto!$C$30,Impuesto!$C$31)))))))</f>
        <v>0.23</v>
      </c>
      <c r="G16" s="50">
        <f>IF(G15&lt;=Impuesto!$B$24,Impuesto!$C$24,IF(G15&lt;=Impuesto!$B$25,Impuesto!$C$25,IF(G15&lt;=Impuesto!$B$26,Impuesto!$C$26,IF(G15&lt;=Impuesto!$B$27,Impuesto!$C$27,IF(G15&lt;=Impuesto!$B$28,Impuesto!$C$28,IF(G15&lt;=Impuesto!$B$29,Impuesto!$C$29,IF(G15&lt;=Impuesto!$B$30,Impuesto!$C$30,Impuesto!$C$31)))))))</f>
        <v>0.23</v>
      </c>
      <c r="H16" s="50">
        <f>IF(H15&lt;=Impuesto!$B$24,Impuesto!$C$24,IF(H15&lt;=Impuesto!$B$25,Impuesto!$C$25,IF(H15&lt;=Impuesto!$B$26,Impuesto!$C$26,IF(H15&lt;=Impuesto!$B$27,Impuesto!$C$27,IF(H15&lt;=Impuesto!$B$28,Impuesto!$C$28,IF(H15&lt;=Impuesto!$B$29,Impuesto!$C$29,IF(H15&lt;=Impuesto!$B$30,Impuesto!$C$30,Impuesto!$C$31)))))))</f>
        <v>0.23</v>
      </c>
      <c r="I16" s="50">
        <f>IF(I15&lt;=Impuesto!$B$24,Impuesto!$C$24,IF(I15&lt;=Impuesto!$B$25,Impuesto!$C$25,IF(I15&lt;=Impuesto!$B$26,Impuesto!$C$26,IF(I15&lt;=Impuesto!$B$27,Impuesto!$C$27,IF(I15&lt;=Impuesto!$B$28,Impuesto!$C$28,IF(I15&lt;=Impuesto!$B$29,Impuesto!$C$29,IF(I15&lt;=Impuesto!$B$30,Impuesto!$C$30,Impuesto!$C$31)))))))</f>
        <v>0.23</v>
      </c>
      <c r="J16" s="50">
        <f>IF(J15&lt;=Impuesto!$B$24,Impuesto!$C$24,IF(J15&lt;=Impuesto!$B$25,Impuesto!$C$25,IF(J15&lt;=Impuesto!$B$26,Impuesto!$C$26,IF(J15&lt;=Impuesto!$B$27,Impuesto!$C$27,IF(J15&lt;=Impuesto!$B$28,Impuesto!$C$28,IF(J15&lt;=Impuesto!$B$29,Impuesto!$C$29,IF(J15&lt;=Impuesto!$B$30,Impuesto!$C$30,Impuesto!$C$31)))))))</f>
        <v>0.23</v>
      </c>
      <c r="K16" s="50">
        <f>IF(K15&lt;=Impuesto!$B$24,Impuesto!$C$24,IF(K15&lt;=Impuesto!$B$25,Impuesto!$C$25,IF(K15&lt;=Impuesto!$B$26,Impuesto!$C$26,IF(K15&lt;=Impuesto!$B$27,Impuesto!$C$27,IF(K15&lt;=Impuesto!$B$28,Impuesto!$C$28,IF(K15&lt;=Impuesto!$B$29,Impuesto!$C$29,IF(K15&lt;=Impuesto!$B$30,Impuesto!$C$30,Impuesto!$C$31)))))))</f>
        <v>0.23</v>
      </c>
      <c r="L16" s="50">
        <f>IF(L15&lt;=Impuesto!$B$24,Impuesto!$C$24,IF(L15&lt;=Impuesto!$B$25,Impuesto!$C$25,IF(L15&lt;=Impuesto!$B$26,Impuesto!$C$26,IF(L15&lt;=Impuesto!$B$27,Impuesto!$C$27,IF(L15&lt;=Impuesto!$B$28,Impuesto!$C$28,IF(L15&lt;=Impuesto!$B$29,Impuesto!$C$29,IF(L15&lt;=Impuesto!$B$30,Impuesto!$C$30,Impuesto!$C$31)))))))</f>
        <v>0.23</v>
      </c>
      <c r="M16" s="50">
        <f>IF(M15&lt;=Impuesto!$B$24,Impuesto!$C$24,IF(M15&lt;=Impuesto!$B$25,Impuesto!$C$25,IF(M15&lt;=Impuesto!$B$26,Impuesto!$C$26,IF(M15&lt;=Impuesto!$B$27,Impuesto!$C$27,IF(M15&lt;=Impuesto!$B$28,Impuesto!$C$28,IF(M15&lt;=Impuesto!$B$29,Impuesto!$C$29,IF(M15&lt;=Impuesto!$B$30,Impuesto!$C$30,Impuesto!$C$31)))))))</f>
        <v>0.23</v>
      </c>
      <c r="N16" s="50">
        <f>IF(N15&lt;=Impuesto!$B$24,Impuesto!$C$24,IF(N15&lt;=Impuesto!$B$25,Impuesto!$C$25,IF(N15&lt;=Impuesto!$B$26,Impuesto!$C$26,IF(N15&lt;=Impuesto!$B$27,Impuesto!$C$27,IF(N15&lt;=Impuesto!$B$28,Impuesto!$C$28,IF(N15&lt;=Impuesto!$B$29,Impuesto!$C$29,IF(N15&lt;=Impuesto!$B$30,Impuesto!$C$30,Impuesto!$C$31)))))))</f>
        <v>0.23</v>
      </c>
      <c r="Q16" s="32"/>
    </row>
    <row r="17" spans="2:17" x14ac:dyDescent="0.15">
      <c r="B17" s="30" t="s">
        <v>141</v>
      </c>
      <c r="C17" s="37">
        <f>C14*C16</f>
        <v>3500000</v>
      </c>
      <c r="D17" s="37">
        <f t="shared" ref="D17:N17" si="1">D14*D16</f>
        <v>1150000</v>
      </c>
      <c r="E17" s="37">
        <f t="shared" si="1"/>
        <v>1150000</v>
      </c>
      <c r="F17" s="37">
        <f t="shared" si="1"/>
        <v>1150000</v>
      </c>
      <c r="G17" s="37">
        <f t="shared" si="1"/>
        <v>1150000</v>
      </c>
      <c r="H17" s="37">
        <f t="shared" si="1"/>
        <v>1150000</v>
      </c>
      <c r="I17" s="37">
        <f t="shared" si="1"/>
        <v>1150000</v>
      </c>
      <c r="J17" s="37">
        <f t="shared" si="1"/>
        <v>1150000</v>
      </c>
      <c r="K17" s="37">
        <f t="shared" si="1"/>
        <v>1150000</v>
      </c>
      <c r="L17" s="37">
        <f t="shared" si="1"/>
        <v>1150000</v>
      </c>
      <c r="M17" s="37">
        <f t="shared" si="1"/>
        <v>1150000</v>
      </c>
      <c r="N17" s="37">
        <f t="shared" si="1"/>
        <v>1150000</v>
      </c>
      <c r="Q17" s="32"/>
    </row>
    <row r="18" spans="2:17" x14ac:dyDescent="0.15">
      <c r="B18" s="30" t="s">
        <v>142</v>
      </c>
      <c r="C18" s="37">
        <f>IF(C15&lt;=Impuesto!$B$24,Impuesto!$D$24,IF(C15&lt;=Impuesto!$B$25,Impuesto!$D$25,IF(C15&lt;=Impuesto!$B$26,Impuesto!$D$26,IF(C15&lt;=Impuesto!$B$27,Impuesto!$D$27,IF(C15&lt;=Impuesto!$B$28,Impuesto!$D$28,IF(C15&lt;=Impuesto!$B$29,Impuesto!$D$29,IF(C15&lt;=Impuesto!$B$30,Impuesto!$D$30,Impuesto!$D$31)))))))*C21</f>
        <v>1440453.08</v>
      </c>
      <c r="D18" s="37">
        <f>IF(D15&lt;=Impuesto!$B$24,Impuesto!$D$24,IF(D15&lt;=Impuesto!$B$25,Impuesto!$D$25,IF(D15&lt;=Impuesto!$B$26,Impuesto!$D$26,IF(D15&lt;=Impuesto!$B$27,Impuesto!$D$27,IF(D15&lt;=Impuesto!$B$28,Impuesto!$D$28,IF(D15&lt;=Impuesto!$B$29,Impuesto!$D$29,IF(D15&lt;=Impuesto!$B$30,Impuesto!$D$30,Impuesto!$D$31)))))))*D21</f>
        <v>690167.56</v>
      </c>
      <c r="E18" s="37">
        <f>IF(E15&lt;=Impuesto!$B$24,Impuesto!$D$24,IF(E15&lt;=Impuesto!$B$25,Impuesto!$D$25,IF(E15&lt;=Impuesto!$B$26,Impuesto!$D$26,IF(E15&lt;=Impuesto!$B$27,Impuesto!$D$27,IF(E15&lt;=Impuesto!$B$28,Impuesto!$D$28,IF(E15&lt;=Impuesto!$B$29,Impuesto!$D$29,IF(E15&lt;=Impuesto!$B$30,Impuesto!$D$30,Impuesto!$D$31)))))))*E21</f>
        <v>695693</v>
      </c>
      <c r="F18" s="37">
        <f>IF(F15&lt;=Impuesto!$B$24,Impuesto!$D$24,IF(F15&lt;=Impuesto!$B$25,Impuesto!$D$25,IF(F15&lt;=Impuesto!$B$26,Impuesto!$D$26,IF(F15&lt;=Impuesto!$B$27,Impuesto!$D$27,IF(F15&lt;=Impuesto!$B$28,Impuesto!$D$28,IF(F15&lt;=Impuesto!$B$29,Impuesto!$D$29,IF(F15&lt;=Impuesto!$B$30,Impuesto!$D$30,Impuesto!$D$31)))))))*F21</f>
        <v>695002.32000000007</v>
      </c>
      <c r="G18" s="37">
        <f>IF(G15&lt;=Impuesto!$B$24,Impuesto!$D$24,IF(G15&lt;=Impuesto!$B$25,Impuesto!$D$25,IF(G15&lt;=Impuesto!$B$26,Impuesto!$D$26,IF(G15&lt;=Impuesto!$B$27,Impuesto!$D$27,IF(G15&lt;=Impuesto!$B$28,Impuesto!$D$28,IF(G15&lt;=Impuesto!$B$29,Impuesto!$D$29,IF(G15&lt;=Impuesto!$B$30,Impuesto!$D$30,Impuesto!$D$31)))))))*G21</f>
        <v>702644.36</v>
      </c>
      <c r="H18" s="37">
        <f>IF(H15&lt;=Impuesto!$B$24,Impuesto!$D$24,IF(H15&lt;=Impuesto!$B$25,Impuesto!$D$25,IF(H15&lt;=Impuesto!$B$26,Impuesto!$D$26,IF(H15&lt;=Impuesto!$B$27,Impuesto!$D$27,IF(H15&lt;=Impuesto!$B$28,Impuesto!$D$28,IF(H15&lt;=Impuesto!$B$29,Impuesto!$D$29,IF(H15&lt;=Impuesto!$B$30,Impuesto!$D$30,Impuesto!$D$31)))))))*H21</f>
        <v>704749.82000000007</v>
      </c>
      <c r="I18" s="37">
        <f>IF(I15&lt;=Impuesto!$B$24,Impuesto!$D$24,IF(I15&lt;=Impuesto!$B$25,Impuesto!$D$25,IF(I15&lt;=Impuesto!$B$26,Impuesto!$D$26,IF(I15&lt;=Impuesto!$B$27,Impuesto!$D$27,IF(I15&lt;=Impuesto!$B$28,Impuesto!$D$28,IF(I15&lt;=Impuesto!$B$29,Impuesto!$D$29,IF(I15&lt;=Impuesto!$B$30,Impuesto!$D$30,Impuesto!$D$31)))))))*I21</f>
        <v>705451.64</v>
      </c>
      <c r="J18" s="37">
        <f>IF(J15&lt;=Impuesto!$B$24,Impuesto!$D$24,IF(J15&lt;=Impuesto!$B$25,Impuesto!$D$25,IF(J15&lt;=Impuesto!$B$26,Impuesto!$D$26,IF(J15&lt;=Impuesto!$B$27,Impuesto!$D$27,IF(J15&lt;=Impuesto!$B$28,Impuesto!$D$28,IF(J15&lt;=Impuesto!$B$29,Impuesto!$D$29,IF(J15&lt;=Impuesto!$B$30,Impuesto!$D$30,Impuesto!$D$31)))))))*J21</f>
        <v>704036.86</v>
      </c>
      <c r="K18" s="37">
        <f>IF(K15&lt;=Impuesto!$B$24,Impuesto!$D$24,IF(K15&lt;=Impuesto!$B$25,Impuesto!$D$25,IF(K15&lt;=Impuesto!$B$26,Impuesto!$D$26,IF(K15&lt;=Impuesto!$B$27,Impuesto!$D$27,IF(K15&lt;=Impuesto!$B$28,Impuesto!$D$28,IF(K15&lt;=Impuesto!$B$29,Impuesto!$D$29,IF(K15&lt;=Impuesto!$B$30,Impuesto!$D$30,Impuesto!$D$31)))))))*K21</f>
        <v>706855.28</v>
      </c>
      <c r="L18" s="37">
        <f>IF(L15&lt;=Impuesto!$B$24,Impuesto!$D$24,IF(L15&lt;=Impuesto!$B$25,Impuesto!$D$25,IF(L15&lt;=Impuesto!$B$26,Impuesto!$D$26,IF(L15&lt;=Impuesto!$B$27,Impuesto!$D$27,IF(L15&lt;=Impuesto!$B$28,Impuesto!$D$28,IF(L15&lt;=Impuesto!$B$29,Impuesto!$D$29,IF(L15&lt;=Impuesto!$B$30,Impuesto!$D$30,Impuesto!$D$31)))))))*L21</f>
        <v>707557.10000000009</v>
      </c>
      <c r="M18" s="37">
        <f>IF(M15&lt;=Impuesto!$B$24,Impuesto!$D$24,IF(M15&lt;=Impuesto!$B$25,Impuesto!$D$25,IF(M15&lt;=Impuesto!$B$26,Impuesto!$D$26,IF(M15&lt;=Impuesto!$B$27,Impuesto!$D$27,IF(M15&lt;=Impuesto!$B$28,Impuesto!$D$28,IF(M15&lt;=Impuesto!$B$29,Impuesto!$D$29,IF(M15&lt;=Impuesto!$B$30,Impuesto!$D$30,Impuesto!$D$31)))))))*M21</f>
        <v>712514.4</v>
      </c>
      <c r="N18" s="37">
        <f>IF(N15&lt;=Impuesto!$B$24,Impuesto!$D$24,IF(N15&lt;=Impuesto!$B$25,Impuesto!$D$25,IF(N15&lt;=Impuesto!$B$26,Impuesto!$D$26,IF(N15&lt;=Impuesto!$B$27,Impuesto!$D$27,IF(N15&lt;=Impuesto!$B$28,Impuesto!$D$28,IF(N15&lt;=Impuesto!$B$29,Impuesto!$D$29,IF(N15&lt;=Impuesto!$B$30,Impuesto!$D$30,Impuesto!$D$31)))))))*N21</f>
        <v>715366.24</v>
      </c>
      <c r="Q18" s="32"/>
    </row>
    <row r="19" spans="2:17" x14ac:dyDescent="0.15">
      <c r="B19" s="30" t="s">
        <v>143</v>
      </c>
      <c r="C19" s="37">
        <f>C17-C18</f>
        <v>2059546.92</v>
      </c>
      <c r="D19" s="37">
        <f t="shared" ref="D19:N19" si="2">D17-D18</f>
        <v>459832.43999999994</v>
      </c>
      <c r="E19" s="37">
        <f t="shared" si="2"/>
        <v>454307</v>
      </c>
      <c r="F19" s="37">
        <f t="shared" si="2"/>
        <v>454997.67999999993</v>
      </c>
      <c r="G19" s="37">
        <f t="shared" si="2"/>
        <v>447355.64</v>
      </c>
      <c r="H19" s="37">
        <f t="shared" si="2"/>
        <v>445250.17999999993</v>
      </c>
      <c r="I19" s="37">
        <f t="shared" si="2"/>
        <v>444548.36</v>
      </c>
      <c r="J19" s="37">
        <f t="shared" si="2"/>
        <v>445963.14</v>
      </c>
      <c r="K19" s="37">
        <f t="shared" si="2"/>
        <v>443144.72</v>
      </c>
      <c r="L19" s="37">
        <f t="shared" si="2"/>
        <v>442442.89999999991</v>
      </c>
      <c r="M19" s="37">
        <f t="shared" si="2"/>
        <v>437485.6</v>
      </c>
      <c r="N19" s="37">
        <f t="shared" si="2"/>
        <v>434633.76</v>
      </c>
      <c r="Q19" s="32"/>
    </row>
    <row r="20" spans="2:17" x14ac:dyDescent="0.15">
      <c r="B20" s="30" t="s">
        <v>144</v>
      </c>
      <c r="C20" s="37">
        <f>C14-C19</f>
        <v>7940453.0800000001</v>
      </c>
      <c r="D20" s="37">
        <f t="shared" ref="D20:N20" si="3">D14-D19</f>
        <v>4540167.5600000005</v>
      </c>
      <c r="E20" s="37">
        <f t="shared" si="3"/>
        <v>4545693</v>
      </c>
      <c r="F20" s="37">
        <f t="shared" si="3"/>
        <v>4545002.32</v>
      </c>
      <c r="G20" s="37">
        <f t="shared" si="3"/>
        <v>4552644.3600000003</v>
      </c>
      <c r="H20" s="37">
        <f t="shared" si="3"/>
        <v>4554749.82</v>
      </c>
      <c r="I20" s="37">
        <f t="shared" si="3"/>
        <v>4555451.6399999997</v>
      </c>
      <c r="J20" s="37">
        <f t="shared" si="3"/>
        <v>4554036.8600000003</v>
      </c>
      <c r="K20" s="37">
        <f t="shared" si="3"/>
        <v>4556855.28</v>
      </c>
      <c r="L20" s="37">
        <f t="shared" si="3"/>
        <v>4557557.0999999996</v>
      </c>
      <c r="M20" s="37">
        <f t="shared" si="3"/>
        <v>4562514.4000000004</v>
      </c>
      <c r="N20" s="37">
        <f t="shared" si="3"/>
        <v>4565366.24</v>
      </c>
      <c r="Q20" s="32"/>
    </row>
    <row r="21" spans="2:17" x14ac:dyDescent="0.15">
      <c r="B21" s="54" t="s">
        <v>19</v>
      </c>
      <c r="C21" s="54">
        <f>Mes!I14</f>
        <v>61769</v>
      </c>
      <c r="D21" s="54">
        <f>Mes!I15</f>
        <v>61954</v>
      </c>
      <c r="E21" s="54" cm="1">
        <f t="array" ref="E21">TRANSPOSE(Mes!I16)</f>
        <v>62450</v>
      </c>
      <c r="F21" s="54">
        <f>Mes!I17</f>
        <v>62388</v>
      </c>
      <c r="G21" s="54">
        <f>Mes!I18</f>
        <v>63074</v>
      </c>
      <c r="H21" s="54">
        <f>Mes!I19</f>
        <v>63263</v>
      </c>
      <c r="I21" s="54">
        <f>Mes!I20</f>
        <v>63326</v>
      </c>
      <c r="J21" s="54">
        <f>Mes!I21</f>
        <v>63199</v>
      </c>
      <c r="K21" s="54">
        <f>Mes!I22</f>
        <v>63452</v>
      </c>
      <c r="L21" s="54">
        <f>Mes!I23</f>
        <v>63515</v>
      </c>
      <c r="M21" s="54">
        <f>Mes!I24</f>
        <v>63960</v>
      </c>
      <c r="N21" s="54">
        <f>Mes!I25</f>
        <v>64216</v>
      </c>
      <c r="Q21" s="32"/>
    </row>
    <row r="22" spans="2:17" x14ac:dyDescent="0.15">
      <c r="Q22" s="32"/>
    </row>
    <row r="23" spans="2:17" x14ac:dyDescent="0.15">
      <c r="Q23" s="32"/>
    </row>
    <row r="24" spans="2:17" x14ac:dyDescent="0.15">
      <c r="Q24" s="32"/>
    </row>
    <row r="27" spans="2:17" x14ac:dyDescent="0.15">
      <c r="B27" t="s">
        <v>145</v>
      </c>
    </row>
    <row r="28" spans="2:17" x14ac:dyDescent="0.15">
      <c r="B28" s="29" t="s">
        <v>130</v>
      </c>
      <c r="C28" s="2" t="s">
        <v>31</v>
      </c>
      <c r="D28" s="2" t="s">
        <v>32</v>
      </c>
      <c r="E28" s="2" t="s">
        <v>33</v>
      </c>
      <c r="F28" s="2" t="s">
        <v>11</v>
      </c>
      <c r="G28" s="2" t="s">
        <v>34</v>
      </c>
      <c r="H28" s="2" t="s">
        <v>35</v>
      </c>
      <c r="I28" s="2" t="s">
        <v>36</v>
      </c>
      <c r="J28" s="2" t="s">
        <v>37</v>
      </c>
      <c r="K28" s="2" t="s">
        <v>38</v>
      </c>
      <c r="L28" s="2" t="s">
        <v>39</v>
      </c>
      <c r="M28" s="2" t="s">
        <v>40</v>
      </c>
      <c r="N28" s="2" t="s">
        <v>41</v>
      </c>
    </row>
    <row r="29" spans="2:17" hidden="1" x14ac:dyDescent="0.15">
      <c r="B29" s="30" t="s">
        <v>131</v>
      </c>
      <c r="C29" s="37"/>
      <c r="D29" s="37"/>
      <c r="E29" s="37"/>
      <c r="F29" s="37"/>
      <c r="G29" s="37"/>
      <c r="H29" s="37"/>
      <c r="I29" s="37"/>
      <c r="J29" s="37"/>
      <c r="K29" s="37"/>
      <c r="L29" s="37"/>
      <c r="M29" s="37"/>
      <c r="N29" s="37"/>
    </row>
    <row r="30" spans="2:17" hidden="1" x14ac:dyDescent="0.15">
      <c r="B30" s="30" t="s">
        <v>132</v>
      </c>
      <c r="C30" s="37"/>
      <c r="D30" s="37"/>
      <c r="E30" s="37"/>
      <c r="F30" s="37"/>
      <c r="G30" s="37"/>
      <c r="H30" s="37"/>
      <c r="I30" s="37"/>
      <c r="J30" s="37"/>
      <c r="K30" s="37"/>
      <c r="L30" s="37"/>
      <c r="M30" s="37"/>
      <c r="N30" s="37"/>
    </row>
    <row r="31" spans="2:17" hidden="1" x14ac:dyDescent="0.15">
      <c r="B31" s="31" t="s">
        <v>133</v>
      </c>
      <c r="C31" s="37"/>
      <c r="D31" s="37"/>
      <c r="E31" s="37"/>
      <c r="F31" s="37"/>
      <c r="G31" s="37"/>
      <c r="H31" s="37"/>
      <c r="I31" s="37"/>
      <c r="J31" s="37"/>
      <c r="K31" s="37"/>
      <c r="L31" s="37"/>
      <c r="M31" s="37"/>
      <c r="N31" s="37"/>
    </row>
    <row r="32" spans="2:17" hidden="1" x14ac:dyDescent="0.15">
      <c r="B32" s="31" t="s">
        <v>134</v>
      </c>
      <c r="C32" s="37"/>
      <c r="D32" s="37"/>
      <c r="E32" s="37"/>
      <c r="F32" s="37"/>
      <c r="G32" s="37"/>
      <c r="H32" s="37"/>
      <c r="I32" s="37"/>
      <c r="J32" s="37"/>
      <c r="K32" s="37"/>
      <c r="L32" s="37"/>
      <c r="M32" s="37"/>
      <c r="N32" s="37"/>
    </row>
    <row r="33" spans="2:17" hidden="1" x14ac:dyDescent="0.15">
      <c r="B33" s="31" t="s">
        <v>135</v>
      </c>
      <c r="C33" s="37"/>
      <c r="D33" s="37"/>
      <c r="E33" s="37"/>
      <c r="F33" s="37"/>
      <c r="G33" s="37"/>
      <c r="H33" s="37"/>
      <c r="I33" s="37"/>
      <c r="J33" s="37"/>
      <c r="K33" s="37"/>
      <c r="L33" s="37"/>
      <c r="M33" s="37"/>
      <c r="N33" s="37"/>
    </row>
    <row r="34" spans="2:17" hidden="1" x14ac:dyDescent="0.15">
      <c r="B34" s="31" t="s">
        <v>136</v>
      </c>
      <c r="C34" s="37"/>
      <c r="D34" s="37"/>
      <c r="E34" s="37"/>
      <c r="F34" s="37"/>
      <c r="G34" s="37"/>
      <c r="H34" s="37"/>
      <c r="I34" s="37"/>
      <c r="J34" s="37"/>
      <c r="K34" s="37"/>
      <c r="L34" s="37"/>
      <c r="M34" s="37"/>
      <c r="N34" s="37"/>
      <c r="Q34" s="32"/>
    </row>
    <row r="35" spans="2:17" hidden="1" x14ac:dyDescent="0.15">
      <c r="B35" s="234" t="s">
        <v>137</v>
      </c>
      <c r="C35" s="41"/>
      <c r="D35" s="41"/>
      <c r="E35" s="41"/>
      <c r="F35" s="41"/>
      <c r="G35" s="41"/>
      <c r="H35" s="41"/>
      <c r="I35" s="41"/>
      <c r="J35" s="41"/>
      <c r="K35" s="41"/>
      <c r="L35" s="41"/>
      <c r="M35" s="41"/>
      <c r="N35" s="41"/>
      <c r="Q35" s="32"/>
    </row>
    <row r="36" spans="2:17" x14ac:dyDescent="0.15">
      <c r="B36" s="30" t="s">
        <v>138</v>
      </c>
      <c r="C36" s="37">
        <f>+Mes!F14</f>
        <v>2000000</v>
      </c>
      <c r="D36" s="37">
        <f>+Mes!F15</f>
        <v>2000000</v>
      </c>
      <c r="E36" s="37">
        <f>+Mes!F16</f>
        <v>2000000</v>
      </c>
      <c r="F36" s="37">
        <f>+Mes!F17</f>
        <v>2000000</v>
      </c>
      <c r="G36" s="37">
        <f>+Mes!F18</f>
        <v>2000000</v>
      </c>
      <c r="H36" s="37">
        <f>+Mes!F19</f>
        <v>2000000</v>
      </c>
      <c r="I36" s="37">
        <f>+Mes!F20</f>
        <v>2000000</v>
      </c>
      <c r="J36" s="37">
        <f>+Mes!F21</f>
        <v>2000000</v>
      </c>
      <c r="K36" s="37">
        <f>+Mes!F22</f>
        <v>2000000</v>
      </c>
      <c r="L36" s="37">
        <f>+Mes!F23</f>
        <v>2000000</v>
      </c>
      <c r="M36" s="37">
        <f>+Mes!F24</f>
        <v>2000000</v>
      </c>
      <c r="N36" s="37">
        <f>+Mes!F25</f>
        <v>2000000</v>
      </c>
      <c r="Q36" s="32"/>
    </row>
    <row r="37" spans="2:17" x14ac:dyDescent="0.15">
      <c r="B37" s="31" t="s">
        <v>139</v>
      </c>
      <c r="C37" s="35">
        <f t="shared" ref="C37:N37" si="4">C36/C43</f>
        <v>32.378701290291247</v>
      </c>
      <c r="D37" s="35">
        <f t="shared" si="4"/>
        <v>32.282015689059627</v>
      </c>
      <c r="E37" s="35">
        <f t="shared" si="4"/>
        <v>32.025620496397117</v>
      </c>
      <c r="F37" s="35">
        <f t="shared" si="4"/>
        <v>32.057446944925303</v>
      </c>
      <c r="G37" s="35">
        <f t="shared" si="4"/>
        <v>31.708786504740463</v>
      </c>
      <c r="H37" s="35">
        <f t="shared" si="4"/>
        <v>31.614055609123817</v>
      </c>
      <c r="I37" s="35">
        <f t="shared" si="4"/>
        <v>31.582604301550706</v>
      </c>
      <c r="J37" s="35">
        <f t="shared" si="4"/>
        <v>31.646070349214387</v>
      </c>
      <c r="K37" s="35">
        <f t="shared" si="4"/>
        <v>31.519889049990542</v>
      </c>
      <c r="L37" s="35">
        <f t="shared" si="4"/>
        <v>31.48862473431473</v>
      </c>
      <c r="M37" s="35">
        <f t="shared" si="4"/>
        <v>31.269543464665414</v>
      </c>
      <c r="N37" s="35">
        <f t="shared" si="4"/>
        <v>31.144886009717204</v>
      </c>
      <c r="Q37" s="32"/>
    </row>
    <row r="38" spans="2:17" x14ac:dyDescent="0.15">
      <c r="B38" s="30" t="s">
        <v>140</v>
      </c>
      <c r="C38" s="36">
        <f>IF(C37&lt;=Impuesto!$B$24,Impuesto!$C$24,IF(C37&lt;=Impuesto!$B$25,Impuesto!$C$25,IF(C37&lt;=Impuesto!$B$26,Impuesto!$C$26,IF(C37&lt;=Impuesto!$B$27,Impuesto!$C$27,IF(C37&lt;=Impuesto!$B$28,Impuesto!$C$28,IF(C37&lt;=Impuesto!$B$29,Impuesto!$C$29,IF(C37&lt;=Impuesto!$B$30,Impuesto!$C$30,Impuesto!$C$31)))))))</f>
        <v>0.08</v>
      </c>
      <c r="D38" s="36">
        <f>IF(D37&lt;=Impuesto!$B$24,Impuesto!$C$24,IF(D37&lt;=Impuesto!$B$25,Impuesto!$C$25,IF(D37&lt;=Impuesto!$B$26,Impuesto!$C$26,IF(D37&lt;=Impuesto!$B$27,Impuesto!$C$27,IF(D37&lt;=Impuesto!$B$28,Impuesto!$C$28,IF(D37&lt;=Impuesto!$B$29,Impuesto!$C$29,IF(D37&lt;=Impuesto!$B$30,Impuesto!$C$30,Impuesto!$C$31)))))))</f>
        <v>0.08</v>
      </c>
      <c r="E38" s="36">
        <f>IF(E37&lt;=Impuesto!$B$24,Impuesto!$C$24,IF(E37&lt;=Impuesto!$B$25,Impuesto!$C$25,IF(E37&lt;=Impuesto!$B$26,Impuesto!$C$26,IF(E37&lt;=Impuesto!$B$27,Impuesto!$C$27,IF(E37&lt;=Impuesto!$B$28,Impuesto!$C$28,IF(E37&lt;=Impuesto!$B$29,Impuesto!$C$29,IF(E37&lt;=Impuesto!$B$30,Impuesto!$C$30,Impuesto!$C$31)))))))</f>
        <v>0.08</v>
      </c>
      <c r="F38" s="36">
        <f>IF(F37&lt;=Impuesto!$B$24,Impuesto!$C$24,IF(F37&lt;=Impuesto!$B$25,Impuesto!$C$25,IF(F37&lt;=Impuesto!$B$26,Impuesto!$C$26,IF(F37&lt;=Impuesto!$B$27,Impuesto!$C$27,IF(F37&lt;=Impuesto!$B$28,Impuesto!$C$28,IF(F37&lt;=Impuesto!$B$29,Impuesto!$C$29,IF(F37&lt;=Impuesto!$B$30,Impuesto!$C$30,Impuesto!$C$31)))))))</f>
        <v>0.08</v>
      </c>
      <c r="G38" s="36">
        <f>IF(G37&lt;=Impuesto!$B$24,Impuesto!$C$24,IF(G37&lt;=Impuesto!$B$25,Impuesto!$C$25,IF(G37&lt;=Impuesto!$B$26,Impuesto!$C$26,IF(G37&lt;=Impuesto!$B$27,Impuesto!$C$27,IF(G37&lt;=Impuesto!$B$28,Impuesto!$C$28,IF(G37&lt;=Impuesto!$B$29,Impuesto!$C$29,IF(G37&lt;=Impuesto!$B$30,Impuesto!$C$30,Impuesto!$C$31)))))))</f>
        <v>0.08</v>
      </c>
      <c r="H38" s="36">
        <f>IF(H37&lt;=Impuesto!$B$24,Impuesto!$C$24,IF(H37&lt;=Impuesto!$B$25,Impuesto!$C$25,IF(H37&lt;=Impuesto!$B$26,Impuesto!$C$26,IF(H37&lt;=Impuesto!$B$27,Impuesto!$C$27,IF(H37&lt;=Impuesto!$B$28,Impuesto!$C$28,IF(H37&lt;=Impuesto!$B$29,Impuesto!$C$29,IF(H37&lt;=Impuesto!$B$30,Impuesto!$C$30,Impuesto!$C$31)))))))</f>
        <v>0.08</v>
      </c>
      <c r="I38" s="36">
        <f>IF(I37&lt;=Impuesto!$B$24,Impuesto!$C$24,IF(I37&lt;=Impuesto!$B$25,Impuesto!$C$25,IF(I37&lt;=Impuesto!$B$26,Impuesto!$C$26,IF(I37&lt;=Impuesto!$B$27,Impuesto!$C$27,IF(I37&lt;=Impuesto!$B$28,Impuesto!$C$28,IF(I37&lt;=Impuesto!$B$29,Impuesto!$C$29,IF(I37&lt;=Impuesto!$B$30,Impuesto!$C$30,Impuesto!$C$31)))))))</f>
        <v>0.08</v>
      </c>
      <c r="J38" s="36">
        <f>IF(J37&lt;=Impuesto!$B$24,Impuesto!$C$24,IF(J37&lt;=Impuesto!$B$25,Impuesto!$C$25,IF(J37&lt;=Impuesto!$B$26,Impuesto!$C$26,IF(J37&lt;=Impuesto!$B$27,Impuesto!$C$27,IF(J37&lt;=Impuesto!$B$28,Impuesto!$C$28,IF(J37&lt;=Impuesto!$B$29,Impuesto!$C$29,IF(J37&lt;=Impuesto!$B$30,Impuesto!$C$30,Impuesto!$C$31)))))))</f>
        <v>0.08</v>
      </c>
      <c r="K38" s="36">
        <f>IF(K37&lt;=Impuesto!$B$24,Impuesto!$C$24,IF(K37&lt;=Impuesto!$B$25,Impuesto!$C$25,IF(K37&lt;=Impuesto!$B$26,Impuesto!$C$26,IF(K37&lt;=Impuesto!$B$27,Impuesto!$C$27,IF(K37&lt;=Impuesto!$B$28,Impuesto!$C$28,IF(K37&lt;=Impuesto!$B$29,Impuesto!$C$29,IF(K37&lt;=Impuesto!$B$30,Impuesto!$C$30,Impuesto!$C$31)))))))</f>
        <v>0.08</v>
      </c>
      <c r="L38" s="36">
        <f>IF(L37&lt;=Impuesto!$B$24,Impuesto!$C$24,IF(L37&lt;=Impuesto!$B$25,Impuesto!$C$25,IF(L37&lt;=Impuesto!$B$26,Impuesto!$C$26,IF(L37&lt;=Impuesto!$B$27,Impuesto!$C$27,IF(L37&lt;=Impuesto!$B$28,Impuesto!$C$28,IF(L37&lt;=Impuesto!$B$29,Impuesto!$C$29,IF(L37&lt;=Impuesto!$B$30,Impuesto!$C$30,Impuesto!$C$31)))))))</f>
        <v>0.08</v>
      </c>
      <c r="M38" s="36">
        <f>IF(M37&lt;=Impuesto!$B$24,Impuesto!$C$24,IF(M37&lt;=Impuesto!$B$25,Impuesto!$C$25,IF(M37&lt;=Impuesto!$B$26,Impuesto!$C$26,IF(M37&lt;=Impuesto!$B$27,Impuesto!$C$27,IF(M37&lt;=Impuesto!$B$28,Impuesto!$C$28,IF(M37&lt;=Impuesto!$B$29,Impuesto!$C$29,IF(M37&lt;=Impuesto!$B$30,Impuesto!$C$30,Impuesto!$C$31)))))))</f>
        <v>0.08</v>
      </c>
      <c r="N38" s="36">
        <f>IF(N37&lt;=Impuesto!$B$24,Impuesto!$C$24,IF(N37&lt;=Impuesto!$B$25,Impuesto!$C$25,IF(N37&lt;=Impuesto!$B$26,Impuesto!$C$26,IF(N37&lt;=Impuesto!$B$27,Impuesto!$C$27,IF(N37&lt;=Impuesto!$B$28,Impuesto!$C$28,IF(N37&lt;=Impuesto!$B$29,Impuesto!$C$29,IF(N37&lt;=Impuesto!$B$30,Impuesto!$C$30,Impuesto!$C$31)))))))</f>
        <v>0.08</v>
      </c>
      <c r="Q38" s="32"/>
    </row>
    <row r="39" spans="2:17" x14ac:dyDescent="0.15">
      <c r="B39" s="30" t="s">
        <v>141</v>
      </c>
      <c r="C39" s="37">
        <f t="shared" ref="C39:N39" si="5">C36*C38</f>
        <v>160000</v>
      </c>
      <c r="D39" s="37">
        <f t="shared" si="5"/>
        <v>160000</v>
      </c>
      <c r="E39" s="37">
        <f t="shared" si="5"/>
        <v>160000</v>
      </c>
      <c r="F39" s="37">
        <f t="shared" si="5"/>
        <v>160000</v>
      </c>
      <c r="G39" s="37">
        <f t="shared" si="5"/>
        <v>160000</v>
      </c>
      <c r="H39" s="37">
        <f t="shared" si="5"/>
        <v>160000</v>
      </c>
      <c r="I39" s="37">
        <f t="shared" si="5"/>
        <v>160000</v>
      </c>
      <c r="J39" s="37">
        <f t="shared" si="5"/>
        <v>160000</v>
      </c>
      <c r="K39" s="37">
        <f t="shared" si="5"/>
        <v>160000</v>
      </c>
      <c r="L39" s="37">
        <f>L36*L38</f>
        <v>160000</v>
      </c>
      <c r="M39" s="37">
        <f t="shared" si="5"/>
        <v>160000</v>
      </c>
      <c r="N39" s="37">
        <f t="shared" si="5"/>
        <v>160000</v>
      </c>
      <c r="Q39" s="32"/>
    </row>
    <row r="40" spans="2:17" x14ac:dyDescent="0.15">
      <c r="B40" s="30" t="s">
        <v>142</v>
      </c>
      <c r="C40" s="37">
        <f>IF(C37&lt;=Impuesto!$B$24,Impuesto!$D$24,IF(C37&lt;=Impuesto!$B$25,Impuesto!$D$25,IF(C37&lt;=Impuesto!$B$26,Impuesto!$D$26,IF(C37&lt;=Impuesto!$B$27,Impuesto!$D$27,IF(C37&lt;=Impuesto!$B$28,Impuesto!$D$28,IF(C37&lt;=Impuesto!$B$29,Impuesto!$D$29,IF(C37&lt;=Impuesto!$B$30,Impuesto!$D$30,Impuesto!$D$31)))))))*C43</f>
        <v>107478.06</v>
      </c>
      <c r="D40" s="37">
        <f>IF(D37&lt;=Impuesto!$B$24,Impuesto!$D$24,IF(D37&lt;=Impuesto!$B$25,Impuesto!$D$25,IF(D37&lt;=Impuesto!$B$26,Impuesto!$D$26,IF(D37&lt;=Impuesto!$B$27,Impuesto!$D$27,IF(D37&lt;=Impuesto!$B$28,Impuesto!$D$28,IF(D37&lt;=Impuesto!$B$29,Impuesto!$D$29,IF(D37&lt;=Impuesto!$B$30,Impuesto!$D$30,Impuesto!$D$31)))))))*D43</f>
        <v>107799.96</v>
      </c>
      <c r="E40" s="37">
        <f>IF(E37&lt;=Impuesto!$B$24,Impuesto!$D$24,IF(E37&lt;=Impuesto!$B$25,Impuesto!$D$25,IF(E37&lt;=Impuesto!$B$26,Impuesto!$D$26,IF(E37&lt;=Impuesto!$B$27,Impuesto!$D$27,IF(E37&lt;=Impuesto!$B$28,Impuesto!$D$28,IF(E37&lt;=Impuesto!$B$29,Impuesto!$D$29,IF(E37&lt;=Impuesto!$B$30,Impuesto!$D$30,Impuesto!$D$31)))))))*E43</f>
        <v>108663</v>
      </c>
      <c r="F40" s="37">
        <f>IF(F37&lt;=Impuesto!$B$24,Impuesto!$D$24,IF(F37&lt;=Impuesto!$B$25,Impuesto!$D$25,IF(F37&lt;=Impuesto!$B$26,Impuesto!$D$26,IF(F37&lt;=Impuesto!$B$27,Impuesto!$D$27,IF(F37&lt;=Impuesto!$B$28,Impuesto!$D$28,IF(F37&lt;=Impuesto!$B$29,Impuesto!$D$29,IF(F37&lt;=Impuesto!$B$30,Impuesto!$D$30,Impuesto!$D$31)))))))*F43</f>
        <v>108555.12</v>
      </c>
      <c r="G40" s="37">
        <f>IF(G37&lt;=Impuesto!$B$24,Impuesto!$D$24,IF(G37&lt;=Impuesto!$B$25,Impuesto!$D$25,IF(G37&lt;=Impuesto!$B$26,Impuesto!$D$26,IF(G37&lt;=Impuesto!$B$27,Impuesto!$D$27,IF(G37&lt;=Impuesto!$B$28,Impuesto!$D$28,IF(G37&lt;=Impuesto!$B$29,Impuesto!$D$29,IF(G37&lt;=Impuesto!$B$30,Impuesto!$D$30,Impuesto!$D$31)))))))*G43</f>
        <v>109748.76</v>
      </c>
      <c r="H40" s="37">
        <f>IF(H37&lt;=Impuesto!$B$24,Impuesto!$D$24,IF(H37&lt;=Impuesto!$B$25,Impuesto!$D$25,IF(H37&lt;=Impuesto!$B$26,Impuesto!$D$26,IF(H37&lt;=Impuesto!$B$27,Impuesto!$D$27,IF(H37&lt;=Impuesto!$B$28,Impuesto!$D$28,IF(H37&lt;=Impuesto!$B$29,Impuesto!$D$29,IF(H37&lt;=Impuesto!$B$30,Impuesto!$D$30,Impuesto!$D$31)))))))*H43</f>
        <v>110077.62</v>
      </c>
      <c r="I40" s="37">
        <f>IF(I37&lt;=Impuesto!$B$24,Impuesto!$D$24,IF(I37&lt;=Impuesto!$B$25,Impuesto!$D$25,IF(I37&lt;=Impuesto!$B$26,Impuesto!$D$26,IF(I37&lt;=Impuesto!$B$27,Impuesto!$D$27,IF(I37&lt;=Impuesto!$B$28,Impuesto!$D$28,IF(I37&lt;=Impuesto!$B$29,Impuesto!$D$29,IF(I37&lt;=Impuesto!$B$30,Impuesto!$D$30,Impuesto!$D$31)))))))*I43</f>
        <v>110187.24</v>
      </c>
      <c r="J40" s="37">
        <f>IF(J37&lt;=Impuesto!$B$24,Impuesto!$D$24,IF(J37&lt;=Impuesto!$B$25,Impuesto!$D$25,IF(J37&lt;=Impuesto!$B$26,Impuesto!$D$26,IF(J37&lt;=Impuesto!$B$27,Impuesto!$D$27,IF(J37&lt;=Impuesto!$B$28,Impuesto!$D$28,IF(J37&lt;=Impuesto!$B$29,Impuesto!$D$29,IF(J37&lt;=Impuesto!$B$30,Impuesto!$D$30,Impuesto!$D$31)))))))*J43</f>
        <v>109966.26</v>
      </c>
      <c r="K40" s="37">
        <f>IF(K37&lt;=Impuesto!$B$24,Impuesto!$D$24,IF(K37&lt;=Impuesto!$B$25,Impuesto!$D$25,IF(K37&lt;=Impuesto!$B$26,Impuesto!$D$26,IF(K37&lt;=Impuesto!$B$27,Impuesto!$D$27,IF(K37&lt;=Impuesto!$B$28,Impuesto!$D$28,IF(K37&lt;=Impuesto!$B$29,Impuesto!$D$29,IF(K37&lt;=Impuesto!$B$30,Impuesto!$D$30,Impuesto!$D$31)))))))*K43</f>
        <v>110406.48</v>
      </c>
      <c r="L40" s="37">
        <f>IF(L37&lt;=Impuesto!$B$24,Impuesto!$D$24,IF(L37&lt;=Impuesto!$B$25,Impuesto!$D$25,IF(L37&lt;=Impuesto!$B$26,Impuesto!$D$26,IF(L37&lt;=Impuesto!$B$27,Impuesto!$D$27,IF(L37&lt;=Impuesto!$B$28,Impuesto!$D$28,IF(L37&lt;=Impuesto!$B$29,Impuesto!$D$29,IF(L37&lt;=Impuesto!$B$30,Impuesto!$D$30,Impuesto!$D$31)))))))*L43</f>
        <v>110516.1</v>
      </c>
      <c r="M40" s="37">
        <f>IF(M37&lt;=Impuesto!$B$24,Impuesto!$D$24,IF(M37&lt;=Impuesto!$B$25,Impuesto!$D$25,IF(M37&lt;=Impuesto!$B$26,Impuesto!$D$26,IF(M37&lt;=Impuesto!$B$27,Impuesto!$D$27,IF(M37&lt;=Impuesto!$B$28,Impuesto!$D$28,IF(M37&lt;=Impuesto!$B$29,Impuesto!$D$29,IF(M37&lt;=Impuesto!$B$30,Impuesto!$D$30,Impuesto!$D$31)))))))*M43</f>
        <v>111290.4</v>
      </c>
      <c r="N40" s="37">
        <f>IF(N37&lt;=Impuesto!$B$24,Impuesto!$D$24,IF(N37&lt;=Impuesto!$B$25,Impuesto!$D$25,IF(N37&lt;=Impuesto!$B$26,Impuesto!$D$26,IF(N37&lt;=Impuesto!$B$27,Impuesto!$D$27,IF(N37&lt;=Impuesto!$B$28,Impuesto!$D$28,IF(N37&lt;=Impuesto!$B$29,Impuesto!$D$29,IF(N37&lt;=Impuesto!$B$30,Impuesto!$D$30,Impuesto!$D$31)))))))*N43</f>
        <v>111735.84</v>
      </c>
      <c r="Q40" s="32"/>
    </row>
    <row r="41" spans="2:17" x14ac:dyDescent="0.15">
      <c r="B41" s="30" t="s">
        <v>143</v>
      </c>
      <c r="C41" s="37">
        <f t="shared" ref="C41:N41" si="6">C39-C40</f>
        <v>52521.94</v>
      </c>
      <c r="D41" s="37">
        <f t="shared" si="6"/>
        <v>52200.039999999994</v>
      </c>
      <c r="E41" s="37">
        <f t="shared" si="6"/>
        <v>51337</v>
      </c>
      <c r="F41" s="37">
        <f t="shared" si="6"/>
        <v>51444.880000000005</v>
      </c>
      <c r="G41" s="37">
        <f t="shared" si="6"/>
        <v>50251.240000000005</v>
      </c>
      <c r="H41" s="37">
        <f t="shared" si="6"/>
        <v>49922.380000000005</v>
      </c>
      <c r="I41" s="37">
        <f t="shared" si="6"/>
        <v>49812.759999999995</v>
      </c>
      <c r="J41" s="37">
        <f t="shared" si="6"/>
        <v>50033.740000000005</v>
      </c>
      <c r="K41" s="37">
        <f t="shared" si="6"/>
        <v>49593.520000000004</v>
      </c>
      <c r="L41" s="37">
        <f t="shared" si="6"/>
        <v>49483.899999999994</v>
      </c>
      <c r="M41" s="37">
        <f t="shared" si="6"/>
        <v>48709.600000000006</v>
      </c>
      <c r="N41" s="37">
        <f t="shared" si="6"/>
        <v>48264.160000000003</v>
      </c>
      <c r="Q41" s="32"/>
    </row>
    <row r="42" spans="2:17" x14ac:dyDescent="0.15">
      <c r="B42" s="30" t="s">
        <v>144</v>
      </c>
      <c r="C42" s="37">
        <f t="shared" ref="C42:N42" si="7">C36-C41</f>
        <v>1947478.06</v>
      </c>
      <c r="D42" s="37">
        <f t="shared" si="7"/>
        <v>1947799.96</v>
      </c>
      <c r="E42" s="37">
        <f t="shared" si="7"/>
        <v>1948663</v>
      </c>
      <c r="F42" s="37">
        <f t="shared" si="7"/>
        <v>1948555.12</v>
      </c>
      <c r="G42" s="37">
        <f t="shared" si="7"/>
        <v>1949748.76</v>
      </c>
      <c r="H42" s="37">
        <f t="shared" si="7"/>
        <v>1950077.62</v>
      </c>
      <c r="I42" s="37">
        <f t="shared" si="7"/>
        <v>1950187.24</v>
      </c>
      <c r="J42" s="37">
        <f t="shared" si="7"/>
        <v>1949966.26</v>
      </c>
      <c r="K42" s="37">
        <f t="shared" si="7"/>
        <v>1950406.48</v>
      </c>
      <c r="L42" s="37">
        <f t="shared" si="7"/>
        <v>1950516.1</v>
      </c>
      <c r="M42" s="37">
        <f t="shared" si="7"/>
        <v>1951290.4</v>
      </c>
      <c r="N42" s="37">
        <f t="shared" si="7"/>
        <v>1951735.84</v>
      </c>
      <c r="Q42" s="32"/>
    </row>
    <row r="43" spans="2:17" x14ac:dyDescent="0.15">
      <c r="B43" s="52" t="s">
        <v>19</v>
      </c>
      <c r="C43" s="51">
        <f>C21</f>
        <v>61769</v>
      </c>
      <c r="D43" s="51">
        <f t="shared" ref="D43:N43" si="8">D21</f>
        <v>61954</v>
      </c>
      <c r="E43" s="51">
        <f t="shared" si="8"/>
        <v>62450</v>
      </c>
      <c r="F43" s="51">
        <f t="shared" si="8"/>
        <v>62388</v>
      </c>
      <c r="G43" s="51">
        <f t="shared" si="8"/>
        <v>63074</v>
      </c>
      <c r="H43" s="51">
        <f t="shared" si="8"/>
        <v>63263</v>
      </c>
      <c r="I43" s="51">
        <f t="shared" si="8"/>
        <v>63326</v>
      </c>
      <c r="J43" s="51">
        <f t="shared" si="8"/>
        <v>63199</v>
      </c>
      <c r="K43" s="51">
        <f t="shared" si="8"/>
        <v>63452</v>
      </c>
      <c r="L43" s="51">
        <f t="shared" si="8"/>
        <v>63515</v>
      </c>
      <c r="M43" s="51">
        <f t="shared" si="8"/>
        <v>63960</v>
      </c>
      <c r="N43" s="51">
        <f t="shared" si="8"/>
        <v>64216</v>
      </c>
      <c r="Q43" s="32"/>
    </row>
  </sheetData>
  <sheetProtection algorithmName="SHA-512" hashValue="4/SStpExKhnalGNvQbY8YDZyL63QRYa0kK+kApOYQCAUjbmYAzYiUHE8p796glXfUtrebyEorIuhFAUfLJxaLw==" saltValue="XOEudcr6dmP1sHcmvyRu9Q==" spinCount="100000" sheet="1" objects="1" scenarios="1"/>
  <pageMargins left="0.7" right="0.7" top="0.75" bottom="0.75" header="0.3" footer="0.3"/>
  <pageSetup orientation="portrait" r:id="rId1"/>
  <headerFooter>
    <oddFooter>&amp;L&amp;1#&amp;"Calibri"&amp;9&amp;K737373Classification: Customer Confidential</oddFooter>
  </headerFooter>
  <customProperties>
    <customPr name="QAA_DRILLPATH_NODE_ID"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0AA60E-BEBB-4222-BA51-3D59A2CA95A5}">
  <dimension ref="B2:G4"/>
  <sheetViews>
    <sheetView workbookViewId="0">
      <selection activeCell="D13" sqref="D13"/>
    </sheetView>
  </sheetViews>
  <sheetFormatPr baseColWidth="10" defaultColWidth="11.33203125" defaultRowHeight="13" x14ac:dyDescent="0.15"/>
  <sheetData>
    <row r="2" spans="2:7" ht="14" x14ac:dyDescent="0.15">
      <c r="B2" s="252" t="s">
        <v>64</v>
      </c>
      <c r="C2" s="252" t="s">
        <v>15</v>
      </c>
      <c r="D2" s="252"/>
      <c r="E2" s="252"/>
      <c r="F2" s="252" t="s">
        <v>19</v>
      </c>
      <c r="G2" s="343">
        <v>68923</v>
      </c>
    </row>
    <row r="3" spans="2:7" ht="14" x14ac:dyDescent="0.15">
      <c r="B3" s="344">
        <v>39267.07</v>
      </c>
      <c r="C3" s="252" t="s">
        <v>35</v>
      </c>
      <c r="D3" s="252"/>
      <c r="E3" s="252"/>
      <c r="F3" s="252"/>
      <c r="G3" s="252"/>
    </row>
    <row r="4" spans="2:7" ht="14" x14ac:dyDescent="0.15">
      <c r="B4" s="344">
        <v>39290.61</v>
      </c>
      <c r="C4" s="252" t="s">
        <v>36</v>
      </c>
      <c r="D4" s="252"/>
      <c r="E4" s="252"/>
      <c r="F4" s="252"/>
      <c r="G4" s="252"/>
    </row>
  </sheetData>
  <pageMargins left="0.7" right="0.7" top="0.75" bottom="0.75" header="0.3" footer="0.3"/>
  <pageSetup orientation="portrait" r:id="rId1"/>
  <headerFooter>
    <oddFooter>&amp;L&amp;1#&amp;"Calibri"&amp;9&amp;K737373Classification: Customer Confidential</oddFooter>
  </headerFooter>
  <customProperties>
    <customPr name="QAA_DRILLPATH_NODE_ID" r:id="rId2"/>
  </customPropertie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
  <dimension ref="A1:Y68"/>
  <sheetViews>
    <sheetView zoomScale="90" workbookViewId="0">
      <selection activeCell="B7" sqref="B7"/>
    </sheetView>
  </sheetViews>
  <sheetFormatPr baseColWidth="10" defaultColWidth="11.33203125" defaultRowHeight="13" x14ac:dyDescent="0.15"/>
  <cols>
    <col min="1" max="1" width="17.33203125" style="1" customWidth="1"/>
    <col min="2" max="2" width="17.83203125" style="1" customWidth="1"/>
    <col min="3" max="3" width="9.6640625" style="1" customWidth="1"/>
    <col min="4" max="4" width="14.6640625" style="1" bestFit="1" customWidth="1"/>
    <col min="5" max="5" width="16.6640625" style="1" customWidth="1"/>
    <col min="6" max="7" width="14.6640625" style="1" customWidth="1"/>
    <col min="8" max="8" width="23.6640625" style="1" bestFit="1" customWidth="1"/>
    <col min="9" max="9" width="20.6640625" style="1" bestFit="1" customWidth="1"/>
    <col min="10" max="10" width="15.33203125" style="1" customWidth="1"/>
    <col min="11" max="11" width="13.33203125" style="1" bestFit="1" customWidth="1"/>
    <col min="12" max="12" width="14.33203125" style="1" bestFit="1" customWidth="1"/>
    <col min="13" max="13" width="14.33203125" style="1" customWidth="1"/>
    <col min="14" max="21" width="0" style="1" hidden="1" customWidth="1"/>
    <col min="22" max="22" width="12.33203125" style="1" hidden="1" customWidth="1"/>
    <col min="23" max="23" width="15" style="1" hidden="1" customWidth="1"/>
    <col min="24" max="24" width="15.1640625" style="1" hidden="1" customWidth="1"/>
    <col min="25" max="26" width="0" style="1" hidden="1" customWidth="1"/>
    <col min="27" max="16384" width="11.33203125" style="1"/>
  </cols>
  <sheetData>
    <row r="1" spans="1:12" x14ac:dyDescent="0.15">
      <c r="A1" s="333" t="s">
        <v>146</v>
      </c>
      <c r="B1" s="333"/>
      <c r="C1" s="333"/>
      <c r="D1" s="333"/>
      <c r="E1" s="11"/>
      <c r="F1" s="11"/>
      <c r="G1" s="11"/>
    </row>
    <row r="2" spans="1:12" x14ac:dyDescent="0.15">
      <c r="A2" s="333" t="s">
        <v>147</v>
      </c>
      <c r="B2" s="333"/>
      <c r="C2" s="333"/>
      <c r="D2" s="333"/>
      <c r="E2" s="11"/>
      <c r="F2" s="11"/>
      <c r="G2" s="11"/>
    </row>
    <row r="4" spans="1:12" x14ac:dyDescent="0.15">
      <c r="A4" s="5"/>
    </row>
    <row r="5" spans="1:12" x14ac:dyDescent="0.15">
      <c r="A5" s="5" t="s">
        <v>148</v>
      </c>
    </row>
    <row r="7" spans="1:12" x14ac:dyDescent="0.15">
      <c r="A7" s="11" t="s">
        <v>67</v>
      </c>
      <c r="B7" s="236">
        <f>Mes!I25</f>
        <v>64216</v>
      </c>
      <c r="E7" s="45"/>
    </row>
    <row r="8" spans="1:12" x14ac:dyDescent="0.15">
      <c r="E8" s="229" t="s">
        <v>149</v>
      </c>
      <c r="F8" s="229"/>
      <c r="G8" s="229" t="s">
        <v>103</v>
      </c>
      <c r="H8" s="229"/>
      <c r="I8" s="229" t="s">
        <v>104</v>
      </c>
      <c r="J8" s="229"/>
      <c r="K8" s="229" t="s">
        <v>105</v>
      </c>
      <c r="L8" s="229"/>
    </row>
    <row r="9" spans="1:12" x14ac:dyDescent="0.15">
      <c r="A9" s="6" t="s">
        <v>150</v>
      </c>
      <c r="B9" s="6" t="s">
        <v>151</v>
      </c>
      <c r="C9" s="6" t="s">
        <v>152</v>
      </c>
      <c r="D9" s="6" t="s">
        <v>142</v>
      </c>
      <c r="E9" s="11" t="s">
        <v>153</v>
      </c>
      <c r="F9" s="11" t="s">
        <v>154</v>
      </c>
      <c r="G9" s="11" t="s">
        <v>153</v>
      </c>
      <c r="H9" s="1" t="s">
        <v>154</v>
      </c>
      <c r="I9" s="1" t="s">
        <v>153</v>
      </c>
      <c r="J9" s="1" t="s">
        <v>154</v>
      </c>
      <c r="K9" s="1" t="s">
        <v>153</v>
      </c>
      <c r="L9" s="1" t="s">
        <v>154</v>
      </c>
    </row>
    <row r="10" spans="1:12" x14ac:dyDescent="0.15">
      <c r="A10" s="8">
        <v>0</v>
      </c>
      <c r="B10" s="8">
        <f>13.5*12*B7</f>
        <v>10402992</v>
      </c>
      <c r="C10" s="48">
        <v>0</v>
      </c>
      <c r="D10" s="8">
        <v>0</v>
      </c>
      <c r="E10" s="230">
        <f>IF(AND(A10&lt;Anual!$F$26,Anual!$F$26&lt;B10),1,0)</f>
        <v>0</v>
      </c>
      <c r="F10" s="231">
        <f>+E10*C10</f>
        <v>0</v>
      </c>
      <c r="G10" s="230">
        <f>IF(AND(A10&lt;Anual!$G$26,Anual!$G$26&lt;B10),1,0)</f>
        <v>0</v>
      </c>
      <c r="H10" s="231">
        <f>+G10*C10</f>
        <v>0</v>
      </c>
      <c r="I10" s="230">
        <f>IF(AND(A10&lt;Anual!$H$26,Anual!$H$26&lt;B10),1,0)</f>
        <v>0</v>
      </c>
      <c r="J10" s="1">
        <f>+I10*C10</f>
        <v>0</v>
      </c>
      <c r="K10" s="230">
        <f>IF(AND(A10&lt;Anual!$I$26,Anual!$I$26&lt;B10),1,0)</f>
        <v>0</v>
      </c>
      <c r="L10" s="1">
        <f>+K10*C10</f>
        <v>0</v>
      </c>
    </row>
    <row r="11" spans="1:12" x14ac:dyDescent="0.15">
      <c r="A11" s="8">
        <f t="shared" ref="A11:A17" si="0">B10+1</f>
        <v>10402993</v>
      </c>
      <c r="B11" s="8">
        <f>30*12*B7</f>
        <v>23117760</v>
      </c>
      <c r="C11" s="48">
        <v>0.04</v>
      </c>
      <c r="D11" s="8">
        <f>0.54*12*B7</f>
        <v>416119.68000000005</v>
      </c>
      <c r="E11" s="230">
        <f>IF(AND(A11&lt;Anual!$F$26,Anual!$F$26&lt;B11),1,0)</f>
        <v>0</v>
      </c>
      <c r="F11" s="231">
        <f t="shared" ref="F11:F17" si="1">+E11*C11</f>
        <v>0</v>
      </c>
      <c r="G11" s="230">
        <f>IF(AND(A11&lt;Anual!$G$26,Anual!$G$26&lt;B11),1,0)</f>
        <v>0</v>
      </c>
      <c r="H11" s="231">
        <f t="shared" ref="H11:H17" si="2">+G11*C11</f>
        <v>0</v>
      </c>
      <c r="I11" s="230">
        <f>IF(AND(A11&lt;Anual!$H$26,Anual!$H$26&lt;B11),1,0)</f>
        <v>0</v>
      </c>
      <c r="J11" s="1">
        <f t="shared" ref="J11:J17" si="3">+I11*C11</f>
        <v>0</v>
      </c>
      <c r="K11" s="230">
        <f>IF(AND(A11&lt;Anual!$I$26,Anual!$I$26&lt;B11),1,0)</f>
        <v>0</v>
      </c>
      <c r="L11" s="1">
        <f t="shared" ref="L11:L17" si="4">+K11*C11</f>
        <v>0</v>
      </c>
    </row>
    <row r="12" spans="1:12" x14ac:dyDescent="0.15">
      <c r="A12" s="8">
        <f t="shared" si="0"/>
        <v>23117761</v>
      </c>
      <c r="B12" s="8">
        <f>50*12*B7</f>
        <v>38529600</v>
      </c>
      <c r="C12" s="48">
        <v>0.08</v>
      </c>
      <c r="D12" s="8">
        <f>1.74*12*B7</f>
        <v>1340830.0799999998</v>
      </c>
      <c r="E12" s="230">
        <f>IF(AND(A12&lt;Anual!$F$26,Anual!$F$26&lt;B12),1,0)</f>
        <v>0</v>
      </c>
      <c r="F12" s="231">
        <f t="shared" si="1"/>
        <v>0</v>
      </c>
      <c r="G12" s="230">
        <f>IF(AND(A12&lt;Anual!$G$26,Anual!$G$26&lt;B12),1,0)</f>
        <v>0</v>
      </c>
      <c r="H12" s="231">
        <f t="shared" si="2"/>
        <v>0</v>
      </c>
      <c r="I12" s="230">
        <f>IF(AND(A12&lt;Anual!$H$26,Anual!$H$26&lt;B12),1,0)</f>
        <v>0</v>
      </c>
      <c r="J12" s="1">
        <f t="shared" si="3"/>
        <v>0</v>
      </c>
      <c r="K12" s="230">
        <f>IF(AND(A12&lt;Anual!$I$26,Anual!$I$26&lt;B12),1,0)</f>
        <v>0</v>
      </c>
      <c r="L12" s="1">
        <f t="shared" si="4"/>
        <v>0</v>
      </c>
    </row>
    <row r="13" spans="1:12" x14ac:dyDescent="0.15">
      <c r="A13" s="8">
        <f t="shared" si="0"/>
        <v>38529601</v>
      </c>
      <c r="B13" s="8">
        <f>70*12*B7</f>
        <v>53941440</v>
      </c>
      <c r="C13" s="48">
        <v>0.13500000000000001</v>
      </c>
      <c r="D13" s="8">
        <f>4.49*12*B7</f>
        <v>3459958.08</v>
      </c>
      <c r="E13" s="230">
        <f>IF(AND(A13&lt;Anual!$F$26,Anual!$F$26&lt;B13),1,0)</f>
        <v>0</v>
      </c>
      <c r="F13" s="231">
        <f t="shared" si="1"/>
        <v>0</v>
      </c>
      <c r="G13" s="230">
        <f>IF(AND(A13&lt;Anual!$G$26,Anual!$G$26&lt;B13),1,0)</f>
        <v>0</v>
      </c>
      <c r="H13" s="231">
        <f t="shared" si="2"/>
        <v>0</v>
      </c>
      <c r="I13" s="230">
        <f>IF(AND(A13&lt;Anual!$H$26,Anual!$H$26&lt;B13),1,0)</f>
        <v>0</v>
      </c>
      <c r="J13" s="1">
        <f t="shared" si="3"/>
        <v>0</v>
      </c>
      <c r="K13" s="230">
        <f>IF(AND(A13&lt;Anual!$I$26,Anual!$I$26&lt;B13),1,0)</f>
        <v>0</v>
      </c>
      <c r="L13" s="1">
        <f t="shared" si="4"/>
        <v>0</v>
      </c>
    </row>
    <row r="14" spans="1:12" x14ac:dyDescent="0.15">
      <c r="A14" s="8">
        <f t="shared" si="0"/>
        <v>53941441</v>
      </c>
      <c r="B14" s="8">
        <f>90*12*B7</f>
        <v>69353280</v>
      </c>
      <c r="C14" s="48">
        <v>0.23</v>
      </c>
      <c r="D14" s="8">
        <f>11.14*12*B7</f>
        <v>8584394.8800000008</v>
      </c>
      <c r="E14" s="230">
        <f>IF(AND(A14&lt;Anual!$F$26,Anual!$F$26&lt;B14),1,0)</f>
        <v>0</v>
      </c>
      <c r="F14" s="231">
        <f t="shared" si="1"/>
        <v>0</v>
      </c>
      <c r="G14" s="230">
        <f>IF(AND(A14&lt;Anual!$G$26,Anual!$G$26&lt;B14),1,0)</f>
        <v>0</v>
      </c>
      <c r="H14" s="231">
        <f t="shared" si="2"/>
        <v>0</v>
      </c>
      <c r="I14" s="230">
        <f>IF(AND(A14&lt;Anual!$H$26,Anual!$H$26&lt;B14),1,0)</f>
        <v>0</v>
      </c>
      <c r="J14" s="1">
        <f t="shared" si="3"/>
        <v>0</v>
      </c>
      <c r="K14" s="230">
        <f>IF(AND(A14&lt;Anual!$I$26,Anual!$I$26&lt;B14),1,0)</f>
        <v>1</v>
      </c>
      <c r="L14" s="1">
        <f t="shared" si="4"/>
        <v>0.23</v>
      </c>
    </row>
    <row r="15" spans="1:12" x14ac:dyDescent="0.15">
      <c r="A15" s="8">
        <f t="shared" si="0"/>
        <v>69353281</v>
      </c>
      <c r="B15" s="8">
        <f>120*12*B7</f>
        <v>92471040</v>
      </c>
      <c r="C15" s="48">
        <v>0.30399999999999999</v>
      </c>
      <c r="D15" s="8">
        <f>17.8*12*B7</f>
        <v>13716537.600000001</v>
      </c>
      <c r="E15" s="230">
        <f>IF(AND(A15&lt;Anual!$F$26,Anual!$F$26&lt;B15),1,0)</f>
        <v>1</v>
      </c>
      <c r="F15" s="231">
        <f t="shared" si="1"/>
        <v>0.30399999999999999</v>
      </c>
      <c r="G15" s="230">
        <f>IF(AND(A15&lt;Anual!$G$26,Anual!$G$26&lt;B15),1,0)</f>
        <v>1</v>
      </c>
      <c r="H15" s="231">
        <f t="shared" si="2"/>
        <v>0.30399999999999999</v>
      </c>
      <c r="I15" s="230">
        <f>IF(AND(A15&lt;Anual!$H$26,Anual!$H$26&lt;B15),1,0)</f>
        <v>1</v>
      </c>
      <c r="J15" s="1">
        <f t="shared" si="3"/>
        <v>0.30399999999999999</v>
      </c>
      <c r="K15" s="230">
        <f>IF(AND(A15&lt;Anual!$I$26,Anual!$I$26&lt;B15),1,0)</f>
        <v>0</v>
      </c>
      <c r="L15" s="1">
        <f t="shared" si="4"/>
        <v>0</v>
      </c>
    </row>
    <row r="16" spans="1:12" x14ac:dyDescent="0.15">
      <c r="A16" s="8">
        <f t="shared" si="0"/>
        <v>92471041</v>
      </c>
      <c r="B16" s="8">
        <f>310*12*B7</f>
        <v>238883520</v>
      </c>
      <c r="C16" s="48">
        <v>0.35</v>
      </c>
      <c r="D16" s="8">
        <f>23.32*12*B7</f>
        <v>17970205.440000001</v>
      </c>
      <c r="E16" s="230">
        <f>IF(AND(A16&lt;Anual!$F$26,Anual!$F$26&lt;B16),1,0)</f>
        <v>0</v>
      </c>
      <c r="F16" s="231">
        <f t="shared" si="1"/>
        <v>0</v>
      </c>
      <c r="G16" s="230">
        <f>IF(AND(A16&lt;Anual!$G$26,Anual!$G$26&lt;B16),1,0)</f>
        <v>0</v>
      </c>
      <c r="H16" s="231">
        <f t="shared" si="2"/>
        <v>0</v>
      </c>
      <c r="I16" s="230">
        <f>IF(AND(A16&lt;Anual!$H$26,Anual!$H$26&lt;B16),1,0)</f>
        <v>0</v>
      </c>
      <c r="J16" s="1">
        <f t="shared" si="3"/>
        <v>0</v>
      </c>
      <c r="K16" s="230">
        <f>IF(AND(A16&lt;Anual!$I$26,Anual!$I$26&lt;B16),1,0)</f>
        <v>0</v>
      </c>
      <c r="L16" s="1">
        <f t="shared" si="4"/>
        <v>0</v>
      </c>
    </row>
    <row r="17" spans="1:25" x14ac:dyDescent="0.15">
      <c r="A17" s="8">
        <f t="shared" si="0"/>
        <v>238883521</v>
      </c>
      <c r="B17" s="10" t="s">
        <v>155</v>
      </c>
      <c r="C17" s="48">
        <v>0.4</v>
      </c>
      <c r="D17" s="8">
        <f>38.82*12*B7</f>
        <v>29914381.440000001</v>
      </c>
      <c r="E17" s="230">
        <f>IF(AND(A17&lt;Anual!$F$26,Anual!$F$26&lt;B17),1,0)</f>
        <v>0</v>
      </c>
      <c r="F17" s="231">
        <f t="shared" si="1"/>
        <v>0</v>
      </c>
      <c r="G17" s="230">
        <f>IF(AND(A17&lt;Anual!$G$26,Anual!$G$26&lt;B17),1,0)</f>
        <v>0</v>
      </c>
      <c r="H17" s="231">
        <f t="shared" si="2"/>
        <v>0</v>
      </c>
      <c r="I17" s="230">
        <f>IF(AND(A17&lt;Anual!$H$26,Anual!$H$26&lt;B17),1,0)</f>
        <v>0</v>
      </c>
      <c r="J17" s="1">
        <f t="shared" si="3"/>
        <v>0</v>
      </c>
      <c r="K17" s="230">
        <f>IF(AND(A17&lt;Anual!$I$26,Anual!$I$26&lt;B17),1,0)</f>
        <v>0</v>
      </c>
      <c r="L17" s="1">
        <f t="shared" si="4"/>
        <v>0</v>
      </c>
    </row>
    <row r="18" spans="1:25" x14ac:dyDescent="0.15">
      <c r="C18" s="7"/>
      <c r="H18" s="5" t="s">
        <v>156</v>
      </c>
      <c r="O18" s="13"/>
      <c r="P18" s="14"/>
      <c r="Q18" s="14"/>
      <c r="R18" s="14"/>
      <c r="S18" s="14"/>
      <c r="T18" s="14"/>
      <c r="U18" s="14"/>
      <c r="V18" s="14"/>
      <c r="W18" s="14"/>
      <c r="X18" s="14"/>
      <c r="Y18" s="15"/>
    </row>
    <row r="19" spans="1:25" ht="28" x14ac:dyDescent="0.15">
      <c r="E19" s="235"/>
      <c r="H19" s="3" t="s">
        <v>15</v>
      </c>
      <c r="I19" s="23" t="s">
        <v>138</v>
      </c>
      <c r="J19" s="3" t="s">
        <v>157</v>
      </c>
      <c r="K19" s="3" t="s">
        <v>142</v>
      </c>
      <c r="L19" s="3" t="s">
        <v>17</v>
      </c>
      <c r="M19" s="12"/>
      <c r="O19" s="16"/>
      <c r="P19" s="17"/>
      <c r="Q19" s="17"/>
      <c r="R19" s="17"/>
      <c r="S19" s="17"/>
      <c r="T19" s="17"/>
      <c r="U19" s="17"/>
      <c r="V19" s="17"/>
      <c r="W19" s="17"/>
      <c r="X19" s="17"/>
      <c r="Y19" s="18"/>
    </row>
    <row r="20" spans="1:25" x14ac:dyDescent="0.15">
      <c r="H20" s="2" t="s">
        <v>31</v>
      </c>
      <c r="I20" s="9">
        <f>Mes!S14</f>
        <v>12000000</v>
      </c>
      <c r="J20" s="49">
        <f>Liquidacion!C16</f>
        <v>0.35</v>
      </c>
      <c r="K20" s="9">
        <f>Liquidacion!C18</f>
        <v>1440453.08</v>
      </c>
      <c r="L20" s="9">
        <f>Liquidacion!C19</f>
        <v>2059546.92</v>
      </c>
      <c r="M20" s="28"/>
      <c r="O20" s="16"/>
      <c r="P20" s="25" t="s">
        <v>158</v>
      </c>
      <c r="Q20" s="17"/>
      <c r="R20" s="17"/>
      <c r="S20" s="17"/>
      <c r="T20" s="17"/>
      <c r="U20" s="17"/>
      <c r="V20" s="17"/>
      <c r="W20" s="17"/>
      <c r="X20" s="17"/>
      <c r="Y20" s="18"/>
    </row>
    <row r="21" spans="1:25" x14ac:dyDescent="0.15">
      <c r="A21" s="333" t="s">
        <v>159</v>
      </c>
      <c r="B21" s="333"/>
      <c r="C21" s="333"/>
      <c r="D21" s="333"/>
      <c r="H21" s="2" t="s">
        <v>32</v>
      </c>
      <c r="I21" s="9">
        <f>Mes!S15</f>
        <v>7000000</v>
      </c>
      <c r="J21" s="49">
        <f>Liquidacion!D16</f>
        <v>0.23</v>
      </c>
      <c r="K21" s="9">
        <f>Liquidacion!D18</f>
        <v>690167.56</v>
      </c>
      <c r="L21" s="9">
        <f>Liquidacion!D19</f>
        <v>459832.43999999994</v>
      </c>
      <c r="M21" s="28"/>
      <c r="O21" s="16"/>
      <c r="P21" s="17"/>
      <c r="Q21" s="17"/>
      <c r="R21" s="17"/>
      <c r="S21" s="17"/>
      <c r="T21" s="17"/>
      <c r="U21" s="17"/>
      <c r="V21" s="17"/>
      <c r="W21" s="17"/>
      <c r="X21" s="17"/>
      <c r="Y21" s="18"/>
    </row>
    <row r="22" spans="1:25" x14ac:dyDescent="0.15">
      <c r="H22" s="2" t="s">
        <v>33</v>
      </c>
      <c r="I22" s="9">
        <f>Mes!S16</f>
        <v>7000000</v>
      </c>
      <c r="J22" s="49">
        <f>Liquidacion!E16</f>
        <v>0.23</v>
      </c>
      <c r="K22" s="9">
        <f>Liquidacion!E18</f>
        <v>695693</v>
      </c>
      <c r="L22" s="9">
        <f>Liquidacion!E19</f>
        <v>454307</v>
      </c>
      <c r="M22" s="28"/>
      <c r="O22" s="16"/>
      <c r="P22" s="27" t="s">
        <v>160</v>
      </c>
      <c r="Q22" s="17"/>
      <c r="R22" s="17"/>
      <c r="S22" s="17"/>
      <c r="T22" s="17"/>
      <c r="U22" s="17"/>
      <c r="V22" s="17"/>
      <c r="W22" s="17"/>
      <c r="X22" s="17"/>
      <c r="Y22" s="18"/>
    </row>
    <row r="23" spans="1:25" x14ac:dyDescent="0.15">
      <c r="A23" s="33" t="s">
        <v>150</v>
      </c>
      <c r="B23" s="33" t="s">
        <v>151</v>
      </c>
      <c r="C23" s="33" t="s">
        <v>152</v>
      </c>
      <c r="D23" s="33" t="s">
        <v>142</v>
      </c>
      <c r="H23" s="2" t="s">
        <v>11</v>
      </c>
      <c r="I23" s="9">
        <f>Mes!S17</f>
        <v>7000000</v>
      </c>
      <c r="J23" s="49">
        <f>Liquidacion!F16</f>
        <v>0.23</v>
      </c>
      <c r="K23" s="9">
        <f>Liquidacion!F18</f>
        <v>695002.32000000007</v>
      </c>
      <c r="L23" s="9">
        <f>Liquidacion!F19</f>
        <v>454997.67999999993</v>
      </c>
      <c r="M23" s="28"/>
      <c r="O23" s="16"/>
      <c r="P23" s="17"/>
      <c r="Q23" s="17"/>
      <c r="R23" s="17"/>
      <c r="S23" s="17"/>
      <c r="T23" s="17"/>
      <c r="U23" s="17"/>
      <c r="V23" s="17"/>
      <c r="W23" s="17"/>
      <c r="X23" s="17"/>
      <c r="Y23" s="18"/>
    </row>
    <row r="24" spans="1:25" x14ac:dyDescent="0.15">
      <c r="A24" s="2">
        <v>0</v>
      </c>
      <c r="B24" s="2">
        <v>13.5</v>
      </c>
      <c r="C24" s="232">
        <v>0</v>
      </c>
      <c r="D24" s="2">
        <v>0</v>
      </c>
      <c r="E24" s="42"/>
      <c r="H24" s="2" t="s">
        <v>34</v>
      </c>
      <c r="I24" s="9">
        <f>Mes!S18</f>
        <v>7000000</v>
      </c>
      <c r="J24" s="49">
        <f>Liquidacion!G16</f>
        <v>0.23</v>
      </c>
      <c r="K24" s="9">
        <f>Liquidacion!G18</f>
        <v>702644.36</v>
      </c>
      <c r="L24" s="9">
        <f>Liquidacion!G19</f>
        <v>447355.64</v>
      </c>
      <c r="M24" s="28"/>
      <c r="O24" s="16"/>
      <c r="P24" s="17" t="str">
        <f>"Los trabajadores dependientes, pensionados, jubilados o montepiados afectos al Impuesto Único de Segunda "</f>
        <v xml:space="preserve">Los trabajadores dependientes, pensionados, jubilados o montepiados afectos al Impuesto Único de Segunda </v>
      </c>
      <c r="Q24" s="17"/>
      <c r="R24" s="17"/>
      <c r="S24" s="17"/>
      <c r="T24" s="17"/>
      <c r="U24" s="17"/>
      <c r="V24" s="17"/>
      <c r="W24" s="17"/>
      <c r="X24" s="17"/>
      <c r="Y24" s="18"/>
    </row>
    <row r="25" spans="1:25" x14ac:dyDescent="0.15">
      <c r="A25" s="2">
        <f>B24+0.01</f>
        <v>13.51</v>
      </c>
      <c r="B25" s="2">
        <v>30</v>
      </c>
      <c r="C25" s="232">
        <v>0.04</v>
      </c>
      <c r="D25" s="2">
        <v>0.54</v>
      </c>
      <c r="E25" s="42"/>
      <c r="H25" s="2" t="s">
        <v>35</v>
      </c>
      <c r="I25" s="9">
        <f>Mes!S19</f>
        <v>7000000</v>
      </c>
      <c r="J25" s="49">
        <f>Liquidacion!H16</f>
        <v>0.23</v>
      </c>
      <c r="K25" s="9">
        <f>Liquidacion!H18</f>
        <v>704749.82000000007</v>
      </c>
      <c r="L25" s="9">
        <f>Liquidacion!H19</f>
        <v>445250.17999999993</v>
      </c>
      <c r="M25" s="28"/>
      <c r="O25" s="16"/>
      <c r="P25" s="17" t="str">
        <f>"Categoría, que no tengan rentas distintas al sueldo o pensión, no están obligados a presentar una Declaración"</f>
        <v>Categoría, que no tengan rentas distintas al sueldo o pensión, no están obligados a presentar una Declaración</v>
      </c>
      <c r="Q25" s="17"/>
      <c r="R25" s="17"/>
      <c r="S25" s="17"/>
      <c r="T25" s="17"/>
      <c r="U25" s="17"/>
      <c r="V25" s="17"/>
      <c r="W25" s="17"/>
      <c r="X25" s="17"/>
      <c r="Y25" s="18"/>
    </row>
    <row r="26" spans="1:25" x14ac:dyDescent="0.15">
      <c r="A26" s="2">
        <f t="shared" ref="A26:A31" si="5">B25+0.01</f>
        <v>30.01</v>
      </c>
      <c r="B26" s="2">
        <v>50</v>
      </c>
      <c r="C26" s="232">
        <v>0.08</v>
      </c>
      <c r="D26" s="2">
        <v>1.74</v>
      </c>
      <c r="E26" s="42"/>
      <c r="H26" s="2" t="s">
        <v>36</v>
      </c>
      <c r="I26" s="9">
        <f>Mes!S20</f>
        <v>7000000</v>
      </c>
      <c r="J26" s="49">
        <f>Liquidacion!I16</f>
        <v>0.23</v>
      </c>
      <c r="K26" s="9">
        <f>Liquidacion!I18</f>
        <v>705451.64</v>
      </c>
      <c r="L26" s="9">
        <f>Liquidacion!I19</f>
        <v>444548.36</v>
      </c>
      <c r="M26" s="28"/>
      <c r="O26" s="16"/>
      <c r="P26" s="17" t="str">
        <f>"de Impuestos, puesto que el impuesto único que los afecta por su actividad es retenido directamente por su"</f>
        <v>de Impuestos, puesto que el impuesto único que los afecta por su actividad es retenido directamente por su</v>
      </c>
      <c r="Q26" s="17"/>
      <c r="R26" s="17"/>
      <c r="S26" s="17"/>
      <c r="T26" s="17"/>
      <c r="U26" s="17"/>
      <c r="V26" s="17"/>
      <c r="W26" s="17"/>
      <c r="X26" s="17"/>
      <c r="Y26" s="18"/>
    </row>
    <row r="27" spans="1:25" x14ac:dyDescent="0.15">
      <c r="A27" s="2">
        <f t="shared" si="5"/>
        <v>50.01</v>
      </c>
      <c r="B27" s="2">
        <v>70</v>
      </c>
      <c r="C27" s="232">
        <v>0.13500000000000001</v>
      </c>
      <c r="D27" s="2">
        <v>4.49</v>
      </c>
      <c r="E27" s="42"/>
      <c r="H27" s="2" t="s">
        <v>37</v>
      </c>
      <c r="I27" s="9">
        <f>Mes!S21</f>
        <v>7000000</v>
      </c>
      <c r="J27" s="49">
        <f>Liquidacion!J16</f>
        <v>0.23</v>
      </c>
      <c r="K27" s="9">
        <f>Liquidacion!J18</f>
        <v>704036.86</v>
      </c>
      <c r="L27" s="9">
        <f>Liquidacion!J19</f>
        <v>445963.14</v>
      </c>
      <c r="M27" s="28"/>
      <c r="O27" s="16"/>
      <c r="P27" s="17" t="str">
        <f xml:space="preserve"> "empleador o pagador de pensión."</f>
        <v>empleador o pagador de pensión.</v>
      </c>
      <c r="Q27" s="17"/>
      <c r="R27" s="17"/>
      <c r="S27" s="17"/>
      <c r="T27" s="17"/>
      <c r="U27" s="17"/>
      <c r="V27" s="17"/>
      <c r="W27" s="17"/>
      <c r="X27" s="17"/>
      <c r="Y27" s="18"/>
    </row>
    <row r="28" spans="1:25" x14ac:dyDescent="0.15">
      <c r="A28" s="2">
        <f t="shared" si="5"/>
        <v>70.010000000000005</v>
      </c>
      <c r="B28" s="2">
        <v>90</v>
      </c>
      <c r="C28" s="232">
        <v>0.23</v>
      </c>
      <c r="D28" s="2">
        <v>11.14</v>
      </c>
      <c r="E28" s="42"/>
      <c r="H28" s="2" t="s">
        <v>38</v>
      </c>
      <c r="I28" s="9">
        <f>Mes!S22</f>
        <v>7000000</v>
      </c>
      <c r="J28" s="49">
        <f>Liquidacion!K16</f>
        <v>0.23</v>
      </c>
      <c r="K28" s="9">
        <f>Liquidacion!K18</f>
        <v>706855.28</v>
      </c>
      <c r="L28" s="9">
        <f>Liquidacion!K19</f>
        <v>443144.72</v>
      </c>
      <c r="M28" s="28"/>
      <c r="O28" s="16"/>
      <c r="P28" s="17"/>
      <c r="Q28" s="17"/>
      <c r="R28" s="17"/>
      <c r="S28" s="17"/>
      <c r="T28" s="17"/>
      <c r="U28" s="17"/>
      <c r="V28" s="17"/>
      <c r="W28" s="17"/>
      <c r="X28" s="17"/>
      <c r="Y28" s="18"/>
    </row>
    <row r="29" spans="1:25" ht="13" customHeight="1" x14ac:dyDescent="0.15">
      <c r="A29" s="2">
        <f t="shared" si="5"/>
        <v>90.01</v>
      </c>
      <c r="B29" s="2">
        <v>120</v>
      </c>
      <c r="C29" s="232">
        <v>0.30399999999999999</v>
      </c>
      <c r="D29" s="2">
        <v>17.8</v>
      </c>
      <c r="E29" s="42"/>
      <c r="H29" s="2" t="s">
        <v>39</v>
      </c>
      <c r="I29" s="9">
        <f>Mes!S23</f>
        <v>7000000</v>
      </c>
      <c r="J29" s="49">
        <f>Liquidacion!L16</f>
        <v>0.23</v>
      </c>
      <c r="K29" s="9">
        <f>Liquidacion!L18</f>
        <v>707557.10000000009</v>
      </c>
      <c r="L29" s="9">
        <f>Liquidacion!L19</f>
        <v>442442.89999999991</v>
      </c>
      <c r="M29" s="28"/>
      <c r="O29" s="16"/>
      <c r="P29" s="27" t="s">
        <v>161</v>
      </c>
      <c r="Q29" s="17"/>
      <c r="R29" s="17"/>
      <c r="S29" s="17"/>
      <c r="T29" s="17"/>
      <c r="U29" s="17"/>
      <c r="V29" s="17"/>
      <c r="W29" s="17"/>
      <c r="X29" s="17"/>
      <c r="Y29" s="18"/>
    </row>
    <row r="30" spans="1:25" x14ac:dyDescent="0.15">
      <c r="A30" s="2">
        <f t="shared" si="5"/>
        <v>120.01</v>
      </c>
      <c r="B30" s="2">
        <v>310</v>
      </c>
      <c r="C30" s="232">
        <v>0.35</v>
      </c>
      <c r="D30" s="2">
        <v>23.32</v>
      </c>
      <c r="E30" s="42"/>
      <c r="H30" s="2" t="s">
        <v>40</v>
      </c>
      <c r="I30" s="9">
        <f>Mes!S24</f>
        <v>7000000</v>
      </c>
      <c r="J30" s="49">
        <f>Liquidacion!M16</f>
        <v>0.23</v>
      </c>
      <c r="K30" s="9">
        <f>Liquidacion!M18</f>
        <v>712514.4</v>
      </c>
      <c r="L30" s="9">
        <f>Liquidacion!M19</f>
        <v>437485.6</v>
      </c>
      <c r="M30" s="28"/>
      <c r="O30" s="16"/>
      <c r="P30" s="17"/>
      <c r="Q30" s="17"/>
      <c r="R30" s="17"/>
      <c r="S30" s="17"/>
      <c r="T30" s="17"/>
      <c r="U30" s="17"/>
      <c r="V30" s="17"/>
      <c r="W30" s="17"/>
      <c r="X30" s="17"/>
      <c r="Y30" s="18"/>
    </row>
    <row r="31" spans="1:25" x14ac:dyDescent="0.15">
      <c r="A31" s="2">
        <f t="shared" si="5"/>
        <v>310.01</v>
      </c>
      <c r="B31" s="10" t="s">
        <v>155</v>
      </c>
      <c r="C31" s="232">
        <v>0.4</v>
      </c>
      <c r="D31" s="2">
        <v>38.82</v>
      </c>
      <c r="H31" s="2" t="s">
        <v>41</v>
      </c>
      <c r="I31" s="9">
        <f>Mes!S25</f>
        <v>7000000</v>
      </c>
      <c r="J31" s="49">
        <f>Liquidacion!N16</f>
        <v>0.23</v>
      </c>
      <c r="K31" s="9">
        <f>Liquidacion!N18</f>
        <v>715366.24</v>
      </c>
      <c r="L31" s="9">
        <f>Liquidacion!N19</f>
        <v>434633.76</v>
      </c>
      <c r="M31" s="28"/>
      <c r="O31" s="16"/>
      <c r="P31" s="17" t="s">
        <v>162</v>
      </c>
      <c r="Q31" s="17"/>
      <c r="R31" s="17"/>
      <c r="S31" s="17"/>
      <c r="T31" s="17"/>
      <c r="U31" s="17"/>
      <c r="V31" s="17"/>
      <c r="W31" s="17"/>
      <c r="X31" s="17"/>
      <c r="Y31" s="18"/>
    </row>
    <row r="32" spans="1:25" x14ac:dyDescent="0.15">
      <c r="O32" s="16"/>
      <c r="P32" s="17" t="s">
        <v>163</v>
      </c>
      <c r="Q32" s="17"/>
      <c r="R32" s="17"/>
      <c r="S32" s="17"/>
      <c r="T32" s="17"/>
      <c r="U32" s="17"/>
      <c r="V32" s="17"/>
      <c r="W32" s="17"/>
      <c r="X32" s="17"/>
      <c r="Y32" s="18"/>
    </row>
    <row r="33" spans="8:25" ht="13" customHeight="1" x14ac:dyDescent="0.15">
      <c r="O33" s="16"/>
      <c r="P33" s="17" t="s">
        <v>164</v>
      </c>
      <c r="Q33" s="17"/>
      <c r="R33" s="17"/>
      <c r="S33" s="17"/>
      <c r="T33" s="17"/>
      <c r="U33" s="17"/>
      <c r="V33" s="17"/>
      <c r="W33" s="17"/>
      <c r="X33" s="17"/>
      <c r="Y33" s="18"/>
    </row>
    <row r="34" spans="8:25" ht="13" customHeight="1" x14ac:dyDescent="0.15">
      <c r="O34" s="16"/>
      <c r="P34" s="17" t="s">
        <v>165</v>
      </c>
      <c r="Q34" s="17"/>
      <c r="R34" s="17"/>
      <c r="S34" s="17"/>
      <c r="T34" s="17"/>
      <c r="U34" s="17"/>
      <c r="V34" s="17"/>
      <c r="W34" s="17"/>
      <c r="X34" s="17"/>
      <c r="Y34" s="18"/>
    </row>
    <row r="35" spans="8:25" x14ac:dyDescent="0.15">
      <c r="H35" s="5" t="s">
        <v>166</v>
      </c>
      <c r="O35" s="16"/>
      <c r="P35" s="17"/>
      <c r="Q35" s="17"/>
      <c r="R35" s="17"/>
      <c r="S35" s="17"/>
      <c r="T35" s="17"/>
      <c r="U35" s="17"/>
      <c r="V35" s="17"/>
      <c r="W35" s="17"/>
      <c r="X35" s="17"/>
      <c r="Y35" s="18"/>
    </row>
    <row r="36" spans="8:25" ht="28" x14ac:dyDescent="0.15">
      <c r="H36" s="3" t="s">
        <v>15</v>
      </c>
      <c r="I36" s="23" t="s">
        <v>138</v>
      </c>
      <c r="J36" s="3" t="s">
        <v>157</v>
      </c>
      <c r="K36" s="3" t="s">
        <v>142</v>
      </c>
      <c r="L36" s="3" t="s">
        <v>17</v>
      </c>
      <c r="M36" s="12"/>
      <c r="O36" s="16"/>
      <c r="P36" s="17" t="s">
        <v>167</v>
      </c>
      <c r="Q36" s="17"/>
      <c r="R36" s="17"/>
      <c r="S36" s="17"/>
      <c r="T36" s="17"/>
      <c r="U36" s="17"/>
      <c r="V36" s="17"/>
      <c r="W36" s="17"/>
      <c r="X36" s="17"/>
      <c r="Y36" s="18"/>
    </row>
    <row r="37" spans="8:25" x14ac:dyDescent="0.15">
      <c r="H37" s="2" t="s">
        <v>31</v>
      </c>
      <c r="I37" s="9">
        <f>Mes!F14</f>
        <v>2000000</v>
      </c>
      <c r="J37" s="24">
        <f>Liquidacion!C38</f>
        <v>0.08</v>
      </c>
      <c r="K37" s="9">
        <f>Liquidacion!C40</f>
        <v>107478.06</v>
      </c>
      <c r="L37" s="9">
        <f>Liquidacion!C41</f>
        <v>52521.94</v>
      </c>
      <c r="M37" s="28"/>
      <c r="O37" s="16"/>
      <c r="P37" s="17"/>
      <c r="Q37" s="17"/>
      <c r="R37" s="17"/>
      <c r="S37" s="17"/>
      <c r="T37" s="17"/>
      <c r="U37" s="17"/>
      <c r="V37" s="17"/>
      <c r="W37" s="17"/>
      <c r="X37" s="17"/>
      <c r="Y37" s="18"/>
    </row>
    <row r="38" spans="8:25" ht="14" x14ac:dyDescent="0.15">
      <c r="H38" s="2" t="s">
        <v>32</v>
      </c>
      <c r="I38" s="9">
        <f>Mes!F15</f>
        <v>2000000</v>
      </c>
      <c r="J38" s="24">
        <f>Liquidacion!D38</f>
        <v>0.08</v>
      </c>
      <c r="K38" s="9">
        <f>Liquidacion!D40</f>
        <v>107799.96</v>
      </c>
      <c r="L38" s="9">
        <f>Liquidacion!D41</f>
        <v>52200.039999999994</v>
      </c>
      <c r="M38" s="28"/>
      <c r="O38" s="16"/>
      <c r="P38" s="17"/>
      <c r="Q38" s="17"/>
      <c r="R38" s="17"/>
      <c r="S38" s="17"/>
      <c r="T38" s="17"/>
      <c r="U38" s="17"/>
      <c r="V38" s="17"/>
      <c r="W38" s="22" t="s">
        <v>168</v>
      </c>
      <c r="X38" s="22" t="s">
        <v>169</v>
      </c>
      <c r="Y38" s="18"/>
    </row>
    <row r="39" spans="8:25" x14ac:dyDescent="0.15">
      <c r="H39" s="2" t="s">
        <v>33</v>
      </c>
      <c r="I39" s="9">
        <f>Mes!F16</f>
        <v>2000000</v>
      </c>
      <c r="J39" s="24">
        <f>Liquidacion!E38</f>
        <v>0.08</v>
      </c>
      <c r="K39" s="9">
        <f>Liquidacion!E40</f>
        <v>108663</v>
      </c>
      <c r="L39" s="9">
        <f>Liquidacion!E41</f>
        <v>51337</v>
      </c>
      <c r="M39" s="28"/>
      <c r="O39" s="16"/>
      <c r="P39" s="325" t="s">
        <v>170</v>
      </c>
      <c r="Q39" s="326"/>
      <c r="R39" s="326"/>
      <c r="S39" s="326"/>
      <c r="T39" s="326"/>
      <c r="U39" s="326"/>
      <c r="V39" s="326"/>
      <c r="W39" s="320">
        <v>20</v>
      </c>
      <c r="X39" s="317">
        <v>40</v>
      </c>
      <c r="Y39" s="18"/>
    </row>
    <row r="40" spans="8:25" ht="13" customHeight="1" x14ac:dyDescent="0.15">
      <c r="H40" s="2" t="s">
        <v>11</v>
      </c>
      <c r="I40" s="9">
        <f>Mes!F17</f>
        <v>2000000</v>
      </c>
      <c r="J40" s="24">
        <f>Liquidacion!F38</f>
        <v>0.08</v>
      </c>
      <c r="K40" s="9">
        <f>Liquidacion!F40</f>
        <v>108555.12</v>
      </c>
      <c r="L40" s="9">
        <f>Liquidacion!F41</f>
        <v>51444.880000000005</v>
      </c>
      <c r="M40" s="28"/>
      <c r="O40" s="16"/>
      <c r="P40" s="327"/>
      <c r="Q40" s="323"/>
      <c r="R40" s="323"/>
      <c r="S40" s="323"/>
      <c r="T40" s="323"/>
      <c r="U40" s="323"/>
      <c r="V40" s="323"/>
      <c r="W40" s="321"/>
      <c r="X40" s="318"/>
      <c r="Y40" s="18"/>
    </row>
    <row r="41" spans="8:25" ht="13" customHeight="1" x14ac:dyDescent="0.15">
      <c r="H41" s="2" t="s">
        <v>34</v>
      </c>
      <c r="I41" s="9">
        <f>Mes!F18</f>
        <v>2000000</v>
      </c>
      <c r="J41" s="24">
        <f>Liquidacion!G38</f>
        <v>0.08</v>
      </c>
      <c r="K41" s="9">
        <f>Liquidacion!G40</f>
        <v>109748.76</v>
      </c>
      <c r="L41" s="9">
        <f>Liquidacion!G41</f>
        <v>50251.240000000005</v>
      </c>
      <c r="M41" s="28"/>
      <c r="O41" s="16"/>
      <c r="P41" s="327"/>
      <c r="Q41" s="323"/>
      <c r="R41" s="323"/>
      <c r="S41" s="323"/>
      <c r="T41" s="323"/>
      <c r="U41" s="323"/>
      <c r="V41" s="323"/>
      <c r="W41" s="321"/>
      <c r="X41" s="318"/>
      <c r="Y41" s="18"/>
    </row>
    <row r="42" spans="8:25" ht="13" customHeight="1" x14ac:dyDescent="0.15">
      <c r="H42" s="2" t="s">
        <v>35</v>
      </c>
      <c r="I42" s="9">
        <f>Mes!F19</f>
        <v>2000000</v>
      </c>
      <c r="J42" s="24">
        <f>Liquidacion!H38</f>
        <v>0.08</v>
      </c>
      <c r="K42" s="9">
        <f>Liquidacion!H40</f>
        <v>110077.62</v>
      </c>
      <c r="L42" s="9">
        <f>Liquidacion!H41</f>
        <v>49922.380000000005</v>
      </c>
      <c r="M42" s="28"/>
      <c r="O42" s="16"/>
      <c r="P42" s="327"/>
      <c r="Q42" s="323"/>
      <c r="R42" s="323"/>
      <c r="S42" s="323"/>
      <c r="T42" s="323"/>
      <c r="U42" s="323"/>
      <c r="V42" s="323"/>
      <c r="W42" s="321"/>
      <c r="X42" s="318"/>
      <c r="Y42" s="18"/>
    </row>
    <row r="43" spans="8:25" ht="13" customHeight="1" x14ac:dyDescent="0.15">
      <c r="H43" s="2" t="s">
        <v>36</v>
      </c>
      <c r="I43" s="9">
        <f>Mes!F20</f>
        <v>2000000</v>
      </c>
      <c r="J43" s="24">
        <f>Liquidacion!I38</f>
        <v>0.08</v>
      </c>
      <c r="K43" s="9">
        <f>Liquidacion!I40</f>
        <v>110187.24</v>
      </c>
      <c r="L43" s="9">
        <f>Liquidacion!I41</f>
        <v>49812.759999999995</v>
      </c>
      <c r="M43" s="28"/>
      <c r="O43" s="16"/>
      <c r="P43" s="248"/>
      <c r="Q43" s="247"/>
      <c r="R43" s="247"/>
      <c r="S43" s="247"/>
      <c r="T43" s="247"/>
      <c r="U43" s="247"/>
      <c r="V43" s="247"/>
      <c r="W43" s="321"/>
      <c r="X43" s="318"/>
      <c r="Y43" s="18"/>
    </row>
    <row r="44" spans="8:25" x14ac:dyDescent="0.15">
      <c r="H44" s="2" t="s">
        <v>37</v>
      </c>
      <c r="I44" s="9">
        <f>Mes!F21</f>
        <v>2000000</v>
      </c>
      <c r="J44" s="24">
        <f>Liquidacion!J38</f>
        <v>0.08</v>
      </c>
      <c r="K44" s="9">
        <f>Liquidacion!J40</f>
        <v>109966.26</v>
      </c>
      <c r="L44" s="9">
        <f>Liquidacion!J41</f>
        <v>50033.740000000005</v>
      </c>
      <c r="M44" s="28"/>
      <c r="O44" s="16"/>
      <c r="P44" s="334" t="s">
        <v>171</v>
      </c>
      <c r="Q44" s="335"/>
      <c r="R44" s="335"/>
      <c r="S44" s="335"/>
      <c r="T44" s="335"/>
      <c r="U44" s="335"/>
      <c r="V44" s="335"/>
      <c r="W44" s="321"/>
      <c r="X44" s="318"/>
      <c r="Y44" s="18"/>
    </row>
    <row r="45" spans="8:25" x14ac:dyDescent="0.15">
      <c r="H45" s="2" t="s">
        <v>38</v>
      </c>
      <c r="I45" s="9">
        <f>Mes!F22</f>
        <v>2000000</v>
      </c>
      <c r="J45" s="24">
        <f>Liquidacion!K38</f>
        <v>0.08</v>
      </c>
      <c r="K45" s="9">
        <f>Liquidacion!K40</f>
        <v>110406.48</v>
      </c>
      <c r="L45" s="9">
        <f>Liquidacion!K41</f>
        <v>49593.520000000004</v>
      </c>
      <c r="M45" s="28"/>
      <c r="O45" s="16"/>
      <c r="P45" s="334"/>
      <c r="Q45" s="335"/>
      <c r="R45" s="335"/>
      <c r="S45" s="335"/>
      <c r="T45" s="335"/>
      <c r="U45" s="335"/>
      <c r="V45" s="335"/>
      <c r="W45" s="321"/>
      <c r="X45" s="318"/>
      <c r="Y45" s="18"/>
    </row>
    <row r="46" spans="8:25" x14ac:dyDescent="0.15">
      <c r="H46" s="2" t="s">
        <v>39</v>
      </c>
      <c r="I46" s="9">
        <f>Mes!F23</f>
        <v>2000000</v>
      </c>
      <c r="J46" s="24">
        <f>Liquidacion!L38</f>
        <v>0.08</v>
      </c>
      <c r="K46" s="9">
        <f>Liquidacion!L40</f>
        <v>110516.1</v>
      </c>
      <c r="L46" s="9">
        <f>Liquidacion!L41</f>
        <v>49483.899999999994</v>
      </c>
      <c r="M46" s="28"/>
      <c r="O46" s="16"/>
      <c r="P46" s="336"/>
      <c r="Q46" s="337"/>
      <c r="R46" s="337"/>
      <c r="S46" s="337"/>
      <c r="T46" s="337"/>
      <c r="U46" s="337"/>
      <c r="V46" s="337"/>
      <c r="W46" s="322"/>
      <c r="X46" s="319"/>
      <c r="Y46" s="18"/>
    </row>
    <row r="47" spans="8:25" x14ac:dyDescent="0.15">
      <c r="H47" s="2" t="s">
        <v>40</v>
      </c>
      <c r="I47" s="9">
        <f>Mes!F24</f>
        <v>2000000</v>
      </c>
      <c r="J47" s="24">
        <f>Liquidacion!M38</f>
        <v>0.08</v>
      </c>
      <c r="K47" s="9">
        <f>Liquidacion!M40</f>
        <v>111290.4</v>
      </c>
      <c r="L47" s="9">
        <f>Liquidacion!M41</f>
        <v>48709.600000000006</v>
      </c>
      <c r="M47" s="28"/>
      <c r="O47" s="16"/>
      <c r="P47" s="325" t="s">
        <v>172</v>
      </c>
      <c r="Q47" s="326"/>
      <c r="R47" s="326"/>
      <c r="S47" s="326"/>
      <c r="T47" s="326"/>
      <c r="U47" s="326"/>
      <c r="V47" s="326"/>
      <c r="W47" s="320">
        <v>20</v>
      </c>
      <c r="X47" s="317">
        <v>20</v>
      </c>
      <c r="Y47" s="18"/>
    </row>
    <row r="48" spans="8:25" x14ac:dyDescent="0.15">
      <c r="H48" s="2" t="s">
        <v>41</v>
      </c>
      <c r="I48" s="9">
        <f>Mes!F25</f>
        <v>2000000</v>
      </c>
      <c r="J48" s="24">
        <f>Liquidacion!N38</f>
        <v>0.08</v>
      </c>
      <c r="K48" s="9">
        <f>Liquidacion!N40</f>
        <v>111735.84</v>
      </c>
      <c r="L48" s="9">
        <f>Liquidacion!N41</f>
        <v>48264.160000000003</v>
      </c>
      <c r="M48" s="28"/>
      <c r="O48" s="16"/>
      <c r="P48" s="327"/>
      <c r="Q48" s="323"/>
      <c r="R48" s="323"/>
      <c r="S48" s="323"/>
      <c r="T48" s="323"/>
      <c r="U48" s="323"/>
      <c r="V48" s="323"/>
      <c r="W48" s="321"/>
      <c r="X48" s="318"/>
      <c r="Y48" s="18"/>
    </row>
    <row r="49" spans="8:25" x14ac:dyDescent="0.15">
      <c r="O49" s="16"/>
      <c r="P49" s="327"/>
      <c r="Q49" s="323"/>
      <c r="R49" s="323"/>
      <c r="S49" s="323"/>
      <c r="T49" s="323"/>
      <c r="U49" s="323"/>
      <c r="V49" s="323"/>
      <c r="W49" s="321"/>
      <c r="X49" s="318"/>
      <c r="Y49" s="18"/>
    </row>
    <row r="50" spans="8:25" x14ac:dyDescent="0.15">
      <c r="O50" s="16"/>
      <c r="P50" s="16"/>
      <c r="Q50" s="17"/>
      <c r="R50" s="17"/>
      <c r="S50" s="17"/>
      <c r="T50" s="17"/>
      <c r="U50" s="17"/>
      <c r="V50" s="17"/>
      <c r="W50" s="26"/>
      <c r="X50" s="318"/>
      <c r="Y50" s="18"/>
    </row>
    <row r="51" spans="8:25" x14ac:dyDescent="0.15">
      <c r="O51" s="16"/>
      <c r="P51" s="325" t="s">
        <v>173</v>
      </c>
      <c r="Q51" s="326"/>
      <c r="R51" s="326"/>
      <c r="S51" s="326"/>
      <c r="T51" s="326"/>
      <c r="U51" s="326"/>
      <c r="V51" s="326"/>
      <c r="W51" s="320">
        <v>30</v>
      </c>
      <c r="X51" s="317">
        <v>30</v>
      </c>
      <c r="Y51" s="18"/>
    </row>
    <row r="52" spans="8:25" x14ac:dyDescent="0.15">
      <c r="H52" s="5" t="s">
        <v>174</v>
      </c>
      <c r="O52" s="16"/>
      <c r="P52" s="327"/>
      <c r="Q52" s="323"/>
      <c r="R52" s="323"/>
      <c r="S52" s="323"/>
      <c r="T52" s="323"/>
      <c r="U52" s="323"/>
      <c r="V52" s="323"/>
      <c r="W52" s="321"/>
      <c r="X52" s="318"/>
      <c r="Y52" s="18"/>
    </row>
    <row r="53" spans="8:25" x14ac:dyDescent="0.15">
      <c r="I53" s="4" t="s">
        <v>41</v>
      </c>
      <c r="O53" s="16"/>
      <c r="P53" s="327"/>
      <c r="Q53" s="323"/>
      <c r="R53" s="323"/>
      <c r="S53" s="323"/>
      <c r="T53" s="323"/>
      <c r="U53" s="323"/>
      <c r="V53" s="323"/>
      <c r="W53" s="321"/>
      <c r="X53" s="318"/>
      <c r="Y53" s="18"/>
    </row>
    <row r="54" spans="8:25" x14ac:dyDescent="0.15">
      <c r="H54" s="39" t="s">
        <v>175</v>
      </c>
      <c r="I54" s="40">
        <v>0</v>
      </c>
      <c r="J54" s="43">
        <f>1+I54</f>
        <v>1</v>
      </c>
      <c r="O54" s="16"/>
      <c r="P54" s="249"/>
      <c r="Q54" s="250"/>
      <c r="R54" s="250"/>
      <c r="S54" s="250"/>
      <c r="T54" s="250"/>
      <c r="U54" s="250"/>
      <c r="V54" s="250"/>
      <c r="W54" s="322"/>
      <c r="X54" s="319"/>
      <c r="Y54" s="18"/>
    </row>
    <row r="55" spans="8:25" x14ac:dyDescent="0.15">
      <c r="H55" s="39" t="s">
        <v>31</v>
      </c>
      <c r="I55" s="40">
        <v>0</v>
      </c>
      <c r="J55" s="43">
        <f t="shared" ref="J55:J66" si="6">1+I55</f>
        <v>1</v>
      </c>
      <c r="O55" s="16"/>
      <c r="P55" s="325" t="s">
        <v>176</v>
      </c>
      <c r="Q55" s="326"/>
      <c r="R55" s="326"/>
      <c r="S55" s="326"/>
      <c r="T55" s="326"/>
      <c r="U55" s="326"/>
      <c r="V55" s="328"/>
      <c r="W55" s="320">
        <v>30</v>
      </c>
      <c r="X55" s="317">
        <v>30</v>
      </c>
      <c r="Y55" s="18"/>
    </row>
    <row r="56" spans="8:25" x14ac:dyDescent="0.15">
      <c r="H56" s="39" t="s">
        <v>32</v>
      </c>
      <c r="I56" s="40">
        <v>0</v>
      </c>
      <c r="J56" s="43">
        <f t="shared" si="6"/>
        <v>1</v>
      </c>
      <c r="O56" s="16"/>
      <c r="P56" s="327"/>
      <c r="Q56" s="323"/>
      <c r="R56" s="323"/>
      <c r="S56" s="323"/>
      <c r="T56" s="323"/>
      <c r="U56" s="323"/>
      <c r="V56" s="329"/>
      <c r="W56" s="321"/>
      <c r="X56" s="318"/>
      <c r="Y56" s="18"/>
    </row>
    <row r="57" spans="8:25" x14ac:dyDescent="0.15">
      <c r="H57" s="39" t="s">
        <v>33</v>
      </c>
      <c r="I57" s="40">
        <v>0</v>
      </c>
      <c r="J57" s="43">
        <f t="shared" si="6"/>
        <v>1</v>
      </c>
      <c r="O57" s="16"/>
      <c r="P57" s="330"/>
      <c r="Q57" s="331"/>
      <c r="R57" s="331"/>
      <c r="S57" s="331"/>
      <c r="T57" s="331"/>
      <c r="U57" s="331"/>
      <c r="V57" s="332"/>
      <c r="W57" s="322"/>
      <c r="X57" s="319"/>
      <c r="Y57" s="18"/>
    </row>
    <row r="58" spans="8:25" x14ac:dyDescent="0.15">
      <c r="H58" s="39" t="s">
        <v>11</v>
      </c>
      <c r="I58" s="40">
        <v>0</v>
      </c>
      <c r="J58" s="43">
        <f t="shared" si="6"/>
        <v>1</v>
      </c>
      <c r="O58" s="16"/>
      <c r="P58" s="17"/>
      <c r="Q58" s="17"/>
      <c r="R58" s="17"/>
      <c r="S58" s="17"/>
      <c r="T58" s="17"/>
      <c r="U58" s="17"/>
      <c r="V58" s="17"/>
      <c r="W58" s="17"/>
      <c r="X58" s="17"/>
      <c r="Y58" s="18"/>
    </row>
    <row r="59" spans="8:25" x14ac:dyDescent="0.15">
      <c r="H59" s="39" t="s">
        <v>34</v>
      </c>
      <c r="I59" s="40">
        <v>0</v>
      </c>
      <c r="J59" s="43">
        <f t="shared" si="6"/>
        <v>1</v>
      </c>
      <c r="O59" s="16"/>
      <c r="P59" s="324" t="str">
        <f>IF(AND(X39&lt;=W39,X47&lt;=W47,X51&lt;=W51,X55&lt;=W55),"El contribuyente tiene derecho al beneficio tributario, por lo que no debe declarar estas rentas en el IGC."," Al menos una de las citadas rentas excede el límite indicado, respecto de cada situación, el contribuyente no goza de la liberación tributaria señalada, debiendo declararla en su totalidad como renta afecta.")</f>
        <v xml:space="preserve"> Al menos una de las citadas rentas excede el límite indicado, respecto de cada situación, el contribuyente no goza de la liberación tributaria señalada, debiendo declararla en su totalidad como renta afecta.</v>
      </c>
      <c r="Q59" s="324"/>
      <c r="R59" s="324"/>
      <c r="S59" s="324"/>
      <c r="T59" s="324"/>
      <c r="U59" s="324"/>
      <c r="V59" s="324"/>
      <c r="W59" s="324"/>
      <c r="X59" s="324"/>
      <c r="Y59" s="18"/>
    </row>
    <row r="60" spans="8:25" x14ac:dyDescent="0.15">
      <c r="H60" s="39" t="s">
        <v>35</v>
      </c>
      <c r="I60" s="40">
        <v>0</v>
      </c>
      <c r="J60" s="43">
        <f t="shared" si="6"/>
        <v>1</v>
      </c>
      <c r="O60" s="16"/>
      <c r="P60" s="324"/>
      <c r="Q60" s="324"/>
      <c r="R60" s="324"/>
      <c r="S60" s="324"/>
      <c r="T60" s="324"/>
      <c r="U60" s="324"/>
      <c r="V60" s="324"/>
      <c r="W60" s="324"/>
      <c r="X60" s="324"/>
      <c r="Y60" s="18"/>
    </row>
    <row r="61" spans="8:25" x14ac:dyDescent="0.15">
      <c r="H61" s="39" t="s">
        <v>36</v>
      </c>
      <c r="I61" s="40">
        <v>0</v>
      </c>
      <c r="J61" s="43">
        <f t="shared" si="6"/>
        <v>1</v>
      </c>
      <c r="O61" s="16"/>
      <c r="P61" s="17"/>
      <c r="Q61" s="17"/>
      <c r="R61" s="17"/>
      <c r="S61" s="17"/>
      <c r="T61" s="17"/>
      <c r="U61" s="17"/>
      <c r="V61" s="17"/>
      <c r="W61" s="17"/>
      <c r="X61" s="17"/>
      <c r="Y61" s="18"/>
    </row>
    <row r="62" spans="8:25" x14ac:dyDescent="0.15">
      <c r="H62" s="39" t="s">
        <v>37</v>
      </c>
      <c r="I62" s="40">
        <v>0</v>
      </c>
      <c r="J62" s="43">
        <f t="shared" si="6"/>
        <v>1</v>
      </c>
      <c r="O62" s="16"/>
      <c r="P62" s="323" t="str">
        <f>IF(AND(X39&lt;=W39,X47&lt;=W47,X51&lt;=W51,X55&lt;=W55),"","Si la persona sólo ha superado el límite en algunos de los instrumentos señalados, los demás deben ser declarados como rentas exentas.(Esto significa que aumentan la 'renta bruta global' sólo para los efectos")</f>
        <v>Si la persona sólo ha superado el límite en algunos de los instrumentos señalados, los demás deben ser declarados como rentas exentas.(Esto significa que aumentan la 'renta bruta global' sólo para los efectos</v>
      </c>
      <c r="Q62" s="323"/>
      <c r="R62" s="323"/>
      <c r="S62" s="323"/>
      <c r="T62" s="323"/>
      <c r="U62" s="323"/>
      <c r="V62" s="323"/>
      <c r="W62" s="323"/>
      <c r="X62" s="323"/>
      <c r="Y62" s="18"/>
    </row>
    <row r="63" spans="8:25" x14ac:dyDescent="0.15">
      <c r="H63" s="39" t="s">
        <v>38</v>
      </c>
      <c r="I63" s="40">
        <v>0</v>
      </c>
      <c r="J63" s="43">
        <f t="shared" si="6"/>
        <v>1</v>
      </c>
      <c r="O63" s="16"/>
      <c r="P63" s="323"/>
      <c r="Q63" s="323"/>
      <c r="R63" s="323"/>
      <c r="S63" s="323"/>
      <c r="T63" s="323"/>
      <c r="U63" s="323"/>
      <c r="V63" s="323"/>
      <c r="W63" s="323"/>
      <c r="X63" s="323"/>
      <c r="Y63" s="18"/>
    </row>
    <row r="64" spans="8:25" x14ac:dyDescent="0.15">
      <c r="H64" s="39" t="s">
        <v>39</v>
      </c>
      <c r="I64" s="44">
        <v>0</v>
      </c>
      <c r="J64" s="43">
        <f t="shared" si="6"/>
        <v>1</v>
      </c>
      <c r="O64" s="16"/>
      <c r="P64" s="323" t="str">
        <f>IF(AND(X39&lt;=W39,X47&lt;=W47,X51&lt;=W51,X55&lt;=W55),"","de aplicar la escala progresiva de tasas del impuesto, ya que, en su compensación, luego se rebaja la parte proporcional del impuesto que corresponda a dichas rentas exentas).")</f>
        <v>de aplicar la escala progresiva de tasas del impuesto, ya que, en su compensación, luego se rebaja la parte proporcional del impuesto que corresponda a dichas rentas exentas).</v>
      </c>
      <c r="Q64" s="323"/>
      <c r="R64" s="323"/>
      <c r="S64" s="323"/>
      <c r="T64" s="323"/>
      <c r="U64" s="323"/>
      <c r="V64" s="323"/>
      <c r="W64" s="323"/>
      <c r="X64" s="323"/>
      <c r="Y64" s="18"/>
    </row>
    <row r="65" spans="8:25" x14ac:dyDescent="0.15">
      <c r="H65" s="39" t="s">
        <v>40</v>
      </c>
      <c r="I65" s="44">
        <v>0</v>
      </c>
      <c r="J65" s="43">
        <f t="shared" si="6"/>
        <v>1</v>
      </c>
      <c r="O65" s="16"/>
      <c r="P65" s="323"/>
      <c r="Q65" s="323"/>
      <c r="R65" s="323"/>
      <c r="S65" s="323"/>
      <c r="T65" s="323"/>
      <c r="U65" s="323"/>
      <c r="V65" s="323"/>
      <c r="W65" s="323"/>
      <c r="X65" s="323"/>
      <c r="Y65" s="18"/>
    </row>
    <row r="66" spans="8:25" x14ac:dyDescent="0.15">
      <c r="H66" s="39" t="s">
        <v>41</v>
      </c>
      <c r="I66" s="44">
        <v>0</v>
      </c>
      <c r="J66" s="43">
        <f t="shared" si="6"/>
        <v>1</v>
      </c>
      <c r="O66" s="16"/>
      <c r="P66" s="17"/>
      <c r="Q66" s="17"/>
      <c r="R66" s="17"/>
      <c r="S66" s="17"/>
      <c r="T66" s="17"/>
      <c r="U66" s="17"/>
      <c r="V66" s="17"/>
      <c r="W66" s="17"/>
      <c r="X66" s="17"/>
      <c r="Y66" s="18"/>
    </row>
    <row r="67" spans="8:25" x14ac:dyDescent="0.15">
      <c r="O67" s="16"/>
      <c r="P67" s="17"/>
      <c r="Q67" s="17"/>
      <c r="R67" s="17"/>
      <c r="S67" s="17"/>
      <c r="T67" s="17"/>
      <c r="U67" s="17"/>
      <c r="V67" s="17"/>
      <c r="W67" s="17"/>
      <c r="X67" s="17"/>
      <c r="Y67" s="18"/>
    </row>
    <row r="68" spans="8:25" x14ac:dyDescent="0.15">
      <c r="O68" s="19"/>
      <c r="P68" s="20"/>
      <c r="Q68" s="20"/>
      <c r="R68" s="20"/>
      <c r="S68" s="20"/>
      <c r="T68" s="20"/>
      <c r="U68" s="20"/>
      <c r="V68" s="20"/>
      <c r="W68" s="20"/>
      <c r="X68" s="20"/>
      <c r="Y68" s="21"/>
    </row>
  </sheetData>
  <protectedRanges>
    <protectedRange sqref="B7" name="Rango1"/>
  </protectedRanges>
  <mergeCells count="19">
    <mergeCell ref="P47:V49"/>
    <mergeCell ref="W47:W49"/>
    <mergeCell ref="X47:X50"/>
    <mergeCell ref="P39:V42"/>
    <mergeCell ref="A1:D1"/>
    <mergeCell ref="A2:D2"/>
    <mergeCell ref="A21:D21"/>
    <mergeCell ref="P44:V46"/>
    <mergeCell ref="W39:W46"/>
    <mergeCell ref="X39:X46"/>
    <mergeCell ref="X51:X54"/>
    <mergeCell ref="W55:W57"/>
    <mergeCell ref="X55:X57"/>
    <mergeCell ref="P62:X63"/>
    <mergeCell ref="P64:X65"/>
    <mergeCell ref="P59:X60"/>
    <mergeCell ref="P51:V53"/>
    <mergeCell ref="P55:V57"/>
    <mergeCell ref="W51:W54"/>
  </mergeCells>
  <phoneticPr fontId="3" type="noConversion"/>
  <conditionalFormatting sqref="P59:X60">
    <cfRule type="containsText" dxfId="4" priority="8" stopIfTrue="1" operator="containsText" text="Al menos una de las citadas rentas excede el límite indicado, respecto de cada situación, el contribuyente no goza de la liberación tributaria señalada, debiendo declararla en su totalidad como renta afecta.">
      <formula>NOT(ISERROR(SEARCH("Al menos una de las citadas rentas excede el límite indicado, respecto de cada situación, el contribuyente no goza de la liberación tributaria señalada, debiendo declararla en su totalidad como renta afecta.",P59)))</formula>
    </cfRule>
    <cfRule type="containsText" dxfId="3" priority="9" stopIfTrue="1" operator="containsText" text="El contribuyente tiene derecho al beneficio tributario, por lo que no debe declarar estas rentas en el IGC.">
      <formula>NOT(ISERROR(SEARCH("El contribuyente tiene derecho al beneficio tributario, por lo que no debe declarar estas rentas en el IGC.",P59)))</formula>
    </cfRule>
  </conditionalFormatting>
  <conditionalFormatting sqref="P62:X63">
    <cfRule type="containsText" dxfId="2" priority="1" stopIfTrue="1" operator="containsText" text="Si la persona sólo ha superado el límite en algunos de los instrumentos señalados, los demás deben ser declarados como rentas exentas.(Esto significa que aumentan la 'renta bruta global' sólo para los efectos">
      <formula>NOT(ISERROR(SEARCH("Si la persona sólo ha superado el límite en algunos de los instrumentos señalados, los demás deben ser declarados como rentas exentas.(Esto significa que aumentan la 'renta bruta global' sólo para los efectos",P62)))</formula>
    </cfRule>
    <cfRule type="containsText" dxfId="1" priority="6" stopIfTrue="1" operator="containsText" text="Si la persona sólo ha superado el límite en algunos de los instrumentos señalados, los demás deben ser declarados como rentas exentas.(Esto significa que aumentan la renta bruta global sólo para los efectos">
      <formula>NOT(ISERROR(SEARCH("Si la persona sólo ha superado el límite en algunos de los instrumentos señalados, los demás deben ser declarados como rentas exentas.(Esto significa que aumentan la renta bruta global sólo para los efectos",P62)))</formula>
    </cfRule>
  </conditionalFormatting>
  <conditionalFormatting sqref="P64:X65">
    <cfRule type="containsText" dxfId="0" priority="2" stopIfTrue="1" operator="containsText" text="de aplicar la escala progresiva de tasas del impuesto, ya que, en su compensación, luego se rebaja la parte proporcional del impuesto que corresponda a dichas rentas exentas).">
      <formula>NOT(ISERROR(SEARCH("de aplicar la escala progresiva de tasas del impuesto, ya que, en su compensación, luego se rebaja la parte proporcional del impuesto que corresponda a dichas rentas exentas).",P64)))</formula>
    </cfRule>
  </conditionalFormatting>
  <pageMargins left="0.75" right="0.75" top="1" bottom="1" header="0" footer="0"/>
  <pageSetup orientation="portrait" r:id="rId1"/>
  <headerFooter alignWithMargins="0">
    <oddFooter>&amp;L&amp;1#&amp;"Calibri"&amp;9&amp;K737373Classification: Customer Confidential</oddFooter>
  </headerFooter>
  <customProperties>
    <customPr name="QAA_DRILLPATH_NODE_ID" r:id="rId2"/>
  </customProperties>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A1:F5"/>
  <sheetViews>
    <sheetView workbookViewId="0">
      <selection activeCell="B3" sqref="B3"/>
    </sheetView>
  </sheetViews>
  <sheetFormatPr baseColWidth="10" defaultColWidth="8.83203125" defaultRowHeight="13" x14ac:dyDescent="0.15"/>
  <cols>
    <col min="1" max="1" width="16.6640625" bestFit="1" customWidth="1"/>
    <col min="2" max="4" width="11.6640625" customWidth="1"/>
    <col min="5" max="5" width="14.6640625" bestFit="1" customWidth="1"/>
  </cols>
  <sheetData>
    <row r="1" spans="1:6" x14ac:dyDescent="0.15">
      <c r="A1" s="30" t="s">
        <v>177</v>
      </c>
      <c r="E1" s="30" t="s">
        <v>178</v>
      </c>
    </row>
    <row r="2" spans="1:6" x14ac:dyDescent="0.15">
      <c r="A2" s="34" t="s">
        <v>179</v>
      </c>
      <c r="B2" s="34">
        <v>81.7</v>
      </c>
      <c r="E2" s="34" t="s">
        <v>180</v>
      </c>
      <c r="F2" s="38">
        <f>10%</f>
        <v>0.1</v>
      </c>
    </row>
    <row r="3" spans="1:6" x14ac:dyDescent="0.15">
      <c r="E3" s="34" t="s">
        <v>181</v>
      </c>
      <c r="F3" s="38">
        <f>1.5%</f>
        <v>1.4999999999999999E-2</v>
      </c>
    </row>
    <row r="4" spans="1:6" x14ac:dyDescent="0.15">
      <c r="E4" s="34" t="s">
        <v>182</v>
      </c>
      <c r="F4" s="38">
        <f>7%</f>
        <v>7.0000000000000007E-2</v>
      </c>
    </row>
    <row r="5" spans="1:6" x14ac:dyDescent="0.15">
      <c r="E5" s="34" t="s">
        <v>136</v>
      </c>
      <c r="F5" s="38">
        <f>0.006</f>
        <v>6.0000000000000001E-3</v>
      </c>
    </row>
  </sheetData>
  <pageMargins left="0.7" right="0.7" top="0.75" bottom="0.75" header="0.3" footer="0.3"/>
  <pageSetup orientation="portrait" r:id="rId1"/>
  <headerFooter>
    <oddFooter>&amp;L&amp;1#&amp;"Calibri"&amp;9&amp;K737373Classification: Customer Confidential</oddFooter>
  </headerFooter>
  <customProperties>
    <customPr name="QAA_DRILLPATH_NODE_ID" r:id="rId2"/>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M59"/>
  <sheetViews>
    <sheetView topLeftCell="A46" workbookViewId="0">
      <selection activeCell="C60" sqref="C60"/>
    </sheetView>
  </sheetViews>
  <sheetFormatPr baseColWidth="10" defaultColWidth="11.33203125" defaultRowHeight="13" x14ac:dyDescent="0.15"/>
  <cols>
    <col min="1" max="16384" width="11.33203125" style="47"/>
  </cols>
  <sheetData>
    <row r="1" spans="1:13" x14ac:dyDescent="0.15">
      <c r="A1" s="338" t="s">
        <v>183</v>
      </c>
      <c r="B1" s="338"/>
      <c r="C1" s="338"/>
      <c r="D1" s="338"/>
      <c r="E1" s="338"/>
      <c r="F1" s="338"/>
      <c r="G1" s="338"/>
    </row>
    <row r="3" spans="1:13" x14ac:dyDescent="0.15">
      <c r="A3" s="339" t="s">
        <v>184</v>
      </c>
      <c r="B3" s="339"/>
      <c r="C3" s="339"/>
      <c r="D3" s="339"/>
      <c r="E3" s="339"/>
      <c r="F3" s="339"/>
      <c r="G3" s="339"/>
      <c r="H3" s="339"/>
      <c r="I3" s="339"/>
      <c r="J3" s="339"/>
      <c r="K3" s="339"/>
    </row>
    <row r="4" spans="1:13" x14ac:dyDescent="0.15">
      <c r="A4" s="339" t="s">
        <v>185</v>
      </c>
      <c r="B4" s="339"/>
      <c r="C4" s="339"/>
      <c r="D4" s="339"/>
      <c r="E4" s="339"/>
    </row>
    <row r="5" spans="1:13" x14ac:dyDescent="0.15">
      <c r="A5" s="339" t="s">
        <v>186</v>
      </c>
      <c r="B5" s="339"/>
      <c r="C5" s="339"/>
      <c r="D5" s="339"/>
      <c r="E5" s="339"/>
      <c r="F5" s="339"/>
      <c r="G5" s="339"/>
      <c r="H5" s="339"/>
      <c r="I5" s="339"/>
    </row>
    <row r="6" spans="1:13" x14ac:dyDescent="0.15">
      <c r="A6" s="339" t="s">
        <v>187</v>
      </c>
      <c r="B6" s="339"/>
      <c r="C6" s="339"/>
      <c r="D6" s="339"/>
      <c r="E6" s="339"/>
    </row>
    <row r="8" spans="1:13" x14ac:dyDescent="0.15">
      <c r="A8" s="338" t="s">
        <v>188</v>
      </c>
      <c r="B8" s="338"/>
      <c r="C8" s="338"/>
      <c r="D8" s="338"/>
      <c r="E8" s="338"/>
      <c r="F8" s="338"/>
      <c r="G8" s="338"/>
    </row>
    <row r="10" spans="1:13" x14ac:dyDescent="0.15">
      <c r="A10" s="339" t="s">
        <v>189</v>
      </c>
      <c r="B10" s="339"/>
      <c r="C10" s="339"/>
      <c r="D10" s="339"/>
      <c r="E10" s="339"/>
      <c r="F10" s="339"/>
      <c r="G10" s="339"/>
      <c r="H10" s="339"/>
      <c r="I10" s="339"/>
      <c r="J10" s="339"/>
      <c r="K10" s="339"/>
      <c r="L10" s="339"/>
      <c r="M10" s="339"/>
    </row>
    <row r="12" spans="1:13" x14ac:dyDescent="0.15">
      <c r="A12" s="338" t="s">
        <v>190</v>
      </c>
      <c r="B12" s="338"/>
      <c r="C12" s="338"/>
      <c r="D12" s="338"/>
      <c r="E12" s="338"/>
      <c r="F12" s="338"/>
      <c r="G12" s="338"/>
    </row>
    <row r="13" spans="1:13" x14ac:dyDescent="0.15">
      <c r="A13" s="47" t="s">
        <v>191</v>
      </c>
    </row>
    <row r="14" spans="1:13" x14ac:dyDescent="0.15">
      <c r="A14" s="47" t="s">
        <v>192</v>
      </c>
    </row>
    <row r="37" spans="1:8" x14ac:dyDescent="0.15">
      <c r="A37" s="47" t="s">
        <v>193</v>
      </c>
    </row>
    <row r="39" spans="1:8" x14ac:dyDescent="0.15">
      <c r="A39" s="47" t="s">
        <v>194</v>
      </c>
    </row>
    <row r="40" spans="1:8" ht="18" x14ac:dyDescent="0.15">
      <c r="A40" s="342" t="s">
        <v>195</v>
      </c>
      <c r="B40" s="342"/>
      <c r="C40" s="342"/>
      <c r="D40" s="342"/>
      <c r="E40" s="342"/>
      <c r="F40" s="342"/>
      <c r="G40" s="342"/>
    </row>
    <row r="41" spans="1:8" ht="18" x14ac:dyDescent="0.15">
      <c r="A41" s="342" t="s">
        <v>196</v>
      </c>
      <c r="B41" s="342"/>
      <c r="C41" s="342"/>
      <c r="D41" s="342"/>
      <c r="E41" s="342"/>
      <c r="F41" s="342"/>
      <c r="G41" s="342"/>
    </row>
    <row r="48" spans="1:8" x14ac:dyDescent="0.15">
      <c r="A48" s="341" t="s">
        <v>197</v>
      </c>
      <c r="B48" s="341"/>
      <c r="C48" s="341"/>
      <c r="D48" s="341"/>
      <c r="E48" s="341"/>
      <c r="F48" s="341"/>
      <c r="G48" s="341"/>
      <c r="H48" s="341"/>
    </row>
    <row r="49" spans="1:8" x14ac:dyDescent="0.15">
      <c r="A49" s="47" t="s">
        <v>198</v>
      </c>
    </row>
    <row r="52" spans="1:8" x14ac:dyDescent="0.15">
      <c r="A52" s="341" t="s">
        <v>199</v>
      </c>
      <c r="B52" s="341"/>
      <c r="C52" s="341"/>
      <c r="D52" s="341"/>
      <c r="E52" s="341"/>
      <c r="F52" s="341"/>
      <c r="G52" s="341"/>
      <c r="H52" s="341"/>
    </row>
    <row r="53" spans="1:8" x14ac:dyDescent="0.15">
      <c r="A53" s="46" t="s">
        <v>200</v>
      </c>
    </row>
    <row r="55" spans="1:8" x14ac:dyDescent="0.15">
      <c r="A55" s="341" t="s">
        <v>201</v>
      </c>
      <c r="B55" s="341"/>
      <c r="C55" s="341"/>
      <c r="D55" s="341"/>
      <c r="E55" s="341"/>
      <c r="F55" s="341"/>
      <c r="G55" s="341"/>
      <c r="H55" s="341"/>
    </row>
    <row r="56" spans="1:8" x14ac:dyDescent="0.15">
      <c r="A56" s="46" t="s">
        <v>202</v>
      </c>
    </row>
    <row r="58" spans="1:8" x14ac:dyDescent="0.15">
      <c r="A58" s="340" t="s">
        <v>203</v>
      </c>
      <c r="B58" s="341"/>
      <c r="C58" s="341"/>
      <c r="D58" s="341"/>
      <c r="E58" s="341"/>
      <c r="F58" s="341"/>
      <c r="G58" s="341"/>
      <c r="H58" s="341"/>
    </row>
    <row r="59" spans="1:8" x14ac:dyDescent="0.15">
      <c r="A59" s="46" t="s">
        <v>204</v>
      </c>
    </row>
  </sheetData>
  <mergeCells count="14">
    <mergeCell ref="A58:H58"/>
    <mergeCell ref="A55:H55"/>
    <mergeCell ref="A52:H52"/>
    <mergeCell ref="A8:G8"/>
    <mergeCell ref="A48:H48"/>
    <mergeCell ref="A12:G12"/>
    <mergeCell ref="A40:G40"/>
    <mergeCell ref="A41:G41"/>
    <mergeCell ref="A10:M10"/>
    <mergeCell ref="A1:G1"/>
    <mergeCell ref="A3:K3"/>
    <mergeCell ref="A4:E4"/>
    <mergeCell ref="A5:I5"/>
    <mergeCell ref="A6:E6"/>
  </mergeCells>
  <pageMargins left="0.7" right="0.7" top="0.75" bottom="0.75" header="0.3" footer="0.3"/>
  <pageSetup orientation="portrait" r:id="rId1"/>
  <headerFooter>
    <oddFooter>&amp;L&amp;1#&amp;"Calibri"&amp;9&amp;K737373Classification: Customer Confidential</oddFooter>
  </headerFooter>
  <customProperties>
    <customPr name="QAA_DRILLPATH_NODE_ID" r:id="rId2"/>
  </customProperties>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WorkbookDrillPathInfo xmlns:xsd="http://www.w3.org/2001/XMLSchema" xmlns:xsi="http://www.w3.org/2001/XMLSchema-instance" xmlns="http://www.infor.com/qaa/DrillPath">
  <CurrentDrillPath>
    <DrillPathNode AnalysisType="NONE" Id="69725cc4-57cb-4bf1-a024-3c8073f10700" Name="Mes" HandleSummaryReportOnly="false">
      <SuppressZero>false</SuppressZero>
      <Children/>
    </DrillPathNode>
    <DrillPathNode AnalysisType="NONE" Id="22624081-86d6-45ea-95aa-60ddba9d48eb" Name="Anual" HandleSummaryReportOnly="false">
      <SuppressZero>false</SuppressZero>
      <Children/>
    </DrillPathNode>
    <DrillPathNode AnalysisType="NONE" Id="f8656e9a-2d6d-4eb0-977b-68ff3d5aba89" Name="Liquidacion" HandleSummaryReportOnly="false">
      <SuppressZero>false</SuppressZero>
      <Children/>
    </DrillPathNode>
    <DrillPathNode AnalysisType="NONE" Id="68bb3fe5-f9dd-4133-8299-3fc1a00b646f" Name="UF" HandleSummaryReportOnly="false" Source="">
      <SuppressZero>false</SuppressZero>
      <Children/>
    </DrillPathNode>
  </CurrentDrillPath>
  <SavedDrillPath/>
</WorkbookDrillPathInfo>
</file>

<file path=customXml/itemProps1.xml><?xml version="1.0" encoding="utf-8"?>
<ds:datastoreItem xmlns:ds="http://schemas.openxmlformats.org/officeDocument/2006/customXml" ds:itemID="{3DCD0CE2-6C22-41F3-81E2-4C7025035882}">
  <ds:schemaRefs>
    <ds:schemaRef ds:uri="http://www.w3.org/2001/XMLSchema"/>
    <ds:schemaRef ds:uri="http://www.infor.com/qaa/DrillPath"/>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Hojas de cálculo</vt:lpstr>
      </vt:variant>
      <vt:variant>
        <vt:i4>8</vt:i4>
      </vt:variant>
      <vt:variant>
        <vt:lpstr>Rangos con nombre</vt:lpstr>
      </vt:variant>
      <vt:variant>
        <vt:i4>12</vt:i4>
      </vt:variant>
    </vt:vector>
  </HeadingPairs>
  <TitlesOfParts>
    <vt:vector size="20" baseType="lpstr">
      <vt:lpstr>Mes</vt:lpstr>
      <vt:lpstr>57 BIS</vt:lpstr>
      <vt:lpstr>Anual</vt:lpstr>
      <vt:lpstr>Liquidacion</vt:lpstr>
      <vt:lpstr>UF</vt:lpstr>
      <vt:lpstr>Impuesto</vt:lpstr>
      <vt:lpstr>Supuestos</vt:lpstr>
      <vt:lpstr>Control de Cambios</vt:lpstr>
      <vt:lpstr>AFP_CCI</vt:lpstr>
      <vt:lpstr>AFP_comision</vt:lpstr>
      <vt:lpstr>'57 BIS'!Área_de_impresión</vt:lpstr>
      <vt:lpstr>Anual!Área_de_impresión</vt:lpstr>
      <vt:lpstr>Mes!Área_de_impresión</vt:lpstr>
      <vt:lpstr>CorreccionMonetaria</vt:lpstr>
      <vt:lpstr>Int55Bis</vt:lpstr>
      <vt:lpstr>MultiRenta</vt:lpstr>
      <vt:lpstr>Salud</vt:lpstr>
      <vt:lpstr>Seguro_Cesantia</vt:lpstr>
      <vt:lpstr>Tope_imponible_UF</vt:lpstr>
      <vt:lpstr>UTA</vt:lpstr>
    </vt:vector>
  </TitlesOfParts>
  <Manager/>
  <Company>Pricipal Vida Chile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t999137</dc:creator>
  <cp:keywords/>
  <dc:description/>
  <cp:lastModifiedBy>Arriagada, Joaquin</cp:lastModifiedBy>
  <cp:revision/>
  <dcterms:created xsi:type="dcterms:W3CDTF">2007-06-18T15:44:03Z</dcterms:created>
  <dcterms:modified xsi:type="dcterms:W3CDTF">2025-07-02T00:38:04Z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SV_QUERY_LIST_4F35BF76-6C0D-4D9B-82B2-816C12CF3733">
    <vt:lpwstr>empty_477D106A-C0D6-4607-AEBD-E2C9D60EA279</vt:lpwstr>
  </property>
  <property fmtid="{D5CDD505-2E9C-101B-9397-08002B2CF9AE}" pid="4" name="MSIP_Label_d6ee3f6f-dfa9-4d1e-aa5d-d0dea03c4102_Enabled">
    <vt:lpwstr>true</vt:lpwstr>
  </property>
  <property fmtid="{D5CDD505-2E9C-101B-9397-08002B2CF9AE}" pid="5" name="MSIP_Label_d6ee3f6f-dfa9-4d1e-aa5d-d0dea03c4102_SetDate">
    <vt:lpwstr>2023-03-06T19:12:23Z</vt:lpwstr>
  </property>
  <property fmtid="{D5CDD505-2E9C-101B-9397-08002B2CF9AE}" pid="6" name="MSIP_Label_d6ee3f6f-dfa9-4d1e-aa5d-d0dea03c4102_Method">
    <vt:lpwstr>Privileged</vt:lpwstr>
  </property>
  <property fmtid="{D5CDD505-2E9C-101B-9397-08002B2CF9AE}" pid="7" name="MSIP_Label_d6ee3f6f-dfa9-4d1e-aa5d-d0dea03c4102_Name">
    <vt:lpwstr>Public</vt:lpwstr>
  </property>
  <property fmtid="{D5CDD505-2E9C-101B-9397-08002B2CF9AE}" pid="8" name="MSIP_Label_d6ee3f6f-dfa9-4d1e-aa5d-d0dea03c4102_SiteId">
    <vt:lpwstr>3bea478c-1684-4a8c-8e85-045ec54ba430</vt:lpwstr>
  </property>
  <property fmtid="{D5CDD505-2E9C-101B-9397-08002B2CF9AE}" pid="9" name="MSIP_Label_d6ee3f6f-dfa9-4d1e-aa5d-d0dea03c4102_ActionId">
    <vt:lpwstr>8fdfeaa6-ca40-4a3a-bdee-652d03e553b2</vt:lpwstr>
  </property>
  <property fmtid="{D5CDD505-2E9C-101B-9397-08002B2CF9AE}" pid="10" name="MSIP_Label_d6ee3f6f-dfa9-4d1e-aa5d-d0dea03c4102_ContentBits">
    <vt:lpwstr>2</vt:lpwstr>
  </property>
</Properties>
</file>