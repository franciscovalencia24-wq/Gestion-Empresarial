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ustomProperty3.bin" ContentType="application/vnd.openxmlformats-officedocument.spreadsheetml.customProperty"/>
  <Override PartName="/xl/drawings/drawing3.xml" ContentType="application/vnd.openxmlformats-officedocument.drawing+xml"/>
  <Override PartName="/xl/customProperty4.bin" ContentType="application/vnd.openxmlformats-officedocument.spreadsheetml.customProperty"/>
  <Override PartName="/xl/customProperty5.bin" ContentType="application/vnd.openxmlformats-officedocument.spreadsheetml.customProperty"/>
  <Override PartName="/xl/comments1.xml" ContentType="application/vnd.openxmlformats-officedocument.spreadsheetml.comments+xml"/>
  <Override PartName="/xl/customProperty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codeName="{65C56A31-55D7-CBBD-CD37-7C71EA340FA4}"/>
  <workbookPr codeName="ThisWorkbook"/>
  <mc:AlternateContent xmlns:mc="http://schemas.openxmlformats.org/markup-compatibility/2006">
    <mc:Choice Requires="x15">
      <x15ac:absPath xmlns:x15ac="http://schemas.microsoft.com/office/spreadsheetml/2010/11/ac" url="/Users/a018986/Desktop/SImuladores Excel/Julio/"/>
    </mc:Choice>
  </mc:AlternateContent>
  <xr:revisionPtr revIDLastSave="0" documentId="13_ncr:1_{8CF93D21-FF7E-9043-9905-E55DD3964C5D}" xr6:coauthVersionLast="47" xr6:coauthVersionMax="47" xr10:uidLastSave="{00000000-0000-0000-0000-000000000000}"/>
  <workbookProtection workbookAlgorithmName="SHA-512" workbookHashValue="kJSjt0U7oW9kXLF3c3HS3uItUbBwXyD/vFxelO9LJ6KCVI1ragbn9uq4YFydYbj/CxLdJhro8T5B6L3JmhAu8g==" workbookSaltValue="Du3kMdwg8cN+2Ac2IncJ6g==" workbookSpinCount="100000" lockStructure="1"/>
  <bookViews>
    <workbookView xWindow="-11220" yWindow="-28300" windowWidth="51200" windowHeight="28300" activeTab="2" xr2:uid="{00000000-000D-0000-FFFF-FFFF00000000}"/>
  </bookViews>
  <sheets>
    <sheet name="Change Log" sheetId="7" state="hidden" r:id="rId1"/>
    <sheet name="Antecedentes" sheetId="6" r:id="rId2"/>
    <sheet name="Deposito Convenido Mensual" sheetId="2" r:id="rId3"/>
    <sheet name="UF" sheetId="8" state="hidden" r:id="rId4"/>
    <sheet name="Impuesto" sheetId="4" state="hidden" r:id="rId5"/>
    <sheet name="ahorro oblg" sheetId="5" state="hidden" r:id="rId6"/>
  </sheets>
  <definedNames>
    <definedName name="ahorroacum">'ahorro oblg'!$C$14:$H$493</definedName>
    <definedName name="_xlnm.Print_Area" localSheetId="2">'Deposito Convenido Mensual'!$B$6:$J$118</definedName>
    <definedName name="CNU_H">Impuesto!$C$19</definedName>
    <definedName name="CNU_M">Impuesto!$C$20</definedName>
    <definedName name="cot_oblg">Antecedentes!$I$5</definedName>
    <definedName name="cotizacion_cesantia">'Deposito Convenido Mensual'!$M$3</definedName>
    <definedName name="edadjub">'Deposito Convenido Mensual'!$L$20</definedName>
    <definedName name="Monto_DC">'Deposito Convenido Mensual'!$F$10</definedName>
    <definedName name="Sueldo_Bruto">'Deposito Convenido Mensual'!$F$9</definedName>
    <definedName name="tabla">'Deposito Convenido Mensual'!$D$17:$I$56</definedName>
    <definedName name="Tabla1">#REF!</definedName>
    <definedName name="tasa_com_AFP">'Deposito Convenido Mensual'!$Q$3</definedName>
    <definedName name="tasa_dcto_AFP">'Deposito Convenido Mensual'!$Q$1</definedName>
    <definedName name="tasa_dcto_Salud">'Deposito Convenido Mensual'!$Q$2</definedName>
    <definedName name="tasa_imp">'Deposito Convenido Mensual'!$S$1</definedName>
    <definedName name="tasa_imp_max">'Deposito Convenido Mensual'!$P$17</definedName>
    <definedName name="TMg">Impuesto!$C$16</definedName>
    <definedName name="tope_APVB_mensual">'Deposito Convenido Mensual'!$M$4</definedName>
    <definedName name="tope_DC_mensual">'Deposito Convenido Mensual'!$Q$4</definedName>
    <definedName name="tope_imponible_mensual">'Deposito Convenido Mensual'!$M$1</definedName>
    <definedName name="tope_imponible_mensual_cot_cesantia">'Deposito Convenido Mensual'!$M$2</definedName>
    <definedName name="uf">Impuesto!$C$4</definedName>
    <definedName name="utm">Impuesto!$C$5</definedName>
    <definedName name="Valor_UF">'Deposito Convenido Mensual'!$I$9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 i="2" l="1"/>
  <c r="C4" i="4" s="1"/>
  <c r="C9" i="4" s="1"/>
  <c r="C11" i="4" s="1"/>
  <c r="I10" i="2"/>
  <c r="C5" i="4" s="1"/>
  <c r="L9" i="2" s="1"/>
  <c r="F10" i="2"/>
  <c r="Q4" i="2"/>
  <c r="K6" i="6"/>
  <c r="K7" i="6"/>
  <c r="K8" i="6"/>
  <c r="K9" i="6"/>
  <c r="K10" i="6"/>
  <c r="K11" i="6"/>
  <c r="K12" i="6"/>
  <c r="K13" i="6"/>
  <c r="K14" i="6"/>
  <c r="K15" i="6"/>
  <c r="K16" i="6"/>
  <c r="K17" i="6"/>
  <c r="K18" i="6"/>
  <c r="K19" i="6"/>
  <c r="I11" i="2"/>
  <c r="F12" i="2"/>
  <c r="F11" i="2"/>
  <c r="L20" i="2"/>
  <c r="F9" i="2"/>
  <c r="C8" i="4"/>
  <c r="D74" i="2"/>
  <c r="D75" i="2"/>
  <c r="X7" i="2"/>
  <c r="X8" i="2"/>
  <c r="X9" i="2"/>
  <c r="X10" i="2"/>
  <c r="X11" i="2"/>
  <c r="X12" i="2"/>
  <c r="X13" i="2"/>
  <c r="X14" i="2"/>
  <c r="X15" i="2"/>
  <c r="X16" i="2"/>
  <c r="C15" i="5"/>
  <c r="D15" i="5"/>
  <c r="D16" i="5"/>
  <c r="D17" i="5"/>
  <c r="N11" i="2"/>
  <c r="N12" i="2"/>
  <c r="N13" i="2"/>
  <c r="N14" i="2"/>
  <c r="N15" i="2"/>
  <c r="N16" i="2"/>
  <c r="N17" i="2"/>
  <c r="E6" i="4"/>
  <c r="E7" i="4"/>
  <c r="E8" i="4"/>
  <c r="E9" i="4"/>
  <c r="E10" i="4"/>
  <c r="E11" i="4"/>
  <c r="E5" i="4"/>
  <c r="D80" i="2"/>
  <c r="C10" i="4"/>
  <c r="D5" i="5"/>
  <c r="C63" i="2"/>
  <c r="G59" i="2"/>
  <c r="F60" i="2"/>
  <c r="D73" i="2"/>
  <c r="D7" i="5"/>
  <c r="E14" i="5"/>
  <c r="C16" i="5"/>
  <c r="C17" i="5"/>
  <c r="C18" i="5"/>
  <c r="D18" i="5"/>
  <c r="L18" i="2"/>
  <c r="L22" i="2"/>
  <c r="D19" i="5"/>
  <c r="C19" i="5"/>
  <c r="C20" i="5"/>
  <c r="D20" i="5"/>
  <c r="D21" i="5"/>
  <c r="C21" i="5"/>
  <c r="D22" i="5"/>
  <c r="C22" i="5"/>
  <c r="C23" i="5"/>
  <c r="D23" i="5"/>
  <c r="C24" i="5"/>
  <c r="D24" i="5"/>
  <c r="D25" i="5"/>
  <c r="C25" i="5"/>
  <c r="D26" i="5"/>
  <c r="C26" i="5"/>
  <c r="C27" i="5"/>
  <c r="D27" i="5"/>
  <c r="D28" i="5"/>
  <c r="C28" i="5"/>
  <c r="C29" i="5"/>
  <c r="D29" i="5"/>
  <c r="C30" i="5"/>
  <c r="D30" i="5"/>
  <c r="D31" i="5"/>
  <c r="C31" i="5"/>
  <c r="D32" i="5"/>
  <c r="C32" i="5"/>
  <c r="C33" i="5"/>
  <c r="D33" i="5"/>
  <c r="D34" i="5"/>
  <c r="C34" i="5"/>
  <c r="C35" i="5"/>
  <c r="D35" i="5"/>
  <c r="C36" i="5"/>
  <c r="D36" i="5"/>
  <c r="C37" i="5"/>
  <c r="D37" i="5"/>
  <c r="C38" i="5"/>
  <c r="D38" i="5"/>
  <c r="C39" i="5"/>
  <c r="D39" i="5"/>
  <c r="C40" i="5"/>
  <c r="D40" i="5"/>
  <c r="C41" i="5"/>
  <c r="D41" i="5"/>
  <c r="D42" i="5"/>
  <c r="C42" i="5"/>
  <c r="D43" i="5"/>
  <c r="C43" i="5"/>
  <c r="C44" i="5"/>
  <c r="D44" i="5"/>
  <c r="D45" i="5"/>
  <c r="C45" i="5"/>
  <c r="C46" i="5"/>
  <c r="D46" i="5"/>
  <c r="D47" i="5"/>
  <c r="C47" i="5"/>
  <c r="C48" i="5"/>
  <c r="D48" i="5"/>
  <c r="C49" i="5"/>
  <c r="D49" i="5"/>
  <c r="D50" i="5"/>
  <c r="C50" i="5"/>
  <c r="D51" i="5"/>
  <c r="C51" i="5"/>
  <c r="C52" i="5"/>
  <c r="D52" i="5"/>
  <c r="D53" i="5"/>
  <c r="C53" i="5"/>
  <c r="D54" i="5"/>
  <c r="C54" i="5"/>
  <c r="C55" i="5"/>
  <c r="D55" i="5"/>
  <c r="C56" i="5"/>
  <c r="D56" i="5"/>
  <c r="D57" i="5"/>
  <c r="C57" i="5"/>
  <c r="C58" i="5"/>
  <c r="D58" i="5"/>
  <c r="C59" i="5"/>
  <c r="D59" i="5"/>
  <c r="D60" i="5"/>
  <c r="C60" i="5"/>
  <c r="C61" i="5"/>
  <c r="D61" i="5"/>
  <c r="D62" i="5"/>
  <c r="C62" i="5"/>
  <c r="D63" i="5"/>
  <c r="C63" i="5"/>
  <c r="D64" i="5"/>
  <c r="C64" i="5"/>
  <c r="C65" i="5"/>
  <c r="D65" i="5"/>
  <c r="D66" i="5"/>
  <c r="C66" i="5"/>
  <c r="C67" i="5"/>
  <c r="D67" i="5"/>
  <c r="D68" i="5"/>
  <c r="C68" i="5"/>
  <c r="D69" i="5"/>
  <c r="C69" i="5"/>
  <c r="C70" i="5"/>
  <c r="D70" i="5"/>
  <c r="D71" i="5"/>
  <c r="C71" i="5"/>
  <c r="D72" i="5"/>
  <c r="C72" i="5"/>
  <c r="C73" i="5"/>
  <c r="D73" i="5"/>
  <c r="D74" i="5"/>
  <c r="C74" i="5"/>
  <c r="D75" i="5"/>
  <c r="C75" i="5"/>
  <c r="C76" i="5"/>
  <c r="D76" i="5"/>
  <c r="C77" i="5"/>
  <c r="D77" i="5"/>
  <c r="D78" i="5"/>
  <c r="C78" i="5"/>
  <c r="D79" i="5"/>
  <c r="C79" i="5"/>
  <c r="D80" i="5"/>
  <c r="C80" i="5"/>
  <c r="C81" i="5"/>
  <c r="D81" i="5"/>
  <c r="C82" i="5"/>
  <c r="D82" i="5"/>
  <c r="D83" i="5"/>
  <c r="C83" i="5"/>
  <c r="D84" i="5"/>
  <c r="C84" i="5"/>
  <c r="D85" i="5"/>
  <c r="C85" i="5"/>
  <c r="D86" i="5"/>
  <c r="C86" i="5"/>
  <c r="D87" i="5"/>
  <c r="C87" i="5"/>
  <c r="D88" i="5"/>
  <c r="C88" i="5"/>
  <c r="D89" i="5"/>
  <c r="C89" i="5"/>
  <c r="D90" i="5"/>
  <c r="C90" i="5"/>
  <c r="D91" i="5"/>
  <c r="C91" i="5"/>
  <c r="C92" i="5"/>
  <c r="D92" i="5"/>
  <c r="C93" i="5"/>
  <c r="D93" i="5"/>
  <c r="C94" i="5"/>
  <c r="D94" i="5"/>
  <c r="C95" i="5"/>
  <c r="D95" i="5"/>
  <c r="C96" i="5"/>
  <c r="D96" i="5"/>
  <c r="D97" i="5"/>
  <c r="C97" i="5"/>
  <c r="D98" i="5"/>
  <c r="C98" i="5"/>
  <c r="D99" i="5"/>
  <c r="C99" i="5"/>
  <c r="C100" i="5"/>
  <c r="D100" i="5"/>
  <c r="C101" i="5"/>
  <c r="D101" i="5"/>
  <c r="D102" i="5"/>
  <c r="C102" i="5"/>
  <c r="C103" i="5"/>
  <c r="D103" i="5"/>
  <c r="C104" i="5"/>
  <c r="D104" i="5"/>
  <c r="C105" i="5"/>
  <c r="D105" i="5"/>
  <c r="C106" i="5"/>
  <c r="D106" i="5"/>
  <c r="D107" i="5"/>
  <c r="C107" i="5"/>
  <c r="D108" i="5"/>
  <c r="C108" i="5"/>
  <c r="C109" i="5"/>
  <c r="D109" i="5"/>
  <c r="C110" i="5"/>
  <c r="D110" i="5"/>
  <c r="D111" i="5"/>
  <c r="C111" i="5"/>
  <c r="C112" i="5"/>
  <c r="D112" i="5"/>
  <c r="C113" i="5"/>
  <c r="D113" i="5"/>
  <c r="D114" i="5"/>
  <c r="C114" i="5"/>
  <c r="D115" i="5"/>
  <c r="C115" i="5"/>
  <c r="C116" i="5"/>
  <c r="D116" i="5"/>
  <c r="C117" i="5"/>
  <c r="D117" i="5"/>
  <c r="C118" i="5"/>
  <c r="D118" i="5"/>
  <c r="C119" i="5"/>
  <c r="D119" i="5"/>
  <c r="C120" i="5"/>
  <c r="D120" i="5"/>
  <c r="D121" i="5"/>
  <c r="C121" i="5"/>
  <c r="C122" i="5"/>
  <c r="D122" i="5"/>
  <c r="D123" i="5"/>
  <c r="C123" i="5"/>
  <c r="D124" i="5"/>
  <c r="C124" i="5"/>
  <c r="D125" i="5"/>
  <c r="C125" i="5"/>
  <c r="D126" i="5"/>
  <c r="C126" i="5"/>
  <c r="D127" i="5"/>
  <c r="C127" i="5"/>
  <c r="D128" i="5"/>
  <c r="C128" i="5"/>
  <c r="C129" i="5"/>
  <c r="D129" i="5"/>
  <c r="C130" i="5"/>
  <c r="D130" i="5"/>
  <c r="C131" i="5"/>
  <c r="D131" i="5"/>
  <c r="D132" i="5"/>
  <c r="C132" i="5"/>
  <c r="D133" i="5"/>
  <c r="C133" i="5"/>
  <c r="C134" i="5"/>
  <c r="D134" i="5"/>
  <c r="D135" i="5"/>
  <c r="C135" i="5"/>
  <c r="D136" i="5"/>
  <c r="C136" i="5"/>
  <c r="D137" i="5"/>
  <c r="C137" i="5"/>
  <c r="D138" i="5"/>
  <c r="C138" i="5"/>
  <c r="D139" i="5"/>
  <c r="C139" i="5"/>
  <c r="C140" i="5"/>
  <c r="D140" i="5"/>
  <c r="D141" i="5"/>
  <c r="C141" i="5"/>
  <c r="D142" i="5"/>
  <c r="C142" i="5"/>
  <c r="C143" i="5"/>
  <c r="D143" i="5"/>
  <c r="D144" i="5"/>
  <c r="C144" i="5"/>
  <c r="D145" i="5"/>
  <c r="C145" i="5"/>
  <c r="C146" i="5"/>
  <c r="D146" i="5"/>
  <c r="C147" i="5"/>
  <c r="D147" i="5"/>
  <c r="D148" i="5"/>
  <c r="C148" i="5"/>
  <c r="C149" i="5"/>
  <c r="D149" i="5"/>
  <c r="D150" i="5"/>
  <c r="C150" i="5"/>
  <c r="C151" i="5"/>
  <c r="D151" i="5"/>
  <c r="C152" i="5"/>
  <c r="D152" i="5"/>
  <c r="D153" i="5"/>
  <c r="C153" i="5"/>
  <c r="D154" i="5"/>
  <c r="C154" i="5"/>
  <c r="C155" i="5"/>
  <c r="D155" i="5"/>
  <c r="D156" i="5"/>
  <c r="C156" i="5"/>
  <c r="C157" i="5"/>
  <c r="D157" i="5"/>
  <c r="C158" i="5"/>
  <c r="D158" i="5"/>
  <c r="D159" i="5"/>
  <c r="C159" i="5"/>
  <c r="D160" i="5"/>
  <c r="C160" i="5"/>
  <c r="C161" i="5"/>
  <c r="D161" i="5"/>
  <c r="D162" i="5"/>
  <c r="C162" i="5"/>
  <c r="C163" i="5"/>
  <c r="D163" i="5"/>
  <c r="C164" i="5"/>
  <c r="D164" i="5"/>
  <c r="D165" i="5"/>
  <c r="C165" i="5"/>
  <c r="D166" i="5"/>
  <c r="C166" i="5"/>
  <c r="D167" i="5"/>
  <c r="C167" i="5"/>
  <c r="C168" i="5"/>
  <c r="D168" i="5"/>
  <c r="C169" i="5"/>
  <c r="D169" i="5"/>
  <c r="C170" i="5"/>
  <c r="D170" i="5"/>
  <c r="C171" i="5"/>
  <c r="D171" i="5"/>
  <c r="D172" i="5"/>
  <c r="C172" i="5"/>
  <c r="C173" i="5"/>
  <c r="D173" i="5"/>
  <c r="C174" i="5"/>
  <c r="D174" i="5"/>
  <c r="C175" i="5"/>
  <c r="D175" i="5"/>
  <c r="C176" i="5"/>
  <c r="D176" i="5"/>
  <c r="D177" i="5"/>
  <c r="C177" i="5"/>
  <c r="D178" i="5"/>
  <c r="C178" i="5"/>
  <c r="D179" i="5"/>
  <c r="C179" i="5"/>
  <c r="C180" i="5"/>
  <c r="D180" i="5"/>
  <c r="C181" i="5"/>
  <c r="D181" i="5"/>
  <c r="D182" i="5"/>
  <c r="C182" i="5"/>
  <c r="D183" i="5"/>
  <c r="C183" i="5"/>
  <c r="D184" i="5"/>
  <c r="C184" i="5"/>
  <c r="C185" i="5"/>
  <c r="D185" i="5"/>
  <c r="C186" i="5"/>
  <c r="D186" i="5"/>
  <c r="D187" i="5"/>
  <c r="C187" i="5"/>
  <c r="D188" i="5"/>
  <c r="C188" i="5"/>
  <c r="D189" i="5"/>
  <c r="C189" i="5"/>
  <c r="C190" i="5"/>
  <c r="D190" i="5"/>
  <c r="C191" i="5"/>
  <c r="D191" i="5"/>
  <c r="D192" i="5"/>
  <c r="C192" i="5"/>
  <c r="C193" i="5"/>
  <c r="D193" i="5"/>
  <c r="C194" i="5"/>
  <c r="D194" i="5"/>
  <c r="C195" i="5"/>
  <c r="D195" i="5"/>
  <c r="C196" i="5"/>
  <c r="D196" i="5"/>
  <c r="D197" i="5"/>
  <c r="C197" i="5"/>
  <c r="C198" i="5"/>
  <c r="D198" i="5"/>
  <c r="D199" i="5"/>
  <c r="C199" i="5"/>
  <c r="D200" i="5"/>
  <c r="C200" i="5"/>
  <c r="C201" i="5"/>
  <c r="D201" i="5"/>
  <c r="C202" i="5"/>
  <c r="D202" i="5"/>
  <c r="C203" i="5"/>
  <c r="D203" i="5"/>
  <c r="C204" i="5"/>
  <c r="D204" i="5"/>
  <c r="D205" i="5"/>
  <c r="C205" i="5"/>
  <c r="D206" i="5"/>
  <c r="C206" i="5"/>
  <c r="C207" i="5"/>
  <c r="D207" i="5"/>
  <c r="C208" i="5"/>
  <c r="D208" i="5"/>
  <c r="C209" i="5"/>
  <c r="D209" i="5"/>
  <c r="C210" i="5"/>
  <c r="D210" i="5"/>
  <c r="C211" i="5"/>
  <c r="D211" i="5"/>
  <c r="D212" i="5"/>
  <c r="C212" i="5"/>
  <c r="D213" i="5"/>
  <c r="C213" i="5"/>
  <c r="C214" i="5"/>
  <c r="D214" i="5"/>
  <c r="C215" i="5"/>
  <c r="D215" i="5"/>
  <c r="D216" i="5"/>
  <c r="C216" i="5"/>
  <c r="C217" i="5"/>
  <c r="D217" i="5"/>
  <c r="D218" i="5"/>
  <c r="C218" i="5"/>
  <c r="C219" i="5"/>
  <c r="D219" i="5"/>
  <c r="D220" i="5"/>
  <c r="C220" i="5"/>
  <c r="C221" i="5"/>
  <c r="D221" i="5"/>
  <c r="C222" i="5"/>
  <c r="D222" i="5"/>
  <c r="C223" i="5"/>
  <c r="D223" i="5"/>
  <c r="D224" i="5"/>
  <c r="C224" i="5"/>
  <c r="D225" i="5"/>
  <c r="C225" i="5"/>
  <c r="D226" i="5"/>
  <c r="C226" i="5"/>
  <c r="D227" i="5"/>
  <c r="C227" i="5"/>
  <c r="C228" i="5"/>
  <c r="D228" i="5"/>
  <c r="C229" i="5"/>
  <c r="D229" i="5"/>
  <c r="C230" i="5"/>
  <c r="D230" i="5"/>
  <c r="D231" i="5"/>
  <c r="C231" i="5"/>
  <c r="C232" i="5"/>
  <c r="D232" i="5"/>
  <c r="D233" i="5"/>
  <c r="C233" i="5"/>
  <c r="D234" i="5"/>
  <c r="C234" i="5"/>
  <c r="C235" i="5"/>
  <c r="D235" i="5"/>
  <c r="D236" i="5"/>
  <c r="C236" i="5"/>
  <c r="C237" i="5"/>
  <c r="D237" i="5"/>
  <c r="C238" i="5"/>
  <c r="D238" i="5"/>
  <c r="D239" i="5"/>
  <c r="C239" i="5"/>
  <c r="D240" i="5"/>
  <c r="C240" i="5"/>
  <c r="D241" i="5"/>
  <c r="C241" i="5"/>
  <c r="D242" i="5"/>
  <c r="C242" i="5"/>
  <c r="D243" i="5"/>
  <c r="C243" i="5"/>
  <c r="D244" i="5"/>
  <c r="C244" i="5"/>
  <c r="C245" i="5"/>
  <c r="D245" i="5"/>
  <c r="C246" i="5"/>
  <c r="D246" i="5"/>
  <c r="C247" i="5"/>
  <c r="D247" i="5"/>
  <c r="D248" i="5"/>
  <c r="C248" i="5"/>
  <c r="D249" i="5"/>
  <c r="C249" i="5"/>
  <c r="D250" i="5"/>
  <c r="C250" i="5"/>
  <c r="D251" i="5"/>
  <c r="C251" i="5"/>
  <c r="D252" i="5"/>
  <c r="C252" i="5"/>
  <c r="C253" i="5"/>
  <c r="D253" i="5"/>
  <c r="D254" i="5"/>
  <c r="C254" i="5"/>
  <c r="C255" i="5"/>
  <c r="D255" i="5"/>
  <c r="D256" i="5"/>
  <c r="C256" i="5"/>
  <c r="C257" i="5"/>
  <c r="D257" i="5"/>
  <c r="D258" i="5"/>
  <c r="C258" i="5"/>
  <c r="D259" i="5"/>
  <c r="C259" i="5"/>
  <c r="D260" i="5"/>
  <c r="C260" i="5"/>
  <c r="C261" i="5"/>
  <c r="D261" i="5"/>
  <c r="C262" i="5"/>
  <c r="D262" i="5"/>
  <c r="C263" i="5"/>
  <c r="D263" i="5"/>
  <c r="C264" i="5"/>
  <c r="D264" i="5"/>
  <c r="C265" i="5"/>
  <c r="D265" i="5"/>
  <c r="C266" i="5"/>
  <c r="D266" i="5"/>
  <c r="D267" i="5"/>
  <c r="C267" i="5"/>
  <c r="C268" i="5"/>
  <c r="D268" i="5"/>
  <c r="C269" i="5"/>
  <c r="D269" i="5"/>
  <c r="D270" i="5"/>
  <c r="C270" i="5"/>
  <c r="C271" i="5"/>
  <c r="D271" i="5"/>
  <c r="D272" i="5"/>
  <c r="C272" i="5"/>
  <c r="D273" i="5"/>
  <c r="C273" i="5"/>
  <c r="C274" i="5"/>
  <c r="D274" i="5"/>
  <c r="D275" i="5"/>
  <c r="C275" i="5"/>
  <c r="C276" i="5"/>
  <c r="D276" i="5"/>
  <c r="C277" i="5"/>
  <c r="D277" i="5"/>
  <c r="D278" i="5"/>
  <c r="C278" i="5"/>
  <c r="C279" i="5"/>
  <c r="D279" i="5"/>
  <c r="C280" i="5"/>
  <c r="D280" i="5"/>
  <c r="C281" i="5"/>
  <c r="D281" i="5"/>
  <c r="C282" i="5"/>
  <c r="D282" i="5"/>
  <c r="D283" i="5"/>
  <c r="C283" i="5"/>
  <c r="C284" i="5"/>
  <c r="D284" i="5"/>
  <c r="D285" i="5"/>
  <c r="C285" i="5"/>
  <c r="D286" i="5"/>
  <c r="C286" i="5"/>
  <c r="C287" i="5"/>
  <c r="D287" i="5"/>
  <c r="C288" i="5"/>
  <c r="D288" i="5"/>
  <c r="D289" i="5"/>
  <c r="C289" i="5"/>
  <c r="C290" i="5"/>
  <c r="D290" i="5"/>
  <c r="D291" i="5"/>
  <c r="C291" i="5"/>
  <c r="D292" i="5"/>
  <c r="C292" i="5"/>
  <c r="D293" i="5"/>
  <c r="C293" i="5"/>
  <c r="C294" i="5"/>
  <c r="D294" i="5"/>
  <c r="C295" i="5"/>
  <c r="D295" i="5"/>
  <c r="C296" i="5"/>
  <c r="D296" i="5"/>
  <c r="C297" i="5"/>
  <c r="D297" i="5"/>
  <c r="D298" i="5"/>
  <c r="C298" i="5"/>
  <c r="D299" i="5"/>
  <c r="C299" i="5"/>
  <c r="C300" i="5"/>
  <c r="D300" i="5"/>
  <c r="D301" i="5"/>
  <c r="C301" i="5"/>
  <c r="C302" i="5"/>
  <c r="D302" i="5"/>
  <c r="C303" i="5"/>
  <c r="D303" i="5"/>
  <c r="C304" i="5"/>
  <c r="D304" i="5"/>
  <c r="D305" i="5"/>
  <c r="C305" i="5"/>
  <c r="D306" i="5"/>
  <c r="C306" i="5"/>
  <c r="D307" i="5"/>
  <c r="C307" i="5"/>
  <c r="D308" i="5"/>
  <c r="C308" i="5"/>
  <c r="C309" i="5"/>
  <c r="D309" i="5"/>
  <c r="C310" i="5"/>
  <c r="D310" i="5"/>
  <c r="D311" i="5"/>
  <c r="C311" i="5"/>
  <c r="C312" i="5"/>
  <c r="D312" i="5"/>
  <c r="D313" i="5"/>
  <c r="C313" i="5"/>
  <c r="C314" i="5"/>
  <c r="D314" i="5"/>
  <c r="D315" i="5"/>
  <c r="C315" i="5"/>
  <c r="C316" i="5"/>
  <c r="D316" i="5"/>
  <c r="C317" i="5"/>
  <c r="D317" i="5"/>
  <c r="C318" i="5"/>
  <c r="D318" i="5"/>
  <c r="C319" i="5"/>
  <c r="D319" i="5"/>
  <c r="D320" i="5"/>
  <c r="C320" i="5"/>
  <c r="D321" i="5"/>
  <c r="C321" i="5"/>
  <c r="C322" i="5"/>
  <c r="D322" i="5"/>
  <c r="C323" i="5"/>
  <c r="D323" i="5"/>
  <c r="C324" i="5"/>
  <c r="D324" i="5"/>
  <c r="D325" i="5"/>
  <c r="C325" i="5"/>
  <c r="C326" i="5"/>
  <c r="D326" i="5"/>
  <c r="C327" i="5"/>
  <c r="D327" i="5"/>
  <c r="D328" i="5"/>
  <c r="C328" i="5"/>
  <c r="D329" i="5"/>
  <c r="C329" i="5"/>
  <c r="C330" i="5"/>
  <c r="D330" i="5"/>
  <c r="D331" i="5"/>
  <c r="C331" i="5"/>
  <c r="C332" i="5"/>
  <c r="D332" i="5"/>
  <c r="D333" i="5"/>
  <c r="C333" i="5"/>
  <c r="C334" i="5"/>
  <c r="D334" i="5"/>
  <c r="D335" i="5"/>
  <c r="C335" i="5"/>
  <c r="D336" i="5"/>
  <c r="C336" i="5"/>
  <c r="D337" i="5"/>
  <c r="C337" i="5"/>
  <c r="C338" i="5"/>
  <c r="D338" i="5"/>
  <c r="D339" i="5"/>
  <c r="C339" i="5"/>
  <c r="C340" i="5"/>
  <c r="D340" i="5"/>
  <c r="D341" i="5"/>
  <c r="C341" i="5"/>
  <c r="C342" i="5"/>
  <c r="D342" i="5"/>
  <c r="C343" i="5"/>
  <c r="D343" i="5"/>
  <c r="C344" i="5"/>
  <c r="D344" i="5"/>
  <c r="D345" i="5"/>
  <c r="C345" i="5"/>
  <c r="C346" i="5"/>
  <c r="D346" i="5"/>
  <c r="D347" i="5"/>
  <c r="C347" i="5"/>
  <c r="D348" i="5"/>
  <c r="C348" i="5"/>
  <c r="C349" i="5"/>
  <c r="D349" i="5"/>
  <c r="D350" i="5"/>
  <c r="C350" i="5"/>
  <c r="D351" i="5"/>
  <c r="C351" i="5"/>
  <c r="D352" i="5"/>
  <c r="C352" i="5"/>
  <c r="D353" i="5"/>
  <c r="C353" i="5"/>
  <c r="D354" i="5"/>
  <c r="C354" i="5"/>
  <c r="D355" i="5"/>
  <c r="C355" i="5"/>
  <c r="D356" i="5"/>
  <c r="C356" i="5"/>
  <c r="D357" i="5"/>
  <c r="C357" i="5"/>
  <c r="C358" i="5"/>
  <c r="D358" i="5"/>
  <c r="D359" i="5"/>
  <c r="C359" i="5"/>
  <c r="C360" i="5"/>
  <c r="D360" i="5"/>
  <c r="D361" i="5"/>
  <c r="C361" i="5"/>
  <c r="D362" i="5"/>
  <c r="C362" i="5"/>
  <c r="D363" i="5"/>
  <c r="C363" i="5"/>
  <c r="C364" i="5"/>
  <c r="D364" i="5"/>
  <c r="C365" i="5"/>
  <c r="D365" i="5"/>
  <c r="D366" i="5"/>
  <c r="C366" i="5"/>
  <c r="D367" i="5"/>
  <c r="C367" i="5"/>
  <c r="D368" i="5"/>
  <c r="C368" i="5"/>
  <c r="D369" i="5"/>
  <c r="C369" i="5"/>
  <c r="D370" i="5"/>
  <c r="C370" i="5"/>
  <c r="C371" i="5"/>
  <c r="D371" i="5"/>
  <c r="D372" i="5"/>
  <c r="C372" i="5"/>
  <c r="C373" i="5"/>
  <c r="D373" i="5"/>
  <c r="D374" i="5"/>
  <c r="C374" i="5"/>
  <c r="D375" i="5"/>
  <c r="C375" i="5"/>
  <c r="C376" i="5"/>
  <c r="D376" i="5"/>
  <c r="C377" i="5"/>
  <c r="D377" i="5"/>
  <c r="C378" i="5"/>
  <c r="D378" i="5"/>
  <c r="C379" i="5"/>
  <c r="D379" i="5"/>
  <c r="D380" i="5"/>
  <c r="C380" i="5"/>
  <c r="C381" i="5"/>
  <c r="D381" i="5"/>
  <c r="C382" i="5"/>
  <c r="D382" i="5"/>
  <c r="D383" i="5"/>
  <c r="C383" i="5"/>
  <c r="C384" i="5"/>
  <c r="D384" i="5"/>
  <c r="D385" i="5"/>
  <c r="C385" i="5"/>
  <c r="C386" i="5"/>
  <c r="D386" i="5"/>
  <c r="C387" i="5"/>
  <c r="D387" i="5"/>
  <c r="D388" i="5"/>
  <c r="C388" i="5"/>
  <c r="C389" i="5"/>
  <c r="D389" i="5"/>
  <c r="C390" i="5"/>
  <c r="D390" i="5"/>
  <c r="C391" i="5"/>
  <c r="D391" i="5"/>
  <c r="C392" i="5"/>
  <c r="D392" i="5"/>
  <c r="D393" i="5"/>
  <c r="C393" i="5"/>
  <c r="D394" i="5"/>
  <c r="C394" i="5"/>
  <c r="D395" i="5"/>
  <c r="C395" i="5"/>
  <c r="D396" i="5"/>
  <c r="C396" i="5"/>
  <c r="C397" i="5"/>
  <c r="D397" i="5"/>
  <c r="D398" i="5"/>
  <c r="C398" i="5"/>
  <c r="C399" i="5"/>
  <c r="D399" i="5"/>
  <c r="C400" i="5"/>
  <c r="D400" i="5"/>
  <c r="C401" i="5"/>
  <c r="D401" i="5"/>
  <c r="C402" i="5"/>
  <c r="D402" i="5"/>
  <c r="C403" i="5"/>
  <c r="D403" i="5"/>
  <c r="D404" i="5"/>
  <c r="C404" i="5"/>
  <c r="C405" i="5"/>
  <c r="D405" i="5"/>
  <c r="D406" i="5"/>
  <c r="C406" i="5"/>
  <c r="D407" i="5"/>
  <c r="C407" i="5"/>
  <c r="C408" i="5"/>
  <c r="D408" i="5"/>
  <c r="C409" i="5"/>
  <c r="D409" i="5"/>
  <c r="D410" i="5"/>
  <c r="C410" i="5"/>
  <c r="C411" i="5"/>
  <c r="D411" i="5"/>
  <c r="D412" i="5"/>
  <c r="C412" i="5"/>
  <c r="C413" i="5"/>
  <c r="D413" i="5"/>
  <c r="D414" i="5"/>
  <c r="C414" i="5"/>
  <c r="D415" i="5"/>
  <c r="C415" i="5"/>
  <c r="C416" i="5"/>
  <c r="D416" i="5"/>
  <c r="C417" i="5"/>
  <c r="D417" i="5"/>
  <c r="D418" i="5"/>
  <c r="C418" i="5"/>
  <c r="C419" i="5"/>
  <c r="D419" i="5"/>
  <c r="D420" i="5"/>
  <c r="C420" i="5"/>
  <c r="C421" i="5"/>
  <c r="D421" i="5"/>
  <c r="D422" i="5"/>
  <c r="C422" i="5"/>
  <c r="D423" i="5"/>
  <c r="C423" i="5"/>
  <c r="C424" i="5"/>
  <c r="D424" i="5"/>
  <c r="C425" i="5"/>
  <c r="D425" i="5"/>
  <c r="C426" i="5"/>
  <c r="D426" i="5"/>
  <c r="C427" i="5"/>
  <c r="D427" i="5"/>
  <c r="D428" i="5"/>
  <c r="C428" i="5"/>
  <c r="D429" i="5"/>
  <c r="C429" i="5"/>
  <c r="C430" i="5"/>
  <c r="D430" i="5"/>
  <c r="C431" i="5"/>
  <c r="D431" i="5"/>
  <c r="C432" i="5"/>
  <c r="D432" i="5"/>
  <c r="D433" i="5"/>
  <c r="C433" i="5"/>
  <c r="D434" i="5"/>
  <c r="C434" i="5"/>
  <c r="C435" i="5"/>
  <c r="D435" i="5"/>
  <c r="D436" i="5"/>
  <c r="C436" i="5"/>
  <c r="C437" i="5"/>
  <c r="D437" i="5"/>
  <c r="C438" i="5"/>
  <c r="D438" i="5"/>
  <c r="D439" i="5"/>
  <c r="C439" i="5"/>
  <c r="C440" i="5"/>
  <c r="D440" i="5"/>
  <c r="D441" i="5"/>
  <c r="C441" i="5"/>
  <c r="D442" i="5"/>
  <c r="C442" i="5"/>
  <c r="C443" i="5"/>
  <c r="D443" i="5"/>
  <c r="D444" i="5"/>
  <c r="C444" i="5"/>
  <c r="C445" i="5"/>
  <c r="D445" i="5"/>
  <c r="D446" i="5"/>
  <c r="C446" i="5"/>
  <c r="D447" i="5"/>
  <c r="C447" i="5"/>
  <c r="D448" i="5"/>
  <c r="C448" i="5"/>
  <c r="C449" i="5"/>
  <c r="D449" i="5"/>
  <c r="D450" i="5"/>
  <c r="C450" i="5"/>
  <c r="D451" i="5"/>
  <c r="C451" i="5"/>
  <c r="D452" i="5"/>
  <c r="C452" i="5"/>
  <c r="D453" i="5"/>
  <c r="C453" i="5"/>
  <c r="D454" i="5"/>
  <c r="C454" i="5"/>
  <c r="D455" i="5"/>
  <c r="C455" i="5"/>
  <c r="D456" i="5"/>
  <c r="C456" i="5"/>
  <c r="D457" i="5"/>
  <c r="C457" i="5"/>
  <c r="C458" i="5"/>
  <c r="D458" i="5"/>
  <c r="C459" i="5"/>
  <c r="D459" i="5"/>
  <c r="C460" i="5"/>
  <c r="D460" i="5"/>
  <c r="C461" i="5"/>
  <c r="D461" i="5"/>
  <c r="C462" i="5"/>
  <c r="D462" i="5"/>
  <c r="C463" i="5"/>
  <c r="D463" i="5"/>
  <c r="C464" i="5"/>
  <c r="D464" i="5"/>
  <c r="C465" i="5"/>
  <c r="D465" i="5"/>
  <c r="C466" i="5"/>
  <c r="D466" i="5"/>
  <c r="C467" i="5"/>
  <c r="D467" i="5"/>
  <c r="C468" i="5"/>
  <c r="D468" i="5"/>
  <c r="C469" i="5"/>
  <c r="D469" i="5"/>
  <c r="C470" i="5"/>
  <c r="D470" i="5"/>
  <c r="C471" i="5"/>
  <c r="D471" i="5"/>
  <c r="C472" i="5"/>
  <c r="D472" i="5"/>
  <c r="C473" i="5"/>
  <c r="D473" i="5"/>
  <c r="C474" i="5"/>
  <c r="D474" i="5"/>
  <c r="C475" i="5"/>
  <c r="D475" i="5"/>
  <c r="C476" i="5"/>
  <c r="D476" i="5"/>
  <c r="D477" i="5"/>
  <c r="C477" i="5"/>
  <c r="C478" i="5"/>
  <c r="D478" i="5"/>
  <c r="D479" i="5"/>
  <c r="C479" i="5"/>
  <c r="C480" i="5"/>
  <c r="D480" i="5"/>
  <c r="D481" i="5"/>
  <c r="C481" i="5"/>
  <c r="C482" i="5"/>
  <c r="D482" i="5"/>
  <c r="D483" i="5"/>
  <c r="C483" i="5"/>
  <c r="C484" i="5"/>
  <c r="D484" i="5"/>
  <c r="C485" i="5"/>
  <c r="D485" i="5"/>
  <c r="D486" i="5"/>
  <c r="C486" i="5"/>
  <c r="D487" i="5"/>
  <c r="C487" i="5"/>
  <c r="D488" i="5"/>
  <c r="C488" i="5"/>
  <c r="D489" i="5"/>
  <c r="C489" i="5"/>
  <c r="D490" i="5"/>
  <c r="C490" i="5"/>
  <c r="C491" i="5"/>
  <c r="D491" i="5"/>
  <c r="D492" i="5"/>
  <c r="C492" i="5"/>
  <c r="C493" i="5"/>
  <c r="D493"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D81" i="2"/>
  <c r="I6" i="6" l="1"/>
  <c r="D3" i="5"/>
  <c r="F85" i="5" s="1"/>
  <c r="L10" i="2"/>
  <c r="F328" i="5"/>
  <c r="F446" i="5"/>
  <c r="F408" i="5"/>
  <c r="F247" i="5"/>
  <c r="F152" i="5"/>
  <c r="F71" i="5"/>
  <c r="F95" i="5"/>
  <c r="F63" i="5"/>
  <c r="F91" i="5"/>
  <c r="F456" i="5"/>
  <c r="F76" i="5"/>
  <c r="F479" i="5"/>
  <c r="F342" i="5"/>
  <c r="F136" i="5"/>
  <c r="F230" i="5"/>
  <c r="F245" i="5"/>
  <c r="F405" i="5"/>
  <c r="F243" i="5"/>
  <c r="F389" i="5"/>
  <c r="F423" i="5"/>
  <c r="F270" i="5"/>
  <c r="F447" i="5"/>
  <c r="F208" i="5"/>
  <c r="F434" i="5"/>
  <c r="F196" i="5"/>
  <c r="F350" i="5"/>
  <c r="F314" i="5"/>
  <c r="F346" i="5"/>
  <c r="F306" i="5"/>
  <c r="F177" i="5"/>
  <c r="F100" i="5"/>
  <c r="F278" i="5"/>
  <c r="F178" i="5"/>
  <c r="F229" i="5"/>
  <c r="F138" i="5"/>
  <c r="F224" i="5"/>
  <c r="F351" i="5"/>
  <c r="F58" i="5"/>
  <c r="F103" i="5"/>
  <c r="F241" i="5"/>
  <c r="F43" i="5"/>
  <c r="F334" i="5"/>
  <c r="F102" i="5"/>
  <c r="F176" i="5"/>
  <c r="F20" i="5"/>
  <c r="F313" i="5"/>
  <c r="F62" i="5"/>
  <c r="F21" i="5"/>
  <c r="F213" i="5"/>
  <c r="F352" i="5"/>
  <c r="F156" i="5"/>
  <c r="F60" i="5"/>
  <c r="F304" i="5"/>
  <c r="F410" i="5"/>
  <c r="F121" i="5"/>
  <c r="F316" i="5"/>
  <c r="F436" i="5"/>
  <c r="F487" i="5"/>
  <c r="F125" i="5"/>
  <c r="F276" i="5"/>
  <c r="F372" i="5"/>
  <c r="F466" i="5"/>
  <c r="F173" i="5"/>
  <c r="F164" i="5"/>
  <c r="F258" i="5"/>
  <c r="F65" i="5"/>
  <c r="F413" i="5"/>
  <c r="F56" i="5"/>
  <c r="F206" i="5"/>
  <c r="F33" i="5"/>
  <c r="F294" i="5"/>
  <c r="F146" i="5"/>
  <c r="F336" i="5"/>
  <c r="F195" i="5"/>
  <c r="F305" i="5"/>
  <c r="F193" i="5"/>
  <c r="F340" i="5"/>
  <c r="F448" i="5"/>
  <c r="F327" i="5"/>
  <c r="F295" i="5"/>
  <c r="F489" i="5"/>
  <c r="F368" i="5"/>
  <c r="F472" i="5"/>
  <c r="F311" i="5"/>
  <c r="F244" i="5"/>
  <c r="F92" i="5"/>
  <c r="F416" i="5"/>
  <c r="F411" i="5"/>
  <c r="F383" i="5"/>
  <c r="F254" i="5"/>
  <c r="F57" i="5"/>
  <c r="F407" i="5"/>
  <c r="F379" i="5"/>
  <c r="F250" i="5"/>
  <c r="F78" i="5"/>
  <c r="F145" i="5"/>
  <c r="F470" i="5"/>
  <c r="F335" i="5"/>
  <c r="F307" i="5"/>
  <c r="F190" i="5"/>
  <c r="F105" i="5"/>
  <c r="F36" i="5"/>
  <c r="F475" i="5"/>
  <c r="F242" i="5"/>
  <c r="F348" i="5"/>
  <c r="F253" i="5"/>
  <c r="F77" i="5"/>
  <c r="F44" i="5"/>
  <c r="F202" i="5"/>
  <c r="F161" i="5"/>
  <c r="F345" i="5"/>
  <c r="F452" i="5"/>
  <c r="F207" i="5"/>
  <c r="F255" i="5"/>
  <c r="F134" i="5"/>
  <c r="F97" i="5"/>
  <c r="F482" i="5"/>
  <c r="F203" i="5"/>
  <c r="F320" i="5"/>
  <c r="F464" i="5"/>
  <c r="F116" i="5"/>
  <c r="F347" i="5"/>
  <c r="F319" i="5"/>
  <c r="F198" i="5"/>
  <c r="F38" i="5"/>
  <c r="F99" i="5"/>
  <c r="F169" i="5"/>
  <c r="F239" i="5"/>
  <c r="F360" i="5"/>
  <c r="F315" i="5"/>
  <c r="F312" i="5"/>
  <c r="F27" i="5"/>
  <c r="F363" i="5"/>
  <c r="F299" i="5"/>
  <c r="F459" i="5"/>
  <c r="F380" i="5"/>
  <c r="F478" i="5"/>
  <c r="F403" i="5"/>
  <c r="F73" i="5"/>
  <c r="F88" i="5"/>
  <c r="F273" i="5"/>
  <c r="F158" i="5"/>
  <c r="F377" i="5"/>
  <c r="F267" i="5"/>
  <c r="F17" i="5"/>
  <c r="F175" i="5"/>
  <c r="F302" i="5"/>
  <c r="F339" i="5"/>
  <c r="F75" i="5"/>
  <c r="F223" i="5"/>
  <c r="F170" i="5"/>
  <c r="F109" i="5"/>
  <c r="F132" i="5"/>
  <c r="F135" i="5"/>
  <c r="F296" i="5"/>
  <c r="F376" i="5"/>
  <c r="F235" i="5"/>
  <c r="D8" i="5"/>
  <c r="D10" i="5" s="1"/>
  <c r="F388" i="5"/>
  <c r="F119" i="5"/>
  <c r="F139" i="5"/>
  <c r="F451" i="5"/>
  <c r="F67" i="5"/>
  <c r="F492" i="5"/>
  <c r="F86" i="5"/>
  <c r="F283" i="5"/>
  <c r="F384" i="5"/>
  <c r="F469" i="5"/>
  <c r="F454" i="5"/>
  <c r="F457" i="5"/>
  <c r="F194" i="5"/>
  <c r="F263" i="5"/>
  <c r="F437" i="5"/>
  <c r="F318" i="5"/>
  <c r="F66" i="5"/>
  <c r="F130" i="5"/>
  <c r="F122" i="5"/>
  <c r="F274" i="5"/>
  <c r="F427" i="5"/>
  <c r="F326" i="5"/>
  <c r="F74" i="5"/>
  <c r="F473" i="5"/>
  <c r="F404" i="5"/>
  <c r="F409" i="5"/>
  <c r="F474" i="5"/>
  <c r="F480" i="5"/>
  <c r="F381" i="5"/>
  <c r="F490" i="5"/>
  <c r="F154" i="5"/>
  <c r="F192" i="5"/>
  <c r="F227" i="5"/>
  <c r="F29" i="5"/>
  <c r="F94" i="5"/>
  <c r="F433" i="5"/>
  <c r="F137" i="5"/>
  <c r="F50" i="5"/>
  <c r="F366" i="5"/>
  <c r="F159" i="5"/>
  <c r="F114" i="5"/>
  <c r="F309" i="5"/>
  <c r="F191" i="5"/>
  <c r="F486" i="5"/>
  <c r="F321" i="5"/>
  <c r="F493" i="5"/>
  <c r="F275" i="5"/>
  <c r="F61" i="5"/>
  <c r="F343" i="5"/>
  <c r="F110" i="5"/>
  <c r="F204" i="5"/>
  <c r="F476" i="5"/>
  <c r="F143" i="5"/>
  <c r="F81" i="5"/>
  <c r="F265" i="5"/>
  <c r="F25" i="5"/>
  <c r="F113" i="5"/>
  <c r="F218" i="5"/>
  <c r="F93" i="5"/>
  <c r="F35" i="5"/>
  <c r="F324" i="5"/>
  <c r="F47" i="5"/>
  <c r="F157" i="5"/>
  <c r="F441" i="5"/>
  <c r="F131" i="5"/>
  <c r="F364" i="5"/>
  <c r="F400" i="5"/>
  <c r="F31" i="5"/>
  <c r="F172" i="5"/>
  <c r="F216" i="5"/>
  <c r="F217" i="5"/>
  <c r="F272" i="5"/>
  <c r="F163" i="5"/>
  <c r="F271" i="5"/>
  <c r="F422" i="5"/>
  <c r="F329" i="5"/>
  <c r="F322" i="5"/>
  <c r="F257" i="5"/>
  <c r="F72" i="5"/>
  <c r="F481" i="5"/>
  <c r="F390" i="5"/>
  <c r="F197" i="5"/>
  <c r="F108" i="5"/>
  <c r="F344" i="5"/>
  <c r="F180" i="5"/>
  <c r="F96" i="5"/>
  <c r="F101" i="5"/>
  <c r="F297" i="5"/>
  <c r="F168" i="5"/>
  <c r="F353" i="5"/>
  <c r="F16" i="5"/>
  <c r="F68" i="5"/>
  <c r="F359" i="5"/>
  <c r="F79" i="5"/>
  <c r="F179" i="5"/>
  <c r="F292" i="5"/>
  <c r="F419" i="5"/>
  <c r="F51" i="5"/>
  <c r="F150" i="5"/>
  <c r="F30" i="5"/>
  <c r="C12" i="4"/>
  <c r="C14" i="4" s="1"/>
  <c r="C15" i="4" s="1"/>
  <c r="C16" i="4"/>
  <c r="L11" i="2"/>
  <c r="L12" i="2" s="1"/>
  <c r="L14" i="2" s="1"/>
  <c r="L15" i="2" s="1"/>
  <c r="D4" i="5"/>
  <c r="D95" i="2"/>
  <c r="F123" i="5" l="1"/>
  <c r="F397" i="5"/>
  <c r="F48" i="5"/>
  <c r="F453" i="5"/>
  <c r="F471" i="5"/>
  <c r="F428" i="5"/>
  <c r="F124" i="5"/>
  <c r="F236" i="5"/>
  <c r="F429" i="5"/>
  <c r="F393" i="5"/>
  <c r="F279" i="5"/>
  <c r="F220" i="5"/>
  <c r="F287" i="5"/>
  <c r="F435" i="5"/>
  <c r="F23" i="5"/>
  <c r="F455" i="5"/>
  <c r="F285" i="5"/>
  <c r="F144" i="5"/>
  <c r="F325" i="5"/>
  <c r="F256" i="5"/>
  <c r="F228" i="5"/>
  <c r="F55" i="5"/>
  <c r="F39" i="5"/>
  <c r="F52" i="5"/>
  <c r="F465" i="5"/>
  <c r="F184" i="5"/>
  <c r="F120" i="5"/>
  <c r="F402" i="5"/>
  <c r="F181" i="5"/>
  <c r="F142" i="5"/>
  <c r="F165" i="5"/>
  <c r="F358" i="5"/>
  <c r="F148" i="5"/>
  <c r="F398" i="5"/>
  <c r="F140" i="5"/>
  <c r="F188" i="5"/>
  <c r="F392" i="5"/>
  <c r="F418" i="5"/>
  <c r="F90" i="5"/>
  <c r="F370" i="5"/>
  <c r="F460" i="5"/>
  <c r="F200" i="5"/>
  <c r="F259" i="5"/>
  <c r="F365" i="5"/>
  <c r="F266" i="5"/>
  <c r="F26" i="5"/>
  <c r="F53" i="5"/>
  <c r="F420" i="5"/>
  <c r="F374" i="5"/>
  <c r="F357" i="5"/>
  <c r="F126" i="5"/>
  <c r="F162" i="5"/>
  <c r="F382" i="5"/>
  <c r="F450" i="5"/>
  <c r="F332" i="5"/>
  <c r="F249" i="5"/>
  <c r="F37" i="5"/>
  <c r="F431" i="5"/>
  <c r="F251" i="5"/>
  <c r="F70" i="5"/>
  <c r="F117" i="5"/>
  <c r="F214" i="5"/>
  <c r="F440" i="5"/>
  <c r="F222" i="5"/>
  <c r="F449" i="5"/>
  <c r="F424" i="5"/>
  <c r="F331" i="5"/>
  <c r="F483" i="5"/>
  <c r="F15" i="5"/>
  <c r="F84" i="5"/>
  <c r="F458" i="5"/>
  <c r="F432" i="5"/>
  <c r="F107" i="5"/>
  <c r="F171" i="5"/>
  <c r="F356" i="5"/>
  <c r="F426" i="5"/>
  <c r="F288" i="5"/>
  <c r="F189" i="5"/>
  <c r="F186" i="5"/>
  <c r="F386" i="5"/>
  <c r="F369" i="5"/>
  <c r="F24" i="5"/>
  <c r="F281" i="5"/>
  <c r="F484" i="5"/>
  <c r="F212" i="5"/>
  <c r="F412" i="5"/>
  <c r="F378" i="5"/>
  <c r="F210" i="5"/>
  <c r="F118" i="5"/>
  <c r="F391" i="5"/>
  <c r="F399" i="5"/>
  <c r="F337" i="5"/>
  <c r="F280" i="5"/>
  <c r="F215" i="5"/>
  <c r="F141" i="5"/>
  <c r="F349" i="5"/>
  <c r="F261" i="5"/>
  <c r="F69" i="5"/>
  <c r="F211" i="5"/>
  <c r="F367" i="5"/>
  <c r="F289" i="5"/>
  <c r="F333" i="5"/>
  <c r="F104" i="5"/>
  <c r="F32" i="5"/>
  <c r="F262" i="5"/>
  <c r="F129" i="5"/>
  <c r="F248" i="5"/>
  <c r="F246" i="5"/>
  <c r="F182" i="5"/>
  <c r="F290" i="5"/>
  <c r="F232" i="5"/>
  <c r="F355" i="5"/>
  <c r="F477" i="5"/>
  <c r="F133" i="5"/>
  <c r="F185" i="5"/>
  <c r="F461" i="5"/>
  <c r="F80" i="5"/>
  <c r="F406" i="5"/>
  <c r="F341" i="5"/>
  <c r="F260" i="5"/>
  <c r="F284" i="5"/>
  <c r="F414" i="5"/>
  <c r="F240" i="5"/>
  <c r="F221" i="5"/>
  <c r="F187" i="5"/>
  <c r="F149" i="5"/>
  <c r="F467" i="5"/>
  <c r="F83" i="5"/>
  <c r="F354" i="5"/>
  <c r="F277" i="5"/>
  <c r="F46" i="5"/>
  <c r="F401" i="5"/>
  <c r="F22" i="5"/>
  <c r="F375" i="5"/>
  <c r="F286" i="5"/>
  <c r="F443" i="5"/>
  <c r="F371" i="5"/>
  <c r="F387" i="5"/>
  <c r="F291" i="5"/>
  <c r="F298" i="5"/>
  <c r="F19" i="5"/>
  <c r="F361" i="5"/>
  <c r="F430" i="5"/>
  <c r="F293" i="5"/>
  <c r="F201" i="5"/>
  <c r="F98" i="5"/>
  <c r="F234" i="5"/>
  <c r="F269" i="5"/>
  <c r="F49" i="5"/>
  <c r="F237" i="5"/>
  <c r="F488" i="5"/>
  <c r="F238" i="5"/>
  <c r="F42" i="5"/>
  <c r="F153" i="5"/>
  <c r="F87" i="5"/>
  <c r="F34" i="5"/>
  <c r="F155" i="5"/>
  <c r="F128" i="5"/>
  <c r="F231" i="5"/>
  <c r="F106" i="5"/>
  <c r="F64" i="5"/>
  <c r="F300" i="5"/>
  <c r="F183" i="5"/>
  <c r="F205" i="5"/>
  <c r="F268" i="5"/>
  <c r="F415" i="5"/>
  <c r="F225" i="5"/>
  <c r="F417" i="5"/>
  <c r="F18" i="5"/>
  <c r="F226" i="5"/>
  <c r="F485" i="5"/>
  <c r="F166" i="5"/>
  <c r="F54" i="5"/>
  <c r="F396" i="5"/>
  <c r="F394" i="5"/>
  <c r="F317" i="5"/>
  <c r="F219" i="5"/>
  <c r="F199" i="5"/>
  <c r="F373" i="5"/>
  <c r="F41" i="5"/>
  <c r="F40" i="5"/>
  <c r="F421" i="5"/>
  <c r="F303" i="5"/>
  <c r="F115" i="5"/>
  <c r="F14" i="5"/>
  <c r="G14" i="5" s="1"/>
  <c r="H14" i="5" s="1"/>
  <c r="F45" i="5"/>
  <c r="F82" i="5"/>
  <c r="F445" i="5"/>
  <c r="F174" i="5"/>
  <c r="F147" i="5"/>
  <c r="F468" i="5"/>
  <c r="F111" i="5"/>
  <c r="F395" i="5"/>
  <c r="F439" i="5"/>
  <c r="F491" i="5"/>
  <c r="F462" i="5"/>
  <c r="F438" i="5"/>
  <c r="F301" i="5"/>
  <c r="F385" i="5"/>
  <c r="F442" i="5"/>
  <c r="F264" i="5"/>
  <c r="F252" i="5"/>
  <c r="F28" i="5"/>
  <c r="F89" i="5"/>
  <c r="F167" i="5"/>
  <c r="F463" i="5"/>
  <c r="F282" i="5"/>
  <c r="F233" i="5"/>
  <c r="F362" i="5"/>
  <c r="F425" i="5"/>
  <c r="F310" i="5"/>
  <c r="F323" i="5"/>
  <c r="F338" i="5"/>
  <c r="F59" i="5"/>
  <c r="F151" i="5"/>
  <c r="F127" i="5"/>
  <c r="F112" i="5"/>
  <c r="F308" i="5"/>
  <c r="F160" i="5"/>
  <c r="F444" i="5"/>
  <c r="F209" i="5"/>
  <c r="F330" i="5"/>
  <c r="S1" i="2"/>
  <c r="D88" i="2"/>
  <c r="D82" i="2"/>
  <c r="D84" i="2"/>
  <c r="G15" i="5" l="1"/>
  <c r="H15" i="5" s="1"/>
  <c r="E15" i="2"/>
  <c r="F15" i="2"/>
  <c r="G16" i="5" l="1"/>
  <c r="H16" i="5"/>
  <c r="G17" i="5"/>
  <c r="F22" i="2"/>
  <c r="F27" i="2"/>
  <c r="F31" i="2"/>
  <c r="F42" i="2"/>
  <c r="F37" i="2"/>
  <c r="F53" i="2"/>
  <c r="F36" i="2"/>
  <c r="F38" i="2"/>
  <c r="F39" i="2"/>
  <c r="F50" i="2"/>
  <c r="F23" i="2"/>
  <c r="F40" i="2"/>
  <c r="F44" i="2"/>
  <c r="F24" i="2"/>
  <c r="F19" i="2"/>
  <c r="F41" i="2"/>
  <c r="F20" i="2"/>
  <c r="F46" i="2"/>
  <c r="F52" i="2"/>
  <c r="F54" i="2"/>
  <c r="F47" i="2"/>
  <c r="F34" i="2"/>
  <c r="F33" i="2"/>
  <c r="F17" i="2"/>
  <c r="F51" i="2"/>
  <c r="F55" i="2"/>
  <c r="F26" i="2"/>
  <c r="F29" i="2"/>
  <c r="F28" i="2"/>
  <c r="F30" i="2"/>
  <c r="F43" i="2"/>
  <c r="F18" i="2"/>
  <c r="F48" i="2"/>
  <c r="F45" i="2"/>
  <c r="F21" i="2"/>
  <c r="F25" i="2"/>
  <c r="F32" i="2"/>
  <c r="F35" i="2"/>
  <c r="F56" i="2"/>
  <c r="F49" i="2"/>
  <c r="E34" i="2"/>
  <c r="E43" i="2"/>
  <c r="E31" i="2"/>
  <c r="E29" i="2"/>
  <c r="E35" i="2"/>
  <c r="E46" i="2"/>
  <c r="E42" i="2"/>
  <c r="E24" i="2"/>
  <c r="E47" i="2"/>
  <c r="E56" i="2"/>
  <c r="E21" i="2"/>
  <c r="E48" i="2"/>
  <c r="E33" i="2"/>
  <c r="E28" i="2"/>
  <c r="E49" i="2"/>
  <c r="E25" i="2"/>
  <c r="E52" i="2"/>
  <c r="E55" i="2"/>
  <c r="E51" i="2"/>
  <c r="E30" i="2"/>
  <c r="E44" i="2"/>
  <c r="E39" i="2"/>
  <c r="E38" i="2"/>
  <c r="E23" i="2"/>
  <c r="E45" i="2"/>
  <c r="E18" i="2"/>
  <c r="E41" i="2"/>
  <c r="E22" i="2"/>
  <c r="E19" i="2"/>
  <c r="E37" i="2"/>
  <c r="E20" i="2"/>
  <c r="E26" i="2"/>
  <c r="E27" i="2"/>
  <c r="E36" i="2"/>
  <c r="E54" i="2"/>
  <c r="E17" i="2"/>
  <c r="E50" i="2"/>
  <c r="E53" i="2"/>
  <c r="E32" i="2"/>
  <c r="E40" i="2"/>
  <c r="G32" i="2" l="1"/>
  <c r="H32" i="2" s="1"/>
  <c r="I32" i="2" s="1"/>
  <c r="G49" i="2"/>
  <c r="H49" i="2" s="1"/>
  <c r="I49" i="2" s="1"/>
  <c r="G17" i="2"/>
  <c r="H17" i="2" s="1"/>
  <c r="I17" i="2" s="1"/>
  <c r="G18" i="2"/>
  <c r="H18" i="2" s="1"/>
  <c r="I18" i="2" s="1"/>
  <c r="G34" i="2"/>
  <c r="H34" i="2" s="1"/>
  <c r="I34" i="2" s="1"/>
  <c r="G24" i="2"/>
  <c r="H24" i="2" s="1"/>
  <c r="I24" i="2" s="1"/>
  <c r="G47" i="2"/>
  <c r="H47" i="2" s="1"/>
  <c r="I47" i="2" s="1"/>
  <c r="G25" i="2"/>
  <c r="H25" i="2" s="1"/>
  <c r="I25" i="2" s="1"/>
  <c r="G42" i="2"/>
  <c r="H42" i="2" s="1"/>
  <c r="I42" i="2" s="1"/>
  <c r="G45" i="2"/>
  <c r="H45" i="2" s="1"/>
  <c r="I45" i="2" s="1"/>
  <c r="G41" i="2"/>
  <c r="H41" i="2" s="1"/>
  <c r="I41" i="2" s="1"/>
  <c r="G38" i="2"/>
  <c r="H38" i="2" s="1"/>
  <c r="I38" i="2" s="1"/>
  <c r="H17" i="5"/>
  <c r="G18" i="5"/>
  <c r="G56" i="2"/>
  <c r="H56" i="2" s="1"/>
  <c r="I56" i="2" s="1"/>
  <c r="G43" i="2"/>
  <c r="H43" i="2" s="1"/>
  <c r="I43" i="2" s="1"/>
  <c r="G36" i="2"/>
  <c r="H36" i="2" s="1"/>
  <c r="I36" i="2" s="1"/>
  <c r="G33" i="2"/>
  <c r="H33" i="2" s="1"/>
  <c r="I33" i="2" s="1"/>
  <c r="G35" i="2"/>
  <c r="H35" i="2" s="1"/>
  <c r="I35" i="2" s="1"/>
  <c r="G44" i="2"/>
  <c r="H44" i="2" s="1"/>
  <c r="I44" i="2" s="1"/>
  <c r="G37" i="2"/>
  <c r="H37" i="2" s="1"/>
  <c r="I37" i="2" s="1"/>
  <c r="G19" i="2"/>
  <c r="H19" i="2" s="1"/>
  <c r="I19" i="2" s="1"/>
  <c r="G30" i="2"/>
  <c r="H30" i="2" s="1"/>
  <c r="I30" i="2" s="1"/>
  <c r="G29" i="2"/>
  <c r="H29" i="2" s="1"/>
  <c r="I29" i="2" s="1"/>
  <c r="G54" i="2"/>
  <c r="H54" i="2" s="1"/>
  <c r="I54" i="2" s="1"/>
  <c r="G40" i="2"/>
  <c r="H40" i="2" s="1"/>
  <c r="I40" i="2" s="1"/>
  <c r="G21" i="2"/>
  <c r="H21" i="2" s="1"/>
  <c r="I21" i="2" s="1"/>
  <c r="G26" i="2"/>
  <c r="H26" i="2" s="1"/>
  <c r="I26" i="2" s="1"/>
  <c r="G52" i="2"/>
  <c r="H52" i="2" s="1"/>
  <c r="I52" i="2" s="1"/>
  <c r="G23" i="2"/>
  <c r="H23" i="2" s="1"/>
  <c r="I23" i="2" s="1"/>
  <c r="G31" i="2"/>
  <c r="H31" i="2" s="1"/>
  <c r="I31" i="2" s="1"/>
  <c r="G53" i="2"/>
  <c r="H53" i="2" s="1"/>
  <c r="I53" i="2" s="1"/>
  <c r="G28" i="2"/>
  <c r="H28" i="2" s="1"/>
  <c r="I28" i="2" s="1"/>
  <c r="G55" i="2"/>
  <c r="H55" i="2" s="1"/>
  <c r="I55" i="2" s="1"/>
  <c r="G46" i="2"/>
  <c r="H46" i="2" s="1"/>
  <c r="I46" i="2" s="1"/>
  <c r="G50" i="2"/>
  <c r="H50" i="2" s="1"/>
  <c r="I50" i="2" s="1"/>
  <c r="G27" i="2"/>
  <c r="H27" i="2" s="1"/>
  <c r="I27" i="2" s="1"/>
  <c r="G48" i="2"/>
  <c r="H48" i="2" s="1"/>
  <c r="I48" i="2" s="1"/>
  <c r="G51" i="2"/>
  <c r="H51" i="2" s="1"/>
  <c r="I51" i="2" s="1"/>
  <c r="G20" i="2"/>
  <c r="H20" i="2" s="1"/>
  <c r="I20" i="2" s="1"/>
  <c r="G39" i="2"/>
  <c r="H39" i="2" s="1"/>
  <c r="I39" i="2" s="1"/>
  <c r="G22" i="2"/>
  <c r="H22" i="2" s="1"/>
  <c r="I22" i="2" s="1"/>
  <c r="H18" i="5" l="1"/>
  <c r="G19" i="5"/>
  <c r="H19" i="5" l="1"/>
  <c r="G20" i="5"/>
  <c r="G21" i="5" l="1"/>
  <c r="H20" i="5"/>
  <c r="H21" i="5" l="1"/>
  <c r="G22" i="5"/>
  <c r="H22" i="5" l="1"/>
  <c r="G23" i="5"/>
  <c r="H23" i="5" l="1"/>
  <c r="G24" i="5"/>
  <c r="G25" i="5" l="1"/>
  <c r="H24" i="5"/>
  <c r="H25" i="5" l="1"/>
  <c r="G26" i="5"/>
  <c r="H26" i="5" l="1"/>
  <c r="G27" i="5"/>
  <c r="H27" i="5" l="1"/>
  <c r="G28" i="5"/>
  <c r="H28" i="5" l="1"/>
  <c r="G29" i="5"/>
  <c r="G30" i="5" l="1"/>
  <c r="H29" i="5"/>
  <c r="H30" i="5" l="1"/>
  <c r="G31" i="5"/>
  <c r="H31" i="5" l="1"/>
  <c r="G32" i="5"/>
  <c r="H32" i="5" l="1"/>
  <c r="G33" i="5"/>
  <c r="H33" i="5" l="1"/>
  <c r="G34" i="5"/>
  <c r="H34" i="5" l="1"/>
  <c r="G35" i="5"/>
  <c r="G36" i="5" l="1"/>
  <c r="H35" i="5"/>
  <c r="H36" i="5" l="1"/>
  <c r="G37" i="5"/>
  <c r="H37" i="5" l="1"/>
  <c r="G38" i="5"/>
  <c r="H38" i="5" l="1"/>
  <c r="G39" i="5"/>
  <c r="H39" i="5" l="1"/>
  <c r="G40" i="5"/>
  <c r="H40" i="5" l="1"/>
  <c r="G41" i="5"/>
  <c r="H41" i="5" l="1"/>
  <c r="G42" i="5"/>
  <c r="H42" i="5" l="1"/>
  <c r="G43" i="5"/>
  <c r="H43" i="5" l="1"/>
  <c r="G44" i="5"/>
  <c r="H44" i="5" l="1"/>
  <c r="G45" i="5"/>
  <c r="H45" i="5" l="1"/>
  <c r="G46" i="5"/>
  <c r="H46" i="5" l="1"/>
  <c r="G47" i="5"/>
  <c r="H47" i="5" l="1"/>
  <c r="G48" i="5"/>
  <c r="H48" i="5" l="1"/>
  <c r="G49" i="5"/>
  <c r="H49" i="5" l="1"/>
  <c r="G50" i="5"/>
  <c r="G51" i="5" l="1"/>
  <c r="H50" i="5"/>
  <c r="H51" i="5" l="1"/>
  <c r="G52" i="5"/>
  <c r="H52" i="5" l="1"/>
  <c r="G53" i="5"/>
  <c r="H53" i="5" l="1"/>
  <c r="G54" i="5"/>
  <c r="H54" i="5" l="1"/>
  <c r="G55" i="5"/>
  <c r="H55" i="5" l="1"/>
  <c r="G56" i="5"/>
  <c r="G57" i="5" l="1"/>
  <c r="H56" i="5"/>
  <c r="H57" i="5" l="1"/>
  <c r="G58" i="5"/>
  <c r="H58" i="5" l="1"/>
  <c r="G59" i="5"/>
  <c r="H59" i="5" l="1"/>
  <c r="G60" i="5"/>
  <c r="H60" i="5" l="1"/>
  <c r="G61" i="5"/>
  <c r="H61" i="5" l="1"/>
  <c r="G62" i="5"/>
  <c r="H62" i="5" l="1"/>
  <c r="G63" i="5"/>
  <c r="H63" i="5" l="1"/>
  <c r="G64" i="5"/>
  <c r="H64" i="5" l="1"/>
  <c r="G65" i="5"/>
  <c r="H65" i="5" l="1"/>
  <c r="G66" i="5"/>
  <c r="H66" i="5" l="1"/>
  <c r="G67" i="5"/>
  <c r="G68" i="5" l="1"/>
  <c r="H67" i="5"/>
  <c r="H68" i="5" l="1"/>
  <c r="G69" i="5"/>
  <c r="G70" i="5" l="1"/>
  <c r="H69" i="5"/>
  <c r="H70" i="5" l="1"/>
  <c r="G71" i="5"/>
  <c r="G72" i="5" l="1"/>
  <c r="H71" i="5"/>
  <c r="G73" i="5" l="1"/>
  <c r="H72" i="5"/>
  <c r="H73" i="5" l="1"/>
  <c r="G74" i="5"/>
  <c r="H74" i="5" l="1"/>
  <c r="G75" i="5"/>
  <c r="H75" i="5" l="1"/>
  <c r="G76" i="5"/>
  <c r="H76" i="5" l="1"/>
  <c r="G77" i="5"/>
  <c r="H77" i="5" l="1"/>
  <c r="G78" i="5"/>
  <c r="H78" i="5" l="1"/>
  <c r="G79" i="5"/>
  <c r="H79" i="5" l="1"/>
  <c r="G80" i="5"/>
  <c r="H80" i="5" l="1"/>
  <c r="G81" i="5"/>
  <c r="H81" i="5" l="1"/>
  <c r="G82" i="5"/>
  <c r="H82" i="5" l="1"/>
  <c r="G83" i="5"/>
  <c r="G84" i="5" l="1"/>
  <c r="H83" i="5"/>
  <c r="H84" i="5" l="1"/>
  <c r="G85" i="5"/>
  <c r="H85" i="5" l="1"/>
  <c r="G86" i="5"/>
  <c r="H86" i="5" l="1"/>
  <c r="G87" i="5"/>
  <c r="H87" i="5" l="1"/>
  <c r="G88" i="5"/>
  <c r="G89" i="5" l="1"/>
  <c r="H88" i="5"/>
  <c r="H89" i="5" l="1"/>
  <c r="G90" i="5"/>
  <c r="H90" i="5" l="1"/>
  <c r="G91" i="5"/>
  <c r="H91" i="5" l="1"/>
  <c r="G92" i="5"/>
  <c r="H92" i="5" l="1"/>
  <c r="G93" i="5"/>
  <c r="H93" i="5" l="1"/>
  <c r="G94" i="5"/>
  <c r="G95" i="5" l="1"/>
  <c r="H94" i="5"/>
  <c r="H95" i="5" l="1"/>
  <c r="G96" i="5"/>
  <c r="H96" i="5" l="1"/>
  <c r="G97" i="5"/>
  <c r="H97" i="5" l="1"/>
  <c r="G98" i="5"/>
  <c r="G99" i="5" l="1"/>
  <c r="H98" i="5"/>
  <c r="H99" i="5" l="1"/>
  <c r="G100" i="5"/>
  <c r="G101" i="5" l="1"/>
  <c r="H100" i="5"/>
  <c r="H101" i="5" l="1"/>
  <c r="G102" i="5"/>
  <c r="H102" i="5" l="1"/>
  <c r="G103" i="5"/>
  <c r="H103" i="5" l="1"/>
  <c r="G104" i="5"/>
  <c r="G105" i="5" l="1"/>
  <c r="H104" i="5"/>
  <c r="H105" i="5" l="1"/>
  <c r="G106" i="5"/>
  <c r="G107" i="5" l="1"/>
  <c r="H106" i="5"/>
  <c r="H107" i="5" l="1"/>
  <c r="G108" i="5"/>
  <c r="H108" i="5" l="1"/>
  <c r="G109" i="5"/>
  <c r="H109" i="5" l="1"/>
  <c r="G110" i="5"/>
  <c r="G111" i="5" l="1"/>
  <c r="H110" i="5"/>
  <c r="H111" i="5" l="1"/>
  <c r="G112" i="5"/>
  <c r="G113" i="5" l="1"/>
  <c r="H112" i="5"/>
  <c r="H113" i="5" l="1"/>
  <c r="G114" i="5"/>
  <c r="G115" i="5" l="1"/>
  <c r="H114" i="5"/>
  <c r="H115" i="5" l="1"/>
  <c r="G116" i="5"/>
  <c r="H116" i="5" l="1"/>
  <c r="G117" i="5"/>
  <c r="H117" i="5" l="1"/>
  <c r="G118" i="5"/>
  <c r="H118" i="5" l="1"/>
  <c r="G119" i="5"/>
  <c r="H119" i="5" l="1"/>
  <c r="G120" i="5"/>
  <c r="H120" i="5" l="1"/>
  <c r="G121" i="5"/>
  <c r="H121" i="5" l="1"/>
  <c r="G122" i="5"/>
  <c r="H122" i="5" l="1"/>
  <c r="G123" i="5"/>
  <c r="H123" i="5" l="1"/>
  <c r="G124" i="5"/>
  <c r="H124" i="5" l="1"/>
  <c r="G125" i="5"/>
  <c r="H125" i="5" l="1"/>
  <c r="G126" i="5"/>
  <c r="H126" i="5" l="1"/>
  <c r="G127" i="5"/>
  <c r="G128" i="5" l="1"/>
  <c r="H127" i="5"/>
  <c r="G129" i="5" l="1"/>
  <c r="H128" i="5"/>
  <c r="H129" i="5" l="1"/>
  <c r="G130" i="5"/>
  <c r="H130" i="5" l="1"/>
  <c r="G131" i="5"/>
  <c r="H131" i="5" l="1"/>
  <c r="G132" i="5"/>
  <c r="H132" i="5" l="1"/>
  <c r="G133" i="5"/>
  <c r="H133" i="5" l="1"/>
  <c r="G134" i="5"/>
  <c r="H134" i="5" l="1"/>
  <c r="G135" i="5"/>
  <c r="H135" i="5" l="1"/>
  <c r="G136" i="5"/>
  <c r="H136" i="5" l="1"/>
  <c r="G137" i="5"/>
  <c r="H137" i="5" l="1"/>
  <c r="G138" i="5"/>
  <c r="H138" i="5" l="1"/>
  <c r="G139" i="5"/>
  <c r="G140" i="5" l="1"/>
  <c r="H139" i="5"/>
  <c r="H140" i="5" l="1"/>
  <c r="G141" i="5"/>
  <c r="H141" i="5" l="1"/>
  <c r="G142" i="5"/>
  <c r="G143" i="5" l="1"/>
  <c r="H142" i="5"/>
  <c r="G144" i="5" l="1"/>
  <c r="H143" i="5"/>
  <c r="H144" i="5" l="1"/>
  <c r="G145" i="5"/>
  <c r="H145" i="5" l="1"/>
  <c r="G146" i="5"/>
  <c r="G147" i="5" l="1"/>
  <c r="H146" i="5"/>
  <c r="H147" i="5" l="1"/>
  <c r="G148" i="5"/>
  <c r="H148" i="5" l="1"/>
  <c r="G149" i="5"/>
  <c r="H149" i="5" l="1"/>
  <c r="G150" i="5"/>
  <c r="H150" i="5" l="1"/>
  <c r="G151" i="5"/>
  <c r="H151" i="5" l="1"/>
  <c r="G152" i="5"/>
  <c r="H152" i="5" l="1"/>
  <c r="G153" i="5"/>
  <c r="H153" i="5" l="1"/>
  <c r="G154" i="5"/>
  <c r="H154" i="5" l="1"/>
  <c r="G155" i="5"/>
  <c r="G156" i="5" l="1"/>
  <c r="H155" i="5"/>
  <c r="G157" i="5" l="1"/>
  <c r="H156" i="5"/>
  <c r="H157" i="5" l="1"/>
  <c r="G158" i="5"/>
  <c r="H158" i="5" l="1"/>
  <c r="G159" i="5"/>
  <c r="H159" i="5" l="1"/>
  <c r="G160" i="5"/>
  <c r="H160" i="5" l="1"/>
  <c r="G161" i="5"/>
  <c r="H161" i="5" l="1"/>
  <c r="G162" i="5"/>
  <c r="H162" i="5" l="1"/>
  <c r="G163" i="5"/>
  <c r="H163" i="5" l="1"/>
  <c r="G164" i="5"/>
  <c r="H164" i="5" l="1"/>
  <c r="G165" i="5"/>
  <c r="H165" i="5" l="1"/>
  <c r="G166" i="5"/>
  <c r="H166" i="5" l="1"/>
  <c r="G167" i="5"/>
  <c r="G168" i="5" l="1"/>
  <c r="H167" i="5"/>
  <c r="H168" i="5" l="1"/>
  <c r="G169" i="5"/>
  <c r="H169" i="5" l="1"/>
  <c r="G170" i="5"/>
  <c r="H170" i="5" l="1"/>
  <c r="G171" i="5"/>
  <c r="G172" i="5" l="1"/>
  <c r="H171" i="5"/>
  <c r="H172" i="5" l="1"/>
  <c r="G173" i="5"/>
  <c r="G174" i="5" l="1"/>
  <c r="H173" i="5"/>
  <c r="H174" i="5" l="1"/>
  <c r="G175" i="5"/>
  <c r="H175" i="5" l="1"/>
  <c r="G176" i="5"/>
  <c r="H176" i="5" l="1"/>
  <c r="G177" i="5"/>
  <c r="H177" i="5" l="1"/>
  <c r="G178" i="5"/>
  <c r="H178" i="5" l="1"/>
  <c r="G179" i="5"/>
  <c r="G180" i="5" l="1"/>
  <c r="H179" i="5"/>
  <c r="H180" i="5" l="1"/>
  <c r="G181" i="5"/>
  <c r="G182" i="5" l="1"/>
  <c r="H181" i="5"/>
  <c r="H182" i="5" l="1"/>
  <c r="G183" i="5"/>
  <c r="H183" i="5" l="1"/>
  <c r="G184" i="5"/>
  <c r="H184" i="5" l="1"/>
  <c r="G185" i="5"/>
  <c r="H185" i="5" l="1"/>
  <c r="G186" i="5"/>
  <c r="G187" i="5" l="1"/>
  <c r="H186" i="5"/>
  <c r="H187" i="5" l="1"/>
  <c r="G188" i="5"/>
  <c r="H188" i="5" l="1"/>
  <c r="G189" i="5"/>
  <c r="H189" i="5" l="1"/>
  <c r="G190" i="5"/>
  <c r="H190" i="5" l="1"/>
  <c r="G191" i="5"/>
  <c r="H191" i="5" l="1"/>
  <c r="G192" i="5"/>
  <c r="H192" i="5" l="1"/>
  <c r="G193" i="5"/>
  <c r="H193" i="5" l="1"/>
  <c r="G194" i="5"/>
  <c r="H194" i="5" l="1"/>
  <c r="G195" i="5"/>
  <c r="H195" i="5" l="1"/>
  <c r="G196" i="5"/>
  <c r="H196" i="5" l="1"/>
  <c r="G197" i="5"/>
  <c r="H197" i="5" l="1"/>
  <c r="G198" i="5"/>
  <c r="H198" i="5" l="1"/>
  <c r="G199" i="5"/>
  <c r="G200" i="5" l="1"/>
  <c r="H199" i="5"/>
  <c r="G201" i="5" l="1"/>
  <c r="H200" i="5"/>
  <c r="H201" i="5" l="1"/>
  <c r="G202" i="5"/>
  <c r="H202" i="5" l="1"/>
  <c r="G203" i="5"/>
  <c r="H203" i="5" l="1"/>
  <c r="G204" i="5"/>
  <c r="H204" i="5" l="1"/>
  <c r="G205" i="5"/>
  <c r="H205" i="5" l="1"/>
  <c r="G206" i="5"/>
  <c r="H206" i="5" l="1"/>
  <c r="G207" i="5"/>
  <c r="G208" i="5" l="1"/>
  <c r="H207" i="5"/>
  <c r="H208" i="5" l="1"/>
  <c r="G209" i="5"/>
  <c r="H209" i="5" l="1"/>
  <c r="G210" i="5"/>
  <c r="H210" i="5" l="1"/>
  <c r="G211" i="5"/>
  <c r="H211" i="5" l="1"/>
  <c r="G212" i="5"/>
  <c r="G213" i="5" l="1"/>
  <c r="H212" i="5"/>
  <c r="G214" i="5" l="1"/>
  <c r="H213" i="5"/>
  <c r="H214" i="5" l="1"/>
  <c r="G215" i="5"/>
  <c r="G216" i="5" l="1"/>
  <c r="H215" i="5"/>
  <c r="G217" i="5" l="1"/>
  <c r="H216" i="5"/>
  <c r="H217" i="5" l="1"/>
  <c r="G218" i="5"/>
  <c r="H218" i="5" l="1"/>
  <c r="G219" i="5"/>
  <c r="H219" i="5" l="1"/>
  <c r="G220" i="5"/>
  <c r="H220" i="5" l="1"/>
  <c r="G221" i="5"/>
  <c r="H221" i="5" l="1"/>
  <c r="G222" i="5"/>
  <c r="H222" i="5" l="1"/>
  <c r="G223" i="5"/>
  <c r="H223" i="5" l="1"/>
  <c r="G224" i="5"/>
  <c r="G225" i="5" l="1"/>
  <c r="H224" i="5"/>
  <c r="H225" i="5" l="1"/>
  <c r="G226" i="5"/>
  <c r="G227" i="5" l="1"/>
  <c r="H226" i="5"/>
  <c r="H227" i="5" l="1"/>
  <c r="G228" i="5"/>
  <c r="G229" i="5" l="1"/>
  <c r="H228" i="5"/>
  <c r="G230" i="5" l="1"/>
  <c r="H229" i="5"/>
  <c r="G231" i="5" l="1"/>
  <c r="H230" i="5"/>
  <c r="H231" i="5" l="1"/>
  <c r="G232" i="5"/>
  <c r="H232" i="5" l="1"/>
  <c r="G233" i="5"/>
  <c r="H233" i="5" l="1"/>
  <c r="G234" i="5"/>
  <c r="G235" i="5" l="1"/>
  <c r="H234" i="5"/>
  <c r="G236" i="5" l="1"/>
  <c r="H235" i="5"/>
  <c r="H236" i="5" l="1"/>
  <c r="G237" i="5"/>
  <c r="G238" i="5" l="1"/>
  <c r="H237" i="5"/>
  <c r="G239" i="5" l="1"/>
  <c r="H238" i="5"/>
  <c r="H239" i="5" l="1"/>
  <c r="G240" i="5"/>
  <c r="H240" i="5" l="1"/>
  <c r="G241" i="5"/>
  <c r="H241" i="5" l="1"/>
  <c r="G242" i="5"/>
  <c r="G243" i="5" l="1"/>
  <c r="H242" i="5"/>
  <c r="G244" i="5" l="1"/>
  <c r="H243" i="5"/>
  <c r="G245" i="5" l="1"/>
  <c r="H244" i="5"/>
  <c r="G246" i="5" l="1"/>
  <c r="H245" i="5"/>
  <c r="H246" i="5" l="1"/>
  <c r="G247" i="5"/>
  <c r="H247" i="5" l="1"/>
  <c r="G248" i="5"/>
  <c r="H248" i="5" l="1"/>
  <c r="G249" i="5"/>
  <c r="G250" i="5" l="1"/>
  <c r="H249" i="5"/>
  <c r="H250" i="5" l="1"/>
  <c r="G251" i="5"/>
  <c r="H251" i="5" l="1"/>
  <c r="G252" i="5"/>
  <c r="H252" i="5" l="1"/>
  <c r="G253" i="5"/>
  <c r="H253" i="5" l="1"/>
  <c r="G254" i="5"/>
  <c r="G255" i="5" l="1"/>
  <c r="H254" i="5"/>
  <c r="H255" i="5" l="1"/>
  <c r="G256" i="5"/>
  <c r="G257" i="5" l="1"/>
  <c r="H256" i="5"/>
  <c r="H257" i="5" l="1"/>
  <c r="G258" i="5"/>
  <c r="G259" i="5" l="1"/>
  <c r="H258" i="5"/>
  <c r="G260" i="5" l="1"/>
  <c r="H259" i="5"/>
  <c r="G261" i="5" l="1"/>
  <c r="H260" i="5"/>
  <c r="H261" i="5" l="1"/>
  <c r="G262" i="5"/>
  <c r="H262" i="5" l="1"/>
  <c r="G263" i="5"/>
  <c r="H263" i="5" l="1"/>
  <c r="G264" i="5"/>
  <c r="H264" i="5" l="1"/>
  <c r="G265" i="5"/>
  <c r="H265" i="5" l="1"/>
  <c r="G266" i="5"/>
  <c r="H266" i="5" l="1"/>
  <c r="G267" i="5"/>
  <c r="G268" i="5" l="1"/>
  <c r="H267" i="5"/>
  <c r="H268" i="5" l="1"/>
  <c r="G269" i="5"/>
  <c r="G270" i="5" l="1"/>
  <c r="H269" i="5"/>
  <c r="G271" i="5" l="1"/>
  <c r="H270" i="5"/>
  <c r="G272" i="5" l="1"/>
  <c r="H271" i="5"/>
  <c r="G273" i="5" l="1"/>
  <c r="H272" i="5"/>
  <c r="H273" i="5" l="1"/>
  <c r="G274" i="5"/>
  <c r="G275" i="5" l="1"/>
  <c r="H274" i="5"/>
  <c r="G276" i="5" l="1"/>
  <c r="H275" i="5"/>
  <c r="H276" i="5" l="1"/>
  <c r="G277" i="5"/>
  <c r="H277" i="5" l="1"/>
  <c r="G278" i="5"/>
  <c r="H278" i="5" l="1"/>
  <c r="G279" i="5"/>
  <c r="G280" i="5" l="1"/>
  <c r="H279" i="5"/>
  <c r="H280" i="5" l="1"/>
  <c r="G281" i="5"/>
  <c r="H281" i="5" l="1"/>
  <c r="G282" i="5"/>
  <c r="H282" i="5" l="1"/>
  <c r="G283" i="5"/>
  <c r="G284" i="5" l="1"/>
  <c r="H283" i="5"/>
  <c r="G285" i="5" l="1"/>
  <c r="H284" i="5"/>
  <c r="H285" i="5" l="1"/>
  <c r="G286" i="5"/>
  <c r="H286" i="5" l="1"/>
  <c r="G287" i="5"/>
  <c r="H287" i="5" l="1"/>
  <c r="G288" i="5"/>
  <c r="H288" i="5" l="1"/>
  <c r="G289" i="5"/>
  <c r="H289" i="5" l="1"/>
  <c r="G290" i="5"/>
  <c r="H290" i="5" l="1"/>
  <c r="G291" i="5"/>
  <c r="G292" i="5" l="1"/>
  <c r="H291" i="5"/>
  <c r="G293" i="5" l="1"/>
  <c r="H292" i="5"/>
  <c r="H293" i="5" l="1"/>
  <c r="G294" i="5"/>
  <c r="H294" i="5" l="1"/>
  <c r="G295" i="5"/>
  <c r="H295" i="5" l="1"/>
  <c r="G296" i="5"/>
  <c r="G297" i="5" l="1"/>
  <c r="H296" i="5"/>
  <c r="H297" i="5" l="1"/>
  <c r="G298" i="5"/>
  <c r="G299" i="5" l="1"/>
  <c r="H298" i="5"/>
  <c r="H299" i="5" l="1"/>
  <c r="G300" i="5"/>
  <c r="G301" i="5" l="1"/>
  <c r="H300" i="5"/>
  <c r="H301" i="5" l="1"/>
  <c r="G302" i="5"/>
  <c r="H302" i="5" l="1"/>
  <c r="G303" i="5"/>
  <c r="H303" i="5" l="1"/>
  <c r="G304" i="5"/>
  <c r="G305" i="5" l="1"/>
  <c r="H304" i="5"/>
  <c r="H305" i="5" l="1"/>
  <c r="G306" i="5"/>
  <c r="H306" i="5" l="1"/>
  <c r="G307" i="5"/>
  <c r="H307" i="5" l="1"/>
  <c r="G308" i="5"/>
  <c r="H308" i="5" l="1"/>
  <c r="G309" i="5"/>
  <c r="H309" i="5" l="1"/>
  <c r="G310" i="5"/>
  <c r="H310" i="5" l="1"/>
  <c r="G311" i="5"/>
  <c r="H311" i="5" l="1"/>
  <c r="G312" i="5"/>
  <c r="H312" i="5" l="1"/>
  <c r="G313" i="5"/>
  <c r="H313" i="5" l="1"/>
  <c r="G314" i="5"/>
  <c r="H314" i="5" l="1"/>
  <c r="G315" i="5"/>
  <c r="H315" i="5" l="1"/>
  <c r="G316" i="5"/>
  <c r="H316" i="5" l="1"/>
  <c r="G317" i="5"/>
  <c r="H317" i="5" l="1"/>
  <c r="G318" i="5"/>
  <c r="H318" i="5" l="1"/>
  <c r="G319" i="5"/>
  <c r="H319" i="5" l="1"/>
  <c r="G320" i="5"/>
  <c r="H320" i="5" l="1"/>
  <c r="G321" i="5"/>
  <c r="H321" i="5" l="1"/>
  <c r="G322" i="5"/>
  <c r="G323" i="5" l="1"/>
  <c r="H322" i="5"/>
  <c r="H323" i="5" l="1"/>
  <c r="G324" i="5"/>
  <c r="H324" i="5" l="1"/>
  <c r="G325" i="5"/>
  <c r="H325" i="5" l="1"/>
  <c r="G326" i="5"/>
  <c r="H326" i="5" l="1"/>
  <c r="G327" i="5"/>
  <c r="H327" i="5" l="1"/>
  <c r="G328" i="5"/>
  <c r="H328" i="5" l="1"/>
  <c r="G329" i="5"/>
  <c r="H329" i="5" l="1"/>
  <c r="G330" i="5"/>
  <c r="G331" i="5" l="1"/>
  <c r="H330" i="5"/>
  <c r="G332" i="5" l="1"/>
  <c r="H331" i="5"/>
  <c r="H332" i="5" l="1"/>
  <c r="G333" i="5"/>
  <c r="H333" i="5" l="1"/>
  <c r="G334" i="5"/>
  <c r="H334" i="5" l="1"/>
  <c r="G335" i="5"/>
  <c r="H335" i="5" l="1"/>
  <c r="G336" i="5"/>
  <c r="H336" i="5" l="1"/>
  <c r="G337" i="5"/>
  <c r="H337" i="5" l="1"/>
  <c r="G338" i="5"/>
  <c r="H338" i="5" l="1"/>
  <c r="G339" i="5"/>
  <c r="H339" i="5" l="1"/>
  <c r="G340" i="5"/>
  <c r="H340" i="5" l="1"/>
  <c r="G341" i="5"/>
  <c r="H341" i="5" l="1"/>
  <c r="G342" i="5"/>
  <c r="G343" i="5" l="1"/>
  <c r="H342" i="5"/>
  <c r="G344" i="5" l="1"/>
  <c r="H343" i="5"/>
  <c r="H344" i="5" l="1"/>
  <c r="G345" i="5"/>
  <c r="H345" i="5" l="1"/>
  <c r="G346" i="5"/>
  <c r="H346" i="5" l="1"/>
  <c r="G347" i="5"/>
  <c r="G348" i="5" l="1"/>
  <c r="H347" i="5"/>
  <c r="H348" i="5" l="1"/>
  <c r="G349" i="5"/>
  <c r="H349" i="5" l="1"/>
  <c r="G350" i="5"/>
  <c r="H350" i="5" l="1"/>
  <c r="G351" i="5"/>
  <c r="H351" i="5" l="1"/>
  <c r="G352" i="5"/>
  <c r="H352" i="5" l="1"/>
  <c r="G353" i="5"/>
  <c r="H353" i="5" l="1"/>
  <c r="G354" i="5"/>
  <c r="H354" i="5" l="1"/>
  <c r="G355" i="5"/>
  <c r="H355" i="5" l="1"/>
  <c r="G356" i="5"/>
  <c r="H356" i="5" l="1"/>
  <c r="G357" i="5"/>
  <c r="H357" i="5" l="1"/>
  <c r="G358" i="5"/>
  <c r="H358" i="5" l="1"/>
  <c r="G359" i="5"/>
  <c r="H359" i="5" l="1"/>
  <c r="G360" i="5"/>
  <c r="H360" i="5" l="1"/>
  <c r="G361" i="5"/>
  <c r="G362" i="5" l="1"/>
  <c r="H361" i="5"/>
  <c r="H362" i="5" l="1"/>
  <c r="G363" i="5"/>
  <c r="H363" i="5" l="1"/>
  <c r="G364" i="5"/>
  <c r="H364" i="5" l="1"/>
  <c r="G365" i="5"/>
  <c r="H365" i="5" l="1"/>
  <c r="G366" i="5"/>
  <c r="H366" i="5" l="1"/>
  <c r="G367" i="5"/>
  <c r="H367" i="5" l="1"/>
  <c r="G368" i="5"/>
  <c r="H368" i="5" l="1"/>
  <c r="G369" i="5"/>
  <c r="H369" i="5" l="1"/>
  <c r="G370" i="5"/>
  <c r="G371" i="5" l="1"/>
  <c r="H370" i="5"/>
  <c r="H371" i="5" l="1"/>
  <c r="G372" i="5"/>
  <c r="H372" i="5" l="1"/>
  <c r="G373" i="5"/>
  <c r="H373" i="5" l="1"/>
  <c r="G374" i="5"/>
  <c r="H374" i="5" l="1"/>
  <c r="G375" i="5"/>
  <c r="H375" i="5" l="1"/>
  <c r="G376" i="5"/>
  <c r="H376" i="5" l="1"/>
  <c r="G377" i="5"/>
  <c r="G378" i="5" l="1"/>
  <c r="H377" i="5"/>
  <c r="G379" i="5" l="1"/>
  <c r="H378" i="5"/>
  <c r="H379" i="5" l="1"/>
  <c r="G380" i="5"/>
  <c r="H380" i="5" l="1"/>
  <c r="G381" i="5"/>
  <c r="H381" i="5" l="1"/>
  <c r="G382" i="5"/>
  <c r="H382" i="5" l="1"/>
  <c r="G383" i="5"/>
  <c r="G384" i="5" l="1"/>
  <c r="H383" i="5"/>
  <c r="G385" i="5" l="1"/>
  <c r="H384" i="5"/>
  <c r="H385" i="5" l="1"/>
  <c r="G386" i="5"/>
  <c r="H386" i="5" l="1"/>
  <c r="G387" i="5"/>
  <c r="G388" i="5" l="1"/>
  <c r="H387" i="5"/>
  <c r="H388" i="5" l="1"/>
  <c r="G389" i="5"/>
  <c r="H389" i="5" l="1"/>
  <c r="G390" i="5"/>
  <c r="H390" i="5" l="1"/>
  <c r="G391" i="5"/>
  <c r="G392" i="5" l="1"/>
  <c r="H391" i="5"/>
  <c r="H392" i="5" l="1"/>
  <c r="G393" i="5"/>
  <c r="H393" i="5" l="1"/>
  <c r="G394" i="5"/>
  <c r="G395" i="5" l="1"/>
  <c r="H394" i="5"/>
  <c r="G396" i="5" l="1"/>
  <c r="H395" i="5"/>
  <c r="G397" i="5" l="1"/>
  <c r="H396" i="5"/>
  <c r="G398" i="5" l="1"/>
  <c r="H397" i="5"/>
  <c r="G399" i="5" l="1"/>
  <c r="H398" i="5"/>
  <c r="G400" i="5" l="1"/>
  <c r="H399" i="5"/>
  <c r="H400" i="5" l="1"/>
  <c r="G401" i="5"/>
  <c r="H401" i="5" l="1"/>
  <c r="G402" i="5"/>
  <c r="H402" i="5" l="1"/>
  <c r="G403" i="5"/>
  <c r="H403" i="5" l="1"/>
  <c r="G404" i="5"/>
  <c r="H404" i="5" l="1"/>
  <c r="G405" i="5"/>
  <c r="H405" i="5" l="1"/>
  <c r="G406" i="5"/>
  <c r="H406" i="5" l="1"/>
  <c r="G407" i="5"/>
  <c r="H407" i="5" l="1"/>
  <c r="G408" i="5"/>
  <c r="H408" i="5" l="1"/>
  <c r="G409" i="5"/>
  <c r="G410" i="5" l="1"/>
  <c r="H409" i="5"/>
  <c r="H410" i="5" l="1"/>
  <c r="G411" i="5"/>
  <c r="G412" i="5" l="1"/>
  <c r="H411" i="5"/>
  <c r="H412" i="5" l="1"/>
  <c r="G413" i="5"/>
  <c r="H413" i="5" l="1"/>
  <c r="G414" i="5"/>
  <c r="H414" i="5" l="1"/>
  <c r="G415" i="5"/>
  <c r="H415" i="5" l="1"/>
  <c r="G416" i="5"/>
  <c r="H416" i="5" l="1"/>
  <c r="G417" i="5"/>
  <c r="H417" i="5" l="1"/>
  <c r="G418" i="5"/>
  <c r="H418" i="5" l="1"/>
  <c r="G419" i="5"/>
  <c r="H419" i="5" l="1"/>
  <c r="G420" i="5"/>
  <c r="G421" i="5" l="1"/>
  <c r="H420" i="5"/>
  <c r="G422" i="5" l="1"/>
  <c r="H421" i="5"/>
  <c r="G423" i="5" l="1"/>
  <c r="H422" i="5"/>
  <c r="H423" i="5" l="1"/>
  <c r="G424" i="5"/>
  <c r="H424" i="5" l="1"/>
  <c r="G425" i="5"/>
  <c r="H425" i="5" l="1"/>
  <c r="G426" i="5"/>
  <c r="G427" i="5" l="1"/>
  <c r="H426" i="5"/>
  <c r="H427" i="5" l="1"/>
  <c r="G428" i="5"/>
  <c r="H428" i="5" l="1"/>
  <c r="G429" i="5"/>
  <c r="H429" i="5" l="1"/>
  <c r="G430" i="5"/>
  <c r="H430" i="5" l="1"/>
  <c r="G431" i="5"/>
  <c r="H431" i="5" l="1"/>
  <c r="G432" i="5"/>
  <c r="H432" i="5" l="1"/>
  <c r="J11" i="5"/>
  <c r="G433" i="5"/>
  <c r="H433" i="5" l="1"/>
  <c r="G434" i="5"/>
  <c r="K11" i="5"/>
  <c r="L11" i="5"/>
  <c r="G435" i="5" l="1"/>
  <c r="H434" i="5"/>
  <c r="D76" i="2"/>
  <c r="D86" i="2"/>
  <c r="G436" i="5" l="1"/>
  <c r="H435" i="5"/>
  <c r="H436" i="5" l="1"/>
  <c r="G437" i="5"/>
  <c r="H437" i="5" l="1"/>
  <c r="G438" i="5"/>
  <c r="H438" i="5" l="1"/>
  <c r="G439" i="5"/>
  <c r="G440" i="5" l="1"/>
  <c r="H439" i="5"/>
  <c r="H440" i="5" l="1"/>
  <c r="G441" i="5"/>
  <c r="G442" i="5" l="1"/>
  <c r="H441" i="5"/>
  <c r="H442" i="5" l="1"/>
  <c r="G443" i="5"/>
  <c r="G444" i="5" l="1"/>
  <c r="H443" i="5"/>
  <c r="G445" i="5" l="1"/>
  <c r="H444" i="5"/>
  <c r="H445" i="5" l="1"/>
  <c r="G446" i="5"/>
  <c r="H446" i="5" l="1"/>
  <c r="G447" i="5"/>
  <c r="H447" i="5" l="1"/>
  <c r="G448" i="5"/>
  <c r="H448" i="5" l="1"/>
  <c r="G449" i="5"/>
  <c r="H449" i="5" l="1"/>
  <c r="G450" i="5"/>
  <c r="H450" i="5" l="1"/>
  <c r="G451" i="5"/>
  <c r="H451" i="5" l="1"/>
  <c r="G452" i="5"/>
  <c r="H452" i="5" l="1"/>
  <c r="G453" i="5"/>
  <c r="G454" i="5" l="1"/>
  <c r="H453" i="5"/>
  <c r="H454" i="5" l="1"/>
  <c r="G455" i="5"/>
  <c r="G456" i="5" l="1"/>
  <c r="H455" i="5"/>
  <c r="H456" i="5" l="1"/>
  <c r="G457" i="5"/>
  <c r="G458" i="5" l="1"/>
  <c r="H457" i="5"/>
  <c r="H458" i="5" l="1"/>
  <c r="G459" i="5"/>
  <c r="H459" i="5" l="1"/>
  <c r="G460" i="5"/>
  <c r="H460" i="5" l="1"/>
  <c r="G461" i="5"/>
  <c r="H461" i="5" l="1"/>
  <c r="G462" i="5"/>
  <c r="H462" i="5" l="1"/>
  <c r="G463" i="5"/>
  <c r="H463" i="5" l="1"/>
  <c r="G464" i="5"/>
  <c r="H464" i="5" l="1"/>
  <c r="G465" i="5"/>
  <c r="H465" i="5" l="1"/>
  <c r="G466" i="5"/>
  <c r="G467" i="5" l="1"/>
  <c r="H466" i="5"/>
  <c r="G468" i="5" l="1"/>
  <c r="H467" i="5"/>
  <c r="H468" i="5" l="1"/>
  <c r="G469" i="5"/>
  <c r="G470" i="5" l="1"/>
  <c r="H469" i="5"/>
  <c r="H470" i="5" l="1"/>
  <c r="G471" i="5"/>
  <c r="G472" i="5" l="1"/>
  <c r="H471" i="5"/>
  <c r="H472" i="5" l="1"/>
  <c r="G473" i="5"/>
  <c r="G474" i="5" l="1"/>
  <c r="H473" i="5"/>
  <c r="H474" i="5" l="1"/>
  <c r="G475" i="5"/>
  <c r="H475" i="5" l="1"/>
  <c r="G476" i="5"/>
  <c r="G477" i="5" l="1"/>
  <c r="H476" i="5"/>
  <c r="H477" i="5" l="1"/>
  <c r="G478" i="5"/>
  <c r="H478" i="5" l="1"/>
  <c r="G479" i="5"/>
  <c r="H479" i="5" l="1"/>
  <c r="G480" i="5"/>
  <c r="H480" i="5" l="1"/>
  <c r="G481" i="5"/>
  <c r="H481" i="5" l="1"/>
  <c r="G482" i="5"/>
  <c r="H482" i="5" l="1"/>
  <c r="G483" i="5"/>
  <c r="G484" i="5" l="1"/>
  <c r="H483" i="5"/>
  <c r="G485" i="5" l="1"/>
  <c r="H484" i="5"/>
  <c r="H485" i="5" l="1"/>
  <c r="G486" i="5"/>
  <c r="H486" i="5" l="1"/>
  <c r="G487" i="5"/>
  <c r="H487" i="5" l="1"/>
  <c r="G488" i="5"/>
  <c r="H488" i="5" l="1"/>
  <c r="G489" i="5"/>
  <c r="H489" i="5" l="1"/>
  <c r="G490" i="5"/>
  <c r="H490" i="5" l="1"/>
  <c r="G491" i="5"/>
  <c r="H491" i="5" l="1"/>
  <c r="G492" i="5"/>
  <c r="J10" i="5" l="1"/>
  <c r="G493" i="5"/>
  <c r="H493" i="5" s="1"/>
  <c r="H492" i="5"/>
  <c r="L10" i="5" l="1"/>
  <c r="K1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P166114</author>
  </authors>
  <commentList>
    <comment ref="B19" authorId="0" shapeId="0" xr:uid="{00000000-0006-0000-0400-000001000000}">
      <text>
        <r>
          <rPr>
            <b/>
            <sz val="9"/>
            <color indexed="81"/>
            <rFont val="Tahoma"/>
            <family val="2"/>
          </rPr>
          <t>P166114:</t>
        </r>
        <r>
          <rPr>
            <sz val="9"/>
            <color indexed="81"/>
            <rFont val="Tahoma"/>
            <family val="2"/>
          </rPr>
          <t xml:space="preserve">
con CYG 2 años menor
</t>
        </r>
      </text>
    </comment>
    <comment ref="B20" authorId="0" shapeId="0" xr:uid="{00000000-0006-0000-0400-000002000000}">
      <text>
        <r>
          <rPr>
            <b/>
            <sz val="9"/>
            <color indexed="81"/>
            <rFont val="Tahoma"/>
            <family val="2"/>
          </rPr>
          <t>P166114:</t>
        </r>
        <r>
          <rPr>
            <sz val="9"/>
            <color indexed="81"/>
            <rFont val="Tahoma"/>
            <family val="2"/>
          </rPr>
          <t xml:space="preserve">
con GYG 2 años mayor
</t>
        </r>
      </text>
    </comment>
  </commentList>
</comments>
</file>

<file path=xl/sharedStrings.xml><?xml version="1.0" encoding="utf-8"?>
<sst xmlns="http://schemas.openxmlformats.org/spreadsheetml/2006/main" count="160" uniqueCount="130">
  <si>
    <t>Rentabilidad Mensual</t>
  </si>
  <si>
    <t>Meses en un año</t>
  </si>
  <si>
    <t>Supuesto Rentabilidad Proyectada Nominial Anual</t>
  </si>
  <si>
    <t>Complete las celdas de este color</t>
  </si>
  <si>
    <t>Rentabilidades</t>
  </si>
  <si>
    <t>Sexo</t>
  </si>
  <si>
    <t>M</t>
  </si>
  <si>
    <t>F</t>
  </si>
  <si>
    <t>&gt;</t>
  </si>
  <si>
    <t>APV-B</t>
  </si>
  <si>
    <t>UF</t>
  </si>
  <si>
    <t>Tope imp</t>
  </si>
  <si>
    <t>Tope seg ces</t>
  </si>
  <si>
    <t>UTM</t>
  </si>
  <si>
    <t>Comisión afp</t>
  </si>
  <si>
    <t>sueldo bruto $</t>
  </si>
  <si>
    <t>sueldo bruto UF</t>
  </si>
  <si>
    <t>Suelod con dcto</t>
  </si>
  <si>
    <t>Sueldo trib</t>
  </si>
  <si>
    <t>sueldo líquido UF</t>
  </si>
  <si>
    <t>Sueldo liquido $</t>
  </si>
  <si>
    <t>Tasa Mg</t>
  </si>
  <si>
    <t xml:space="preserve">Rentabilidad proyectada real anual de </t>
  </si>
  <si>
    <t>Valor UF</t>
  </si>
  <si>
    <t>Sueldo Bruto</t>
  </si>
  <si>
    <t>$</t>
  </si>
  <si>
    <t>años</t>
  </si>
  <si>
    <t>*Simuladores son de uso exclusivo de Principal y/o sus Intermediarios.</t>
  </si>
  <si>
    <t>Utm</t>
  </si>
  <si>
    <t>*Habilite las macros, boton opciones en barra de herramientas superior.</t>
  </si>
  <si>
    <t xml:space="preserve">     * 57 bis de la LIR, </t>
  </si>
  <si>
    <t xml:space="preserve">     * 107 de la LIR, </t>
  </si>
  <si>
    <t xml:space="preserve">     * Seguros de Vida con Ahorro FFMM no Previsionales</t>
  </si>
  <si>
    <t>CONSOLIDACIÓN DEL BENEFICIO GLOBAL</t>
  </si>
  <si>
    <t>* Se obtiene como beneficio:</t>
  </si>
  <si>
    <t xml:space="preserve">     2. Mayor saldo futuro de aportes voluntarios APV-B al momento del retiro.</t>
  </si>
  <si>
    <t xml:space="preserve">     3. Mayor pensión futura producto de aportes voluntarios en APV-B.</t>
  </si>
  <si>
    <r>
      <t xml:space="preserve">* En definitiva, </t>
    </r>
    <r>
      <rPr>
        <b/>
        <sz val="12"/>
        <color indexed="56"/>
        <rFont val="Arial"/>
        <family val="2"/>
      </rPr>
      <t>hemos optimizado el ahorro a través del beneficio tributario del APV-B</t>
    </r>
    <r>
      <rPr>
        <sz val="12"/>
        <color indexed="56"/>
        <rFont val="Arial"/>
        <family val="2"/>
      </rPr>
      <t>.</t>
    </r>
  </si>
  <si>
    <t>* Con lo cual se Optimiza el Ahorro a través de Beneficios Tributarios.</t>
  </si>
  <si>
    <t xml:space="preserve">     4. Incremento del ahorro voluntario no previsional, al ahorrar el monto aportado por el Estado, vía beneficio tributario 57 bis LIR, 107 LIR, Seguros con Ahorro o Régimen General.</t>
  </si>
  <si>
    <t>Plan de Ahorro Sistemático en APV-B y su impacto en la Pensión</t>
  </si>
  <si>
    <t xml:space="preserve">Explicación Resultados </t>
  </si>
  <si>
    <t>Años de ahorro</t>
  </si>
  <si>
    <t>edad de jubilación</t>
  </si>
  <si>
    <t>Sueldo bruto</t>
  </si>
  <si>
    <t>AFP</t>
  </si>
  <si>
    <t>Tope imponible</t>
  </si>
  <si>
    <t>% cesantía</t>
  </si>
  <si>
    <t>años de ahorro</t>
  </si>
  <si>
    <t>rentab men</t>
  </si>
  <si>
    <t>año</t>
  </si>
  <si>
    <t>mes</t>
  </si>
  <si>
    <t>aporte neto</t>
  </si>
  <si>
    <t>IRR</t>
  </si>
  <si>
    <t>Sueldo</t>
  </si>
  <si>
    <t>cotización</t>
  </si>
  <si>
    <t>acum</t>
  </si>
  <si>
    <t>Ahorro acum</t>
  </si>
  <si>
    <t>acum UF</t>
  </si>
  <si>
    <t>Fecha de Nacimiento</t>
  </si>
  <si>
    <t>años de ahorro ablig</t>
  </si>
  <si>
    <t>“Esta simulación se ha Preparado teniendo como base la información entregada por el Cliente y en consideración a los objetivos de inversión de éste y no debe ser entendido en ningún caso como un pronóstico cierto ni como una proyección de rentabilidad.  Los valores de de las cuotas de fondos mutuos son variables”.    </t>
  </si>
  <si>
    <t>Disclaimers</t>
  </si>
  <si>
    <t>REALIZA APV-B</t>
  </si>
  <si>
    <t>NO REALIZA APV-B</t>
  </si>
  <si>
    <t>* Logramos que Usted ahorre voluntariamente.</t>
  </si>
  <si>
    <t xml:space="preserve">     1. Rebaja de su base tributable, con el consiguiente aporte del Estado al ahorro.</t>
  </si>
  <si>
    <t xml:space="preserve">     5. Mayor ingreso futuro, producto de aportes voluntarios en otros beneficios tributarios (57 bis de la LIR, 107 de la LIR, Seguros de Vida con Ahorro FFMM no Previsionales, FFMM Régimen General).</t>
  </si>
  <si>
    <t>“La simulación no contempla cambios en la remuneración bruta durante la vida laboral, por lo que se utiliza para todo el período la remuneración entregada por el cliente”.</t>
  </si>
  <si>
    <t>"Para acceder al Beneficio de Disminución de la Base Imponible, el trabajador debe manifestar su voluntad de acogerse al  régimen tributario b) de APV establecido en el artículo 20L del D.L. 3500 de 1980 (Ahorro antess de Impuestos). Una proporción entre el 5% y 40% del monto de ahorro realizado es financiada por el Estado en la forma de un menor pago de impuestos (el trabajador se acoge a los beneficios tributarios contemplados en el artículo 42 bis de la Ley de Impuesto a la Renta). Los retiros que no estén destinados a anticipar o mejorar la pensión, estarán afectos a un impuesto único que se calculará de acuerdo a lo establecido en el artículo 42 bis Nº 3 de la Ley de Renta".</t>
  </si>
  <si>
    <t>Monto DC</t>
  </si>
  <si>
    <t>Duración PAC, Depósito Convenido</t>
  </si>
  <si>
    <t>Total Ahorro DC y Beneficio Tributario</t>
  </si>
  <si>
    <t>Aumento de Pensión, por Ahorro DC</t>
  </si>
  <si>
    <t>Plan de Ahorro Unico Mensual en Depósito Convenido y su impacto en la Pensión</t>
  </si>
  <si>
    <t>Ahorro Mensual DC (UF)</t>
  </si>
  <si>
    <t>tope_imponible_mensual</t>
  </si>
  <si>
    <t>tasa_dcto_AFP</t>
  </si>
  <si>
    <t>tope_imponible_mensual_cot_cesantia</t>
  </si>
  <si>
    <t>tasa_dcto_Salud</t>
  </si>
  <si>
    <t>cotizacion_cesantia</t>
  </si>
  <si>
    <t>*porcentaje sobre imponible</t>
  </si>
  <si>
    <t>tasa_com_AFP</t>
  </si>
  <si>
    <t>tope_APVB_mensual</t>
  </si>
  <si>
    <t>tope_DC_mensual</t>
  </si>
  <si>
    <t>tasa_imp</t>
  </si>
  <si>
    <t>Cambios Realizados</t>
  </si>
  <si>
    <t>Hoja Antecedentes</t>
  </si>
  <si>
    <t>Celda D6</t>
  </si>
  <si>
    <t>Se especifica que es un monto en pesos, mensual</t>
  </si>
  <si>
    <t>Monto de ahorro en DC mensual ($)</t>
  </si>
  <si>
    <t>1)</t>
  </si>
  <si>
    <t>2)</t>
  </si>
  <si>
    <t>3)</t>
  </si>
  <si>
    <t>Se elimina Macro y Botón "APV-A"</t>
  </si>
  <si>
    <t>Se cambia nombre de botón "APV-B" por "Depósito Convenido Períodico Mensual"</t>
  </si>
  <si>
    <t>Hoja APV-A</t>
  </si>
  <si>
    <t>Es eliminada</t>
  </si>
  <si>
    <t>Hoja APV-B</t>
  </si>
  <si>
    <t>Se cambia el nombre a : Depósito convenido Mensual</t>
  </si>
  <si>
    <t>Se cambia el título (E7:I7)</t>
  </si>
  <si>
    <t>4)</t>
  </si>
  <si>
    <t>Se le agrega un validador para montos mayores al tope legal para depósitos convenidos (75 UF mensuales). El validador funciona en torno a la celda I6, que calcula las 75 UF en pesos</t>
  </si>
  <si>
    <t xml:space="preserve">5) </t>
  </si>
  <si>
    <t>Se arregla la macro (no estaba funcionando originalmente)</t>
  </si>
  <si>
    <t>Se cambia las formulas originalmente planteadas por Francisco Calvo en las celdas E15 y F15</t>
  </si>
  <si>
    <t>Las fórmulas que tenía la planilla de Francisco Calvo eran</t>
  </si>
  <si>
    <t>E15</t>
  </si>
  <si>
    <t>F15</t>
  </si>
  <si>
    <t>Fueron cambiadas por</t>
  </si>
  <si>
    <t>En formulación, las expresiones son idénticas.-</t>
  </si>
  <si>
    <t>Beneficio Tributario DC (UF)</t>
  </si>
  <si>
    <t>Simulador solicitado por Francisco Calvo en Agosto 2013 / Cambios realizados sobre la versión del simulador de APV (# 15).</t>
  </si>
  <si>
    <t>* Simulación de una inversión periódica mensual en base a rentabilidad supuesta real anual</t>
  </si>
  <si>
    <t>Control de Cambios por Camila Paniagua 05/12/2013</t>
  </si>
  <si>
    <t>1)  Se cambió la palabra nominal por real en el supuesto de la fila 58 de la hoja Deposito Convenido Mensual</t>
  </si>
  <si>
    <t>2) Se eliminó el supuesto de CNU (fila 63 y 64 de la hoja Deposito Convenido Mensual)</t>
  </si>
  <si>
    <t>3) Se agregó un mensaje que dice "Actualizado a "Mes" de "Año"" en la fila 8 de la hoja Deposito Convenido Mensual (Actualizar mes)</t>
  </si>
  <si>
    <t>Por Camila Paniagua 23-12-2013</t>
  </si>
  <si>
    <t>Por Camila Paniagua 02/04/2014</t>
  </si>
  <si>
    <t>4) Se actualizaron los CNU para una mujer de 60 años con cónyuge dos años mayor y para un hombre de 65 años con cónyuge dos años menor</t>
  </si>
  <si>
    <t>5) Se agregó un supuesto de CNU en las filas 63 y 64 de la hoja Deposito Convenido Mensual</t>
  </si>
  <si>
    <t>Fecha de Nacimiento (DD/MM/AA)</t>
  </si>
  <si>
    <t>CNU hombre 65</t>
  </si>
  <si>
    <t>CNU mujer 60</t>
  </si>
  <si>
    <t>Valor UTM</t>
  </si>
  <si>
    <t>Mes</t>
  </si>
  <si>
    <t>Actualizado a Julio 2025</t>
  </si>
  <si>
    <t>Junio</t>
  </si>
  <si>
    <t>Julio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</si>
</sst>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00_-;\-* #,##0.00_-;_-* &quot;-&quot;??_-;_-@_-"/>
    <numFmt numFmtId="165" formatCode="_-&quot;$&quot;\ * #,##0.00_-;\-&quot;$&quot;\ * #,##0.00_-;_-&quot;$&quot;\ * &quot;-&quot;??_-;_-@_-"/>
    <numFmt numFmtId="166" formatCode="_(&quot;$&quot;* #,##0.00_);_(&quot;$&quot;* \(#,##0.00\);_(&quot;$&quot;* &quot;-&quot;??_);_(@_)"/>
    <numFmt numFmtId="167" formatCode="0.0%"/>
    <numFmt numFmtId="168" formatCode="0.0000%"/>
    <numFmt numFmtId="169" formatCode="&quot;$&quot;\ #,##0"/>
    <numFmt numFmtId="170" formatCode="_-&quot;$&quot;\ * #,##0_-;\-&quot;$&quot;\ * #,##0_-;_-&quot;$&quot;\ * &quot;-&quot;??_-;_-@_-"/>
    <numFmt numFmtId="171" formatCode="0.0"/>
    <numFmt numFmtId="172" formatCode="0.000"/>
    <numFmt numFmtId="173" formatCode="_(&quot;$&quot;* #,##0_);_(&quot;$&quot;* \(#,##0\);_(&quot;$&quot;* &quot;-&quot;??_);_(@_)"/>
    <numFmt numFmtId="174" formatCode="_-* #,##0_-;\-* #,##0_-;_-* &quot;-&quot;??_-;_-@_-"/>
    <numFmt numFmtId="175" formatCode="_(&quot;$&quot;* #,##0.000_);_(&quot;$&quot;* \(#,##0.000\);_(&quot;$&quot;* &quot;-&quot;???_);_(@_)"/>
    <numFmt numFmtId="176" formatCode="0.000%"/>
    <numFmt numFmtId="177" formatCode="&quot;$&quot;#,##0"/>
  </numFmts>
  <fonts count="42" x14ac:knownFonts="1">
    <font>
      <sz val="10"/>
      <name val="Arial"/>
    </font>
    <font>
      <sz val="8"/>
      <name val="Arial"/>
      <family val="2"/>
    </font>
    <font>
      <sz val="10"/>
      <name val="Arial"/>
      <family val="2"/>
    </font>
    <font>
      <b/>
      <sz val="12"/>
      <name val="Arial"/>
      <family val="2"/>
    </font>
    <font>
      <b/>
      <sz val="12"/>
      <color indexed="8"/>
      <name val="Arial"/>
      <family val="2"/>
    </font>
    <font>
      <sz val="10"/>
      <name val="Arial"/>
      <family val="2"/>
    </font>
    <font>
      <b/>
      <sz val="12"/>
      <color indexed="56"/>
      <name val="Arial"/>
      <family val="2"/>
    </font>
    <font>
      <sz val="10"/>
      <name val="Arial"/>
      <family val="2"/>
    </font>
    <font>
      <sz val="12"/>
      <name val="Arial"/>
      <family val="2"/>
    </font>
    <font>
      <sz val="12"/>
      <color indexed="56"/>
      <name val="Arial"/>
      <family val="2"/>
    </font>
    <font>
      <sz val="11"/>
      <name val="Calibri"/>
      <family val="2"/>
    </font>
    <font>
      <b/>
      <sz val="10"/>
      <name val="Arial"/>
      <family val="2"/>
    </font>
    <font>
      <sz val="9"/>
      <color indexed="81"/>
      <name val="Tahoma"/>
      <family val="2"/>
    </font>
    <font>
      <b/>
      <sz val="9"/>
      <color indexed="81"/>
      <name val="Tahoma"/>
      <family val="2"/>
    </font>
    <font>
      <sz val="10"/>
      <color rgb="FF003580"/>
      <name val="Arial"/>
      <family val="2"/>
    </font>
    <font>
      <b/>
      <u/>
      <sz val="12"/>
      <color rgb="FF003580"/>
      <name val="Arial"/>
      <family val="2"/>
    </font>
    <font>
      <sz val="10"/>
      <color theme="0"/>
      <name val="Arial"/>
      <family val="2"/>
    </font>
    <font>
      <b/>
      <sz val="10"/>
      <color theme="3"/>
      <name val="Arial"/>
      <family val="2"/>
    </font>
    <font>
      <b/>
      <sz val="12"/>
      <color rgb="FF003580"/>
      <name val="Arial"/>
      <family val="2"/>
    </font>
    <font>
      <b/>
      <sz val="12"/>
      <color theme="3"/>
      <name val="Arial"/>
      <family val="2"/>
    </font>
    <font>
      <sz val="10"/>
      <color theme="3"/>
      <name val="Arial"/>
      <family val="2"/>
    </font>
    <font>
      <sz val="12"/>
      <color theme="3"/>
      <name val="Arial"/>
      <family val="2"/>
    </font>
    <font>
      <b/>
      <sz val="14"/>
      <color rgb="FF003580"/>
      <name val="Arial"/>
      <family val="2"/>
    </font>
    <font>
      <b/>
      <sz val="10"/>
      <color rgb="FFFF0000"/>
      <name val="Arial"/>
      <family val="2"/>
    </font>
    <font>
      <b/>
      <u/>
      <sz val="14"/>
      <color rgb="FF003580"/>
      <name val="Arial"/>
      <family val="2"/>
    </font>
    <font>
      <sz val="12"/>
      <color rgb="FF003580"/>
      <name val="Arial"/>
      <family val="2"/>
    </font>
    <font>
      <sz val="12"/>
      <color rgb="FF003580"/>
      <name val="Calibri"/>
      <family val="2"/>
      <scheme val="minor"/>
    </font>
    <font>
      <sz val="11"/>
      <color rgb="FFFF0000"/>
      <name val="Calibri"/>
      <family val="2"/>
    </font>
    <font>
      <sz val="10"/>
      <color rgb="FFFF0000"/>
      <name val="Arial"/>
      <family val="2"/>
    </font>
    <font>
      <b/>
      <u/>
      <sz val="14"/>
      <color rgb="FFFF0000"/>
      <name val="Arial"/>
      <family val="2"/>
    </font>
    <font>
      <sz val="12"/>
      <color rgb="FFFF0000"/>
      <name val="Arial"/>
      <family val="2"/>
    </font>
    <font>
      <b/>
      <sz val="12"/>
      <color rgb="FFFF0000"/>
      <name val="Arial"/>
      <family val="2"/>
    </font>
    <font>
      <b/>
      <sz val="10"/>
      <color theme="0"/>
      <name val="Arial"/>
      <family val="2"/>
    </font>
    <font>
      <b/>
      <sz val="12"/>
      <color rgb="FF0091DA"/>
      <name val="Arial"/>
      <family val="2"/>
    </font>
    <font>
      <sz val="10"/>
      <color rgb="FF0091DA"/>
      <name val="Arial"/>
      <family val="2"/>
    </font>
    <font>
      <b/>
      <sz val="10"/>
      <color rgb="FF0091DA"/>
      <name val="Arial"/>
      <family val="2"/>
    </font>
    <font>
      <b/>
      <sz val="12"/>
      <color theme="0"/>
      <name val="Arial"/>
      <family val="2"/>
    </font>
    <font>
      <sz val="9"/>
      <color theme="3"/>
      <name val="Arial"/>
      <family val="2"/>
    </font>
    <font>
      <b/>
      <u/>
      <sz val="12"/>
      <color theme="3"/>
      <name val="Arial"/>
      <family val="2"/>
    </font>
    <font>
      <sz val="11"/>
      <color rgb="FF003580"/>
      <name val="Calibri"/>
      <family val="2"/>
    </font>
    <font>
      <sz val="12"/>
      <color rgb="FF000000"/>
      <name val="Arial"/>
      <family val="2"/>
    </font>
    <font>
      <sz val="11"/>
      <color rgb="FF706F6F"/>
      <name val="Helvetica Neue"/>
      <family val="2"/>
    </font>
  </fonts>
  <fills count="8">
    <fill>
      <patternFill patternType="none"/>
    </fill>
    <fill>
      <patternFill patternType="gray125"/>
    </fill>
    <fill>
      <patternFill patternType="solid">
        <fgColor theme="0"/>
        <bgColor indexed="64"/>
      </patternFill>
    </fill>
    <fill>
      <patternFill patternType="solid">
        <fgColor rgb="FFF2F2F2"/>
        <bgColor indexed="64"/>
      </patternFill>
    </fill>
    <fill>
      <patternFill patternType="solid">
        <fgColor rgb="FFCF7600"/>
        <bgColor indexed="64"/>
      </patternFill>
    </fill>
    <fill>
      <patternFill patternType="solid">
        <fgColor rgb="FFC4ECFF"/>
        <bgColor indexed="64"/>
      </patternFill>
    </fill>
    <fill>
      <patternFill patternType="solid">
        <fgColor rgb="FF0091DA"/>
        <bgColor indexed="64"/>
      </patternFill>
    </fill>
    <fill>
      <patternFill patternType="solid">
        <fgColor theme="3"/>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164" fontId="7" fillId="0" borderId="0" applyFont="0" applyFill="0" applyBorder="0" applyAlignment="0" applyProtection="0"/>
    <xf numFmtId="165" fontId="5" fillId="0" borderId="0" applyFont="0" applyFill="0" applyBorder="0" applyAlignment="0" applyProtection="0"/>
    <xf numFmtId="9" fontId="5" fillId="0" borderId="0" applyFont="0" applyFill="0" applyBorder="0" applyAlignment="0" applyProtection="0"/>
  </cellStyleXfs>
  <cellXfs count="170">
    <xf numFmtId="0" fontId="0" fillId="0" borderId="0" xfId="0"/>
    <xf numFmtId="0" fontId="2" fillId="2" borderId="0" xfId="0" applyFont="1" applyFill="1"/>
    <xf numFmtId="0" fontId="2" fillId="2" borderId="1" xfId="0" applyFont="1" applyFill="1" applyBorder="1"/>
    <xf numFmtId="0" fontId="2" fillId="2" borderId="2" xfId="0" applyFont="1" applyFill="1" applyBorder="1"/>
    <xf numFmtId="0" fontId="2" fillId="2" borderId="3" xfId="0" applyFont="1" applyFill="1" applyBorder="1"/>
    <xf numFmtId="0" fontId="2" fillId="2" borderId="4" xfId="0" applyFont="1" applyFill="1" applyBorder="1"/>
    <xf numFmtId="0" fontId="2" fillId="2" borderId="5" xfId="0" applyFont="1" applyFill="1" applyBorder="1"/>
    <xf numFmtId="0" fontId="2" fillId="2" borderId="6" xfId="0" applyFont="1" applyFill="1" applyBorder="1"/>
    <xf numFmtId="0" fontId="2" fillId="2" borderId="7" xfId="0" applyFont="1" applyFill="1" applyBorder="1"/>
    <xf numFmtId="0" fontId="2" fillId="2" borderId="8" xfId="0" applyFont="1" applyFill="1" applyBorder="1"/>
    <xf numFmtId="0" fontId="3" fillId="2" borderId="0" xfId="0" applyFont="1" applyFill="1" applyAlignment="1">
      <alignment horizontal="center" vertical="center"/>
    </xf>
    <xf numFmtId="4" fontId="4" fillId="2" borderId="0" xfId="0" applyNumberFormat="1" applyFont="1" applyFill="1" applyAlignment="1">
      <alignment horizontal="center" vertical="center" wrapText="1"/>
    </xf>
    <xf numFmtId="0" fontId="14" fillId="2" borderId="0" xfId="0" applyFont="1" applyFill="1"/>
    <xf numFmtId="0" fontId="15" fillId="2" borderId="0" xfId="0" applyFont="1" applyFill="1"/>
    <xf numFmtId="0" fontId="16" fillId="2" borderId="0" xfId="0" applyFont="1" applyFill="1"/>
    <xf numFmtId="167" fontId="16" fillId="2" borderId="0" xfId="0" applyNumberFormat="1" applyFont="1" applyFill="1"/>
    <xf numFmtId="0" fontId="17" fillId="2" borderId="0" xfId="0" applyFont="1" applyFill="1" applyAlignment="1" applyProtection="1">
      <alignment horizontal="left"/>
      <protection hidden="1"/>
    </xf>
    <xf numFmtId="0" fontId="16" fillId="2" borderId="4" xfId="0" applyFont="1" applyFill="1" applyBorder="1"/>
    <xf numFmtId="0" fontId="18" fillId="2" borderId="0" xfId="0" applyFont="1" applyFill="1" applyAlignment="1">
      <alignment horizontal="right"/>
    </xf>
    <xf numFmtId="171" fontId="0" fillId="0" borderId="0" xfId="0" applyNumberFormat="1"/>
    <xf numFmtId="0" fontId="2" fillId="0" borderId="0" xfId="0" applyFont="1"/>
    <xf numFmtId="167" fontId="0" fillId="0" borderId="0" xfId="3" applyNumberFormat="1" applyFont="1"/>
    <xf numFmtId="10" fontId="0" fillId="0" borderId="0" xfId="3" applyNumberFormat="1" applyFont="1"/>
    <xf numFmtId="172" fontId="0" fillId="0" borderId="0" xfId="0" applyNumberFormat="1"/>
    <xf numFmtId="173" fontId="0" fillId="0" borderId="0" xfId="0" applyNumberFormat="1"/>
    <xf numFmtId="172" fontId="0" fillId="0" borderId="0" xfId="2" applyNumberFormat="1" applyFont="1"/>
    <xf numFmtId="0" fontId="15" fillId="2" borderId="0" xfId="0" applyFont="1" applyFill="1" applyAlignment="1">
      <alignment horizontal="center"/>
    </xf>
    <xf numFmtId="0" fontId="17" fillId="2" borderId="0" xfId="0" applyFont="1" applyFill="1"/>
    <xf numFmtId="0" fontId="19" fillId="3" borderId="9" xfId="0" applyFont="1" applyFill="1" applyBorder="1" applyAlignment="1">
      <alignment horizontal="center" vertical="center" wrapText="1"/>
    </xf>
    <xf numFmtId="0" fontId="19" fillId="2" borderId="10" xfId="0" applyFont="1" applyFill="1" applyBorder="1" applyAlignment="1">
      <alignment horizontal="center" vertical="center" wrapText="1"/>
    </xf>
    <xf numFmtId="0" fontId="19" fillId="3" borderId="10" xfId="0" applyFont="1" applyFill="1" applyBorder="1" applyAlignment="1">
      <alignment horizontal="center" vertical="center" wrapText="1"/>
    </xf>
    <xf numFmtId="0" fontId="19" fillId="2" borderId="11" xfId="0" applyFont="1" applyFill="1" applyBorder="1" applyAlignment="1">
      <alignment horizontal="center" vertical="center" wrapText="1"/>
    </xf>
    <xf numFmtId="0" fontId="20" fillId="2" borderId="0" xfId="0" applyFont="1" applyFill="1"/>
    <xf numFmtId="0" fontId="19" fillId="2" borderId="0" xfId="0" applyFont="1" applyFill="1" applyAlignment="1">
      <alignment horizontal="right"/>
    </xf>
    <xf numFmtId="0" fontId="2" fillId="2" borderId="0" xfId="0" applyFont="1" applyFill="1" applyAlignment="1">
      <alignment horizontal="right"/>
    </xf>
    <xf numFmtId="0" fontId="19" fillId="2" borderId="12" xfId="0" applyFont="1" applyFill="1" applyBorder="1" applyAlignment="1">
      <alignment horizontal="center" vertical="center" wrapText="1"/>
    </xf>
    <xf numFmtId="9" fontId="19" fillId="2" borderId="12" xfId="0" applyNumberFormat="1" applyFont="1" applyFill="1" applyBorder="1" applyAlignment="1">
      <alignment horizontal="center" vertical="center" wrapText="1"/>
    </xf>
    <xf numFmtId="170" fontId="21" fillId="3" borderId="13" xfId="2" applyNumberFormat="1" applyFont="1" applyFill="1" applyBorder="1" applyAlignment="1" applyProtection="1">
      <alignment horizontal="center" vertical="center" wrapText="1"/>
      <protection hidden="1"/>
    </xf>
    <xf numFmtId="170" fontId="21" fillId="2" borderId="14" xfId="2" applyNumberFormat="1" applyFont="1" applyFill="1" applyBorder="1" applyAlignment="1" applyProtection="1">
      <alignment horizontal="center" vertical="center" wrapText="1"/>
      <protection hidden="1"/>
    </xf>
    <xf numFmtId="170" fontId="21" fillId="3" borderId="14" xfId="2" applyNumberFormat="1" applyFont="1" applyFill="1" applyBorder="1" applyAlignment="1" applyProtection="1">
      <alignment horizontal="center" vertical="center" wrapText="1"/>
      <protection hidden="1"/>
    </xf>
    <xf numFmtId="170" fontId="21" fillId="2" borderId="15" xfId="2" applyNumberFormat="1" applyFont="1" applyFill="1" applyBorder="1" applyAlignment="1" applyProtection="1">
      <alignment horizontal="center" vertical="center" wrapText="1"/>
      <protection hidden="1"/>
    </xf>
    <xf numFmtId="0" fontId="22" fillId="2" borderId="0" xfId="0" applyFont="1" applyFill="1"/>
    <xf numFmtId="0" fontId="19" fillId="0" borderId="12" xfId="0" applyFont="1" applyBorder="1" applyAlignment="1" applyProtection="1">
      <alignment horizontal="center" vertical="center" wrapText="1"/>
      <protection locked="0"/>
    </xf>
    <xf numFmtId="10" fontId="17" fillId="4" borderId="12" xfId="0" applyNumberFormat="1" applyFont="1" applyFill="1" applyBorder="1" applyAlignment="1" applyProtection="1">
      <alignment horizontal="left"/>
      <protection locked="0"/>
    </xf>
    <xf numFmtId="0" fontId="23" fillId="2" borderId="0" xfId="0" applyFont="1" applyFill="1" applyAlignment="1">
      <alignment horizontal="right" vertical="center"/>
    </xf>
    <xf numFmtId="3" fontId="21" fillId="3" borderId="16" xfId="0" applyNumberFormat="1" applyFont="1" applyFill="1" applyBorder="1" applyAlignment="1" applyProtection="1">
      <alignment horizontal="center" vertical="center" wrapText="1"/>
      <protection hidden="1"/>
    </xf>
    <xf numFmtId="3" fontId="21" fillId="3" borderId="16" xfId="2" applyNumberFormat="1" applyFont="1" applyFill="1" applyBorder="1" applyAlignment="1" applyProtection="1">
      <alignment horizontal="center" vertical="center" wrapText="1"/>
      <protection hidden="1"/>
    </xf>
    <xf numFmtId="3" fontId="21" fillId="2" borderId="0" xfId="0" applyNumberFormat="1" applyFont="1" applyFill="1" applyAlignment="1">
      <alignment horizontal="center" vertical="center" wrapText="1"/>
    </xf>
    <xf numFmtId="3" fontId="21" fillId="2" borderId="0" xfId="2" applyNumberFormat="1" applyFont="1" applyFill="1" applyBorder="1" applyAlignment="1" applyProtection="1">
      <alignment horizontal="center" vertical="center" wrapText="1"/>
      <protection hidden="1"/>
    </xf>
    <xf numFmtId="3" fontId="21" fillId="3" borderId="0" xfId="0" applyNumberFormat="1" applyFont="1" applyFill="1" applyAlignment="1">
      <alignment horizontal="center" vertical="center" wrapText="1"/>
    </xf>
    <xf numFmtId="3" fontId="21" fillId="3" borderId="0" xfId="2" applyNumberFormat="1" applyFont="1" applyFill="1" applyBorder="1" applyAlignment="1" applyProtection="1">
      <alignment horizontal="center" vertical="center" wrapText="1"/>
      <protection hidden="1"/>
    </xf>
    <xf numFmtId="3" fontId="21" fillId="2" borderId="17" xfId="0" applyNumberFormat="1" applyFont="1" applyFill="1" applyBorder="1" applyAlignment="1">
      <alignment horizontal="center" vertical="center" wrapText="1"/>
    </xf>
    <xf numFmtId="3" fontId="21" fillId="2" borderId="17" xfId="2" applyNumberFormat="1" applyFont="1" applyFill="1" applyBorder="1" applyAlignment="1" applyProtection="1">
      <alignment horizontal="center" vertical="center" wrapText="1"/>
      <protection hidden="1"/>
    </xf>
    <xf numFmtId="174" fontId="2" fillId="2" borderId="3" xfId="1" applyNumberFormat="1" applyFont="1" applyFill="1" applyBorder="1" applyProtection="1"/>
    <xf numFmtId="174" fontId="2" fillId="2" borderId="5" xfId="1" applyNumberFormat="1" applyFont="1" applyFill="1" applyBorder="1" applyProtection="1"/>
    <xf numFmtId="0" fontId="24" fillId="2" borderId="5" xfId="0" applyFont="1" applyFill="1" applyBorder="1" applyAlignment="1">
      <alignment vertical="center"/>
    </xf>
    <xf numFmtId="0" fontId="24" fillId="2" borderId="5" xfId="0" applyFont="1" applyFill="1" applyBorder="1" applyAlignment="1">
      <alignment horizontal="center" vertical="center"/>
    </xf>
    <xf numFmtId="174" fontId="25" fillId="2" borderId="5" xfId="1" applyNumberFormat="1" applyFont="1" applyFill="1" applyBorder="1" applyProtection="1"/>
    <xf numFmtId="0" fontId="25" fillId="2" borderId="5" xfId="0" applyFont="1" applyFill="1" applyBorder="1" applyAlignment="1">
      <alignment wrapText="1"/>
    </xf>
    <xf numFmtId="165" fontId="0" fillId="0" borderId="0" xfId="2" applyFont="1"/>
    <xf numFmtId="175" fontId="0" fillId="0" borderId="0" xfId="0" applyNumberFormat="1"/>
    <xf numFmtId="166" fontId="0" fillId="0" borderId="0" xfId="0" applyNumberFormat="1"/>
    <xf numFmtId="170" fontId="0" fillId="0" borderId="0" xfId="2" applyNumberFormat="1" applyFont="1"/>
    <xf numFmtId="9" fontId="0" fillId="0" borderId="0" xfId="0" applyNumberFormat="1"/>
    <xf numFmtId="176" fontId="0" fillId="0" borderId="0" xfId="3" applyNumberFormat="1" applyFont="1"/>
    <xf numFmtId="170" fontId="0" fillId="0" borderId="0" xfId="0" applyNumberFormat="1"/>
    <xf numFmtId="2" fontId="0" fillId="0" borderId="0" xfId="0" applyNumberFormat="1"/>
    <xf numFmtId="40" fontId="0" fillId="0" borderId="0" xfId="0" applyNumberFormat="1"/>
    <xf numFmtId="0" fontId="2" fillId="2" borderId="2" xfId="0" applyFont="1" applyFill="1" applyBorder="1" applyProtection="1">
      <protection hidden="1"/>
    </xf>
    <xf numFmtId="174" fontId="2" fillId="2" borderId="2" xfId="1" applyNumberFormat="1" applyFont="1" applyFill="1" applyBorder="1" applyProtection="1">
      <protection hidden="1"/>
    </xf>
    <xf numFmtId="0" fontId="2" fillId="2" borderId="0" xfId="0" applyFont="1" applyFill="1" applyProtection="1">
      <protection hidden="1"/>
    </xf>
    <xf numFmtId="174" fontId="2" fillId="2" borderId="0" xfId="1" applyNumberFormat="1" applyFont="1" applyFill="1" applyBorder="1" applyProtection="1">
      <protection hidden="1"/>
    </xf>
    <xf numFmtId="0" fontId="15" fillId="2" borderId="0" xfId="0" applyFont="1" applyFill="1" applyProtection="1">
      <protection hidden="1"/>
    </xf>
    <xf numFmtId="0" fontId="8" fillId="2" borderId="0" xfId="0" applyFont="1" applyFill="1" applyProtection="1">
      <protection hidden="1"/>
    </xf>
    <xf numFmtId="0" fontId="25" fillId="2" borderId="0" xfId="0" applyFont="1" applyFill="1" applyProtection="1">
      <protection hidden="1"/>
    </xf>
    <xf numFmtId="174" fontId="25" fillId="2" borderId="0" xfId="1" applyNumberFormat="1" applyFont="1" applyFill="1" applyBorder="1" applyProtection="1">
      <protection hidden="1"/>
    </xf>
    <xf numFmtId="0" fontId="10" fillId="2" borderId="0" xfId="0" applyFont="1" applyFill="1" applyAlignment="1">
      <alignment wrapText="1"/>
    </xf>
    <xf numFmtId="0" fontId="26" fillId="2" borderId="0" xfId="0" applyFont="1" applyFill="1" applyProtection="1">
      <protection hidden="1"/>
    </xf>
    <xf numFmtId="0" fontId="27" fillId="0" borderId="0" xfId="0" applyFont="1"/>
    <xf numFmtId="0" fontId="19" fillId="2" borderId="0" xfId="0" applyFont="1" applyFill="1" applyAlignment="1">
      <alignment horizontal="right" vertical="center" wrapText="1"/>
    </xf>
    <xf numFmtId="0" fontId="0" fillId="2" borderId="0" xfId="0"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170" fontId="19" fillId="2" borderId="12" xfId="2" applyNumberFormat="1" applyFont="1" applyFill="1" applyBorder="1" applyAlignment="1" applyProtection="1">
      <alignment horizontal="center"/>
      <protection hidden="1"/>
    </xf>
    <xf numFmtId="14" fontId="19" fillId="2" borderId="12" xfId="2" applyNumberFormat="1" applyFont="1" applyFill="1" applyBorder="1" applyAlignment="1" applyProtection="1">
      <alignment horizontal="center"/>
      <protection hidden="1"/>
    </xf>
    <xf numFmtId="10" fontId="19" fillId="2" borderId="12" xfId="0" applyNumberFormat="1" applyFont="1" applyFill="1" applyBorder="1" applyAlignment="1" applyProtection="1">
      <alignment horizontal="center"/>
      <protection hidden="1"/>
    </xf>
    <xf numFmtId="0" fontId="28" fillId="2" borderId="0" xfId="0" applyFont="1" applyFill="1"/>
    <xf numFmtId="0" fontId="0" fillId="2" borderId="0" xfId="0" applyFill="1" applyProtection="1">
      <protection hidden="1"/>
    </xf>
    <xf numFmtId="0" fontId="28" fillId="2" borderId="0" xfId="0" applyFont="1" applyFill="1" applyProtection="1">
      <protection hidden="1"/>
    </xf>
    <xf numFmtId="170" fontId="16" fillId="2" borderId="0" xfId="2" applyNumberFormat="1" applyFont="1" applyFill="1" applyProtection="1">
      <protection hidden="1"/>
    </xf>
    <xf numFmtId="0" fontId="16" fillId="2" borderId="0" xfId="0" applyFont="1" applyFill="1" applyProtection="1">
      <protection hidden="1"/>
    </xf>
    <xf numFmtId="167" fontId="16" fillId="2" borderId="0" xfId="3" applyNumberFormat="1" applyFont="1" applyFill="1" applyProtection="1">
      <protection hidden="1"/>
    </xf>
    <xf numFmtId="174" fontId="28" fillId="2" borderId="0" xfId="1" applyNumberFormat="1" applyFont="1" applyFill="1" applyBorder="1" applyProtection="1"/>
    <xf numFmtId="4" fontId="28" fillId="2" borderId="0" xfId="0" applyNumberFormat="1" applyFont="1" applyFill="1"/>
    <xf numFmtId="0" fontId="29" fillId="2" borderId="0" xfId="0" applyFont="1" applyFill="1" applyAlignment="1">
      <alignment vertical="center"/>
    </xf>
    <xf numFmtId="0" fontId="29" fillId="2" borderId="0" xfId="0" applyFont="1" applyFill="1" applyAlignment="1">
      <alignment horizontal="center" vertical="center"/>
    </xf>
    <xf numFmtId="174" fontId="30" fillId="2" borderId="0" xfId="1" applyNumberFormat="1" applyFont="1" applyFill="1" applyBorder="1" applyProtection="1"/>
    <xf numFmtId="0" fontId="30" fillId="2" borderId="0" xfId="0" applyFont="1" applyFill="1"/>
    <xf numFmtId="0" fontId="30" fillId="2" borderId="0" xfId="0" applyFont="1" applyFill="1" applyAlignment="1">
      <alignment wrapText="1"/>
    </xf>
    <xf numFmtId="0" fontId="31" fillId="2" borderId="0" xfId="0" applyFont="1" applyFill="1"/>
    <xf numFmtId="0" fontId="27" fillId="2" borderId="0" xfId="0" applyFont="1" applyFill="1" applyAlignment="1">
      <alignment horizontal="left" indent="4"/>
    </xf>
    <xf numFmtId="0" fontId="27" fillId="0" borderId="0" xfId="0" applyFont="1" applyAlignment="1">
      <alignment horizontal="left" indent="4"/>
    </xf>
    <xf numFmtId="0" fontId="30" fillId="2" borderId="0" xfId="0" applyFont="1" applyFill="1" applyAlignment="1" applyProtection="1">
      <alignment vertical="center" wrapText="1"/>
      <protection hidden="1"/>
    </xf>
    <xf numFmtId="170" fontId="19" fillId="2" borderId="12" xfId="2" applyNumberFormat="1" applyFont="1" applyFill="1" applyBorder="1" applyAlignment="1" applyProtection="1">
      <alignment horizontal="center" vertical="center" wrapText="1"/>
      <protection hidden="1"/>
    </xf>
    <xf numFmtId="0" fontId="11" fillId="2" borderId="0" xfId="0" applyFont="1" applyFill="1"/>
    <xf numFmtId="0" fontId="32" fillId="2" borderId="0" xfId="0" applyFont="1" applyFill="1" applyAlignment="1">
      <alignment horizontal="left" vertical="center"/>
    </xf>
    <xf numFmtId="17" fontId="0" fillId="2" borderId="0" xfId="0" applyNumberFormat="1" applyFill="1"/>
    <xf numFmtId="0" fontId="16" fillId="0" borderId="0" xfId="0" applyFont="1"/>
    <xf numFmtId="4" fontId="21" fillId="3" borderId="16" xfId="2" applyNumberFormat="1" applyFont="1" applyFill="1" applyBorder="1" applyAlignment="1" applyProtection="1">
      <alignment horizontal="center" vertical="center" wrapText="1"/>
      <protection hidden="1"/>
    </xf>
    <xf numFmtId="4" fontId="21" fillId="2" borderId="0" xfId="2" applyNumberFormat="1" applyFont="1" applyFill="1" applyBorder="1" applyAlignment="1" applyProtection="1">
      <alignment horizontal="center" vertical="center" wrapText="1"/>
      <protection hidden="1"/>
    </xf>
    <xf numFmtId="4" fontId="21" fillId="3" borderId="0" xfId="2" applyNumberFormat="1" applyFont="1" applyFill="1" applyBorder="1" applyAlignment="1" applyProtection="1">
      <alignment horizontal="center" vertical="center" wrapText="1"/>
      <protection hidden="1"/>
    </xf>
    <xf numFmtId="4" fontId="21" fillId="2" borderId="17" xfId="2" applyNumberFormat="1" applyFont="1" applyFill="1" applyBorder="1" applyAlignment="1" applyProtection="1">
      <alignment horizontal="center" vertical="center" wrapText="1"/>
      <protection hidden="1"/>
    </xf>
    <xf numFmtId="4" fontId="0" fillId="0" borderId="0" xfId="0" applyNumberFormat="1"/>
    <xf numFmtId="3" fontId="0" fillId="0" borderId="0" xfId="0" applyNumberFormat="1"/>
    <xf numFmtId="0" fontId="33" fillId="2" borderId="0" xfId="0" applyFont="1" applyFill="1" applyAlignment="1">
      <alignment horizontal="right"/>
    </xf>
    <xf numFmtId="0" fontId="34" fillId="2" borderId="0" xfId="0" applyFont="1" applyFill="1"/>
    <xf numFmtId="0" fontId="33" fillId="2" borderId="0" xfId="0" applyFont="1" applyFill="1" applyAlignment="1">
      <alignment horizontal="right" vertical="center" wrapText="1"/>
    </xf>
    <xf numFmtId="177" fontId="35" fillId="5" borderId="12" xfId="0" applyNumberFormat="1" applyFont="1" applyFill="1" applyBorder="1" applyAlignment="1" applyProtection="1">
      <alignment vertical="center"/>
      <protection locked="0"/>
    </xf>
    <xf numFmtId="3" fontId="35" fillId="5" borderId="12" xfId="0" applyNumberFormat="1" applyFont="1" applyFill="1" applyBorder="1" applyAlignment="1" applyProtection="1">
      <alignment horizontal="right" vertical="center"/>
      <protection locked="0"/>
    </xf>
    <xf numFmtId="0" fontId="35" fillId="5" borderId="12" xfId="0" applyFont="1" applyFill="1" applyBorder="1" applyAlignment="1" applyProtection="1">
      <alignment horizontal="right" vertical="center"/>
      <protection locked="0"/>
    </xf>
    <xf numFmtId="14" fontId="35" fillId="5" borderId="12" xfId="0" applyNumberFormat="1" applyFont="1" applyFill="1" applyBorder="1" applyAlignment="1" applyProtection="1">
      <alignment vertical="center"/>
      <protection locked="0"/>
    </xf>
    <xf numFmtId="10" fontId="35" fillId="5" borderId="12" xfId="3" applyNumberFormat="1" applyFont="1" applyFill="1" applyBorder="1" applyAlignment="1" applyProtection="1">
      <alignment vertical="center"/>
      <protection locked="0"/>
    </xf>
    <xf numFmtId="168" fontId="32" fillId="6" borderId="12" xfId="0" applyNumberFormat="1" applyFont="1" applyFill="1" applyBorder="1" applyAlignment="1">
      <alignment horizontal="center" vertical="center"/>
    </xf>
    <xf numFmtId="0" fontId="19" fillId="2" borderId="18" xfId="0" applyFont="1" applyFill="1" applyBorder="1" applyAlignment="1">
      <alignment horizontal="center" vertical="center" wrapText="1"/>
    </xf>
    <xf numFmtId="0" fontId="24" fillId="2" borderId="0" xfId="0" applyFont="1" applyFill="1" applyAlignment="1" applyProtection="1">
      <alignment horizontal="center" vertical="center"/>
      <protection hidden="1"/>
    </xf>
    <xf numFmtId="170" fontId="36" fillId="7" borderId="12" xfId="2" applyNumberFormat="1" applyFont="1" applyFill="1" applyBorder="1" applyAlignment="1" applyProtection="1">
      <alignment horizontal="center" vertical="center"/>
      <protection locked="0"/>
    </xf>
    <xf numFmtId="0" fontId="0" fillId="0" borderId="1" xfId="0" applyBorder="1"/>
    <xf numFmtId="0" fontId="0" fillId="0" borderId="2" xfId="0" applyBorder="1"/>
    <xf numFmtId="9" fontId="0" fillId="0" borderId="2" xfId="3" applyFont="1" applyBorder="1"/>
    <xf numFmtId="0" fontId="0" fillId="0" borderId="3" xfId="0" applyBorder="1"/>
    <xf numFmtId="171" fontId="0" fillId="0" borderId="4" xfId="0" applyNumberFormat="1" applyBorder="1"/>
    <xf numFmtId="167" fontId="0" fillId="0" borderId="0" xfId="3" applyNumberFormat="1" applyFont="1" applyBorder="1"/>
    <xf numFmtId="0" fontId="0" fillId="0" borderId="5" xfId="0" applyBorder="1"/>
    <xf numFmtId="171" fontId="0" fillId="0" borderId="6" xfId="0" applyNumberFormat="1" applyBorder="1"/>
    <xf numFmtId="0" fontId="2" fillId="0" borderId="7" xfId="0" applyFont="1" applyBorder="1" applyAlignment="1">
      <alignment horizontal="center"/>
    </xf>
    <xf numFmtId="167" fontId="0" fillId="0" borderId="7" xfId="3" applyNumberFormat="1" applyFont="1" applyBorder="1"/>
    <xf numFmtId="0" fontId="0" fillId="0" borderId="8" xfId="0" applyBorder="1"/>
    <xf numFmtId="164" fontId="36" fillId="6" borderId="18" xfId="1" applyFont="1" applyFill="1" applyBorder="1" applyAlignment="1" applyProtection="1">
      <alignment horizontal="center" vertical="center" wrapText="1"/>
    </xf>
    <xf numFmtId="170" fontId="36" fillId="7" borderId="12" xfId="2" applyNumberFormat="1" applyFont="1" applyFill="1" applyBorder="1" applyAlignment="1" applyProtection="1">
      <alignment horizontal="center" vertical="center"/>
    </xf>
    <xf numFmtId="0" fontId="0" fillId="2" borderId="17" xfId="0" applyFill="1" applyBorder="1" applyAlignment="1">
      <alignment horizontal="center"/>
    </xf>
    <xf numFmtId="0" fontId="2" fillId="2" borderId="0" xfId="0" applyFont="1" applyFill="1" applyAlignment="1">
      <alignment horizontal="left" wrapText="1"/>
    </xf>
    <xf numFmtId="0" fontId="0" fillId="2" borderId="0" xfId="0" applyFill="1" applyAlignment="1">
      <alignment horizontal="left"/>
    </xf>
    <xf numFmtId="14" fontId="0" fillId="2" borderId="17" xfId="0" applyNumberFormat="1" applyFill="1" applyBorder="1" applyAlignment="1">
      <alignment horizontal="center"/>
    </xf>
    <xf numFmtId="0" fontId="19" fillId="2" borderId="10" xfId="0" applyFont="1" applyFill="1" applyBorder="1" applyAlignment="1">
      <alignment horizontal="center" vertical="center" wrapText="1"/>
    </xf>
    <xf numFmtId="0" fontId="19" fillId="2" borderId="0" xfId="0" applyFont="1" applyFill="1" applyAlignment="1">
      <alignment horizontal="center" vertical="center" wrapText="1"/>
    </xf>
    <xf numFmtId="0" fontId="34" fillId="0" borderId="0" xfId="0" applyFont="1" applyAlignment="1">
      <alignment horizontal="left" vertical="center" wrapText="1"/>
    </xf>
    <xf numFmtId="0" fontId="34" fillId="0" borderId="5" xfId="0" applyFont="1" applyBorder="1" applyAlignment="1">
      <alignment horizontal="left" vertical="center" wrapText="1"/>
    </xf>
    <xf numFmtId="17" fontId="37" fillId="2" borderId="0" xfId="0" applyNumberFormat="1" applyFont="1" applyFill="1" applyAlignment="1">
      <alignment horizontal="right"/>
    </xf>
    <xf numFmtId="0" fontId="37" fillId="2" borderId="0" xfId="0" applyFont="1" applyFill="1" applyAlignment="1">
      <alignment horizontal="right"/>
    </xf>
    <xf numFmtId="169" fontId="32" fillId="0" borderId="0" xfId="0" applyNumberFormat="1" applyFont="1" applyAlignment="1">
      <alignment horizontal="center"/>
    </xf>
    <xf numFmtId="0" fontId="38" fillId="0" borderId="0" xfId="0" applyFont="1" applyAlignment="1">
      <alignment horizontal="center"/>
    </xf>
    <xf numFmtId="0" fontId="19" fillId="2" borderId="18" xfId="0" applyFont="1" applyFill="1" applyBorder="1" applyAlignment="1">
      <alignment horizontal="center" vertical="center" wrapText="1"/>
    </xf>
    <xf numFmtId="0" fontId="19" fillId="2" borderId="19" xfId="0" applyFont="1" applyFill="1" applyBorder="1" applyAlignment="1">
      <alignment horizontal="center" vertical="center" wrapText="1"/>
    </xf>
    <xf numFmtId="0" fontId="17" fillId="2" borderId="0" xfId="0" applyFont="1" applyFill="1" applyAlignment="1">
      <alignment horizontal="right" vertical="center"/>
    </xf>
    <xf numFmtId="0" fontId="19" fillId="2" borderId="20" xfId="0" applyFont="1" applyFill="1" applyBorder="1" applyAlignment="1">
      <alignment horizontal="center" vertical="center" wrapText="1"/>
    </xf>
    <xf numFmtId="0" fontId="20" fillId="2" borderId="0" xfId="0" applyFont="1" applyFill="1" applyAlignment="1">
      <alignment horizontal="left" vertical="center" wrapText="1"/>
    </xf>
    <xf numFmtId="0" fontId="25" fillId="2" borderId="0" xfId="0" applyFont="1" applyFill="1" applyAlignment="1" applyProtection="1">
      <alignment horizontal="left" wrapText="1"/>
      <protection hidden="1"/>
    </xf>
    <xf numFmtId="0" fontId="24" fillId="2" borderId="0" xfId="0" applyFont="1" applyFill="1" applyAlignment="1" applyProtection="1">
      <alignment horizontal="center" vertical="center"/>
      <protection hidden="1"/>
    </xf>
    <xf numFmtId="0" fontId="25" fillId="2" borderId="0" xfId="0" applyFont="1" applyFill="1" applyAlignment="1" applyProtection="1">
      <alignment horizontal="justify" wrapText="1"/>
      <protection hidden="1"/>
    </xf>
    <xf numFmtId="0" fontId="25" fillId="2" borderId="0" xfId="0" applyFont="1" applyFill="1" applyAlignment="1" applyProtection="1">
      <alignment horizontal="justify"/>
      <protection hidden="1"/>
    </xf>
    <xf numFmtId="0" fontId="39" fillId="2" borderId="0" xfId="0" applyFont="1" applyFill="1" applyAlignment="1">
      <alignment horizontal="left" wrapText="1"/>
    </xf>
    <xf numFmtId="0" fontId="39" fillId="2" borderId="0" xfId="0" applyFont="1" applyFill="1" applyAlignment="1">
      <alignment horizontal="justify" wrapText="1"/>
    </xf>
    <xf numFmtId="3" fontId="41" fillId="0" borderId="0" xfId="0" applyNumberFormat="1" applyFont="1"/>
    <xf numFmtId="4" fontId="41" fillId="0" borderId="0" xfId="0" applyNumberFormat="1" applyFont="1"/>
  </cellXfs>
  <cellStyles count="4">
    <cellStyle name="Millares" xfId="1" builtinId="3"/>
    <cellStyle name="Moneda" xfId="2" builtinId="4"/>
    <cellStyle name="Normal" xfId="0" builtinId="0"/>
    <cellStyle name="Porcentaje"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571500</xdr:colOff>
      <xdr:row>7</xdr:row>
      <xdr:rowOff>9525</xdr:rowOff>
    </xdr:from>
    <xdr:to>
      <xdr:col>4</xdr:col>
      <xdr:colOff>104775</xdr:colOff>
      <xdr:row>13</xdr:row>
      <xdr:rowOff>95250</xdr:rowOff>
    </xdr:to>
    <xdr:pic>
      <xdr:nvPicPr>
        <xdr:cNvPr id="6118" name="Picture 2">
          <a:extLst>
            <a:ext uri="{FF2B5EF4-FFF2-40B4-BE49-F238E27FC236}">
              <a16:creationId xmlns:a16="http://schemas.microsoft.com/office/drawing/2014/main" id="{00000000-0008-0000-0000-0000E61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1143000"/>
          <a:ext cx="23907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57150</xdr:colOff>
      <xdr:row>7</xdr:row>
      <xdr:rowOff>38100</xdr:rowOff>
    </xdr:from>
    <xdr:to>
      <xdr:col>9</xdr:col>
      <xdr:colOff>133350</xdr:colOff>
      <xdr:row>13</xdr:row>
      <xdr:rowOff>76200</xdr:rowOff>
    </xdr:to>
    <xdr:pic>
      <xdr:nvPicPr>
        <xdr:cNvPr id="6119" name="Picture 6">
          <a:extLst>
            <a:ext uri="{FF2B5EF4-FFF2-40B4-BE49-F238E27FC236}">
              <a16:creationId xmlns:a16="http://schemas.microsoft.com/office/drawing/2014/main" id="{00000000-0008-0000-0000-0000E71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3850" y="1171575"/>
          <a:ext cx="2362200"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288290</xdr:colOff>
      <xdr:row>9</xdr:row>
      <xdr:rowOff>66040</xdr:rowOff>
    </xdr:from>
    <xdr:to>
      <xdr:col>5</xdr:col>
      <xdr:colOff>491510</xdr:colOff>
      <xdr:row>10</xdr:row>
      <xdr:rowOff>111940</xdr:rowOff>
    </xdr:to>
    <xdr:sp macro="" textlink="">
      <xdr:nvSpPr>
        <xdr:cNvPr id="5" name="4 Flecha derecha">
          <a:extLst>
            <a:ext uri="{FF2B5EF4-FFF2-40B4-BE49-F238E27FC236}">
              <a16:creationId xmlns:a16="http://schemas.microsoft.com/office/drawing/2014/main" id="{00000000-0008-0000-0000-000005000000}"/>
            </a:ext>
          </a:extLst>
        </xdr:cNvPr>
        <xdr:cNvSpPr/>
      </xdr:nvSpPr>
      <xdr:spPr>
        <a:xfrm>
          <a:off x="3400425" y="1514475"/>
          <a:ext cx="1047750" cy="2190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CL"/>
        </a:p>
      </xdr:txBody>
    </xdr:sp>
    <xdr:clientData/>
  </xdr:twoCellAnchor>
  <xdr:twoCellAnchor editAs="oneCell">
    <xdr:from>
      <xdr:col>0</xdr:col>
      <xdr:colOff>200025</xdr:colOff>
      <xdr:row>30</xdr:row>
      <xdr:rowOff>57150</xdr:rowOff>
    </xdr:from>
    <xdr:to>
      <xdr:col>7</xdr:col>
      <xdr:colOff>581025</xdr:colOff>
      <xdr:row>32</xdr:row>
      <xdr:rowOff>57150</xdr:rowOff>
    </xdr:to>
    <xdr:pic>
      <xdr:nvPicPr>
        <xdr:cNvPr id="6121" name="Picture 13">
          <a:extLst>
            <a:ext uri="{FF2B5EF4-FFF2-40B4-BE49-F238E27FC236}">
              <a16:creationId xmlns:a16="http://schemas.microsoft.com/office/drawing/2014/main" id="{00000000-0008-0000-0000-0000E91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0025" y="4914900"/>
          <a:ext cx="52197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133350</xdr:colOff>
      <xdr:row>34</xdr:row>
      <xdr:rowOff>76200</xdr:rowOff>
    </xdr:from>
    <xdr:to>
      <xdr:col>5</xdr:col>
      <xdr:colOff>171450</xdr:colOff>
      <xdr:row>36</xdr:row>
      <xdr:rowOff>95250</xdr:rowOff>
    </xdr:to>
    <xdr:pic>
      <xdr:nvPicPr>
        <xdr:cNvPr id="6122" name="Picture 15">
          <a:extLst>
            <a:ext uri="{FF2B5EF4-FFF2-40B4-BE49-F238E27FC236}">
              <a16:creationId xmlns:a16="http://schemas.microsoft.com/office/drawing/2014/main" id="{00000000-0008-0000-0000-0000EA17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0050" y="5581650"/>
          <a:ext cx="30861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40</xdr:row>
      <xdr:rowOff>133350</xdr:rowOff>
    </xdr:from>
    <xdr:to>
      <xdr:col>5</xdr:col>
      <xdr:colOff>266700</xdr:colOff>
      <xdr:row>42</xdr:row>
      <xdr:rowOff>76200</xdr:rowOff>
    </xdr:to>
    <xdr:pic>
      <xdr:nvPicPr>
        <xdr:cNvPr id="6123" name="Picture 63">
          <a:extLst>
            <a:ext uri="{FF2B5EF4-FFF2-40B4-BE49-F238E27FC236}">
              <a16:creationId xmlns:a16="http://schemas.microsoft.com/office/drawing/2014/main" id="{00000000-0008-0000-0000-0000EB17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3850" y="6610350"/>
          <a:ext cx="32575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44</xdr:row>
      <xdr:rowOff>57150</xdr:rowOff>
    </xdr:from>
    <xdr:to>
      <xdr:col>4</xdr:col>
      <xdr:colOff>495300</xdr:colOff>
      <xdr:row>46</xdr:row>
      <xdr:rowOff>57150</xdr:rowOff>
    </xdr:to>
    <xdr:pic>
      <xdr:nvPicPr>
        <xdr:cNvPr id="6124" name="Picture 65">
          <a:extLst>
            <a:ext uri="{FF2B5EF4-FFF2-40B4-BE49-F238E27FC236}">
              <a16:creationId xmlns:a16="http://schemas.microsoft.com/office/drawing/2014/main" id="{00000000-0008-0000-0000-0000EC17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6225" y="7181850"/>
          <a:ext cx="277177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1600200</xdr:colOff>
          <xdr:row>13</xdr:row>
          <xdr:rowOff>139700</xdr:rowOff>
        </xdr:from>
        <xdr:to>
          <xdr:col>7</xdr:col>
          <xdr:colOff>63500</xdr:colOff>
          <xdr:row>18</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Arial" pitchFamily="2" charset="0"/>
                  <a:cs typeface="Arial" pitchFamily="2" charset="0"/>
                </a:rPr>
                <a:t>Depósito Convenido </a:t>
              </a:r>
            </a:p>
            <a:p>
              <a:pPr algn="ctr" rtl="0">
                <a:defRPr sz="1000"/>
              </a:pPr>
              <a:r>
                <a:rPr lang="es-ES_tradnl" sz="1200" b="0" i="0" u="none" strike="noStrike" baseline="0">
                  <a:solidFill>
                    <a:srgbClr val="000000"/>
                  </a:solidFill>
                  <a:latin typeface="Arial" pitchFamily="2" charset="0"/>
                  <a:cs typeface="Arial" pitchFamily="2" charset="0"/>
                </a:rPr>
                <a:t>Períodico Mensual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76200</xdr:colOff>
      <xdr:row>0</xdr:row>
      <xdr:rowOff>76200</xdr:rowOff>
    </xdr:from>
    <xdr:to>
      <xdr:col>5</xdr:col>
      <xdr:colOff>691515</xdr:colOff>
      <xdr:row>3</xdr:row>
      <xdr:rowOff>146685</xdr:rowOff>
    </xdr:to>
    <xdr:pic macro="[0]!apvb">
      <xdr:nvPicPr>
        <xdr:cNvPr id="1646" name="Picture 2">
          <a:extLst>
            <a:ext uri="{FF2B5EF4-FFF2-40B4-BE49-F238E27FC236}">
              <a16:creationId xmlns:a16="http://schemas.microsoft.com/office/drawing/2014/main" id="{00000000-0008-0000-0200-00006E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81325" y="76200"/>
          <a:ext cx="6191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38100</xdr:colOff>
      <xdr:row>5</xdr:row>
      <xdr:rowOff>28575</xdr:rowOff>
    </xdr:from>
    <xdr:to>
      <xdr:col>4</xdr:col>
      <xdr:colOff>5715</xdr:colOff>
      <xdr:row>8</xdr:row>
      <xdr:rowOff>5715</xdr:rowOff>
    </xdr:to>
    <xdr:pic>
      <xdr:nvPicPr>
        <xdr:cNvPr id="1647" name="Imagen 3">
          <a:extLst>
            <a:ext uri="{FF2B5EF4-FFF2-40B4-BE49-F238E27FC236}">
              <a16:creationId xmlns:a16="http://schemas.microsoft.com/office/drawing/2014/main" id="{00000000-0008-0000-0200-00006F06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9075" y="962025"/>
          <a:ext cx="14478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Principal color">
  <a:themeElements>
    <a:clrScheme name="Principal color">
      <a:dk1>
        <a:sysClr val="windowText" lastClr="000000"/>
      </a:dk1>
      <a:lt1>
        <a:sysClr val="window" lastClr="FFFFFF"/>
      </a:lt1>
      <a:dk2>
        <a:srgbClr val="0091DA"/>
      </a:dk2>
      <a:lt2>
        <a:srgbClr val="19B9D7"/>
      </a:lt2>
      <a:accent1>
        <a:srgbClr val="4B4687"/>
      </a:accent1>
      <a:accent2>
        <a:srgbClr val="FF841C"/>
      </a:accent2>
      <a:accent3>
        <a:srgbClr val="FFD20F"/>
      </a:accent3>
      <a:accent4>
        <a:srgbClr val="00C19F"/>
      </a:accent4>
      <a:accent5>
        <a:srgbClr val="70478D"/>
      </a:accent5>
      <a:accent6>
        <a:srgbClr val="666666"/>
      </a:accent6>
      <a:hlink>
        <a:srgbClr val="0563C1"/>
      </a:hlink>
      <a:folHlink>
        <a:srgbClr val="0563C1"/>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5.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O63"/>
  <sheetViews>
    <sheetView topLeftCell="A17" workbookViewId="0">
      <selection activeCell="A60" sqref="A60:G60"/>
    </sheetView>
  </sheetViews>
  <sheetFormatPr baseColWidth="10" defaultColWidth="11.33203125" defaultRowHeight="13" x14ac:dyDescent="0.15"/>
  <cols>
    <col min="1" max="1" width="4" style="80" customWidth="1"/>
    <col min="2" max="16384" width="11.33203125" style="80"/>
  </cols>
  <sheetData>
    <row r="2" spans="1:4" x14ac:dyDescent="0.15">
      <c r="B2" s="80" t="s">
        <v>112</v>
      </c>
    </row>
    <row r="3" spans="1:4" x14ac:dyDescent="0.15">
      <c r="B3" s="110" t="s">
        <v>86</v>
      </c>
      <c r="D3" s="112">
        <v>41487</v>
      </c>
    </row>
    <row r="5" spans="1:4" x14ac:dyDescent="0.15">
      <c r="B5" s="1" t="s">
        <v>87</v>
      </c>
    </row>
    <row r="6" spans="1:4" x14ac:dyDescent="0.15">
      <c r="A6" s="1" t="s">
        <v>91</v>
      </c>
      <c r="B6" s="1" t="s">
        <v>88</v>
      </c>
      <c r="C6" s="1" t="s">
        <v>89</v>
      </c>
    </row>
    <row r="15" spans="1:4" x14ac:dyDescent="0.15">
      <c r="A15" s="1" t="s">
        <v>92</v>
      </c>
      <c r="B15" s="1" t="s">
        <v>95</v>
      </c>
    </row>
    <row r="16" spans="1:4" x14ac:dyDescent="0.15">
      <c r="A16" s="1" t="s">
        <v>93</v>
      </c>
      <c r="B16" s="1" t="s">
        <v>94</v>
      </c>
    </row>
    <row r="17" spans="1:2" x14ac:dyDescent="0.15">
      <c r="A17" s="1" t="s">
        <v>101</v>
      </c>
      <c r="B17" s="1" t="s">
        <v>102</v>
      </c>
    </row>
    <row r="18" spans="1:2" x14ac:dyDescent="0.15">
      <c r="A18" s="1" t="s">
        <v>103</v>
      </c>
      <c r="B18" s="1" t="s">
        <v>104</v>
      </c>
    </row>
    <row r="19" spans="1:2" x14ac:dyDescent="0.15">
      <c r="A19" s="1"/>
      <c r="B19" s="1"/>
    </row>
    <row r="20" spans="1:2" x14ac:dyDescent="0.15">
      <c r="B20" s="1" t="s">
        <v>96</v>
      </c>
    </row>
    <row r="21" spans="1:2" x14ac:dyDescent="0.15">
      <c r="A21" s="1" t="s">
        <v>91</v>
      </c>
      <c r="B21" s="1" t="s">
        <v>97</v>
      </c>
    </row>
    <row r="23" spans="1:2" x14ac:dyDescent="0.15">
      <c r="B23" s="1" t="s">
        <v>98</v>
      </c>
    </row>
    <row r="24" spans="1:2" x14ac:dyDescent="0.15">
      <c r="A24" s="1" t="s">
        <v>91</v>
      </c>
      <c r="B24" s="1" t="s">
        <v>99</v>
      </c>
    </row>
    <row r="25" spans="1:2" x14ac:dyDescent="0.15">
      <c r="A25" s="1" t="s">
        <v>92</v>
      </c>
      <c r="B25" s="1" t="s">
        <v>100</v>
      </c>
    </row>
    <row r="26" spans="1:2" x14ac:dyDescent="0.15">
      <c r="A26" s="1" t="s">
        <v>93</v>
      </c>
      <c r="B26" s="1" t="s">
        <v>105</v>
      </c>
    </row>
    <row r="28" spans="1:2" x14ac:dyDescent="0.15">
      <c r="B28" s="1" t="s">
        <v>106</v>
      </c>
    </row>
    <row r="30" spans="1:2" x14ac:dyDescent="0.15">
      <c r="B30" s="1" t="s">
        <v>107</v>
      </c>
    </row>
    <row r="34" spans="2:8" x14ac:dyDescent="0.15">
      <c r="B34" s="1" t="s">
        <v>108</v>
      </c>
    </row>
    <row r="38" spans="2:8" x14ac:dyDescent="0.15">
      <c r="B38" s="1" t="s">
        <v>109</v>
      </c>
    </row>
    <row r="40" spans="2:8" x14ac:dyDescent="0.15">
      <c r="B40" s="1" t="s">
        <v>107</v>
      </c>
    </row>
    <row r="44" spans="2:8" x14ac:dyDescent="0.15">
      <c r="B44" s="1" t="s">
        <v>108</v>
      </c>
    </row>
    <row r="48" spans="2:8" ht="42" customHeight="1" x14ac:dyDescent="0.15">
      <c r="B48" s="146" t="s">
        <v>110</v>
      </c>
      <c r="C48" s="146"/>
      <c r="D48" s="146"/>
      <c r="E48" s="146"/>
      <c r="F48" s="146"/>
      <c r="G48" s="146"/>
      <c r="H48" s="146"/>
    </row>
    <row r="51" spans="1:15" x14ac:dyDescent="0.15">
      <c r="A51" s="145" t="s">
        <v>114</v>
      </c>
      <c r="B51" s="145"/>
      <c r="C51" s="145"/>
      <c r="D51" s="145"/>
      <c r="E51" s="145"/>
      <c r="F51" s="145"/>
      <c r="G51" s="145"/>
    </row>
    <row r="53" spans="1:15" x14ac:dyDescent="0.15">
      <c r="A53" s="147" t="s">
        <v>115</v>
      </c>
      <c r="B53" s="147"/>
      <c r="C53" s="147"/>
      <c r="D53" s="147"/>
      <c r="E53" s="147"/>
      <c r="F53" s="147"/>
      <c r="G53" s="147"/>
      <c r="H53" s="147"/>
      <c r="I53" s="147"/>
    </row>
    <row r="56" spans="1:15" x14ac:dyDescent="0.15">
      <c r="A56" s="148" t="s">
        <v>118</v>
      </c>
      <c r="B56" s="145"/>
      <c r="C56" s="145"/>
      <c r="D56" s="145"/>
      <c r="E56" s="145"/>
      <c r="F56" s="145"/>
      <c r="G56" s="145"/>
    </row>
    <row r="57" spans="1:15" x14ac:dyDescent="0.15">
      <c r="A57" s="147" t="s">
        <v>116</v>
      </c>
      <c r="B57" s="147"/>
      <c r="C57" s="147"/>
      <c r="D57" s="147"/>
      <c r="E57" s="147"/>
      <c r="F57" s="147"/>
      <c r="G57" s="147"/>
      <c r="H57" s="147"/>
      <c r="I57" s="147"/>
      <c r="J57" s="147"/>
      <c r="K57" s="147"/>
      <c r="L57" s="147"/>
      <c r="M57" s="147"/>
      <c r="N57" s="147"/>
      <c r="O57" s="147"/>
    </row>
    <row r="58" spans="1:15" x14ac:dyDescent="0.15">
      <c r="A58" s="147" t="s">
        <v>117</v>
      </c>
      <c r="B58" s="147"/>
      <c r="C58" s="147"/>
      <c r="D58" s="147"/>
      <c r="E58" s="147"/>
      <c r="F58" s="147"/>
      <c r="G58" s="147"/>
      <c r="H58" s="147"/>
      <c r="I58" s="147"/>
      <c r="J58" s="147"/>
      <c r="K58" s="147"/>
    </row>
    <row r="60" spans="1:15" x14ac:dyDescent="0.15">
      <c r="A60" s="145" t="s">
        <v>119</v>
      </c>
      <c r="B60" s="145"/>
      <c r="C60" s="145"/>
      <c r="D60" s="145"/>
      <c r="E60" s="145"/>
      <c r="F60" s="145"/>
      <c r="G60" s="145"/>
    </row>
    <row r="62" spans="1:15" x14ac:dyDescent="0.15">
      <c r="A62" s="80" t="s">
        <v>120</v>
      </c>
    </row>
    <row r="63" spans="1:15" x14ac:dyDescent="0.15">
      <c r="A63" s="80" t="s">
        <v>121</v>
      </c>
    </row>
  </sheetData>
  <mergeCells count="7">
    <mergeCell ref="A60:G60"/>
    <mergeCell ref="B48:H48"/>
    <mergeCell ref="A51:G51"/>
    <mergeCell ref="A53:I53"/>
    <mergeCell ref="A56:G56"/>
    <mergeCell ref="A57:O57"/>
    <mergeCell ref="A58:K58"/>
  </mergeCells>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B1:P23"/>
  <sheetViews>
    <sheetView workbookViewId="0">
      <selection activeCell="K9" sqref="K9"/>
    </sheetView>
  </sheetViews>
  <sheetFormatPr baseColWidth="10" defaultColWidth="11.33203125" defaultRowHeight="13" x14ac:dyDescent="0.15"/>
  <cols>
    <col min="1" max="1" width="11.33203125" style="80"/>
    <col min="2" max="3" width="0.6640625" style="80" customWidth="1"/>
    <col min="4" max="4" width="43.1640625" style="80" bestFit="1" customWidth="1"/>
    <col min="5" max="5" width="15.33203125" style="80" bestFit="1" customWidth="1"/>
    <col min="6" max="7" width="0.83203125" style="80" customWidth="1"/>
    <col min="8" max="8" width="11.33203125" style="80"/>
    <col min="9" max="9" width="12.83203125" style="80" bestFit="1" customWidth="1"/>
    <col min="10" max="16384" width="11.33203125" style="80"/>
  </cols>
  <sheetData>
    <row r="1" spans="2:16" x14ac:dyDescent="0.15">
      <c r="B1" s="111" t="s">
        <v>3</v>
      </c>
      <c r="C1" s="111"/>
      <c r="D1" s="111"/>
      <c r="E1" s="111"/>
      <c r="F1" s="111"/>
      <c r="G1" s="111"/>
      <c r="I1" s="92"/>
      <c r="K1" s="92"/>
      <c r="L1" s="92"/>
      <c r="M1" s="44" t="s">
        <v>27</v>
      </c>
      <c r="N1" s="92"/>
      <c r="P1" s="92"/>
    </row>
    <row r="2" spans="2:16" x14ac:dyDescent="0.15">
      <c r="I2" s="92"/>
      <c r="K2" s="92"/>
      <c r="L2" s="92"/>
      <c r="M2" s="44" t="s">
        <v>29</v>
      </c>
      <c r="N2" s="92"/>
      <c r="P2" s="92"/>
    </row>
    <row r="3" spans="2:16" ht="14" thickBot="1" x14ac:dyDescent="0.2">
      <c r="H3" s="93"/>
      <c r="I3" s="94"/>
      <c r="J3" s="94"/>
      <c r="K3" s="94"/>
      <c r="L3" s="94"/>
      <c r="M3" s="94"/>
      <c r="N3" s="94"/>
      <c r="O3" s="94"/>
      <c r="P3" s="92"/>
    </row>
    <row r="4" spans="2:16" x14ac:dyDescent="0.15">
      <c r="B4" s="81"/>
      <c r="C4" s="82"/>
      <c r="D4" s="82"/>
      <c r="E4" s="82"/>
      <c r="F4" s="82"/>
      <c r="G4" s="83"/>
      <c r="H4" s="93"/>
      <c r="I4" s="70"/>
      <c r="J4" s="70"/>
      <c r="K4" s="70"/>
      <c r="L4" s="70"/>
      <c r="M4" s="70"/>
      <c r="N4" s="70"/>
      <c r="O4" s="70"/>
      <c r="P4" s="1"/>
    </row>
    <row r="5" spans="2:16" ht="16" x14ac:dyDescent="0.2">
      <c r="B5" s="84"/>
      <c r="D5" s="120" t="s">
        <v>24</v>
      </c>
      <c r="E5" s="123">
        <v>1500000</v>
      </c>
      <c r="G5" s="85"/>
      <c r="H5" s="93"/>
      <c r="I5" s="95"/>
      <c r="J5" s="96" t="s">
        <v>6</v>
      </c>
      <c r="K5" s="97">
        <v>0.02</v>
      </c>
      <c r="L5" s="70"/>
      <c r="M5" s="70"/>
      <c r="N5" s="70"/>
      <c r="O5" s="70"/>
      <c r="P5" s="1"/>
    </row>
    <row r="6" spans="2:16" ht="16" x14ac:dyDescent="0.2">
      <c r="B6" s="84"/>
      <c r="D6" s="120" t="s">
        <v>90</v>
      </c>
      <c r="E6" s="124">
        <v>100000</v>
      </c>
      <c r="G6" s="85"/>
      <c r="H6" s="93"/>
      <c r="I6" s="96">
        <f>75*Valor_UF</f>
        <v>2945030.25</v>
      </c>
      <c r="J6" s="96" t="s">
        <v>7</v>
      </c>
      <c r="K6" s="97">
        <f>K5+0.005</f>
        <v>2.5000000000000001E-2</v>
      </c>
      <c r="L6" s="70"/>
      <c r="M6" s="70"/>
      <c r="N6" s="70"/>
      <c r="O6" s="70"/>
      <c r="P6" s="1"/>
    </row>
    <row r="7" spans="2:16" ht="16" x14ac:dyDescent="0.2">
      <c r="B7" s="84"/>
      <c r="D7" s="120" t="s">
        <v>5</v>
      </c>
      <c r="E7" s="125" t="s">
        <v>7</v>
      </c>
      <c r="G7" s="85"/>
      <c r="H7" s="93"/>
      <c r="I7" s="70"/>
      <c r="J7" s="96"/>
      <c r="K7" s="97">
        <f t="shared" ref="K7:K16" si="0">K6+0.005</f>
        <v>3.0000000000000002E-2</v>
      </c>
      <c r="L7" s="70"/>
      <c r="M7" s="70"/>
      <c r="N7" s="70"/>
      <c r="O7" s="70"/>
      <c r="P7" s="1"/>
    </row>
    <row r="8" spans="2:16" ht="16" x14ac:dyDescent="0.2">
      <c r="B8" s="84"/>
      <c r="D8" s="120" t="s">
        <v>122</v>
      </c>
      <c r="E8" s="126">
        <v>19099</v>
      </c>
      <c r="G8" s="85"/>
      <c r="H8" s="93"/>
      <c r="I8" s="70"/>
      <c r="J8" s="96"/>
      <c r="K8" s="97">
        <f t="shared" si="0"/>
        <v>3.5000000000000003E-2</v>
      </c>
      <c r="L8" s="70"/>
      <c r="M8" s="70"/>
      <c r="N8" s="70"/>
      <c r="O8" s="70"/>
      <c r="P8" s="1"/>
    </row>
    <row r="9" spans="2:16" x14ac:dyDescent="0.15">
      <c r="B9" s="84"/>
      <c r="D9" s="121"/>
      <c r="G9" s="85"/>
      <c r="H9" s="93"/>
      <c r="I9" s="70"/>
      <c r="J9" s="96"/>
      <c r="K9" s="97">
        <f t="shared" si="0"/>
        <v>0.04</v>
      </c>
      <c r="L9" s="70"/>
      <c r="M9" s="70"/>
      <c r="N9" s="70"/>
      <c r="O9" s="70"/>
      <c r="P9" s="1"/>
    </row>
    <row r="10" spans="2:16" ht="16" customHeight="1" x14ac:dyDescent="0.15">
      <c r="B10" s="84"/>
      <c r="C10" s="79"/>
      <c r="D10" s="122" t="s">
        <v>22</v>
      </c>
      <c r="E10" s="127">
        <v>4.4999999999999998E-2</v>
      </c>
      <c r="G10" s="85"/>
      <c r="H10" s="93"/>
      <c r="I10" s="70"/>
      <c r="J10" s="96"/>
      <c r="K10" s="97">
        <f t="shared" si="0"/>
        <v>4.4999999999999998E-2</v>
      </c>
      <c r="L10" s="70"/>
      <c r="M10" s="70"/>
      <c r="N10" s="70"/>
      <c r="O10" s="70"/>
      <c r="P10" s="1"/>
    </row>
    <row r="11" spans="2:16" ht="13" customHeight="1" x14ac:dyDescent="0.15">
      <c r="B11" s="84"/>
      <c r="C11" s="79"/>
      <c r="D11" s="79"/>
      <c r="E11" s="1"/>
      <c r="G11" s="85"/>
      <c r="H11" s="70"/>
      <c r="I11" s="70"/>
      <c r="J11" s="96"/>
      <c r="K11" s="97">
        <f t="shared" si="0"/>
        <v>4.9999999999999996E-2</v>
      </c>
      <c r="L11" s="70"/>
      <c r="M11" s="70"/>
      <c r="N11" s="70"/>
      <c r="O11" s="70"/>
      <c r="P11" s="1"/>
    </row>
    <row r="12" spans="2:16" ht="14" thickBot="1" x14ac:dyDescent="0.2">
      <c r="B12" s="86"/>
      <c r="C12" s="87"/>
      <c r="D12" s="87"/>
      <c r="E12" s="87"/>
      <c r="F12" s="87"/>
      <c r="G12" s="88"/>
      <c r="H12" s="93"/>
      <c r="I12" s="70"/>
      <c r="J12" s="96"/>
      <c r="K12" s="97">
        <f t="shared" si="0"/>
        <v>5.4999999999999993E-2</v>
      </c>
      <c r="L12" s="70"/>
      <c r="M12" s="70"/>
      <c r="N12" s="70"/>
      <c r="O12" s="70"/>
      <c r="P12" s="1"/>
    </row>
    <row r="13" spans="2:16" x14ac:dyDescent="0.15">
      <c r="H13" s="93"/>
      <c r="I13" s="70"/>
      <c r="J13" s="96"/>
      <c r="K13" s="97">
        <f>K12+0.005</f>
        <v>5.9999999999999991E-2</v>
      </c>
      <c r="L13" s="70"/>
      <c r="M13" s="70"/>
      <c r="N13" s="70"/>
      <c r="O13" s="70"/>
      <c r="P13" s="1"/>
    </row>
    <row r="14" spans="2:16" x14ac:dyDescent="0.15">
      <c r="H14" s="93"/>
      <c r="I14" s="70"/>
      <c r="J14" s="96"/>
      <c r="K14" s="97">
        <f t="shared" si="0"/>
        <v>6.4999999999999988E-2</v>
      </c>
      <c r="L14" s="70"/>
      <c r="M14" s="70"/>
      <c r="N14" s="70"/>
      <c r="O14" s="70"/>
      <c r="P14" s="1"/>
    </row>
    <row r="15" spans="2:16" x14ac:dyDescent="0.15">
      <c r="H15" s="93"/>
      <c r="I15" s="70"/>
      <c r="J15" s="96"/>
      <c r="K15" s="97">
        <f t="shared" si="0"/>
        <v>6.9999999999999993E-2</v>
      </c>
      <c r="L15" s="70"/>
      <c r="M15" s="70"/>
      <c r="N15" s="70"/>
      <c r="O15" s="70"/>
      <c r="P15" s="1"/>
    </row>
    <row r="16" spans="2:16" x14ac:dyDescent="0.15">
      <c r="H16" s="93"/>
      <c r="I16" s="70"/>
      <c r="J16" s="96"/>
      <c r="K16" s="97">
        <f t="shared" si="0"/>
        <v>7.4999999999999997E-2</v>
      </c>
      <c r="L16" s="70"/>
      <c r="M16" s="70"/>
      <c r="N16" s="70"/>
      <c r="O16" s="70"/>
      <c r="P16" s="1"/>
    </row>
    <row r="17" spans="8:16" x14ac:dyDescent="0.15">
      <c r="H17" s="93"/>
      <c r="I17" s="70"/>
      <c r="J17" s="96"/>
      <c r="K17" s="97">
        <f>K16+0.005</f>
        <v>0.08</v>
      </c>
      <c r="L17" s="70"/>
      <c r="M17" s="70"/>
      <c r="N17" s="70"/>
      <c r="O17" s="70"/>
      <c r="P17" s="1"/>
    </row>
    <row r="18" spans="8:16" x14ac:dyDescent="0.15">
      <c r="H18" s="93"/>
      <c r="I18" s="70"/>
      <c r="J18" s="96"/>
      <c r="K18" s="97">
        <f>K17+0.005</f>
        <v>8.5000000000000006E-2</v>
      </c>
      <c r="L18" s="70"/>
      <c r="M18" s="70"/>
      <c r="N18" s="70"/>
      <c r="O18" s="70"/>
      <c r="P18" s="1"/>
    </row>
    <row r="19" spans="8:16" x14ac:dyDescent="0.15">
      <c r="H19" s="93"/>
      <c r="I19" s="70"/>
      <c r="J19" s="96"/>
      <c r="K19" s="97">
        <f>K18+0.005</f>
        <v>9.0000000000000011E-2</v>
      </c>
      <c r="L19" s="70"/>
      <c r="M19" s="70"/>
      <c r="N19" s="70"/>
      <c r="O19" s="70"/>
      <c r="P19" s="1"/>
    </row>
    <row r="20" spans="8:16" x14ac:dyDescent="0.15">
      <c r="H20" s="93"/>
      <c r="I20" s="93"/>
      <c r="J20" s="93"/>
      <c r="K20" s="93"/>
      <c r="L20" s="93"/>
      <c r="M20" s="93"/>
      <c r="N20" s="93"/>
      <c r="O20" s="93"/>
    </row>
    <row r="21" spans="8:16" x14ac:dyDescent="0.15">
      <c r="H21" s="93"/>
      <c r="I21" s="93"/>
      <c r="J21" s="93"/>
      <c r="K21" s="93"/>
      <c r="L21" s="93"/>
      <c r="M21" s="93"/>
      <c r="N21" s="93"/>
      <c r="O21" s="93"/>
    </row>
    <row r="22" spans="8:16" x14ac:dyDescent="0.15">
      <c r="H22" s="93"/>
      <c r="I22" s="93"/>
      <c r="J22" s="93"/>
      <c r="K22" s="93"/>
      <c r="L22" s="93"/>
      <c r="M22" s="93"/>
      <c r="N22" s="93"/>
      <c r="O22" s="93"/>
    </row>
    <row r="23" spans="8:16" x14ac:dyDescent="0.15">
      <c r="H23" s="93"/>
      <c r="I23" s="93"/>
      <c r="J23" s="93"/>
      <c r="K23" s="93"/>
      <c r="L23" s="93"/>
      <c r="M23" s="93"/>
      <c r="N23" s="93"/>
      <c r="O23" s="93"/>
    </row>
  </sheetData>
  <sheetProtection algorithmName="SHA-512" hashValue="4cfl3JqK6D24g0tCtWFwAsVe2+yWCxOXWe8JKZmaFs1OUhCvPvyUdWvjUNsk5mG3GCf3FoO72vlBvox740fF9A==" saltValue="AneDR2YDIXazqLOIzyErHw==" spinCount="100000" sheet="1" objects="1" scenarios="1"/>
  <dataValidations count="4">
    <dataValidation type="list" allowBlank="1" showInputMessage="1" showErrorMessage="1" sqref="E10" xr:uid="{00000000-0002-0000-0100-000000000000}">
      <formula1>$K$5:$K$19</formula1>
    </dataValidation>
    <dataValidation type="list" allowBlank="1" showInputMessage="1" showErrorMessage="1" sqref="E7" xr:uid="{00000000-0002-0000-0100-000001000000}">
      <formula1>$J$5:$J$6</formula1>
    </dataValidation>
    <dataValidation allowBlank="1" errorTitle="Tope Máximo Depósitos Convenidos" error="Puede acordar hasta 75 UF mensuales en depósitos convenidos." promptTitle="Tope Máximo Depósitos Convenidos" prompt="Puede acordar hasta 75 UF mensuales en depósitos convenidos." sqref="H6" xr:uid="{00000000-0002-0000-0100-000002000000}"/>
    <dataValidation type="decimal" allowBlank="1" showErrorMessage="1" errorTitle="Error" error="Puede acordar máximo un total de 75 UF mensuales por concepto de depósitos convenidos." sqref="E6" xr:uid="{00000000-0002-0000-0100-000003000000}">
      <formula1>0</formula1>
      <formula2>I6</formula2>
    </dataValidation>
  </dataValidations>
  <pageMargins left="0.7" right="0.7" top="0.75" bottom="0.75" header="0.3" footer="0.3"/>
  <pageSetup paperSize="9" orientation="portrait" horizontalDpi="300" verticalDpi="300" r:id="rId1"/>
  <headerFooter>
    <oddFooter>&amp;L&amp;1#&amp;"Calibri"&amp;9&amp;K737373Classification: Customer Confidential</oddFooter>
  </headerFooter>
  <customProperties>
    <customPr name="QAA_DRILLPATH_NODE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100" r:id="rId5" name="Button 4">
              <controlPr defaultSize="0" print="0" autoFill="0" autoPict="0" macro="[0]!Macro3">
                <anchor moveWithCells="1" sizeWithCells="1">
                  <from>
                    <xdr:col>3</xdr:col>
                    <xdr:colOff>1600200</xdr:colOff>
                    <xdr:row>13</xdr:row>
                    <xdr:rowOff>139700</xdr:rowOff>
                  </from>
                  <to>
                    <xdr:col>7</xdr:col>
                    <xdr:colOff>63500</xdr:colOff>
                    <xdr:row>18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X126"/>
  <sheetViews>
    <sheetView tabSelected="1" zoomScaleNormal="100" workbookViewId="0">
      <selection activeCell="J9" sqref="J9"/>
    </sheetView>
  </sheetViews>
  <sheetFormatPr baseColWidth="10" defaultColWidth="11.33203125" defaultRowHeight="13" x14ac:dyDescent="0.15"/>
  <cols>
    <col min="1" max="1" width="2.6640625" style="1" customWidth="1"/>
    <col min="2" max="3" width="1.6640625" style="1" customWidth="1"/>
    <col min="4" max="5" width="18.6640625" style="1" customWidth="1"/>
    <col min="6" max="6" width="20.6640625" style="1" customWidth="1"/>
    <col min="7" max="9" width="18.6640625" style="1" customWidth="1"/>
    <col min="10" max="10" width="15.5" style="1" customWidth="1"/>
    <col min="11" max="11" width="11.33203125" style="92" customWidth="1"/>
    <col min="12" max="12" width="19.33203125" style="92" customWidth="1"/>
    <col min="13" max="17" width="11.33203125" style="92" customWidth="1"/>
    <col min="18" max="18" width="11.33203125" style="92"/>
    <col min="19" max="23" width="11.33203125" style="1"/>
    <col min="24" max="24" width="11.33203125" style="14"/>
    <col min="25" max="16384" width="11.33203125" style="1"/>
  </cols>
  <sheetData>
    <row r="1" spans="2:24" ht="18" customHeight="1" x14ac:dyDescent="0.15">
      <c r="B1" s="155" t="s">
        <v>3</v>
      </c>
      <c r="C1" s="155"/>
      <c r="D1" s="155"/>
      <c r="E1" s="155"/>
      <c r="G1" s="34"/>
      <c r="H1" s="34"/>
      <c r="I1" s="34"/>
      <c r="J1" s="44" t="s">
        <v>27</v>
      </c>
      <c r="L1" s="113" t="s">
        <v>76</v>
      </c>
      <c r="M1" s="113">
        <v>70.3</v>
      </c>
      <c r="N1" s="113" t="s">
        <v>10</v>
      </c>
      <c r="O1" s="113"/>
      <c r="P1" s="113" t="s">
        <v>77</v>
      </c>
      <c r="Q1" s="113">
        <v>0.1</v>
      </c>
      <c r="R1" s="113" t="s">
        <v>85</v>
      </c>
      <c r="S1">
        <f>+L15</f>
        <v>0.04</v>
      </c>
    </row>
    <row r="2" spans="2:24" ht="18" customHeight="1" x14ac:dyDescent="0.15">
      <c r="J2" s="44" t="s">
        <v>29</v>
      </c>
      <c r="L2" s="113" t="s">
        <v>78</v>
      </c>
      <c r="M2" s="113">
        <v>105.4</v>
      </c>
      <c r="N2" s="113" t="s">
        <v>10</v>
      </c>
      <c r="O2" s="113"/>
      <c r="P2" s="113" t="s">
        <v>79</v>
      </c>
      <c r="Q2" s="113">
        <v>7.0000000000000007E-2</v>
      </c>
      <c r="R2" s="113"/>
      <c r="S2"/>
      <c r="X2" s="14" t="s">
        <v>4</v>
      </c>
    </row>
    <row r="3" spans="2:24" ht="16" customHeight="1" x14ac:dyDescent="0.15">
      <c r="L3" s="113" t="s">
        <v>80</v>
      </c>
      <c r="M3" s="113">
        <v>6.0000000000000001E-3</v>
      </c>
      <c r="N3" s="113" t="s">
        <v>81</v>
      </c>
      <c r="O3" s="113"/>
      <c r="P3" s="113" t="s">
        <v>82</v>
      </c>
      <c r="Q3" s="113">
        <v>0.02</v>
      </c>
      <c r="R3" s="113"/>
      <c r="S3"/>
    </row>
    <row r="4" spans="2:24" ht="16" customHeight="1" x14ac:dyDescent="0.15">
      <c r="L4" s="113" t="s">
        <v>83</v>
      </c>
      <c r="M4" s="113">
        <v>50</v>
      </c>
      <c r="N4" s="113" t="s">
        <v>10</v>
      </c>
      <c r="O4" s="113"/>
      <c r="P4" s="113" t="s">
        <v>84</v>
      </c>
      <c r="Q4" s="113">
        <f>900/12</f>
        <v>75</v>
      </c>
      <c r="R4" s="113" t="s">
        <v>10</v>
      </c>
      <c r="S4"/>
    </row>
    <row r="5" spans="2:24" ht="6" customHeight="1" thickBot="1" x14ac:dyDescent="0.2">
      <c r="L5" s="113"/>
      <c r="M5" s="113"/>
      <c r="N5" s="113"/>
      <c r="O5" s="113"/>
      <c r="P5" s="113"/>
      <c r="Q5" s="113"/>
      <c r="R5" s="113"/>
      <c r="S5"/>
    </row>
    <row r="6" spans="2:24" ht="6" customHeight="1" x14ac:dyDescent="0.15">
      <c r="B6" s="2"/>
      <c r="C6" s="3"/>
      <c r="D6" s="3"/>
      <c r="E6" s="3"/>
      <c r="F6" s="3"/>
      <c r="G6" s="3"/>
      <c r="H6" s="3"/>
      <c r="I6" s="3"/>
      <c r="J6" s="4"/>
      <c r="L6" s="113"/>
      <c r="M6" s="113"/>
      <c r="N6" s="113"/>
      <c r="O6" s="113"/>
      <c r="P6" s="113"/>
      <c r="Q6" s="113"/>
      <c r="R6" s="113"/>
      <c r="S6"/>
      <c r="X6" s="15">
        <v>0.03</v>
      </c>
    </row>
    <row r="7" spans="2:24" ht="18" customHeight="1" x14ac:dyDescent="0.2">
      <c r="B7" s="5"/>
      <c r="D7" s="41"/>
      <c r="E7" s="156" t="s">
        <v>74</v>
      </c>
      <c r="F7" s="156"/>
      <c r="G7" s="156"/>
      <c r="H7" s="156"/>
      <c r="I7" s="156"/>
      <c r="J7" s="6"/>
      <c r="L7" s="113"/>
      <c r="M7" s="113"/>
      <c r="N7" s="113"/>
      <c r="O7" s="113"/>
      <c r="P7" s="113"/>
      <c r="Q7" s="113"/>
      <c r="R7" s="113"/>
      <c r="S7"/>
      <c r="X7" s="15">
        <f>X6+0.5%</f>
        <v>3.4999999999999996E-2</v>
      </c>
    </row>
    <row r="8" spans="2:24" ht="12" customHeight="1" x14ac:dyDescent="0.2">
      <c r="B8" s="5"/>
      <c r="D8" s="13"/>
      <c r="E8" s="13"/>
      <c r="F8" s="13"/>
      <c r="G8" s="13"/>
      <c r="H8" s="153" t="s">
        <v>127</v>
      </c>
      <c r="I8" s="154"/>
      <c r="J8" s="6"/>
      <c r="L8" s="113" t="s">
        <v>28</v>
      </c>
      <c r="M8" s="113"/>
      <c r="N8" s="113" t="s">
        <v>6</v>
      </c>
      <c r="O8" s="113"/>
      <c r="P8" s="113"/>
      <c r="Q8" s="113"/>
      <c r="R8" s="113"/>
      <c r="S8"/>
      <c r="V8" s="14"/>
      <c r="W8" s="14"/>
      <c r="X8" s="15">
        <f t="shared" ref="X8:X15" si="0">X7+0.5%</f>
        <v>3.9999999999999994E-2</v>
      </c>
    </row>
    <row r="9" spans="2:24" ht="16" x14ac:dyDescent="0.2">
      <c r="B9" s="5"/>
      <c r="D9"/>
      <c r="E9" s="120" t="s">
        <v>24</v>
      </c>
      <c r="F9" s="89">
        <f>Antecedentes!E5</f>
        <v>1500000</v>
      </c>
      <c r="G9" s="18"/>
      <c r="H9" s="33" t="s">
        <v>23</v>
      </c>
      <c r="I9" s="144">
        <f>IF(J9=UF!C3,UF!B3,UF!B4)</f>
        <v>39267.07</v>
      </c>
      <c r="J9" s="131" t="s">
        <v>128</v>
      </c>
      <c r="L9" s="113">
        <f>Impuesto!C5</f>
        <v>68923</v>
      </c>
      <c r="M9" s="113"/>
      <c r="N9" s="113" t="s">
        <v>7</v>
      </c>
      <c r="O9" s="113"/>
      <c r="P9" s="113"/>
      <c r="Q9" s="113"/>
      <c r="R9" s="113"/>
      <c r="S9"/>
      <c r="V9" s="14"/>
      <c r="W9" s="14"/>
      <c r="X9" s="15">
        <f t="shared" si="0"/>
        <v>4.4999999999999991E-2</v>
      </c>
    </row>
    <row r="10" spans="2:24" ht="18" customHeight="1" x14ac:dyDescent="0.2">
      <c r="B10" s="5"/>
      <c r="D10" s="26"/>
      <c r="E10" s="120" t="s">
        <v>70</v>
      </c>
      <c r="F10" s="109">
        <f>+Antecedentes!E6</f>
        <v>100000</v>
      </c>
      <c r="H10" s="33" t="s">
        <v>125</v>
      </c>
      <c r="I10" s="144">
        <f>UF!G2</f>
        <v>68923</v>
      </c>
      <c r="J10" s="6"/>
      <c r="L10" s="113">
        <f>IF(Sueldo_Bruto/Valor_UF&lt;tope_imponible_mensual,Sueldo_Bruto*(1-tasa_dcto_AFP-tasa_dcto_Salud-tasa_com_AFP),Sueldo_Bruto-tope_imponible_mensual*Valor_UF*(tasa_dcto_AFP+tasa_dcto_Salud+tasa_com_AFP))</f>
        <v>1215000</v>
      </c>
      <c r="M10" s="113"/>
      <c r="N10" s="113">
        <v>0</v>
      </c>
      <c r="O10" s="113">
        <v>13.5</v>
      </c>
      <c r="P10" s="113">
        <v>0</v>
      </c>
      <c r="Q10" s="113"/>
      <c r="R10" s="113"/>
      <c r="S10"/>
      <c r="V10" s="14"/>
      <c r="W10" s="14"/>
      <c r="X10" s="15">
        <f t="shared" si="0"/>
        <v>4.9999999999999989E-2</v>
      </c>
    </row>
    <row r="11" spans="2:24" ht="18" customHeight="1" x14ac:dyDescent="0.2">
      <c r="B11" s="5"/>
      <c r="D11" s="12"/>
      <c r="E11" s="120" t="s">
        <v>5</v>
      </c>
      <c r="F11" s="89" t="str">
        <f>Antecedentes!E7</f>
        <v>F</v>
      </c>
      <c r="G11" s="149" t="s">
        <v>22</v>
      </c>
      <c r="H11" s="150"/>
      <c r="I11" s="91">
        <f>Antecedentes!E10</f>
        <v>4.4999999999999998E-2</v>
      </c>
      <c r="J11" s="6"/>
      <c r="L11" s="113">
        <f>IF(Sueldo_Bruto/Valor_UF&lt;tope_imponible_mensual_cot_cesantia,Sueldo_Bruto*cotizacion_cesantia,tope_imponible_mensual_cot_cesantia*cotizacion_cesantia*Valor_UF)</f>
        <v>9000</v>
      </c>
      <c r="M11" s="113"/>
      <c r="N11" s="113">
        <f t="shared" ref="N11:N17" si="1">O10+0.001</f>
        <v>13.500999999999999</v>
      </c>
      <c r="O11" s="113">
        <v>30</v>
      </c>
      <c r="P11" s="113">
        <v>0.04</v>
      </c>
      <c r="Q11" s="113">
        <v>0.54</v>
      </c>
      <c r="R11" s="113"/>
      <c r="S11"/>
      <c r="V11" s="14"/>
      <c r="W11" s="14"/>
      <c r="X11" s="15">
        <f t="shared" si="0"/>
        <v>5.4999999999999986E-2</v>
      </c>
    </row>
    <row r="12" spans="2:24" ht="18" customHeight="1" x14ac:dyDescent="0.2">
      <c r="B12" s="5"/>
      <c r="D12" s="12"/>
      <c r="E12" s="120" t="s">
        <v>59</v>
      </c>
      <c r="F12" s="90">
        <f>Antecedentes!E8</f>
        <v>19099</v>
      </c>
      <c r="G12" s="149"/>
      <c r="H12" s="150"/>
      <c r="J12" s="6"/>
      <c r="L12" s="113">
        <f>L10-L11</f>
        <v>1206000</v>
      </c>
      <c r="M12" s="113"/>
      <c r="N12" s="113">
        <f t="shared" si="1"/>
        <v>30.001000000000001</v>
      </c>
      <c r="O12" s="113">
        <v>50</v>
      </c>
      <c r="P12" s="113">
        <v>0.08</v>
      </c>
      <c r="Q12" s="113">
        <v>1.74</v>
      </c>
      <c r="R12" s="113"/>
      <c r="S12"/>
      <c r="V12" s="14"/>
      <c r="W12" s="14"/>
      <c r="X12" s="15">
        <f t="shared" si="0"/>
        <v>5.9999999999999984E-2</v>
      </c>
    </row>
    <row r="13" spans="2:24" ht="27" customHeight="1" x14ac:dyDescent="0.2">
      <c r="B13" s="5"/>
      <c r="D13" s="12"/>
      <c r="E13" s="12"/>
      <c r="F13" s="13"/>
      <c r="G13" s="79"/>
      <c r="H13" s="79"/>
      <c r="J13" s="6"/>
      <c r="L13" s="113"/>
      <c r="M13" s="113"/>
      <c r="N13" s="113">
        <f t="shared" si="1"/>
        <v>50.000999999999998</v>
      </c>
      <c r="O13" s="113">
        <v>70</v>
      </c>
      <c r="P13" s="113">
        <v>0.13500000000000001</v>
      </c>
      <c r="Q13" s="113">
        <v>4.49</v>
      </c>
      <c r="R13" s="113"/>
      <c r="S13"/>
      <c r="V13" s="14"/>
      <c r="W13" s="14"/>
      <c r="X13" s="15">
        <f>X12+0.5%</f>
        <v>6.4999999999999988E-2</v>
      </c>
    </row>
    <row r="14" spans="2:24" ht="35.25" customHeight="1" x14ac:dyDescent="0.15">
      <c r="B14" s="5"/>
      <c r="D14" s="157" t="s">
        <v>71</v>
      </c>
      <c r="E14" s="35" t="s">
        <v>75</v>
      </c>
      <c r="F14" s="129" t="s">
        <v>111</v>
      </c>
      <c r="G14" s="157" t="s">
        <v>72</v>
      </c>
      <c r="H14" s="157" t="s">
        <v>73</v>
      </c>
      <c r="I14" s="157" t="s">
        <v>73</v>
      </c>
      <c r="J14" s="6"/>
      <c r="L14" s="113">
        <f>(L12)/L9</f>
        <v>17.49778738592342</v>
      </c>
      <c r="M14" s="113"/>
      <c r="N14" s="113">
        <f t="shared" si="1"/>
        <v>70.001000000000005</v>
      </c>
      <c r="O14" s="113">
        <v>90</v>
      </c>
      <c r="P14" s="113">
        <v>0.23</v>
      </c>
      <c r="Q14" s="113">
        <v>11.14</v>
      </c>
      <c r="R14" s="113"/>
      <c r="S14"/>
      <c r="V14" s="14"/>
      <c r="W14" s="14"/>
      <c r="X14" s="15">
        <f t="shared" si="0"/>
        <v>6.9999999999999993E-2</v>
      </c>
    </row>
    <row r="15" spans="2:24" ht="35.25" customHeight="1" x14ac:dyDescent="0.15">
      <c r="B15" s="5"/>
      <c r="D15" s="160"/>
      <c r="E15" s="143">
        <f>(Monto_DC-tasa_imp*MIN(Monto_DC,tope_DC_mensual*Valor_UF))/Valor_UF</f>
        <v>2.4447966196612074</v>
      </c>
      <c r="F15" s="143">
        <f>+tasa_imp*MIN(Monto_DC,tope_DC_mensual*Valor_UF)/Valor_UF</f>
        <v>0.10186652581921697</v>
      </c>
      <c r="G15" s="158"/>
      <c r="H15" s="158"/>
      <c r="I15" s="158"/>
      <c r="J15" s="6"/>
      <c r="L15" s="113">
        <f>VLOOKUP(L14,N10:P17,3)</f>
        <v>0.04</v>
      </c>
      <c r="M15" s="113"/>
      <c r="N15" s="113">
        <f t="shared" si="1"/>
        <v>90.001000000000005</v>
      </c>
      <c r="O15" s="113">
        <v>120</v>
      </c>
      <c r="P15" s="113">
        <v>0.30399999999999999</v>
      </c>
      <c r="Q15" s="113">
        <v>17.8</v>
      </c>
      <c r="R15" s="113"/>
      <c r="S15"/>
      <c r="V15" s="14"/>
      <c r="W15" s="14"/>
      <c r="X15" s="15">
        <f t="shared" si="0"/>
        <v>7.4999999999999997E-2</v>
      </c>
    </row>
    <row r="16" spans="2:24" ht="18" customHeight="1" x14ac:dyDescent="0.15">
      <c r="B16" s="5"/>
      <c r="D16" s="35" t="s">
        <v>26</v>
      </c>
      <c r="E16" s="42" t="s">
        <v>10</v>
      </c>
      <c r="F16" s="36" t="s">
        <v>10</v>
      </c>
      <c r="G16" s="35" t="s">
        <v>10</v>
      </c>
      <c r="H16" s="35" t="s">
        <v>10</v>
      </c>
      <c r="I16" s="35" t="s">
        <v>25</v>
      </c>
      <c r="J16" s="6"/>
      <c r="L16" s="113"/>
      <c r="M16" s="113"/>
      <c r="N16" s="113">
        <f t="shared" si="1"/>
        <v>120.001</v>
      </c>
      <c r="O16" s="113">
        <v>150</v>
      </c>
      <c r="P16" s="113">
        <v>0.35499999999999998</v>
      </c>
      <c r="Q16" s="113">
        <v>23.92</v>
      </c>
      <c r="R16" s="113"/>
      <c r="S16"/>
      <c r="V16" s="14"/>
      <c r="W16" s="14"/>
      <c r="X16" s="15">
        <f>X15+0.5%</f>
        <v>0.08</v>
      </c>
    </row>
    <row r="17" spans="2:24" ht="17.25" customHeight="1" x14ac:dyDescent="0.15">
      <c r="B17" s="17">
        <v>1</v>
      </c>
      <c r="C17" s="92"/>
      <c r="D17" s="28">
        <v>1</v>
      </c>
      <c r="E17" s="45">
        <f>FV($F$60,12*B17,-$E$15)</f>
        <v>29.937837829542676</v>
      </c>
      <c r="F17" s="45">
        <f>FV($F$60,12*B17,-$F$15)</f>
        <v>1.2474099095642781</v>
      </c>
      <c r="G17" s="46">
        <f>F17+E17</f>
        <v>31.185247739106956</v>
      </c>
      <c r="H17" s="114">
        <f t="shared" ref="H17:H56" si="2">G17/(IF($F$11="M",CNU_H,CNU_M))</f>
        <v>0.12405620072840702</v>
      </c>
      <c r="I17" s="37">
        <f t="shared" ref="I17:I56" si="3">H17*$I$9</f>
        <v>4871.3235179364092</v>
      </c>
      <c r="J17" s="6"/>
      <c r="L17" s="113" t="s">
        <v>42</v>
      </c>
      <c r="M17" s="113"/>
      <c r="N17" s="113">
        <f t="shared" si="1"/>
        <v>150.001</v>
      </c>
      <c r="O17" s="113"/>
      <c r="P17" s="113">
        <v>0.4</v>
      </c>
      <c r="Q17" s="113">
        <v>30.67</v>
      </c>
      <c r="R17" s="113"/>
      <c r="S17"/>
      <c r="V17" s="14"/>
      <c r="W17" s="14"/>
    </row>
    <row r="18" spans="2:24" ht="17.25" customHeight="1" x14ac:dyDescent="0.15">
      <c r="B18" s="17">
        <v>2</v>
      </c>
      <c r="D18" s="29">
        <v>2</v>
      </c>
      <c r="E18" s="47">
        <f>FV($F$60,12*B18,-$E$15)</f>
        <v>61.22287836141485</v>
      </c>
      <c r="F18" s="47">
        <f>FV($F$60,12*B18,-$F$15)</f>
        <v>2.5509532650589519</v>
      </c>
      <c r="G18" s="48">
        <f t="shared" ref="G18:G56" si="4">F18+E18</f>
        <v>63.7738316264738</v>
      </c>
      <c r="H18" s="115">
        <f t="shared" si="2"/>
        <v>0.25369493048959263</v>
      </c>
      <c r="I18" s="38">
        <f t="shared" si="3"/>
        <v>9961.8565941799679</v>
      </c>
      <c r="J18" s="6"/>
      <c r="L18" s="113">
        <f ca="1">YEAR(F12)+edadjub-YEAR(TODAY())</f>
        <v>-13</v>
      </c>
      <c r="M18" s="113"/>
      <c r="N18" s="113"/>
      <c r="O18" s="113"/>
      <c r="P18" s="113"/>
      <c r="Q18" s="113"/>
      <c r="R18" s="113"/>
      <c r="S18"/>
      <c r="V18" s="14"/>
      <c r="W18" s="14"/>
    </row>
    <row r="19" spans="2:24" ht="17.25" customHeight="1" x14ac:dyDescent="0.15">
      <c r="B19" s="17">
        <v>3</v>
      </c>
      <c r="D19" s="30">
        <v>3</v>
      </c>
      <c r="E19" s="49">
        <f t="shared" ref="E19:E56" si="5">FV($F$60,12*B19,-$E$15)</f>
        <v>93.915745717221313</v>
      </c>
      <c r="F19" s="49">
        <f t="shared" ref="F19:F56" si="6">FV($F$60,12*B19,-$F$15)</f>
        <v>3.9131560715508882</v>
      </c>
      <c r="G19" s="50">
        <f t="shared" si="4"/>
        <v>97.8289017887722</v>
      </c>
      <c r="H19" s="116">
        <f t="shared" si="2"/>
        <v>0.38916740309003184</v>
      </c>
      <c r="I19" s="39">
        <f t="shared" si="3"/>
        <v>15281.463658854496</v>
      </c>
      <c r="J19" s="6"/>
      <c r="L19" s="113" t="s">
        <v>43</v>
      </c>
      <c r="M19" s="113"/>
      <c r="N19" s="113"/>
      <c r="O19" s="113"/>
      <c r="P19" s="113"/>
      <c r="Q19" s="113"/>
      <c r="R19" s="113"/>
      <c r="S19"/>
      <c r="V19" s="14"/>
      <c r="W19" s="14"/>
    </row>
    <row r="20" spans="2:24" ht="17.25" customHeight="1" x14ac:dyDescent="0.15">
      <c r="B20" s="17">
        <v>4</v>
      </c>
      <c r="D20" s="29">
        <v>4</v>
      </c>
      <c r="E20" s="47">
        <f t="shared" si="5"/>
        <v>128.07979210403911</v>
      </c>
      <c r="F20" s="47">
        <f t="shared" si="6"/>
        <v>5.3366580043349625</v>
      </c>
      <c r="G20" s="48">
        <f t="shared" si="4"/>
        <v>133.41645010837408</v>
      </c>
      <c r="H20" s="115">
        <f t="shared" si="2"/>
        <v>0.530736136957491</v>
      </c>
      <c r="I20" s="38">
        <f t="shared" si="3"/>
        <v>20840.453041439385</v>
      </c>
      <c r="J20" s="6"/>
      <c r="L20" s="113">
        <f>IF(F11="M",65,60)</f>
        <v>60</v>
      </c>
      <c r="M20" s="113"/>
      <c r="N20" s="113"/>
      <c r="O20" s="113"/>
      <c r="P20" s="113"/>
      <c r="Q20" s="113"/>
      <c r="R20" s="113"/>
      <c r="S20"/>
      <c r="V20" s="14"/>
      <c r="W20" s="14"/>
    </row>
    <row r="21" spans="2:24" ht="17.25" customHeight="1" x14ac:dyDescent="0.15">
      <c r="B21" s="17">
        <v>5</v>
      </c>
      <c r="D21" s="30">
        <v>5</v>
      </c>
      <c r="E21" s="49">
        <f t="shared" si="5"/>
        <v>163.78122057826383</v>
      </c>
      <c r="F21" s="49">
        <f t="shared" si="6"/>
        <v>6.8242175240943252</v>
      </c>
      <c r="G21" s="50">
        <f t="shared" si="4"/>
        <v>170.60543810235816</v>
      </c>
      <c r="H21" s="116">
        <f t="shared" si="2"/>
        <v>0.67867546384898625</v>
      </c>
      <c r="I21" s="39">
        <f t="shared" si="3"/>
        <v>26649.596946240614</v>
      </c>
      <c r="J21" s="6"/>
      <c r="L21" s="113" t="s">
        <v>60</v>
      </c>
      <c r="M21" s="113"/>
      <c r="N21" s="113"/>
      <c r="O21" s="113"/>
      <c r="P21" s="113"/>
      <c r="Q21" s="113"/>
      <c r="R21" s="113"/>
      <c r="S21"/>
      <c r="V21" s="14"/>
      <c r="W21" s="14"/>
    </row>
    <row r="22" spans="2:24" ht="17.25" customHeight="1" x14ac:dyDescent="0.15">
      <c r="B22" s="17">
        <v>6</v>
      </c>
      <c r="D22" s="29">
        <v>6</v>
      </c>
      <c r="E22" s="47">
        <f t="shared" si="5"/>
        <v>201.08921333382855</v>
      </c>
      <c r="F22" s="47">
        <f t="shared" si="6"/>
        <v>8.3787172222428552</v>
      </c>
      <c r="G22" s="48">
        <f t="shared" si="4"/>
        <v>209.46793055607139</v>
      </c>
      <c r="H22" s="115">
        <f t="shared" si="2"/>
        <v>0.83327206045059832</v>
      </c>
      <c r="I22" s="38">
        <f t="shared" si="3"/>
        <v>32720.152326757874</v>
      </c>
      <c r="J22" s="6"/>
      <c r="L22" s="113">
        <f>IF(F11="M",40,35)</f>
        <v>35</v>
      </c>
      <c r="M22" s="113"/>
      <c r="N22" s="113"/>
      <c r="O22" s="113"/>
      <c r="P22" s="113"/>
      <c r="Q22" s="113"/>
      <c r="R22" s="113"/>
      <c r="S22"/>
      <c r="V22" s="14"/>
      <c r="W22" s="14"/>
    </row>
    <row r="23" spans="2:24" ht="17.25" customHeight="1" x14ac:dyDescent="0.15">
      <c r="B23" s="17">
        <v>7</v>
      </c>
      <c r="D23" s="30">
        <v>7</v>
      </c>
      <c r="E23" s="49">
        <f t="shared" si="5"/>
        <v>240.07606576339393</v>
      </c>
      <c r="F23" s="49">
        <f t="shared" si="6"/>
        <v>10.003169406808079</v>
      </c>
      <c r="G23" s="50">
        <f t="shared" si="4"/>
        <v>250.079235170202</v>
      </c>
      <c r="H23" s="116">
        <f t="shared" si="2"/>
        <v>0.99482550389928392</v>
      </c>
      <c r="I23" s="39">
        <f t="shared" si="3"/>
        <v>39063.882699398455</v>
      </c>
      <c r="J23" s="6"/>
      <c r="X23" s="1"/>
    </row>
    <row r="24" spans="2:24" ht="17.25" customHeight="1" x14ac:dyDescent="0.15">
      <c r="B24" s="17">
        <v>8</v>
      </c>
      <c r="D24" s="29">
        <v>8</v>
      </c>
      <c r="E24" s="47">
        <f t="shared" si="5"/>
        <v>280.81732655228973</v>
      </c>
      <c r="F24" s="47">
        <f t="shared" si="6"/>
        <v>11.700721939678738</v>
      </c>
      <c r="G24" s="48">
        <f t="shared" si="4"/>
        <v>292.51804849196844</v>
      </c>
      <c r="H24" s="115">
        <f t="shared" si="2"/>
        <v>1.1636488523031603</v>
      </c>
      <c r="I24" s="38">
        <f t="shared" si="3"/>
        <v>45693.080938807856</v>
      </c>
      <c r="J24" s="6"/>
    </row>
    <row r="25" spans="2:24" ht="17.25" customHeight="1" x14ac:dyDescent="0.15">
      <c r="B25" s="17">
        <v>9</v>
      </c>
      <c r="D25" s="30">
        <v>9</v>
      </c>
      <c r="E25" s="49">
        <f t="shared" si="5"/>
        <v>323.39194407668566</v>
      </c>
      <c r="F25" s="49">
        <f t="shared" si="6"/>
        <v>13.474664336528567</v>
      </c>
      <c r="G25" s="50">
        <f t="shared" si="4"/>
        <v>336.86660841321424</v>
      </c>
      <c r="H25" s="116">
        <f t="shared" si="2"/>
        <v>1.3400692513852106</v>
      </c>
      <c r="I25" s="39">
        <f t="shared" si="3"/>
        <v>52620.593098990663</v>
      </c>
      <c r="J25" s="6"/>
    </row>
    <row r="26" spans="2:24" ht="17.25" customHeight="1" x14ac:dyDescent="0.15">
      <c r="B26" s="17">
        <v>10</v>
      </c>
      <c r="D26" s="29">
        <v>10</v>
      </c>
      <c r="E26" s="47">
        <f t="shared" si="5"/>
        <v>367.88241938967968</v>
      </c>
      <c r="F26" s="47">
        <f t="shared" si="6"/>
        <v>15.328434141236652</v>
      </c>
      <c r="G26" s="48">
        <f t="shared" si="4"/>
        <v>383.21085353091632</v>
      </c>
      <c r="H26" s="115">
        <f t="shared" si="2"/>
        <v>1.524428568425954</v>
      </c>
      <c r="I26" s="38">
        <f t="shared" si="3"/>
        <v>59859.843306381721</v>
      </c>
      <c r="J26" s="6"/>
    </row>
    <row r="27" spans="2:24" ht="17.25" customHeight="1" x14ac:dyDescent="0.15">
      <c r="B27" s="17">
        <v>11</v>
      </c>
      <c r="D27" s="30">
        <v>11</v>
      </c>
      <c r="E27" s="49">
        <f t="shared" si="5"/>
        <v>414.37496609175872</v>
      </c>
      <c r="F27" s="49">
        <f t="shared" si="6"/>
        <v>17.265623587156615</v>
      </c>
      <c r="G27" s="50">
        <f t="shared" si="4"/>
        <v>431.64058967891532</v>
      </c>
      <c r="H27" s="116">
        <f t="shared" si="2"/>
        <v>1.7170840547335322</v>
      </c>
      <c r="I27" s="39">
        <f t="shared" si="3"/>
        <v>67424.859773105447</v>
      </c>
      <c r="J27" s="6"/>
    </row>
    <row r="28" spans="2:24" ht="17.25" customHeight="1" x14ac:dyDescent="0.15">
      <c r="B28" s="17">
        <v>12</v>
      </c>
      <c r="D28" s="29">
        <v>12</v>
      </c>
      <c r="E28" s="47">
        <f t="shared" si="5"/>
        <v>462.95967739543102</v>
      </c>
      <c r="F28" s="47">
        <f t="shared" si="6"/>
        <v>19.28998655814296</v>
      </c>
      <c r="G28" s="48">
        <f t="shared" si="4"/>
        <v>482.24966395357399</v>
      </c>
      <c r="H28" s="115">
        <f t="shared" si="2"/>
        <v>1.9184090379249503</v>
      </c>
      <c r="I28" s="38">
        <f t="shared" si="3"/>
        <v>75330.301980831675</v>
      </c>
      <c r="J28" s="6"/>
    </row>
    <row r="29" spans="2:24" ht="17.25" customHeight="1" x14ac:dyDescent="0.15">
      <c r="B29" s="17">
        <v>13</v>
      </c>
      <c r="D29" s="30">
        <v>13</v>
      </c>
      <c r="E29" s="49">
        <f t="shared" si="5"/>
        <v>513.73070070776873</v>
      </c>
      <c r="F29" s="49">
        <f t="shared" si="6"/>
        <v>21.405445862823697</v>
      </c>
      <c r="G29" s="50">
        <f t="shared" si="4"/>
        <v>535.13614657059247</v>
      </c>
      <c r="H29" s="116">
        <f t="shared" si="2"/>
        <v>2.1287936453599827</v>
      </c>
      <c r="I29" s="39">
        <f t="shared" si="3"/>
        <v>83591.489087905618</v>
      </c>
      <c r="J29" s="6"/>
    </row>
    <row r="30" spans="2:24" ht="17.25" customHeight="1" x14ac:dyDescent="0.15">
      <c r="B30" s="17">
        <v>14</v>
      </c>
      <c r="D30" s="29">
        <v>14</v>
      </c>
      <c r="E30" s="47">
        <f t="shared" si="5"/>
        <v>566.78642006916175</v>
      </c>
      <c r="F30" s="47">
        <f t="shared" si="6"/>
        <v>23.616100836215068</v>
      </c>
      <c r="G30" s="48">
        <f t="shared" si="4"/>
        <v>590.40252090537683</v>
      </c>
      <c r="H30" s="115">
        <f t="shared" si="2"/>
        <v>2.3486455601295919</v>
      </c>
      <c r="I30" s="38">
        <f t="shared" si="3"/>
        <v>92224.429614797889</v>
      </c>
      <c r="J30" s="6"/>
    </row>
    <row r="31" spans="2:24" ht="17.25" customHeight="1" x14ac:dyDescent="0.15">
      <c r="B31" s="17">
        <v>15</v>
      </c>
      <c r="D31" s="30">
        <v>15</v>
      </c>
      <c r="E31" s="49">
        <f t="shared" si="5"/>
        <v>622.22964680181769</v>
      </c>
      <c r="F31" s="49">
        <f t="shared" si="6"/>
        <v>25.926235283409071</v>
      </c>
      <c r="G31" s="50">
        <f t="shared" si="4"/>
        <v>648.15588208522672</v>
      </c>
      <c r="H31" s="116">
        <f t="shared" si="2"/>
        <v>2.5783908110638345</v>
      </c>
      <c r="I31" s="39">
        <f t="shared" si="3"/>
        <v>101245.85246540036</v>
      </c>
      <c r="J31" s="6"/>
    </row>
    <row r="32" spans="2:24" ht="17.25" customHeight="1" x14ac:dyDescent="0.15">
      <c r="B32" s="17">
        <v>16</v>
      </c>
      <c r="D32" s="29">
        <v>16</v>
      </c>
      <c r="E32" s="47">
        <f t="shared" si="5"/>
        <v>680.16781873744276</v>
      </c>
      <c r="F32" s="47">
        <f t="shared" si="6"/>
        <v>28.340325780726783</v>
      </c>
      <c r="G32" s="48">
        <f t="shared" si="4"/>
        <v>708.5081445181695</v>
      </c>
      <c r="H32" s="115">
        <f t="shared" si="2"/>
        <v>2.8184745982901167</v>
      </c>
      <c r="I32" s="38">
        <f t="shared" si="3"/>
        <v>110673.23934427989</v>
      </c>
      <c r="J32" s="6"/>
    </row>
    <row r="33" spans="2:10" ht="17.25" customHeight="1" x14ac:dyDescent="0.15">
      <c r="B33" s="17">
        <v>17</v>
      </c>
      <c r="D33" s="30">
        <v>17</v>
      </c>
      <c r="E33" s="49">
        <f t="shared" si="5"/>
        <v>740.71320841017155</v>
      </c>
      <c r="F33" s="49">
        <f t="shared" si="6"/>
        <v>30.863050350423812</v>
      </c>
      <c r="G33" s="50">
        <f t="shared" si="4"/>
        <v>771.57625876059535</v>
      </c>
      <c r="H33" s="116">
        <f t="shared" si="2"/>
        <v>3.069362155941584</v>
      </c>
      <c r="I33" s="39">
        <f t="shared" si="3"/>
        <v>120524.85863270909</v>
      </c>
      <c r="J33" s="6"/>
    </row>
    <row r="34" spans="2:10" ht="17.25" customHeight="1" x14ac:dyDescent="0.15">
      <c r="B34" s="17">
        <v>18</v>
      </c>
      <c r="D34" s="29">
        <v>18</v>
      </c>
      <c r="E34" s="47">
        <f t="shared" si="5"/>
        <v>803.98314061817291</v>
      </c>
      <c r="F34" s="47">
        <f t="shared" si="6"/>
        <v>33.499297525757207</v>
      </c>
      <c r="G34" s="48">
        <f t="shared" si="4"/>
        <v>837.48243814393015</v>
      </c>
      <c r="H34" s="115">
        <f t="shared" si="2"/>
        <v>3.3315396536873663</v>
      </c>
      <c r="I34" s="38">
        <f t="shared" si="3"/>
        <v>130819.80078911757</v>
      </c>
      <c r="J34" s="6"/>
    </row>
    <row r="35" spans="2:10" ht="17.25" customHeight="1" x14ac:dyDescent="0.15">
      <c r="B35" s="17">
        <v>19</v>
      </c>
      <c r="D35" s="30">
        <v>19</v>
      </c>
      <c r="E35" s="49">
        <f t="shared" si="5"/>
        <v>870.10021977553424</v>
      </c>
      <c r="F35" s="49">
        <f t="shared" si="6"/>
        <v>36.254175823980589</v>
      </c>
      <c r="G35" s="50">
        <f t="shared" si="4"/>
        <v>906.35439559951487</v>
      </c>
      <c r="H35" s="116">
        <f t="shared" si="2"/>
        <v>3.6055151388317084</v>
      </c>
      <c r="I35" s="39">
        <f t="shared" si="3"/>
        <v>141578.01534256441</v>
      </c>
      <c r="J35" s="6"/>
    </row>
    <row r="36" spans="2:10" ht="17.25" customHeight="1" x14ac:dyDescent="0.15">
      <c r="B36" s="17">
        <v>20</v>
      </c>
      <c r="D36" s="29">
        <v>20</v>
      </c>
      <c r="E36" s="47">
        <f t="shared" si="5"/>
        <v>939.19256749497708</v>
      </c>
      <c r="F36" s="47">
        <f t="shared" si="6"/>
        <v>39.133023645624043</v>
      </c>
      <c r="G36" s="48">
        <f t="shared" si="4"/>
        <v>978.32559114060109</v>
      </c>
      <c r="H36" s="115">
        <f t="shared" si="2"/>
        <v>3.8918195208075468</v>
      </c>
      <c r="I36" s="38">
        <f t="shared" si="3"/>
        <v>152820.34955091641</v>
      </c>
      <c r="J36" s="6"/>
    </row>
    <row r="37" spans="2:10" ht="17.25" customHeight="1" x14ac:dyDescent="0.15">
      <c r="B37" s="17">
        <v>21</v>
      </c>
      <c r="D37" s="30">
        <v>21</v>
      </c>
      <c r="E37" s="49">
        <f t="shared" si="5"/>
        <v>1011.3940708617953</v>
      </c>
      <c r="F37" s="49">
        <f t="shared" si="6"/>
        <v>42.141419619241468</v>
      </c>
      <c r="G37" s="50">
        <f t="shared" si="4"/>
        <v>1053.5354904810367</v>
      </c>
      <c r="H37" s="116">
        <f t="shared" si="2"/>
        <v>4.1910075999723002</v>
      </c>
      <c r="I37" s="39">
        <f t="shared" si="3"/>
        <v>164568.58879864431</v>
      </c>
      <c r="J37" s="6"/>
    </row>
    <row r="38" spans="2:10" ht="17.25" customHeight="1" x14ac:dyDescent="0.15">
      <c r="B38" s="17">
        <v>22</v>
      </c>
      <c r="D38" s="29">
        <v>22</v>
      </c>
      <c r="E38" s="47">
        <f t="shared" si="5"/>
        <v>1086.84464188012</v>
      </c>
      <c r="F38" s="47">
        <f t="shared" si="6"/>
        <v>45.285193411671663</v>
      </c>
      <c r="G38" s="48">
        <f t="shared" si="4"/>
        <v>1132.1298352917916</v>
      </c>
      <c r="H38" s="115">
        <f t="shared" si="2"/>
        <v>4.5036591426994654</v>
      </c>
      <c r="I38" s="38">
        <f t="shared" si="3"/>
        <v>176845.49881251989</v>
      </c>
      <c r="J38" s="6"/>
    </row>
    <row r="39" spans="2:10" ht="17.25" customHeight="1" x14ac:dyDescent="0.15">
      <c r="B39" s="17">
        <v>23</v>
      </c>
      <c r="D39" s="30">
        <v>23</v>
      </c>
      <c r="E39" s="49">
        <f t="shared" si="5"/>
        <v>1165.6904885942697</v>
      </c>
      <c r="F39" s="49">
        <f t="shared" si="6"/>
        <v>48.570437024761233</v>
      </c>
      <c r="G39" s="50">
        <f t="shared" si="4"/>
        <v>1214.260925619031</v>
      </c>
      <c r="H39" s="116">
        <f t="shared" si="2"/>
        <v>4.8303800048493555</v>
      </c>
      <c r="I39" s="39">
        <f t="shared" si="3"/>
        <v>189674.86977701998</v>
      </c>
      <c r="J39" s="6"/>
    </row>
    <row r="40" spans="2:10" ht="17.25" customHeight="1" x14ac:dyDescent="0.15">
      <c r="B40" s="17">
        <v>24</v>
      </c>
      <c r="D40" s="29">
        <v>24</v>
      </c>
      <c r="E40" s="47">
        <f t="shared" si="5"/>
        <v>1248.0843984105559</v>
      </c>
      <c r="F40" s="47">
        <f t="shared" si="6"/>
        <v>52.003516600439831</v>
      </c>
      <c r="G40" s="48">
        <f t="shared" si="4"/>
        <v>1300.0879150109956</v>
      </c>
      <c r="H40" s="115">
        <f t="shared" si="2"/>
        <v>5.1718033057959891</v>
      </c>
      <c r="I40" s="38">
        <f t="shared" si="3"/>
        <v>203081.5624349225</v>
      </c>
      <c r="J40" s="6"/>
    </row>
    <row r="41" spans="2:10" ht="17.25" customHeight="1" x14ac:dyDescent="0.15">
      <c r="B41" s="17">
        <v>25</v>
      </c>
      <c r="D41" s="30">
        <v>25</v>
      </c>
      <c r="E41" s="49">
        <f t="shared" si="5"/>
        <v>1334.1860341685751</v>
      </c>
      <c r="F41" s="49">
        <f t="shared" si="6"/>
        <v>55.591084757023964</v>
      </c>
      <c r="G41" s="50">
        <f t="shared" si="4"/>
        <v>1389.7771189255991</v>
      </c>
      <c r="H41" s="116">
        <f t="shared" si="2"/>
        <v>5.528590655285222</v>
      </c>
      <c r="I41" s="39">
        <f t="shared" si="3"/>
        <v>217091.55626243068</v>
      </c>
      <c r="J41" s="6"/>
    </row>
    <row r="42" spans="2:10" ht="17.25" customHeight="1" x14ac:dyDescent="0.15">
      <c r="B42" s="17">
        <v>26</v>
      </c>
      <c r="D42" s="29">
        <v>26</v>
      </c>
      <c r="E42" s="47">
        <f t="shared" si="5"/>
        <v>1424.1622435357053</v>
      </c>
      <c r="F42" s="47">
        <f t="shared" si="6"/>
        <v>59.340093480654389</v>
      </c>
      <c r="G42" s="48">
        <f t="shared" si="4"/>
        <v>1483.5023370163597</v>
      </c>
      <c r="H42" s="115">
        <f t="shared" si="2"/>
        <v>5.9014334355014704</v>
      </c>
      <c r="I42" s="38">
        <f t="shared" si="3"/>
        <v>231731.99981217671</v>
      </c>
      <c r="J42" s="6"/>
    </row>
    <row r="43" spans="2:10" ht="17.25" customHeight="1" x14ac:dyDescent="0.15">
      <c r="B43" s="17">
        <v>27</v>
      </c>
      <c r="D43" s="30">
        <v>27</v>
      </c>
      <c r="E43" s="49">
        <f t="shared" si="5"/>
        <v>1518.187382324357</v>
      </c>
      <c r="F43" s="49">
        <f t="shared" si="6"/>
        <v>63.25780759684821</v>
      </c>
      <c r="G43" s="50">
        <f t="shared" si="4"/>
        <v>1581.4451899212052</v>
      </c>
      <c r="H43" s="116">
        <f t="shared" si="2"/>
        <v>6.2910541408274536</v>
      </c>
      <c r="I43" s="39">
        <f t="shared" si="3"/>
        <v>247031.26332166148</v>
      </c>
      <c r="J43" s="6"/>
    </row>
    <row r="44" spans="2:10" ht="17.25" customHeight="1" x14ac:dyDescent="0.15">
      <c r="B44" s="17">
        <v>28</v>
      </c>
      <c r="D44" s="29">
        <v>28</v>
      </c>
      <c r="E44" s="47">
        <f t="shared" si="5"/>
        <v>1616.4436523584982</v>
      </c>
      <c r="F44" s="47">
        <f t="shared" si="6"/>
        <v>67.351818848270753</v>
      </c>
      <c r="G44" s="48">
        <f t="shared" si="4"/>
        <v>1683.795471206769</v>
      </c>
      <c r="H44" s="115">
        <f t="shared" si="2"/>
        <v>6.6982077778931064</v>
      </c>
      <c r="I44" s="38">
        <f t="shared" si="3"/>
        <v>263018.99368907308</v>
      </c>
      <c r="J44" s="6"/>
    </row>
    <row r="45" spans="2:10" ht="17.25" customHeight="1" x14ac:dyDescent="0.15">
      <c r="B45" s="17">
        <v>29</v>
      </c>
      <c r="D45" s="30">
        <v>29</v>
      </c>
      <c r="E45" s="49">
        <f t="shared" si="5"/>
        <v>1719.1214545441751</v>
      </c>
      <c r="F45" s="49">
        <f t="shared" si="6"/>
        <v>71.630060606007291</v>
      </c>
      <c r="G45" s="50">
        <f t="shared" si="4"/>
        <v>1790.7515151501823</v>
      </c>
      <c r="H45" s="116">
        <f t="shared" si="2"/>
        <v>7.1236833286267096</v>
      </c>
      <c r="I45" s="39">
        <f t="shared" si="3"/>
        <v>279726.171923018</v>
      </c>
      <c r="J45" s="6"/>
    </row>
    <row r="46" spans="2:10" ht="17.25" customHeight="1" x14ac:dyDescent="0.15">
      <c r="B46" s="17">
        <v>30</v>
      </c>
      <c r="D46" s="29">
        <v>30</v>
      </c>
      <c r="E46" s="47">
        <f t="shared" si="5"/>
        <v>1826.419757828208</v>
      </c>
      <c r="F46" s="47">
        <f t="shared" si="6"/>
        <v>76.100823242841997</v>
      </c>
      <c r="G46" s="48">
        <f t="shared" si="4"/>
        <v>1902.5205810710499</v>
      </c>
      <c r="H46" s="115">
        <f t="shared" si="2"/>
        <v>7.5683052791433285</v>
      </c>
      <c r="I46" s="38">
        <f t="shared" si="3"/>
        <v>297185.17317749059</v>
      </c>
      <c r="J46" s="6"/>
    </row>
    <row r="47" spans="2:10" ht="17.25" customHeight="1" x14ac:dyDescent="0.15">
      <c r="B47" s="17">
        <v>31</v>
      </c>
      <c r="D47" s="30">
        <v>31</v>
      </c>
      <c r="E47" s="49">
        <f t="shared" si="5"/>
        <v>1938.5464847600226</v>
      </c>
      <c r="F47" s="49">
        <f t="shared" si="6"/>
        <v>80.772770198334271</v>
      </c>
      <c r="G47" s="50">
        <f t="shared" si="4"/>
        <v>2019.3192549583569</v>
      </c>
      <c r="H47" s="116">
        <f t="shared" si="2"/>
        <v>8.0329352174331969</v>
      </c>
      <c r="I47" s="39">
        <f t="shared" si="3"/>
        <v>315429.82948841457</v>
      </c>
      <c r="J47" s="6"/>
    </row>
    <row r="48" spans="2:10" ht="17.25" customHeight="1" x14ac:dyDescent="0.15">
      <c r="B48" s="17">
        <v>32</v>
      </c>
      <c r="D48" s="29">
        <v>32</v>
      </c>
      <c r="E48" s="47">
        <f t="shared" si="5"/>
        <v>2055.7189144037688</v>
      </c>
      <c r="F48" s="47">
        <f t="shared" si="6"/>
        <v>85.654954766823707</v>
      </c>
      <c r="G48" s="48">
        <f t="shared" si="4"/>
        <v>2141.3738691705926</v>
      </c>
      <c r="H48" s="115">
        <f t="shared" si="2"/>
        <v>8.5184735029461081</v>
      </c>
      <c r="I48" s="38">
        <f t="shared" si="3"/>
        <v>334495.49533333001</v>
      </c>
      <c r="J48" s="6"/>
    </row>
    <row r="49" spans="2:10" ht="17.25" customHeight="1" x14ac:dyDescent="0.15">
      <c r="B49" s="17">
        <v>33</v>
      </c>
      <c r="D49" s="30">
        <v>33</v>
      </c>
      <c r="E49" s="49">
        <f t="shared" si="5"/>
        <v>2178.1641033814835</v>
      </c>
      <c r="F49" s="49">
        <f t="shared" si="6"/>
        <v>90.756837640895142</v>
      </c>
      <c r="G49" s="50">
        <f t="shared" si="4"/>
        <v>2268.9209410223789</v>
      </c>
      <c r="H49" s="116">
        <f t="shared" si="2"/>
        <v>9.0258610113071001</v>
      </c>
      <c r="I49" s="39">
        <f t="shared" si="3"/>
        <v>354419.11614126671</v>
      </c>
      <c r="J49" s="6"/>
    </row>
    <row r="50" spans="2:10" ht="17.25" customHeight="1" x14ac:dyDescent="0.15">
      <c r="B50" s="17">
        <v>34</v>
      </c>
      <c r="D50" s="29">
        <v>34</v>
      </c>
      <c r="E50" s="47">
        <f t="shared" si="5"/>
        <v>2306.1193258631961</v>
      </c>
      <c r="F50" s="47">
        <f t="shared" si="6"/>
        <v>96.088305244299832</v>
      </c>
      <c r="G50" s="48">
        <f t="shared" si="4"/>
        <v>2402.2076311074961</v>
      </c>
      <c r="H50" s="115">
        <f t="shared" si="2"/>
        <v>9.5560809575443404</v>
      </c>
      <c r="I50" s="38">
        <f t="shared" si="3"/>
        <v>375239.29988556064</v>
      </c>
      <c r="J50" s="6"/>
    </row>
    <row r="51" spans="2:10" ht="17.25" customHeight="1" x14ac:dyDescent="0.15">
      <c r="B51" s="17">
        <v>35</v>
      </c>
      <c r="D51" s="30">
        <v>35</v>
      </c>
      <c r="E51" s="49">
        <f t="shared" si="5"/>
        <v>2439.8325333565854</v>
      </c>
      <c r="F51" s="49">
        <f t="shared" si="6"/>
        <v>101.65968888985773</v>
      </c>
      <c r="G51" s="50">
        <f t="shared" si="4"/>
        <v>2541.4922222464429</v>
      </c>
      <c r="H51" s="116">
        <f t="shared" si="2"/>
        <v>10.110160801362252</v>
      </c>
      <c r="I51" s="39">
        <f t="shared" si="3"/>
        <v>396996.39189834765</v>
      </c>
      <c r="J51" s="6"/>
    </row>
    <row r="52" spans="2:10" ht="17.25" customHeight="1" x14ac:dyDescent="0.15">
      <c r="B52" s="17">
        <v>36</v>
      </c>
      <c r="D52" s="29">
        <v>36</v>
      </c>
      <c r="E52" s="47">
        <f t="shared" si="5"/>
        <v>2579.5628351871778</v>
      </c>
      <c r="F52" s="47">
        <f t="shared" si="6"/>
        <v>107.48178479946574</v>
      </c>
      <c r="G52" s="48">
        <f t="shared" si="4"/>
        <v>2687.0446199866437</v>
      </c>
      <c r="H52" s="115">
        <f t="shared" si="2"/>
        <v>10.689174238151976</v>
      </c>
      <c r="I52" s="38">
        <f t="shared" si="3"/>
        <v>419732.5530517103</v>
      </c>
      <c r="J52" s="6"/>
    </row>
    <row r="53" spans="2:10" ht="17.25" customHeight="1" x14ac:dyDescent="0.15">
      <c r="B53" s="17">
        <v>37</v>
      </c>
      <c r="D53" s="30">
        <v>37</v>
      </c>
      <c r="E53" s="49">
        <f t="shared" si="5"/>
        <v>2725.581000600147</v>
      </c>
      <c r="F53" s="49">
        <f t="shared" si="6"/>
        <v>113.56587502500614</v>
      </c>
      <c r="G53" s="50">
        <f t="shared" si="4"/>
        <v>2839.1468756251534</v>
      </c>
      <c r="H53" s="116">
        <f t="shared" si="2"/>
        <v>11.294243279597238</v>
      </c>
      <c r="I53" s="39">
        <f t="shared" si="3"/>
        <v>443491.84145697427</v>
      </c>
      <c r="J53" s="6"/>
    </row>
    <row r="54" spans="2:10" ht="17.25" customHeight="1" x14ac:dyDescent="0.15">
      <c r="B54" s="17">
        <v>38</v>
      </c>
      <c r="D54" s="29">
        <v>38</v>
      </c>
      <c r="E54" s="47">
        <f t="shared" si="5"/>
        <v>2878.1699834566998</v>
      </c>
      <c r="F54" s="47">
        <f t="shared" si="6"/>
        <v>119.92374931069583</v>
      </c>
      <c r="G54" s="48">
        <f t="shared" si="4"/>
        <v>2998.0937327673955</v>
      </c>
      <c r="H54" s="115">
        <f t="shared" si="2"/>
        <v>11.926540427907533</v>
      </c>
      <c r="I54" s="38">
        <f t="shared" si="3"/>
        <v>468320.29784047505</v>
      </c>
      <c r="J54" s="6"/>
    </row>
    <row r="55" spans="2:10" ht="17.25" customHeight="1" x14ac:dyDescent="0.15">
      <c r="B55" s="17">
        <v>39</v>
      </c>
      <c r="D55" s="30">
        <v>39</v>
      </c>
      <c r="E55" s="49">
        <f t="shared" si="5"/>
        <v>3037.6254705417991</v>
      </c>
      <c r="F55" s="49">
        <f t="shared" si="6"/>
        <v>126.56772793924162</v>
      </c>
      <c r="G55" s="50">
        <f t="shared" si="4"/>
        <v>3164.1931984810408</v>
      </c>
      <c r="H55" s="116">
        <f t="shared" si="2"/>
        <v>12.5872909478918</v>
      </c>
      <c r="I55" s="39">
        <f t="shared" si="3"/>
        <v>494266.03476123366</v>
      </c>
      <c r="J55" s="6"/>
    </row>
    <row r="56" spans="2:10" ht="17.25" customHeight="1" x14ac:dyDescent="0.15">
      <c r="B56" s="17">
        <v>40</v>
      </c>
      <c r="D56" s="31">
        <v>40</v>
      </c>
      <c r="E56" s="51">
        <f t="shared" si="5"/>
        <v>3204.2564545457267</v>
      </c>
      <c r="F56" s="51">
        <f t="shared" si="6"/>
        <v>133.51068560607195</v>
      </c>
      <c r="G56" s="52">
        <f t="shared" si="4"/>
        <v>3337.7671401517987</v>
      </c>
      <c r="H56" s="117">
        <f t="shared" si="2"/>
        <v>13.277775241275355</v>
      </c>
      <c r="I56" s="40">
        <f t="shared" si="3"/>
        <v>521379.32984342624</v>
      </c>
      <c r="J56" s="6"/>
    </row>
    <row r="57" spans="2:10" ht="6" customHeight="1" x14ac:dyDescent="0.15">
      <c r="B57" s="5"/>
      <c r="D57" s="10"/>
      <c r="E57" s="11"/>
      <c r="F57" s="11"/>
      <c r="G57" s="11"/>
      <c r="H57" s="11"/>
      <c r="I57" s="11"/>
      <c r="J57" s="6"/>
    </row>
    <row r="58" spans="2:10" ht="17.5" customHeight="1" x14ac:dyDescent="0.15">
      <c r="B58" s="5"/>
      <c r="D58" s="161" t="s">
        <v>113</v>
      </c>
      <c r="E58" s="161"/>
      <c r="F58" s="161"/>
      <c r="G58" s="161"/>
      <c r="H58" s="161"/>
      <c r="I58" s="161"/>
      <c r="J58" s="6"/>
    </row>
    <row r="59" spans="2:10" ht="18" hidden="1" customHeight="1" x14ac:dyDescent="0.15">
      <c r="B59" s="5"/>
      <c r="D59" s="27" t="s">
        <v>2</v>
      </c>
      <c r="E59" s="32"/>
      <c r="F59" s="32"/>
      <c r="G59" s="43">
        <f>I11</f>
        <v>4.4999999999999998E-2</v>
      </c>
      <c r="H59" s="32"/>
      <c r="I59" s="32"/>
      <c r="J59" s="6"/>
    </row>
    <row r="60" spans="2:10" ht="16.25" customHeight="1" x14ac:dyDescent="0.15">
      <c r="B60" s="5"/>
      <c r="D60" s="159" t="s">
        <v>0</v>
      </c>
      <c r="E60" s="159"/>
      <c r="F60" s="128">
        <f>+(1+G59)^(1/G61)-1</f>
        <v>3.6748094004368514E-3</v>
      </c>
      <c r="H60" s="32"/>
      <c r="I60" s="32"/>
      <c r="J60" s="6"/>
    </row>
    <row r="61" spans="2:10" ht="18" hidden="1" customHeight="1" x14ac:dyDescent="0.15">
      <c r="B61" s="5"/>
      <c r="D61" s="27" t="s">
        <v>1</v>
      </c>
      <c r="E61" s="32"/>
      <c r="F61" s="32"/>
      <c r="G61" s="16">
        <v>12</v>
      </c>
      <c r="H61" s="32"/>
      <c r="I61" s="32"/>
      <c r="J61" s="6"/>
    </row>
    <row r="62" spans="2:10" ht="7.5" customHeight="1" x14ac:dyDescent="0.15">
      <c r="B62" s="5"/>
      <c r="D62" s="27"/>
      <c r="E62" s="32"/>
      <c r="F62" s="32"/>
      <c r="G62" s="16"/>
      <c r="H62" s="32"/>
      <c r="I62" s="32"/>
      <c r="J62" s="6"/>
    </row>
    <row r="63" spans="2:10" ht="16.25" customHeight="1" x14ac:dyDescent="0.15">
      <c r="B63" s="5"/>
      <c r="C63" s="151" t="str">
        <f>"Supuestos para el cálculo: Rentabilidad de "&amp;TEXT(I11*100,"#.#0,00")&amp;"% anual; la edad de jubilación legal para la mujer es 60 años y para el hombre es 65 años;    El CNU para una mujer de 60 años con cónyuge dos años mayor es de 241 y el de un hombre con cónyuge dos años menor es de 212"</f>
        <v>Supuestos para el cálculo: Rentabilidad de 4,50% anual; la edad de jubilación legal para la mujer es 60 años y para el hombre es 65 años;    El CNU para una mujer de 60 años con cónyuge dos años mayor es de 241 y el de un hombre con cónyuge dos años menor es de 212</v>
      </c>
      <c r="D63" s="151"/>
      <c r="E63" s="151"/>
      <c r="F63" s="151"/>
      <c r="G63" s="151"/>
      <c r="H63" s="151"/>
      <c r="I63" s="151"/>
      <c r="J63" s="152"/>
    </row>
    <row r="64" spans="2:10" ht="16.25" customHeight="1" x14ac:dyDescent="0.15">
      <c r="B64" s="5"/>
      <c r="C64" s="151"/>
      <c r="D64" s="151"/>
      <c r="E64" s="151"/>
      <c r="F64" s="151"/>
      <c r="G64" s="151"/>
      <c r="H64" s="151"/>
      <c r="I64" s="151"/>
      <c r="J64" s="152"/>
    </row>
    <row r="65" spans="2:18" ht="6" customHeight="1" thickBot="1" x14ac:dyDescent="0.2">
      <c r="B65" s="7"/>
      <c r="C65" s="8"/>
      <c r="D65" s="8"/>
      <c r="E65" s="8"/>
      <c r="F65" s="8"/>
      <c r="G65" s="8"/>
      <c r="H65" s="8"/>
      <c r="I65" s="8"/>
      <c r="J65" s="9"/>
    </row>
    <row r="66" spans="2:18" hidden="1" x14ac:dyDescent="0.15">
      <c r="B66" s="2"/>
      <c r="C66" s="3"/>
      <c r="D66" s="68"/>
      <c r="E66" s="68"/>
      <c r="F66" s="68"/>
      <c r="G66" s="69"/>
      <c r="H66" s="69"/>
      <c r="I66" s="69"/>
      <c r="J66" s="53"/>
      <c r="K66" s="98"/>
      <c r="R66" s="99"/>
    </row>
    <row r="67" spans="2:18" hidden="1" x14ac:dyDescent="0.15">
      <c r="B67" s="5"/>
      <c r="D67" s="70"/>
      <c r="E67" s="70"/>
      <c r="F67" s="70"/>
      <c r="G67" s="71"/>
      <c r="H67" s="71"/>
      <c r="I67" s="71"/>
      <c r="J67" s="54"/>
      <c r="K67" s="98"/>
      <c r="R67" s="99"/>
    </row>
    <row r="68" spans="2:18" hidden="1" x14ac:dyDescent="0.15">
      <c r="B68" s="5"/>
      <c r="D68" s="70"/>
      <c r="E68" s="70"/>
      <c r="F68" s="70"/>
      <c r="G68" s="71"/>
      <c r="H68" s="71"/>
      <c r="I68" s="71"/>
      <c r="J68" s="54"/>
      <c r="K68" s="98"/>
      <c r="R68" s="99"/>
    </row>
    <row r="69" spans="2:18" ht="18" hidden="1" x14ac:dyDescent="0.15">
      <c r="B69" s="5"/>
      <c r="D69" s="70"/>
      <c r="E69" s="163" t="s">
        <v>41</v>
      </c>
      <c r="F69" s="163"/>
      <c r="G69" s="163"/>
      <c r="H69" s="163"/>
      <c r="I69" s="163"/>
      <c r="J69" s="54"/>
      <c r="K69" s="98"/>
      <c r="R69" s="99"/>
    </row>
    <row r="70" spans="2:18" ht="18" hidden="1" x14ac:dyDescent="0.15">
      <c r="B70" s="5"/>
      <c r="D70" s="70"/>
      <c r="E70" s="163" t="s">
        <v>40</v>
      </c>
      <c r="F70" s="163"/>
      <c r="G70" s="163"/>
      <c r="H70" s="163"/>
      <c r="I70" s="163"/>
      <c r="J70" s="55"/>
      <c r="K70" s="100"/>
      <c r="L70" s="100"/>
      <c r="M70" s="100"/>
      <c r="N70" s="100"/>
      <c r="R70" s="99"/>
    </row>
    <row r="71" spans="2:18" ht="18" hidden="1" customHeight="1" x14ac:dyDescent="0.15">
      <c r="B71" s="5"/>
      <c r="D71" s="70"/>
      <c r="E71" s="130"/>
      <c r="F71" s="130"/>
      <c r="G71" s="130"/>
      <c r="H71" s="130"/>
      <c r="I71" s="130"/>
      <c r="J71" s="56"/>
      <c r="K71" s="101"/>
      <c r="L71" s="101"/>
      <c r="M71" s="101"/>
      <c r="N71" s="101"/>
      <c r="R71" s="99"/>
    </row>
    <row r="72" spans="2:18" ht="18" hidden="1" customHeight="1" x14ac:dyDescent="0.2">
      <c r="B72" s="5"/>
      <c r="D72" s="72" t="s">
        <v>64</v>
      </c>
      <c r="E72" s="73"/>
      <c r="F72" s="74"/>
      <c r="G72" s="75"/>
      <c r="H72" s="75"/>
      <c r="I72" s="75"/>
      <c r="J72" s="57"/>
      <c r="K72" s="102"/>
      <c r="L72" s="103"/>
      <c r="M72" s="103"/>
      <c r="N72" s="103"/>
      <c r="O72" s="103"/>
      <c r="P72" s="103"/>
      <c r="R72" s="99"/>
    </row>
    <row r="73" spans="2:18" ht="18" hidden="1" customHeight="1" x14ac:dyDescent="0.2">
      <c r="B73" s="5"/>
      <c r="D73" s="74" t="str">
        <f>"* Usted gana "&amp;TEXT(F9,"$###.#0") &amp;" mensuales y no esta dispuesto a ahorrar en APV-B."</f>
        <v>* Usted gana $1.500.000 mensuales y no esta dispuesto a ahorrar en APV-B.</v>
      </c>
      <c r="E73" s="74"/>
      <c r="F73" s="74"/>
      <c r="G73" s="75"/>
      <c r="H73" s="75"/>
      <c r="I73" s="75"/>
      <c r="J73" s="57"/>
      <c r="K73" s="102"/>
      <c r="L73" s="103"/>
      <c r="M73" s="103"/>
      <c r="N73" s="103"/>
      <c r="O73" s="103"/>
      <c r="P73" s="103"/>
      <c r="R73" s="99"/>
    </row>
    <row r="74" spans="2:18" ht="18" hidden="1" customHeight="1" x14ac:dyDescent="0.2">
      <c r="B74" s="5"/>
      <c r="D74" s="74" t="str">
        <f>"* Su saldo de ahorro voluntario es UF 0,00 ($0)."</f>
        <v>* Su saldo de ahorro voluntario es UF 0,00 ($0).</v>
      </c>
      <c r="E74" s="74"/>
      <c r="F74" s="74"/>
      <c r="G74" s="75"/>
      <c r="H74" s="75"/>
      <c r="I74" s="75"/>
      <c r="J74" s="57"/>
      <c r="K74" s="102"/>
      <c r="L74" s="103"/>
      <c r="M74" s="103"/>
      <c r="N74" s="103"/>
      <c r="O74" s="103"/>
      <c r="P74" s="103"/>
      <c r="R74" s="99"/>
    </row>
    <row r="75" spans="2:18" ht="18" hidden="1" customHeight="1" x14ac:dyDescent="0.2">
      <c r="B75" s="5"/>
      <c r="D75" s="164" t="str">
        <f>"* Por lo tanto, su incremento de pensión por ahorro voluntario es UF 0,00 ($0)."</f>
        <v>* Por lo tanto, su incremento de pensión por ahorro voluntario es UF 0,00 ($0).</v>
      </c>
      <c r="E75" s="164"/>
      <c r="F75" s="164"/>
      <c r="G75" s="164"/>
      <c r="H75" s="164"/>
      <c r="I75" s="164"/>
      <c r="J75" s="58"/>
      <c r="K75" s="104"/>
      <c r="L75" s="104"/>
      <c r="M75" s="104"/>
      <c r="N75" s="104"/>
      <c r="O75" s="104"/>
      <c r="P75" s="104"/>
      <c r="R75" s="99"/>
    </row>
    <row r="76" spans="2:18" ht="17.25" hidden="1" customHeight="1" x14ac:dyDescent="0.2">
      <c r="B76" s="5"/>
      <c r="D76" s="164" t="str">
        <f>"* Su pensión efectiva a los 65 años, sólo será la resultante del ahorro obligatorio que haya realizado, durante su vida activa UF "&amp;TEXT(VLOOKUP(L22,ahorroacum,6),"###.#0")&amp;" ("&amp;TEXT(VLOOKUP(L22,ahorroacum,5),"$###.#0")&amp;"). "</f>
        <v xml:space="preserve">* Su pensión efectiva a los 65 años, sólo será la resultante del ahorro obligatorio que haya realizado, durante su vida activa UF 3.252 ($127.708.702). </v>
      </c>
      <c r="E76" s="164"/>
      <c r="F76" s="164"/>
      <c r="G76" s="164"/>
      <c r="H76" s="164"/>
      <c r="I76" s="164"/>
      <c r="J76" s="58"/>
      <c r="K76" s="104"/>
      <c r="L76" s="104"/>
      <c r="M76" s="104"/>
      <c r="N76" s="104"/>
      <c r="O76" s="104"/>
      <c r="P76" s="104"/>
      <c r="R76" s="99"/>
    </row>
    <row r="77" spans="2:18" ht="17.25" hidden="1" customHeight="1" x14ac:dyDescent="0.2">
      <c r="B77" s="5"/>
      <c r="D77" s="164"/>
      <c r="E77" s="164"/>
      <c r="F77" s="164"/>
      <c r="G77" s="164"/>
      <c r="H77" s="164"/>
      <c r="I77" s="164"/>
      <c r="J77" s="58"/>
      <c r="K77" s="104"/>
      <c r="L77" s="104"/>
      <c r="M77" s="104"/>
      <c r="N77" s="104"/>
      <c r="O77" s="104"/>
      <c r="P77" s="104"/>
      <c r="R77" s="99"/>
    </row>
    <row r="78" spans="2:18" ht="18" hidden="1" customHeight="1" x14ac:dyDescent="0.2">
      <c r="B78" s="5"/>
      <c r="D78" s="74"/>
      <c r="E78" s="74"/>
      <c r="F78" s="74"/>
      <c r="G78" s="75"/>
      <c r="H78" s="75"/>
      <c r="I78" s="75"/>
      <c r="J78" s="57"/>
      <c r="K78" s="102"/>
      <c r="L78" s="103"/>
      <c r="M78" s="103"/>
      <c r="N78" s="103"/>
      <c r="O78" s="103"/>
      <c r="P78" s="103"/>
      <c r="R78" s="99"/>
    </row>
    <row r="79" spans="2:18" ht="18" hidden="1" customHeight="1" x14ac:dyDescent="0.2">
      <c r="B79" s="5"/>
      <c r="D79" s="72" t="s">
        <v>63</v>
      </c>
      <c r="E79" s="74"/>
      <c r="F79" s="74"/>
      <c r="G79" s="75"/>
      <c r="H79" s="75"/>
      <c r="I79" s="75"/>
      <c r="J79" s="57"/>
      <c r="K79" s="102"/>
      <c r="L79" s="103"/>
      <c r="M79" s="103"/>
      <c r="N79" s="103"/>
      <c r="O79" s="103"/>
      <c r="P79" s="103"/>
      <c r="R79" s="99"/>
    </row>
    <row r="80" spans="2:18" ht="18" hidden="1" customHeight="1" x14ac:dyDescent="0.2">
      <c r="B80" s="5"/>
      <c r="D80" s="74" t="str">
        <f>"* Usted gana "&amp;TEXT(F9,"$###.#0")&amp;" mensuales y esta dispuesto a ahorrar en APV-B."</f>
        <v>* Usted gana $1.500.000 mensuales y esta dispuesto a ahorrar en APV-B.</v>
      </c>
      <c r="E80" s="74"/>
      <c r="F80" s="74"/>
      <c r="G80" s="75"/>
      <c r="H80" s="75"/>
      <c r="I80" s="75"/>
      <c r="J80" s="57"/>
      <c r="K80" s="102"/>
      <c r="L80" s="105"/>
      <c r="M80" s="103"/>
      <c r="N80" s="103"/>
      <c r="O80" s="103"/>
      <c r="P80" s="103"/>
      <c r="R80" s="99"/>
    </row>
    <row r="81" spans="2:18" ht="18" hidden="1" customHeight="1" x14ac:dyDescent="0.2">
      <c r="B81" s="5"/>
      <c r="D81" s="74" t="str">
        <f>"* Ahorra voluntariamente en APV-B, UF "&amp;TEXT(F10,"###.#0") &amp; " ("&amp;TEXT(F10*I9,"$###.#0")&amp;")"</f>
        <v>* Ahorra voluntariamente en APV-B, UF 100.000 ($3.926.707.000)</v>
      </c>
      <c r="E81" s="74"/>
      <c r="F81" s="74"/>
      <c r="G81" s="75"/>
      <c r="H81" s="75"/>
      <c r="I81" s="75"/>
      <c r="J81" s="57"/>
      <c r="K81" s="102"/>
      <c r="L81" s="103"/>
      <c r="M81" s="103"/>
      <c r="N81" s="103"/>
      <c r="O81" s="103"/>
      <c r="P81" s="103"/>
      <c r="R81" s="99"/>
    </row>
    <row r="82" spans="2:18" ht="17.25" hidden="1" customHeight="1" x14ac:dyDescent="0.2">
      <c r="B82" s="5"/>
      <c r="D82" s="165" t="e">
        <f ca="1">"* Su saldo de ahorro voluntario en "&amp;L18&amp;" años es UF "&amp;TEXT(VLOOKUP(L18,tabla,4),"###.#0")&amp;" ("&amp;TEXT(VLOOKUP(L18,tabla,4)*I9,"$###.#0")&amp;").""De los cuales Usted aportó el "&amp;(1-L15)*100&amp;"%"&amp; " UF "&amp;TEXT(VLOOKUP(L18,tabla,2),"###.#0")&amp;" ("&amp;TEXT(VLOOKUP(L18,tabla,2)*I9,"$###.#0")&amp;")"&amp;" y el Estado aportó el "&amp;L15*100&amp;"% "&amp;"UF "&amp;TEXT(VLOOKUP(L18,tabla,3),"###.#0")&amp;" ("&amp;TEXT(VLOOKUP(L18,tabla,3)*I9,"$###.#0")&amp;") a través de la rebaja en su base tributable."</f>
        <v>#N/A</v>
      </c>
      <c r="E82" s="165"/>
      <c r="F82" s="165"/>
      <c r="G82" s="165"/>
      <c r="H82" s="165"/>
      <c r="I82" s="165"/>
      <c r="J82" s="57"/>
      <c r="K82" s="102"/>
      <c r="L82" s="103"/>
      <c r="M82" s="103"/>
      <c r="N82" s="103"/>
      <c r="O82" s="103"/>
      <c r="P82" s="103"/>
      <c r="R82" s="99"/>
    </row>
    <row r="83" spans="2:18" ht="17.25" hidden="1" customHeight="1" x14ac:dyDescent="0.2">
      <c r="B83" s="5"/>
      <c r="D83" s="165"/>
      <c r="E83" s="165"/>
      <c r="F83" s="165"/>
      <c r="G83" s="165"/>
      <c r="H83" s="165"/>
      <c r="I83" s="165"/>
      <c r="J83" s="57"/>
      <c r="K83" s="102"/>
      <c r="L83" s="78"/>
      <c r="M83" s="103"/>
      <c r="N83" s="103"/>
      <c r="O83" s="103"/>
      <c r="P83" s="103"/>
      <c r="R83" s="99"/>
    </row>
    <row r="84" spans="2:18" ht="17.25" hidden="1" customHeight="1" x14ac:dyDescent="0.2">
      <c r="B84" s="5"/>
      <c r="D84" s="165" t="e">
        <f ca="1">"* Con lo cual, su incremento de pensión por ahorro voluntario es UF "&amp;TEXT(VLOOKUP(L18,tabla,5),"###.#0")&amp;" ("&amp;TEXT(VLOOKUP(L18,tabla,6),"$###.#0")&amp;").""De los Usted aportó el "&amp;(1-L15)*100&amp;"%" &amp; " UF "  &amp;TEXT(VLOOKUP(L18,tabla,5)*(1-L15),"###.#0") &amp; " ("&amp;TEXT(VLOOKUP(L18,tabla,5)*(1-L15)*I9,"$###.#0")&amp;")"&amp;" y el Estado aportó el "&amp;L15*100&amp;"% " &amp;"UF "&amp;TEXT(VLOOKUP(L18,tabla,5)*(L15),"###.#0")&amp;" ("&amp;TEXT(VLOOKUP(L18,tabla,5)*(L15)*I9,"$###.#0")&amp;") a través de la rebaja en su base tributable. "</f>
        <v>#N/A</v>
      </c>
      <c r="E84" s="165"/>
      <c r="F84" s="165"/>
      <c r="G84" s="165"/>
      <c r="H84" s="165"/>
      <c r="I84" s="165"/>
      <c r="J84" s="58"/>
      <c r="K84" s="104"/>
      <c r="L84" s="104"/>
      <c r="M84" s="104"/>
      <c r="N84" s="104"/>
      <c r="O84" s="104"/>
      <c r="P84" s="104"/>
      <c r="R84" s="99"/>
    </row>
    <row r="85" spans="2:18" ht="17.25" hidden="1" customHeight="1" x14ac:dyDescent="0.2">
      <c r="B85" s="5"/>
      <c r="D85" s="165"/>
      <c r="E85" s="165"/>
      <c r="F85" s="165"/>
      <c r="G85" s="165"/>
      <c r="H85" s="165"/>
      <c r="I85" s="165"/>
      <c r="J85" s="58"/>
      <c r="K85" s="104"/>
      <c r="L85" s="104"/>
      <c r="M85" s="104"/>
      <c r="N85" s="104"/>
      <c r="O85" s="104"/>
      <c r="P85" s="104"/>
      <c r="R85" s="99"/>
    </row>
    <row r="86" spans="2:18" ht="17.25" hidden="1" customHeight="1" x14ac:dyDescent="0.2">
      <c r="B86" s="5"/>
      <c r="D86" s="165" t="e">
        <f ca="1">"* Su pensión efectiva a los "&amp;edadjub&amp; " años, será la resultante del ahorro obligatorio que haya realizado UF "&amp;TEXT(VLOOKUP(L22,ahorroacum,6),"###.#0")&amp;" ("&amp;TEXT(VLOOKUP(L22,ahorroacum,5),"$###.#0")&amp;"), durante su vida activa, más las UF "&amp;TEXT(VLOOKUP(L18,tabla,5),"###.#0")&amp;" ("&amp;TEXT(VLOOKUP(L18,tabla,6),"###.#0")&amp;") de pensión ahorradas voluntariamente."</f>
        <v>#N/A</v>
      </c>
      <c r="E86" s="165"/>
      <c r="F86" s="165"/>
      <c r="G86" s="165"/>
      <c r="H86" s="165"/>
      <c r="I86" s="165"/>
      <c r="J86" s="58"/>
      <c r="K86" s="104"/>
      <c r="L86" s="78"/>
      <c r="M86" s="104"/>
      <c r="N86" s="104"/>
      <c r="O86" s="104"/>
      <c r="P86" s="104"/>
      <c r="R86" s="99"/>
    </row>
    <row r="87" spans="2:18" ht="17.25" hidden="1" customHeight="1" x14ac:dyDescent="0.2">
      <c r="B87" s="5"/>
      <c r="D87" s="165"/>
      <c r="E87" s="165"/>
      <c r="F87" s="165"/>
      <c r="G87" s="165"/>
      <c r="H87" s="165"/>
      <c r="I87" s="165"/>
      <c r="J87" s="57"/>
      <c r="K87" s="102"/>
      <c r="L87" s="103"/>
      <c r="M87" s="103"/>
      <c r="N87" s="103"/>
      <c r="O87" s="103"/>
      <c r="P87" s="103"/>
      <c r="R87" s="99"/>
    </row>
    <row r="88" spans="2:18" ht="17.25" hidden="1" customHeight="1" x14ac:dyDescent="0.2">
      <c r="B88" s="5"/>
      <c r="D88" s="164" t="str">
        <f>"* Como beneficio adicional, dado que Usted estaba dispuesto a desembolsar UF "&amp;TEXT(F10,"###.#0") &amp;" en ahorro, y como en esta modalidad el Estado aporto UF "&amp;TEXT(F10*L15,"###.#0")&amp; " de esas UF "&amp;TEXT(F10,"###.#0") &amp;" como beneficio tributario, se podría usar las UF "&amp;TEXT(F10*L15,"###.#0")&amp;" sobrantes del desembolso original que Usted dispuso, para ahorrar invirtiendo en otros beneficios tributarios, tales como:"</f>
        <v>* Como beneficio adicional, dado que Usted estaba dispuesto a desembolsar UF 100.000 en ahorro, y como en esta modalidad el Estado aporto UF 4.000 de esas UF 100.000 como beneficio tributario, se podría usar las UF 4.000 sobrantes del desembolso original que Usted dispuso, para ahorrar invirtiendo en otros beneficios tributarios, tales como:</v>
      </c>
      <c r="E88" s="164"/>
      <c r="F88" s="164"/>
      <c r="G88" s="164"/>
      <c r="H88" s="164"/>
      <c r="I88" s="164"/>
      <c r="J88" s="58"/>
      <c r="K88" s="104"/>
      <c r="L88" s="78"/>
      <c r="M88" s="104"/>
      <c r="N88" s="104"/>
      <c r="O88" s="104"/>
      <c r="P88" s="104"/>
      <c r="R88" s="99"/>
    </row>
    <row r="89" spans="2:18" ht="17.25" hidden="1" customHeight="1" x14ac:dyDescent="0.2">
      <c r="B89" s="5"/>
      <c r="D89" s="164"/>
      <c r="E89" s="164"/>
      <c r="F89" s="164"/>
      <c r="G89" s="164"/>
      <c r="H89" s="164"/>
      <c r="I89" s="164"/>
      <c r="J89" s="58"/>
      <c r="K89" s="104"/>
      <c r="L89" s="106"/>
      <c r="M89" s="104"/>
      <c r="N89" s="104"/>
      <c r="O89" s="104"/>
      <c r="P89" s="104"/>
      <c r="R89" s="99"/>
    </row>
    <row r="90" spans="2:18" ht="17.25" hidden="1" customHeight="1" x14ac:dyDescent="0.2">
      <c r="B90" s="5"/>
      <c r="D90" s="164"/>
      <c r="E90" s="164"/>
      <c r="F90" s="164"/>
      <c r="G90" s="164"/>
      <c r="H90" s="164"/>
      <c r="I90" s="164"/>
      <c r="J90" s="58"/>
      <c r="K90" s="104"/>
      <c r="L90" s="106"/>
      <c r="M90" s="104"/>
      <c r="N90" s="104"/>
      <c r="O90" s="104"/>
      <c r="P90" s="104"/>
      <c r="R90" s="99"/>
    </row>
    <row r="91" spans="2:18" ht="18" hidden="1" customHeight="1" x14ac:dyDescent="0.2">
      <c r="B91" s="5"/>
      <c r="D91" s="162" t="s">
        <v>30</v>
      </c>
      <c r="E91" s="162"/>
      <c r="F91" s="162"/>
      <c r="G91" s="162"/>
      <c r="H91" s="162"/>
      <c r="I91" s="162"/>
      <c r="J91" s="58"/>
      <c r="K91" s="104"/>
      <c r="L91" s="107"/>
      <c r="M91" s="104"/>
      <c r="N91" s="104"/>
      <c r="O91" s="104"/>
      <c r="P91" s="104"/>
      <c r="R91" s="99"/>
    </row>
    <row r="92" spans="2:18" ht="18" hidden="1" customHeight="1" x14ac:dyDescent="0.2">
      <c r="B92" s="5"/>
      <c r="D92" s="162" t="s">
        <v>31</v>
      </c>
      <c r="E92" s="162"/>
      <c r="F92" s="162"/>
      <c r="G92" s="162"/>
      <c r="H92" s="162"/>
      <c r="I92" s="162"/>
      <c r="J92" s="58"/>
      <c r="K92" s="104"/>
      <c r="L92" s="104"/>
      <c r="M92" s="104"/>
      <c r="N92" s="104"/>
      <c r="O92" s="104"/>
      <c r="P92" s="104"/>
      <c r="R92" s="99"/>
    </row>
    <row r="93" spans="2:18" ht="18" hidden="1" customHeight="1" x14ac:dyDescent="0.2">
      <c r="B93" s="5"/>
      <c r="D93" s="162" t="s">
        <v>32</v>
      </c>
      <c r="E93" s="162"/>
      <c r="F93" s="162"/>
      <c r="G93" s="162"/>
      <c r="H93" s="162"/>
      <c r="I93" s="162"/>
      <c r="J93" s="58"/>
      <c r="K93" s="104"/>
      <c r="L93" s="104"/>
      <c r="M93" s="104"/>
      <c r="N93" s="104"/>
      <c r="O93" s="104"/>
      <c r="P93" s="104"/>
      <c r="R93" s="99"/>
    </row>
    <row r="94" spans="2:18" ht="18" hidden="1" customHeight="1" x14ac:dyDescent="0.2">
      <c r="B94" s="5"/>
      <c r="D94" s="74" t="s">
        <v>38</v>
      </c>
      <c r="E94" s="74"/>
      <c r="F94" s="74"/>
      <c r="G94" s="75"/>
      <c r="H94" s="75"/>
      <c r="I94" s="75"/>
      <c r="J94" s="57"/>
      <c r="K94" s="102"/>
      <c r="L94" s="103"/>
      <c r="M94" s="103"/>
      <c r="N94" s="103"/>
      <c r="O94" s="103"/>
      <c r="P94" s="103"/>
      <c r="R94" s="99"/>
    </row>
    <row r="95" spans="2:18" ht="17.25" hidden="1" customHeight="1" x14ac:dyDescent="0.2">
      <c r="B95" s="5"/>
      <c r="D95" s="164" t="e">
        <f ca="1">"* Usted obtuvo un saldo de ahorro voluntario no previsional de UF "&amp;TEXT(VLOOKUP(L18,tabla,4),"###.#0")&amp;" ("&amp;TEXT(VLOOKUP(L18,tabla,4)*I9,"$###.#0")&amp;"), los cuales podrá utilizar de acuerdo al beneficio tributario elegido y la modalidad de retiro a elegir, con una probable pensión adicional voluntaria de UF "&amp;TEXT(VLOOKUP(L18,tabla,5),"###.#0")&amp;" ("&amp;TEXT(VLOOKUP(L18,tabla,6),"$###.#0")&amp;") . "</f>
        <v>#N/A</v>
      </c>
      <c r="E95" s="164"/>
      <c r="F95" s="164"/>
      <c r="G95" s="164"/>
      <c r="H95" s="164"/>
      <c r="I95" s="164"/>
      <c r="J95" s="57"/>
      <c r="K95" s="102"/>
      <c r="L95" s="103"/>
      <c r="M95" s="103"/>
      <c r="N95" s="103"/>
      <c r="O95" s="103"/>
      <c r="P95" s="103"/>
      <c r="R95" s="99"/>
    </row>
    <row r="96" spans="2:18" ht="17.25" hidden="1" customHeight="1" x14ac:dyDescent="0.2">
      <c r="B96" s="5"/>
      <c r="D96" s="164"/>
      <c r="E96" s="164"/>
      <c r="F96" s="164"/>
      <c r="G96" s="164"/>
      <c r="H96" s="164"/>
      <c r="I96" s="164"/>
      <c r="J96" s="57"/>
      <c r="K96" s="102"/>
      <c r="L96" s="103"/>
      <c r="M96" s="103"/>
      <c r="N96" s="103"/>
      <c r="O96" s="103"/>
      <c r="P96" s="103"/>
      <c r="R96" s="99"/>
    </row>
    <row r="97" spans="2:18" ht="17.25" hidden="1" customHeight="1" x14ac:dyDescent="0.2">
      <c r="B97" s="5"/>
      <c r="D97" s="164"/>
      <c r="E97" s="164"/>
      <c r="F97" s="164"/>
      <c r="G97" s="164"/>
      <c r="H97" s="164"/>
      <c r="I97" s="164"/>
      <c r="J97" s="57"/>
      <c r="K97" s="102"/>
      <c r="L97" s="103"/>
      <c r="M97" s="103"/>
      <c r="N97" s="103"/>
      <c r="O97" s="103"/>
      <c r="P97" s="103"/>
      <c r="R97" s="99"/>
    </row>
    <row r="98" spans="2:18" ht="18" hidden="1" customHeight="1" x14ac:dyDescent="0.2">
      <c r="B98" s="5"/>
      <c r="D98" s="74"/>
      <c r="E98" s="74"/>
      <c r="F98" s="74"/>
      <c r="G98" s="75"/>
      <c r="H98" s="75"/>
      <c r="I98" s="75"/>
      <c r="J98" s="57"/>
      <c r="K98" s="102"/>
      <c r="L98" s="103"/>
      <c r="M98" s="103"/>
      <c r="N98" s="103"/>
      <c r="O98" s="103"/>
      <c r="P98" s="103"/>
      <c r="R98" s="99"/>
    </row>
    <row r="99" spans="2:18" ht="18" hidden="1" customHeight="1" x14ac:dyDescent="0.2">
      <c r="B99" s="5"/>
      <c r="D99" s="72" t="s">
        <v>33</v>
      </c>
      <c r="E99" s="73"/>
      <c r="F99" s="74"/>
      <c r="G99" s="75"/>
      <c r="H99" s="75"/>
      <c r="I99" s="75"/>
      <c r="J99" s="57"/>
      <c r="K99" s="102"/>
      <c r="L99" s="103"/>
      <c r="M99" s="103"/>
      <c r="N99" s="103"/>
      <c r="O99" s="103"/>
      <c r="P99" s="103"/>
      <c r="R99" s="99"/>
    </row>
    <row r="100" spans="2:18" ht="18" hidden="1" customHeight="1" x14ac:dyDescent="0.2">
      <c r="B100" s="5"/>
      <c r="D100" s="74" t="s">
        <v>65</v>
      </c>
      <c r="E100" s="74"/>
      <c r="F100" s="74"/>
      <c r="G100" s="75"/>
      <c r="H100" s="75"/>
      <c r="I100" s="75"/>
      <c r="J100" s="57"/>
      <c r="K100" s="102"/>
      <c r="L100" s="103"/>
      <c r="M100" s="103"/>
      <c r="N100" s="103"/>
      <c r="O100" s="103"/>
      <c r="P100" s="103"/>
      <c r="R100" s="99"/>
    </row>
    <row r="101" spans="2:18" ht="18" hidden="1" customHeight="1" x14ac:dyDescent="0.2">
      <c r="B101" s="5"/>
      <c r="D101" s="74" t="s">
        <v>34</v>
      </c>
      <c r="E101" s="74"/>
      <c r="F101" s="74"/>
      <c r="G101" s="75"/>
      <c r="H101" s="75"/>
      <c r="I101" s="75"/>
      <c r="J101" s="57"/>
      <c r="K101" s="102"/>
      <c r="L101" s="103"/>
      <c r="M101" s="103"/>
      <c r="N101" s="103"/>
      <c r="O101" s="103"/>
      <c r="P101" s="103"/>
      <c r="R101" s="99"/>
    </row>
    <row r="102" spans="2:18" ht="18" hidden="1" customHeight="1" x14ac:dyDescent="0.2">
      <c r="B102" s="5"/>
      <c r="D102" s="74" t="s">
        <v>66</v>
      </c>
      <c r="E102" s="74"/>
      <c r="F102" s="74"/>
      <c r="G102" s="75"/>
      <c r="H102" s="75"/>
      <c r="I102" s="75"/>
      <c r="J102" s="57"/>
      <c r="K102" s="102"/>
      <c r="L102" s="103"/>
      <c r="M102" s="103"/>
      <c r="N102" s="103"/>
      <c r="O102" s="103"/>
      <c r="P102" s="103"/>
      <c r="R102" s="99"/>
    </row>
    <row r="103" spans="2:18" ht="18" hidden="1" customHeight="1" x14ac:dyDescent="0.2">
      <c r="B103" s="5"/>
      <c r="D103" s="74" t="s">
        <v>35</v>
      </c>
      <c r="E103" s="74"/>
      <c r="F103" s="74"/>
      <c r="G103" s="75"/>
      <c r="H103" s="75"/>
      <c r="I103" s="75"/>
      <c r="J103" s="57"/>
      <c r="K103" s="102"/>
      <c r="L103" s="103"/>
      <c r="M103" s="103"/>
      <c r="N103" s="103"/>
      <c r="O103" s="103"/>
      <c r="P103" s="103"/>
      <c r="R103" s="99"/>
    </row>
    <row r="104" spans="2:18" ht="18" hidden="1" customHeight="1" x14ac:dyDescent="0.2">
      <c r="B104" s="5"/>
      <c r="D104" s="74" t="s">
        <v>36</v>
      </c>
      <c r="E104" s="74"/>
      <c r="F104" s="74"/>
      <c r="G104" s="75"/>
      <c r="H104" s="75"/>
      <c r="I104" s="75"/>
      <c r="J104" s="57"/>
      <c r="K104" s="102"/>
      <c r="L104" s="103"/>
      <c r="M104" s="103"/>
      <c r="N104" s="103"/>
      <c r="O104" s="103"/>
      <c r="P104" s="103"/>
      <c r="R104" s="99"/>
    </row>
    <row r="105" spans="2:18" ht="17.25" hidden="1" customHeight="1" x14ac:dyDescent="0.2">
      <c r="B105" s="5"/>
      <c r="D105" s="164" t="s">
        <v>39</v>
      </c>
      <c r="E105" s="164"/>
      <c r="F105" s="164"/>
      <c r="G105" s="164"/>
      <c r="H105" s="164"/>
      <c r="I105" s="164"/>
      <c r="J105" s="58"/>
      <c r="K105" s="104"/>
      <c r="L105" s="104"/>
      <c r="M105" s="104"/>
      <c r="N105" s="104"/>
      <c r="O105" s="104"/>
      <c r="P105" s="104"/>
      <c r="R105" s="99"/>
    </row>
    <row r="106" spans="2:18" ht="17.25" hidden="1" customHeight="1" x14ac:dyDescent="0.2">
      <c r="B106" s="5"/>
      <c r="D106" s="164"/>
      <c r="E106" s="164"/>
      <c r="F106" s="164"/>
      <c r="G106" s="164"/>
      <c r="H106" s="164"/>
      <c r="I106" s="164"/>
      <c r="J106" s="58"/>
      <c r="K106" s="104"/>
      <c r="L106" s="104"/>
      <c r="M106" s="104"/>
      <c r="N106" s="104"/>
      <c r="O106" s="104"/>
      <c r="P106" s="104"/>
      <c r="R106" s="99"/>
    </row>
    <row r="107" spans="2:18" ht="17.25" hidden="1" customHeight="1" x14ac:dyDescent="0.2">
      <c r="B107" s="5"/>
      <c r="D107" s="164" t="s">
        <v>67</v>
      </c>
      <c r="E107" s="164"/>
      <c r="F107" s="164"/>
      <c r="G107" s="164"/>
      <c r="H107" s="164"/>
      <c r="I107" s="164"/>
      <c r="J107" s="58"/>
      <c r="K107" s="108"/>
      <c r="L107" s="108"/>
      <c r="M107" s="108"/>
      <c r="N107" s="108"/>
      <c r="O107" s="108"/>
      <c r="P107" s="108"/>
      <c r="R107" s="99"/>
    </row>
    <row r="108" spans="2:18" ht="17.25" hidden="1" customHeight="1" x14ac:dyDescent="0.2">
      <c r="B108" s="5"/>
      <c r="D108" s="164"/>
      <c r="E108" s="164"/>
      <c r="F108" s="164"/>
      <c r="G108" s="164"/>
      <c r="H108" s="164"/>
      <c r="I108" s="164"/>
      <c r="J108" s="58"/>
      <c r="K108" s="108"/>
      <c r="L108" s="108"/>
      <c r="M108" s="108"/>
      <c r="N108" s="108"/>
      <c r="O108" s="108"/>
      <c r="P108" s="108"/>
      <c r="R108" s="99"/>
    </row>
    <row r="109" spans="2:18" ht="18" hidden="1" customHeight="1" x14ac:dyDescent="0.2">
      <c r="B109" s="5"/>
      <c r="D109" s="74" t="s">
        <v>37</v>
      </c>
      <c r="E109" s="74"/>
      <c r="F109" s="74"/>
      <c r="G109" s="75"/>
      <c r="H109" s="75"/>
      <c r="I109" s="75"/>
      <c r="J109" s="57"/>
      <c r="K109" s="102"/>
      <c r="L109" s="103"/>
      <c r="M109" s="103"/>
      <c r="N109" s="103"/>
      <c r="O109" s="103"/>
      <c r="P109" s="103"/>
      <c r="R109" s="99"/>
    </row>
    <row r="110" spans="2:18" ht="12" hidden="1" customHeight="1" x14ac:dyDescent="0.2">
      <c r="B110" s="5"/>
      <c r="D110" s="74"/>
      <c r="E110" s="74"/>
      <c r="F110" s="74"/>
      <c r="G110" s="75"/>
      <c r="H110" s="75"/>
      <c r="I110" s="75"/>
      <c r="J110" s="57"/>
      <c r="K110" s="102"/>
      <c r="L110" s="103"/>
      <c r="M110" s="103"/>
      <c r="N110" s="103"/>
      <c r="O110" s="103"/>
      <c r="P110" s="103"/>
      <c r="R110" s="99"/>
    </row>
    <row r="111" spans="2:18" ht="16.25" hidden="1" customHeight="1" x14ac:dyDescent="0.2">
      <c r="B111" s="5"/>
      <c r="D111" s="77" t="s">
        <v>62</v>
      </c>
      <c r="E111" s="74"/>
      <c r="F111" s="74"/>
      <c r="G111" s="75"/>
      <c r="H111" s="75"/>
      <c r="I111" s="75"/>
      <c r="J111" s="57"/>
      <c r="K111" s="102"/>
      <c r="L111" s="103"/>
      <c r="M111" s="103"/>
      <c r="N111" s="103"/>
      <c r="O111" s="103"/>
      <c r="P111" s="103"/>
      <c r="R111" s="99"/>
    </row>
    <row r="112" spans="2:18" ht="16.25" hidden="1" customHeight="1" x14ac:dyDescent="0.2">
      <c r="B112" s="5"/>
      <c r="D112" s="167" t="s">
        <v>61</v>
      </c>
      <c r="E112" s="167"/>
      <c r="F112" s="167"/>
      <c r="G112" s="167"/>
      <c r="H112" s="167"/>
      <c r="I112" s="167"/>
      <c r="J112" s="57"/>
      <c r="K112" s="102"/>
      <c r="L112" s="103"/>
      <c r="M112" s="103"/>
      <c r="N112" s="103"/>
      <c r="O112" s="103"/>
      <c r="P112" s="103"/>
      <c r="R112" s="99"/>
    </row>
    <row r="113" spans="2:18" ht="16.25" hidden="1" customHeight="1" x14ac:dyDescent="0.2">
      <c r="B113" s="5"/>
      <c r="D113" s="167"/>
      <c r="E113" s="167"/>
      <c r="F113" s="167"/>
      <c r="G113" s="167"/>
      <c r="H113" s="167"/>
      <c r="I113" s="167"/>
      <c r="J113" s="57"/>
      <c r="K113" s="102"/>
      <c r="L113" s="103"/>
      <c r="M113" s="103"/>
      <c r="N113" s="103"/>
      <c r="O113" s="103"/>
      <c r="P113" s="103"/>
      <c r="R113" s="99"/>
    </row>
    <row r="114" spans="2:18" ht="16.25" hidden="1" customHeight="1" x14ac:dyDescent="0.2">
      <c r="B114" s="5"/>
      <c r="D114" s="167"/>
      <c r="E114" s="167"/>
      <c r="F114" s="167"/>
      <c r="G114" s="167"/>
      <c r="H114" s="167"/>
      <c r="I114" s="167"/>
      <c r="J114" s="57"/>
      <c r="K114" s="102"/>
      <c r="L114" s="103"/>
      <c r="M114" s="103"/>
      <c r="N114" s="103"/>
      <c r="O114" s="103"/>
      <c r="P114" s="103"/>
      <c r="R114" s="99"/>
    </row>
    <row r="115" spans="2:18" ht="90.75" hidden="1" customHeight="1" x14ac:dyDescent="0.2">
      <c r="B115" s="5"/>
      <c r="D115" s="166" t="s">
        <v>69</v>
      </c>
      <c r="E115" s="166"/>
      <c r="F115" s="166"/>
      <c r="G115" s="166"/>
      <c r="H115" s="166"/>
      <c r="I115" s="166"/>
      <c r="J115" s="57"/>
      <c r="K115" s="102"/>
      <c r="L115" s="103"/>
      <c r="M115" s="103"/>
      <c r="N115" s="103"/>
      <c r="O115" s="103"/>
      <c r="P115" s="103"/>
      <c r="R115" s="99"/>
    </row>
    <row r="116" spans="2:18" ht="16.25" hidden="1" customHeight="1" x14ac:dyDescent="0.2">
      <c r="B116" s="5"/>
      <c r="D116" s="167" t="s">
        <v>68</v>
      </c>
      <c r="E116" s="167"/>
      <c r="F116" s="167"/>
      <c r="G116" s="167"/>
      <c r="H116" s="167"/>
      <c r="I116" s="167"/>
      <c r="J116" s="57"/>
      <c r="K116" s="102"/>
      <c r="L116" s="103"/>
      <c r="M116" s="103"/>
      <c r="N116" s="103"/>
      <c r="O116" s="103"/>
      <c r="P116" s="103"/>
      <c r="R116" s="99"/>
    </row>
    <row r="117" spans="2:18" ht="16.25" hidden="1" customHeight="1" x14ac:dyDescent="0.2">
      <c r="B117" s="5"/>
      <c r="D117" s="167"/>
      <c r="E117" s="167"/>
      <c r="F117" s="167"/>
      <c r="G117" s="167"/>
      <c r="H117" s="167"/>
      <c r="I117" s="167"/>
      <c r="J117" s="57"/>
      <c r="K117" s="102"/>
      <c r="L117" s="103"/>
      <c r="M117" s="103"/>
      <c r="N117" s="103"/>
      <c r="O117" s="103"/>
      <c r="P117" s="103"/>
      <c r="R117" s="99"/>
    </row>
    <row r="118" spans="2:18" ht="5.25" hidden="1" customHeight="1" thickBot="1" x14ac:dyDescent="0.2">
      <c r="B118" s="7"/>
      <c r="C118" s="8"/>
      <c r="D118" s="8"/>
      <c r="E118" s="8"/>
      <c r="F118" s="8"/>
      <c r="G118" s="8"/>
      <c r="H118" s="8"/>
      <c r="I118" s="8"/>
      <c r="J118" s="9"/>
    </row>
    <row r="120" spans="2:18" ht="18" customHeight="1" x14ac:dyDescent="0.15"/>
    <row r="121" spans="2:18" ht="12" customHeight="1" x14ac:dyDescent="0.15"/>
    <row r="122" spans="2:18" ht="13" customHeight="1" x14ac:dyDescent="0.15"/>
    <row r="124" spans="2:18" ht="15" customHeight="1" x14ac:dyDescent="0.15"/>
    <row r="125" spans="2:18" ht="13" customHeight="1" x14ac:dyDescent="0.15"/>
    <row r="126" spans="2:18" ht="13" customHeight="1" x14ac:dyDescent="0.2">
      <c r="D126" s="76"/>
      <c r="E126" s="76"/>
      <c r="F126" s="76"/>
      <c r="G126" s="76"/>
      <c r="H126" s="76"/>
      <c r="I126" s="76"/>
    </row>
  </sheetData>
  <sheetProtection algorithmName="SHA-512" hashValue="7lVftDtaoGmdED0z4eRj6GJXiBtT1EMWpUU72uPAVF8hE3mbn5hi8Jmx+zTfSMQxhGrExBE5PRvpev2MLUakjw==" saltValue="LGBDw/kfJctD9srkLJqDpg==" spinCount="100000" sheet="1" objects="1" scenarios="1"/>
  <protectedRanges>
    <protectedRange sqref="D1" name="Rango1"/>
  </protectedRanges>
  <mergeCells count="28">
    <mergeCell ref="D115:I115"/>
    <mergeCell ref="D107:I108"/>
    <mergeCell ref="D112:I114"/>
    <mergeCell ref="D116:I117"/>
    <mergeCell ref="D95:I97"/>
    <mergeCell ref="D105:I106"/>
    <mergeCell ref="D93:I93"/>
    <mergeCell ref="D91:I91"/>
    <mergeCell ref="D92:I92"/>
    <mergeCell ref="E69:I69"/>
    <mergeCell ref="E70:I70"/>
    <mergeCell ref="D75:I75"/>
    <mergeCell ref="D76:I77"/>
    <mergeCell ref="D82:I83"/>
    <mergeCell ref="D84:I85"/>
    <mergeCell ref="D86:I87"/>
    <mergeCell ref="D88:I90"/>
    <mergeCell ref="G11:H12"/>
    <mergeCell ref="C63:J64"/>
    <mergeCell ref="H8:I8"/>
    <mergeCell ref="B1:E1"/>
    <mergeCell ref="E7:I7"/>
    <mergeCell ref="G14:G15"/>
    <mergeCell ref="H14:H15"/>
    <mergeCell ref="I14:I15"/>
    <mergeCell ref="D60:E60"/>
    <mergeCell ref="D14:D15"/>
    <mergeCell ref="D58:I58"/>
  </mergeCells>
  <phoneticPr fontId="1" type="noConversion"/>
  <dataValidations count="1">
    <dataValidation type="list" allowBlank="1" showInputMessage="1" showErrorMessage="1" sqref="G59" xr:uid="{00000000-0002-0000-0200-000000000000}">
      <formula1>$X$6:$X$15</formula1>
    </dataValidation>
  </dataValidations>
  <printOptions horizontalCentered="1" verticalCentered="1"/>
  <pageMargins left="0.39370078740157483" right="0.39370078740157483" top="0.39370078740157483" bottom="0.39370078740157483" header="0" footer="0"/>
  <pageSetup scale="70" orientation="portrait" horizontalDpi="300" verticalDpi="300" r:id="rId1"/>
  <headerFooter alignWithMargins="0">
    <oddFooter>&amp;L&amp;1#&amp;"Calibri"&amp;9&amp;K737373Classification: Customer Confidential</oddFooter>
  </headerFooter>
  <rowBreaks count="1" manualBreakCount="1">
    <brk id="65" min="1" max="9" man="1"/>
  </rowBreaks>
  <customProperties>
    <customPr name="QAA_DRILLPATH_NODE_ID" r:id="rId2"/>
  </customPropertie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93A3110-D8B2-4E27-96AA-1240DFFF1646}">
          <x14:formula1>
            <xm:f>UF!$C$3:$C$4</xm:f>
          </x14:formula1>
          <xm:sqref>J9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G4"/>
  <sheetViews>
    <sheetView workbookViewId="0">
      <selection activeCell="D13" sqref="D13"/>
    </sheetView>
  </sheetViews>
  <sheetFormatPr baseColWidth="10" defaultRowHeight="13" x14ac:dyDescent="0.15"/>
  <sheetData>
    <row r="2" spans="2:7" ht="14" x14ac:dyDescent="0.15">
      <c r="B2" s="20" t="s">
        <v>10</v>
      </c>
      <c r="C2" s="20" t="s">
        <v>126</v>
      </c>
      <c r="D2" s="20"/>
      <c r="E2" s="20"/>
      <c r="F2" s="20" t="s">
        <v>13</v>
      </c>
      <c r="G2" s="168">
        <v>68923</v>
      </c>
    </row>
    <row r="3" spans="2:7" ht="14" x14ac:dyDescent="0.15">
      <c r="B3" s="169">
        <v>39267.07</v>
      </c>
      <c r="C3" s="20" t="s">
        <v>128</v>
      </c>
      <c r="D3" s="20"/>
      <c r="E3" s="20"/>
      <c r="F3" s="20"/>
      <c r="G3" s="20"/>
    </row>
    <row r="4" spans="2:7" ht="14" x14ac:dyDescent="0.15">
      <c r="B4" s="169">
        <v>39290.61</v>
      </c>
      <c r="C4" s="20" t="s">
        <v>129</v>
      </c>
      <c r="D4" s="20"/>
      <c r="E4" s="20"/>
      <c r="F4" s="20"/>
      <c r="G4" s="20"/>
    </row>
  </sheetData>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B1:H20"/>
  <sheetViews>
    <sheetView workbookViewId="0">
      <selection activeCell="C2" sqref="C2"/>
    </sheetView>
  </sheetViews>
  <sheetFormatPr baseColWidth="10" defaultColWidth="8.83203125" defaultRowHeight="13" x14ac:dyDescent="0.15"/>
  <cols>
    <col min="1" max="1" width="11.6640625" customWidth="1"/>
    <col min="2" max="2" width="14.83203125" customWidth="1"/>
    <col min="3" max="3" width="13.83203125" bestFit="1" customWidth="1"/>
  </cols>
  <sheetData>
    <row r="1" spans="2:8" x14ac:dyDescent="0.15">
      <c r="B1" s="20" t="s">
        <v>11</v>
      </c>
      <c r="C1">
        <v>84.3</v>
      </c>
    </row>
    <row r="2" spans="2:8" x14ac:dyDescent="0.15">
      <c r="B2" s="20" t="s">
        <v>12</v>
      </c>
      <c r="C2">
        <v>122.7</v>
      </c>
    </row>
    <row r="3" spans="2:8" ht="14" thickBot="1" x14ac:dyDescent="0.2">
      <c r="B3" s="20" t="s">
        <v>14</v>
      </c>
      <c r="C3" s="22">
        <v>7.7000000000000002E-3</v>
      </c>
    </row>
    <row r="4" spans="2:8" x14ac:dyDescent="0.15">
      <c r="B4" s="20" t="s">
        <v>10</v>
      </c>
      <c r="C4" s="118">
        <f>Valor_UF</f>
        <v>39267.07</v>
      </c>
      <c r="E4" s="132">
        <v>0</v>
      </c>
      <c r="F4" s="133">
        <v>13.5</v>
      </c>
      <c r="G4" s="134">
        <v>0</v>
      </c>
      <c r="H4" s="135">
        <v>0</v>
      </c>
    </row>
    <row r="5" spans="2:8" x14ac:dyDescent="0.15">
      <c r="B5" s="20" t="s">
        <v>13</v>
      </c>
      <c r="C5" s="119">
        <f>'Deposito Convenido Mensual'!I10</f>
        <v>68923</v>
      </c>
      <c r="E5" s="136">
        <f>F4+0.001</f>
        <v>13.500999999999999</v>
      </c>
      <c r="F5">
        <v>30</v>
      </c>
      <c r="G5" s="137">
        <v>0.04</v>
      </c>
      <c r="H5" s="138">
        <v>0.54</v>
      </c>
    </row>
    <row r="6" spans="2:8" x14ac:dyDescent="0.15">
      <c r="E6" s="136">
        <f t="shared" ref="E6:E11" si="0">F5+0.001</f>
        <v>30.001000000000001</v>
      </c>
      <c r="F6">
        <v>50</v>
      </c>
      <c r="G6" s="137">
        <v>0.08</v>
      </c>
      <c r="H6" s="138">
        <v>1.74</v>
      </c>
    </row>
    <row r="7" spans="2:8" x14ac:dyDescent="0.15">
      <c r="E7" s="136">
        <f t="shared" si="0"/>
        <v>50.000999999999998</v>
      </c>
      <c r="F7">
        <v>70</v>
      </c>
      <c r="G7" s="137">
        <v>0.13500000000000001</v>
      </c>
      <c r="H7" s="138">
        <v>4.49</v>
      </c>
    </row>
    <row r="8" spans="2:8" x14ac:dyDescent="0.15">
      <c r="B8" s="20" t="s">
        <v>15</v>
      </c>
      <c r="C8">
        <f>'Deposito Convenido Mensual'!F9</f>
        <v>1500000</v>
      </c>
      <c r="E8" s="136">
        <f t="shared" si="0"/>
        <v>70.001000000000005</v>
      </c>
      <c r="F8">
        <v>90</v>
      </c>
      <c r="G8" s="137">
        <v>0.23</v>
      </c>
      <c r="H8" s="138">
        <v>11.14</v>
      </c>
    </row>
    <row r="9" spans="2:8" x14ac:dyDescent="0.15">
      <c r="B9" s="20" t="s">
        <v>16</v>
      </c>
      <c r="C9" s="23">
        <f>C8/C4</f>
        <v>38.199947182206365</v>
      </c>
      <c r="E9" s="136">
        <f t="shared" si="0"/>
        <v>90.001000000000005</v>
      </c>
      <c r="F9">
        <v>120</v>
      </c>
      <c r="G9" s="137">
        <v>0.30399999999999999</v>
      </c>
      <c r="H9" s="138">
        <v>17.8</v>
      </c>
    </row>
    <row r="10" spans="2:8" x14ac:dyDescent="0.15">
      <c r="B10" s="20" t="s">
        <v>9</v>
      </c>
      <c r="C10" s="19">
        <f>'Deposito Convenido Mensual'!F10</f>
        <v>100000</v>
      </c>
      <c r="D10" s="23"/>
      <c r="E10" s="136">
        <f t="shared" si="0"/>
        <v>120.001</v>
      </c>
      <c r="F10">
        <v>310</v>
      </c>
      <c r="G10" s="137">
        <v>0.35</v>
      </c>
      <c r="H10" s="138">
        <v>23.32</v>
      </c>
    </row>
    <row r="11" spans="2:8" ht="14" thickBot="1" x14ac:dyDescent="0.2">
      <c r="B11" s="20" t="s">
        <v>17</v>
      </c>
      <c r="C11" s="19">
        <f>IF(C9&lt;C1,C9*(1-0.176-C3),IF(C9&lt;C2,C9-C1*(0.17+C3)-C9*0.006,C9-C1*(0.17+C3)-C2*0.006))</f>
        <v>31.182616884835056</v>
      </c>
      <c r="E11" s="139">
        <f t="shared" si="0"/>
        <v>310.00099999999998</v>
      </c>
      <c r="F11" s="140" t="s">
        <v>8</v>
      </c>
      <c r="G11" s="141">
        <v>0.4</v>
      </c>
      <c r="H11" s="142">
        <v>38.82</v>
      </c>
    </row>
    <row r="12" spans="2:8" x14ac:dyDescent="0.15">
      <c r="B12" s="20" t="s">
        <v>18</v>
      </c>
      <c r="C12" s="19">
        <f>C11-C10</f>
        <v>-99968.817383115165</v>
      </c>
    </row>
    <row r="14" spans="2:8" x14ac:dyDescent="0.15">
      <c r="B14" s="20" t="s">
        <v>19</v>
      </c>
      <c r="C14" s="25" t="e">
        <f>C12*(1-VLOOKUP(C12*C4/C5,$E$4:$H$11,3))+VLOOKUP(C12*C4/C5,$E$4:$H$11,4)*C5/C4</f>
        <v>#N/A</v>
      </c>
    </row>
    <row r="15" spans="2:8" x14ac:dyDescent="0.15">
      <c r="B15" s="20" t="s">
        <v>20</v>
      </c>
      <c r="C15" s="24" t="e">
        <f>C14*C4</f>
        <v>#N/A</v>
      </c>
    </row>
    <row r="16" spans="2:8" x14ac:dyDescent="0.15">
      <c r="B16" s="20" t="s">
        <v>21</v>
      </c>
      <c r="C16" s="21">
        <f>VLOOKUP(C11*C4/C5,$E$4:$H$11,3)</f>
        <v>0.04</v>
      </c>
      <c r="D16" s="23"/>
    </row>
    <row r="19" spans="2:3" x14ac:dyDescent="0.15">
      <c r="B19" s="20" t="s">
        <v>123</v>
      </c>
      <c r="C19">
        <v>217.1</v>
      </c>
    </row>
    <row r="20" spans="2:3" x14ac:dyDescent="0.15">
      <c r="B20" s="20" t="s">
        <v>124</v>
      </c>
      <c r="C20">
        <v>251.38</v>
      </c>
    </row>
  </sheetData>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C2:L494"/>
  <sheetViews>
    <sheetView workbookViewId="0">
      <selection activeCell="G10" sqref="G10"/>
    </sheetView>
  </sheetViews>
  <sheetFormatPr baseColWidth="10" defaultColWidth="8.83203125" defaultRowHeight="13" x14ac:dyDescent="0.15"/>
  <cols>
    <col min="1" max="2" width="11.6640625" customWidth="1"/>
    <col min="3" max="3" width="13.33203125" bestFit="1" customWidth="1"/>
    <col min="4" max="4" width="14.33203125" bestFit="1" customWidth="1"/>
    <col min="5" max="5" width="11.83203125" bestFit="1" customWidth="1"/>
    <col min="6" max="6" width="10.33203125" bestFit="1" customWidth="1"/>
    <col min="7" max="7" width="13.83203125" bestFit="1" customWidth="1"/>
    <col min="8" max="8" width="15.83203125" bestFit="1" customWidth="1"/>
    <col min="9" max="12" width="13.83203125" bestFit="1" customWidth="1"/>
  </cols>
  <sheetData>
    <row r="2" spans="3:12" x14ac:dyDescent="0.15">
      <c r="C2" t="s">
        <v>46</v>
      </c>
      <c r="D2">
        <v>81.7</v>
      </c>
    </row>
    <row r="3" spans="3:12" x14ac:dyDescent="0.15">
      <c r="C3" t="s">
        <v>10</v>
      </c>
      <c r="D3" s="59">
        <f>'Deposito Convenido Mensual'!I9</f>
        <v>39267.07</v>
      </c>
    </row>
    <row r="4" spans="3:12" x14ac:dyDescent="0.15">
      <c r="C4" t="s">
        <v>48</v>
      </c>
      <c r="D4">
        <f ca="1">'Deposito Convenido Mensual'!L18</f>
        <v>-13</v>
      </c>
    </row>
    <row r="5" spans="3:12" x14ac:dyDescent="0.15">
      <c r="C5" t="s">
        <v>49</v>
      </c>
      <c r="D5" s="64">
        <f>(1+'Deposito Convenido Mensual'!I11)^(1/12)-1</f>
        <v>3.6748094004368514E-3</v>
      </c>
      <c r="H5" s="59"/>
      <c r="I5" s="60"/>
    </row>
    <row r="6" spans="3:12" x14ac:dyDescent="0.15">
      <c r="H6" s="59"/>
    </row>
    <row r="7" spans="3:12" x14ac:dyDescent="0.15">
      <c r="C7" t="s">
        <v>44</v>
      </c>
      <c r="D7" s="62">
        <f>'Deposito Convenido Mensual'!F9</f>
        <v>1500000</v>
      </c>
    </row>
    <row r="8" spans="3:12" x14ac:dyDescent="0.15">
      <c r="C8" t="s">
        <v>45</v>
      </c>
      <c r="D8" s="62">
        <f>IF(D7/D3&lt;D2,0.1*D7,0.1*D2*D3)</f>
        <v>150000</v>
      </c>
      <c r="H8" s="24"/>
    </row>
    <row r="9" spans="3:12" x14ac:dyDescent="0.15">
      <c r="C9" t="s">
        <v>47</v>
      </c>
      <c r="D9" s="63">
        <v>0.15</v>
      </c>
      <c r="I9" t="s">
        <v>26</v>
      </c>
      <c r="J9" t="s">
        <v>57</v>
      </c>
      <c r="K9" t="s">
        <v>58</v>
      </c>
    </row>
    <row r="10" spans="3:12" x14ac:dyDescent="0.15">
      <c r="C10" t="s">
        <v>52</v>
      </c>
      <c r="D10" s="61">
        <f>(1-D9)*D8</f>
        <v>127500</v>
      </c>
      <c r="H10" s="61"/>
      <c r="I10">
        <v>40</v>
      </c>
      <c r="J10" s="65">
        <f>G492</f>
        <v>166979528.31844965</v>
      </c>
      <c r="K10" s="66">
        <f>J10/D3</f>
        <v>4252.406108183005</v>
      </c>
      <c r="L10" s="61">
        <f>J10/205</f>
        <v>814534.28448024218</v>
      </c>
    </row>
    <row r="11" spans="3:12" x14ac:dyDescent="0.15">
      <c r="C11" t="s">
        <v>53</v>
      </c>
      <c r="D11" s="63">
        <v>0</v>
      </c>
      <c r="H11" s="61"/>
      <c r="I11">
        <v>35</v>
      </c>
      <c r="J11" s="65">
        <f>G432</f>
        <v>127113615.0691421</v>
      </c>
      <c r="K11" s="66">
        <f>J11/D3</f>
        <v>3237.1555878536929</v>
      </c>
      <c r="L11" s="61">
        <f>J11/210</f>
        <v>605302.92890067666</v>
      </c>
    </row>
    <row r="12" spans="3:12" x14ac:dyDescent="0.15">
      <c r="D12" s="61"/>
      <c r="H12" s="61"/>
    </row>
    <row r="13" spans="3:12" x14ac:dyDescent="0.15">
      <c r="C13" t="s">
        <v>50</v>
      </c>
      <c r="D13" t="s">
        <v>51</v>
      </c>
      <c r="E13" t="s">
        <v>54</v>
      </c>
      <c r="F13" t="s">
        <v>55</v>
      </c>
      <c r="G13" t="s">
        <v>56</v>
      </c>
      <c r="H13" s="61" t="s">
        <v>58</v>
      </c>
      <c r="J13" s="24"/>
      <c r="K13" s="24"/>
    </row>
    <row r="14" spans="3:12" x14ac:dyDescent="0.15">
      <c r="C14">
        <v>1</v>
      </c>
      <c r="D14">
        <v>1</v>
      </c>
      <c r="E14" s="65">
        <f>D7</f>
        <v>1500000</v>
      </c>
      <c r="F14" s="62">
        <f>IF(E14/$D$3&lt;$D$2*(1+$D$11)^(C14-1),0.1*E14,0.1*$D$2*$D$3*(1+$D$11)^(C14-1))*(1-$D$9)</f>
        <v>127500</v>
      </c>
      <c r="G14" s="62">
        <f>F14*(1+$D$5)</f>
        <v>127968.5381985557</v>
      </c>
      <c r="H14" s="67">
        <f>G14/$D$3</f>
        <v>3.2589276001126568</v>
      </c>
    </row>
    <row r="15" spans="3:12" x14ac:dyDescent="0.15">
      <c r="C15">
        <f>IF(MOD(D14,12)=0,C14+1,C14)</f>
        <v>1</v>
      </c>
      <c r="D15">
        <f>IF(MOD(D14,12)=0,1,D14+1)</f>
        <v>2</v>
      </c>
      <c r="E15" s="65">
        <f>E14</f>
        <v>1500000</v>
      </c>
      <c r="F15" s="62">
        <f t="shared" ref="F15:F78" si="0">IF(E15/$D$3&lt;$D$2*(1+$D$11)^(C15-1),0.1*E15,0.1*$D$2*$D$3*(1+$D$11)^(C15-1))*(1-$D$9)</f>
        <v>127500</v>
      </c>
      <c r="G15" s="62">
        <f>(F15+G14)*(1+$D$5)</f>
        <v>256407.33638424362</v>
      </c>
      <c r="H15" s="67">
        <f t="shared" ref="H15:H78" si="1">G15/$D$3</f>
        <v>6.5298311380055507</v>
      </c>
    </row>
    <row r="16" spans="3:12" x14ac:dyDescent="0.15">
      <c r="C16">
        <f t="shared" ref="C16:C45" si="2">IF(MOD(D15,12)=0,C15+1,C15)</f>
        <v>1</v>
      </c>
      <c r="D16">
        <f t="shared" ref="D16:D45" si="3">IF(MOD(D15,12)=0,1,D15+1)</f>
        <v>3</v>
      </c>
      <c r="E16" s="65">
        <f>E15</f>
        <v>1500000</v>
      </c>
      <c r="F16" s="62">
        <f t="shared" si="0"/>
        <v>127500</v>
      </c>
      <c r="G16" s="62">
        <f t="shared" ref="G16:G79" si="4">(F16+G15)*(1+$D$5)</f>
        <v>385318.12267288513</v>
      </c>
      <c r="H16" s="67">
        <f t="shared" si="1"/>
        <v>9.8127546229674163</v>
      </c>
    </row>
    <row r="17" spans="3:8" x14ac:dyDescent="0.15">
      <c r="C17">
        <f t="shared" si="2"/>
        <v>1</v>
      </c>
      <c r="D17">
        <f t="shared" si="3"/>
        <v>4</v>
      </c>
      <c r="E17" s="65">
        <f t="shared" ref="E17:E80" si="5">E16</f>
        <v>1500000</v>
      </c>
      <c r="F17" s="62">
        <f t="shared" si="0"/>
        <v>127500</v>
      </c>
      <c r="G17" s="62">
        <f t="shared" si="4"/>
        <v>514702.63153079781</v>
      </c>
      <c r="H17" s="67">
        <f t="shared" si="1"/>
        <v>13.107742226012734</v>
      </c>
    </row>
    <row r="18" spans="3:8" x14ac:dyDescent="0.15">
      <c r="C18">
        <f t="shared" si="2"/>
        <v>1</v>
      </c>
      <c r="D18">
        <f t="shared" si="3"/>
        <v>5</v>
      </c>
      <c r="E18" s="65">
        <f t="shared" si="5"/>
        <v>1500000</v>
      </c>
      <c r="F18" s="62">
        <f t="shared" si="0"/>
        <v>127500</v>
      </c>
      <c r="G18" s="62">
        <f t="shared" si="4"/>
        <v>644562.60379813251</v>
      </c>
      <c r="H18" s="67">
        <f t="shared" si="1"/>
        <v>16.414838280476044</v>
      </c>
    </row>
    <row r="19" spans="3:8" x14ac:dyDescent="0.15">
      <c r="C19">
        <f t="shared" si="2"/>
        <v>1</v>
      </c>
      <c r="D19">
        <f t="shared" si="3"/>
        <v>6</v>
      </c>
      <c r="E19" s="65">
        <f t="shared" si="5"/>
        <v>1500000</v>
      </c>
      <c r="F19" s="62">
        <f t="shared" si="0"/>
        <v>127500</v>
      </c>
      <c r="G19" s="62">
        <f t="shared" si="4"/>
        <v>774899.78671229561</v>
      </c>
      <c r="H19" s="67">
        <f t="shared" si="1"/>
        <v>19.734087282608446</v>
      </c>
    </row>
    <row r="20" spans="3:8" x14ac:dyDescent="0.15">
      <c r="C20">
        <f t="shared" si="2"/>
        <v>1</v>
      </c>
      <c r="D20">
        <f t="shared" si="3"/>
        <v>7</v>
      </c>
      <c r="E20" s="65">
        <f t="shared" si="5"/>
        <v>1500000</v>
      </c>
      <c r="F20" s="62">
        <f t="shared" si="0"/>
        <v>127500</v>
      </c>
      <c r="G20" s="62">
        <f t="shared" si="4"/>
        <v>905715.93393145816</v>
      </c>
      <c r="H20" s="67">
        <f t="shared" si="1"/>
        <v>23.065533892176273</v>
      </c>
    </row>
    <row r="21" spans="3:8" x14ac:dyDescent="0.15">
      <c r="C21">
        <f t="shared" si="2"/>
        <v>1</v>
      </c>
      <c r="D21">
        <f t="shared" si="3"/>
        <v>8</v>
      </c>
      <c r="E21" s="65">
        <f t="shared" si="5"/>
        <v>1500000</v>
      </c>
      <c r="F21" s="62">
        <f t="shared" si="0"/>
        <v>127500</v>
      </c>
      <c r="G21" s="62">
        <f t="shared" si="4"/>
        <v>1037012.8055581506</v>
      </c>
      <c r="H21" s="67">
        <f t="shared" si="1"/>
        <v>26.409222933061994</v>
      </c>
    </row>
    <row r="22" spans="3:8" x14ac:dyDescent="0.15">
      <c r="C22">
        <f t="shared" si="2"/>
        <v>1</v>
      </c>
      <c r="D22">
        <f t="shared" si="3"/>
        <v>9</v>
      </c>
      <c r="E22" s="65">
        <f t="shared" si="5"/>
        <v>1500000</v>
      </c>
      <c r="F22" s="62">
        <f t="shared" si="0"/>
        <v>127500</v>
      </c>
      <c r="G22" s="62">
        <f t="shared" si="4"/>
        <v>1168792.1681629447</v>
      </c>
      <c r="H22" s="67">
        <f t="shared" si="1"/>
        <v>29.765199393867299</v>
      </c>
    </row>
    <row r="23" spans="3:8" x14ac:dyDescent="0.15">
      <c r="C23">
        <f t="shared" si="2"/>
        <v>1</v>
      </c>
      <c r="D23">
        <f t="shared" si="3"/>
        <v>10</v>
      </c>
      <c r="E23" s="65">
        <f t="shared" si="5"/>
        <v>1500000</v>
      </c>
      <c r="F23" s="62">
        <f t="shared" si="0"/>
        <v>127500</v>
      </c>
      <c r="G23" s="62">
        <f t="shared" si="4"/>
        <v>1301055.7948082227</v>
      </c>
      <c r="H23" s="67">
        <f t="shared" si="1"/>
        <v>33.133508428518418</v>
      </c>
    </row>
    <row r="24" spans="3:8" x14ac:dyDescent="0.15">
      <c r="C24">
        <f t="shared" si="2"/>
        <v>1</v>
      </c>
      <c r="D24">
        <f>IF(MOD(D23,12)=0,1,D23+1)</f>
        <v>11</v>
      </c>
      <c r="E24" s="65">
        <f t="shared" si="5"/>
        <v>1500000</v>
      </c>
      <c r="F24" s="62">
        <f t="shared" si="0"/>
        <v>127500</v>
      </c>
      <c r="G24" s="62">
        <f t="shared" si="4"/>
        <v>1433805.4650720325</v>
      </c>
      <c r="H24" s="67">
        <f t="shared" si="1"/>
        <v>36.51419535687365</v>
      </c>
    </row>
    <row r="25" spans="3:8" x14ac:dyDescent="0.15">
      <c r="C25">
        <f t="shared" si="2"/>
        <v>1</v>
      </c>
      <c r="D25">
        <f t="shared" si="3"/>
        <v>12</v>
      </c>
      <c r="E25" s="65">
        <f t="shared" si="5"/>
        <v>1500000</v>
      </c>
      <c r="F25" s="62">
        <f t="shared" si="0"/>
        <v>127500</v>
      </c>
      <c r="G25" s="62">
        <f t="shared" si="4"/>
        <v>1567042.9650720328</v>
      </c>
      <c r="H25" s="67">
        <f t="shared" si="1"/>
        <v>39.907305665333134</v>
      </c>
    </row>
    <row r="26" spans="3:8" x14ac:dyDescent="0.15">
      <c r="C26">
        <f t="shared" si="2"/>
        <v>2</v>
      </c>
      <c r="D26">
        <f t="shared" si="3"/>
        <v>1</v>
      </c>
      <c r="E26" s="65">
        <f t="shared" si="5"/>
        <v>1500000</v>
      </c>
      <c r="F26" s="62">
        <f t="shared" si="0"/>
        <v>127500</v>
      </c>
      <c r="G26" s="62">
        <f t="shared" si="4"/>
        <v>1700770.0874895237</v>
      </c>
      <c r="H26" s="67">
        <f t="shared" si="1"/>
        <v>43.312885007450866</v>
      </c>
    </row>
    <row r="27" spans="3:8" x14ac:dyDescent="0.15">
      <c r="C27">
        <f t="shared" si="2"/>
        <v>2</v>
      </c>
      <c r="D27">
        <f t="shared" si="3"/>
        <v>2</v>
      </c>
      <c r="E27" s="65">
        <f t="shared" si="5"/>
        <v>1500000</v>
      </c>
      <c r="F27" s="62">
        <f t="shared" si="0"/>
        <v>127500</v>
      </c>
      <c r="G27" s="62">
        <f t="shared" si="4"/>
        <v>1834988.6315935678</v>
      </c>
      <c r="H27" s="67">
        <f t="shared" si="1"/>
        <v>46.730979204548944</v>
      </c>
    </row>
    <row r="28" spans="3:8" x14ac:dyDescent="0.15">
      <c r="C28">
        <f t="shared" si="2"/>
        <v>2</v>
      </c>
      <c r="D28">
        <f t="shared" si="3"/>
        <v>3</v>
      </c>
      <c r="E28" s="65">
        <f t="shared" si="5"/>
        <v>1500000</v>
      </c>
      <c r="F28" s="62">
        <f t="shared" si="0"/>
        <v>127500</v>
      </c>
      <c r="G28" s="62">
        <f t="shared" si="4"/>
        <v>1969700.4032651982</v>
      </c>
      <c r="H28" s="67">
        <f t="shared" si="1"/>
        <v>50.161634246334096</v>
      </c>
    </row>
    <row r="29" spans="3:8" x14ac:dyDescent="0.15">
      <c r="C29">
        <f t="shared" si="2"/>
        <v>2</v>
      </c>
      <c r="D29">
        <f t="shared" si="3"/>
        <v>4</v>
      </c>
      <c r="E29" s="65">
        <f t="shared" si="5"/>
        <v>1500000</v>
      </c>
      <c r="F29" s="62">
        <f t="shared" si="0"/>
        <v>127500</v>
      </c>
      <c r="G29" s="62">
        <f t="shared" si="4"/>
        <v>2104907.2150217174</v>
      </c>
      <c r="H29" s="67">
        <f t="shared" si="1"/>
        <v>53.604896291516461</v>
      </c>
    </row>
    <row r="30" spans="3:8" x14ac:dyDescent="0.15">
      <c r="C30">
        <f t="shared" si="2"/>
        <v>2</v>
      </c>
      <c r="D30">
        <f t="shared" si="3"/>
        <v>5</v>
      </c>
      <c r="E30" s="65">
        <f t="shared" si="5"/>
        <v>1500000</v>
      </c>
      <c r="F30" s="62">
        <f t="shared" si="0"/>
        <v>127500</v>
      </c>
      <c r="G30" s="62">
        <f t="shared" si="4"/>
        <v>2240610.8860410824</v>
      </c>
      <c r="H30" s="67">
        <f t="shared" si="1"/>
        <v>57.060811668430631</v>
      </c>
    </row>
    <row r="31" spans="3:8" x14ac:dyDescent="0.15">
      <c r="C31">
        <f t="shared" si="2"/>
        <v>2</v>
      </c>
      <c r="D31">
        <f t="shared" si="3"/>
        <v>6</v>
      </c>
      <c r="E31" s="65">
        <f t="shared" si="5"/>
        <v>1500000</v>
      </c>
      <c r="F31" s="62">
        <f t="shared" si="0"/>
        <v>127500</v>
      </c>
      <c r="G31" s="62">
        <f t="shared" si="4"/>
        <v>2376813.2421863829</v>
      </c>
      <c r="H31" s="67">
        <f t="shared" si="1"/>
        <v>60.529426875658991</v>
      </c>
    </row>
    <row r="32" spans="3:8" x14ac:dyDescent="0.15">
      <c r="C32">
        <f>IF(MOD(D31,12)=0,C31+1,C31)</f>
        <v>2</v>
      </c>
      <c r="D32">
        <f t="shared" si="3"/>
        <v>7</v>
      </c>
      <c r="E32" s="65">
        <f t="shared" si="5"/>
        <v>1500000</v>
      </c>
      <c r="F32" s="62">
        <f t="shared" si="0"/>
        <v>127500</v>
      </c>
      <c r="G32" s="62">
        <f t="shared" si="4"/>
        <v>2513516.1160304081</v>
      </c>
      <c r="H32" s="67">
        <f t="shared" si="1"/>
        <v>64.010788582657383</v>
      </c>
    </row>
    <row r="33" spans="3:8" x14ac:dyDescent="0.15">
      <c r="C33">
        <f t="shared" si="2"/>
        <v>2</v>
      </c>
      <c r="D33">
        <f t="shared" si="3"/>
        <v>8</v>
      </c>
      <c r="E33" s="65">
        <f t="shared" si="5"/>
        <v>1500000</v>
      </c>
      <c r="F33" s="62">
        <f t="shared" si="0"/>
        <v>127500</v>
      </c>
      <c r="G33" s="62">
        <f t="shared" si="4"/>
        <v>2650721.3468803018</v>
      </c>
      <c r="H33" s="67">
        <f t="shared" si="1"/>
        <v>67.504943630382968</v>
      </c>
    </row>
    <row r="34" spans="3:8" x14ac:dyDescent="0.15">
      <c r="C34">
        <f t="shared" si="2"/>
        <v>2</v>
      </c>
      <c r="D34">
        <f t="shared" si="3"/>
        <v>9</v>
      </c>
      <c r="E34" s="65">
        <f t="shared" si="5"/>
        <v>1500000</v>
      </c>
      <c r="F34" s="62">
        <f t="shared" si="0"/>
        <v>127500</v>
      </c>
      <c r="G34" s="62">
        <f t="shared" si="4"/>
        <v>2788430.7808023118</v>
      </c>
      <c r="H34" s="67">
        <f t="shared" si="1"/>
        <v>71.011939031924513</v>
      </c>
    </row>
    <row r="35" spans="3:8" x14ac:dyDescent="0.15">
      <c r="C35">
        <f t="shared" si="2"/>
        <v>2</v>
      </c>
      <c r="D35">
        <f t="shared" si="3"/>
        <v>10</v>
      </c>
      <c r="E35" s="65">
        <f t="shared" si="5"/>
        <v>1500000</v>
      </c>
      <c r="F35" s="62">
        <f t="shared" si="0"/>
        <v>127500</v>
      </c>
      <c r="G35" s="62">
        <f t="shared" si="4"/>
        <v>2926646.2706466275</v>
      </c>
      <c r="H35" s="67">
        <f t="shared" si="1"/>
        <v>74.531821973134939</v>
      </c>
    </row>
    <row r="36" spans="3:8" x14ac:dyDescent="0.15">
      <c r="C36">
        <f t="shared" si="2"/>
        <v>2</v>
      </c>
      <c r="D36">
        <f t="shared" si="3"/>
        <v>11</v>
      </c>
      <c r="E36" s="65">
        <f t="shared" si="5"/>
        <v>1500000</v>
      </c>
      <c r="F36" s="62">
        <f t="shared" si="0"/>
        <v>127500</v>
      </c>
      <c r="G36" s="62">
        <f t="shared" si="4"/>
        <v>3065369.6760723088</v>
      </c>
      <c r="H36" s="67">
        <f t="shared" si="1"/>
        <v>78.064639813266155</v>
      </c>
    </row>
    <row r="37" spans="3:8" x14ac:dyDescent="0.15">
      <c r="C37">
        <f t="shared" si="2"/>
        <v>2</v>
      </c>
      <c r="D37">
        <f t="shared" si="3"/>
        <v>12</v>
      </c>
      <c r="E37" s="65">
        <f t="shared" si="5"/>
        <v>1500000</v>
      </c>
      <c r="F37" s="62">
        <f t="shared" si="0"/>
        <v>127500</v>
      </c>
      <c r="G37" s="62">
        <f t="shared" si="4"/>
        <v>3204602.8635723093</v>
      </c>
      <c r="H37" s="67">
        <f t="shared" si="1"/>
        <v>81.610440085606314</v>
      </c>
    </row>
    <row r="38" spans="3:8" x14ac:dyDescent="0.15">
      <c r="C38">
        <f t="shared" si="2"/>
        <v>3</v>
      </c>
      <c r="D38">
        <f t="shared" si="3"/>
        <v>1</v>
      </c>
      <c r="E38" s="65">
        <f t="shared" si="5"/>
        <v>1500000</v>
      </c>
      <c r="F38" s="62">
        <f t="shared" si="0"/>
        <v>127500</v>
      </c>
      <c r="G38" s="62">
        <f t="shared" si="4"/>
        <v>3344347.7064985875</v>
      </c>
      <c r="H38" s="67">
        <f t="shared" si="1"/>
        <v>85.16927049811936</v>
      </c>
    </row>
    <row r="39" spans="3:8" x14ac:dyDescent="0.15">
      <c r="C39">
        <f t="shared" si="2"/>
        <v>3</v>
      </c>
      <c r="D39">
        <f t="shared" si="3"/>
        <v>2</v>
      </c>
      <c r="E39" s="65">
        <f t="shared" si="5"/>
        <v>1500000</v>
      </c>
      <c r="F39" s="62">
        <f t="shared" si="0"/>
        <v>127500</v>
      </c>
      <c r="G39" s="62">
        <f t="shared" si="4"/>
        <v>3484606.0850873138</v>
      </c>
      <c r="H39" s="67">
        <f t="shared" si="1"/>
        <v>88.741178934086847</v>
      </c>
    </row>
    <row r="40" spans="3:8" x14ac:dyDescent="0.15">
      <c r="C40">
        <f t="shared" si="2"/>
        <v>3</v>
      </c>
      <c r="D40">
        <f t="shared" si="3"/>
        <v>3</v>
      </c>
      <c r="E40" s="65">
        <f t="shared" si="5"/>
        <v>1500000</v>
      </c>
      <c r="F40" s="62">
        <f t="shared" si="0"/>
        <v>127500</v>
      </c>
      <c r="G40" s="62">
        <f t="shared" si="4"/>
        <v>3625379.886484168</v>
      </c>
      <c r="H40" s="67">
        <f t="shared" si="1"/>
        <v>92.326213452752341</v>
      </c>
    </row>
    <row r="41" spans="3:8" x14ac:dyDescent="0.15">
      <c r="C41">
        <f t="shared" si="2"/>
        <v>3</v>
      </c>
      <c r="D41">
        <f t="shared" si="3"/>
        <v>4</v>
      </c>
      <c r="E41" s="65">
        <f t="shared" si="5"/>
        <v>1500000</v>
      </c>
      <c r="F41" s="62">
        <f t="shared" si="0"/>
        <v>127500</v>
      </c>
      <c r="G41" s="62">
        <f t="shared" si="4"/>
        <v>3766671.0047697304</v>
      </c>
      <c r="H41" s="67">
        <f t="shared" si="1"/>
        <v>95.924422289967922</v>
      </c>
    </row>
    <row r="42" spans="3:8" x14ac:dyDescent="0.15">
      <c r="C42">
        <f t="shared" si="2"/>
        <v>3</v>
      </c>
      <c r="D42">
        <f t="shared" si="3"/>
        <v>5</v>
      </c>
      <c r="E42" s="65">
        <f t="shared" si="5"/>
        <v>1500000</v>
      </c>
      <c r="F42" s="62">
        <f t="shared" si="0"/>
        <v>127500</v>
      </c>
      <c r="G42" s="62">
        <f t="shared" si="4"/>
        <v>3908481.3409849666</v>
      </c>
      <c r="H42" s="67">
        <f t="shared" si="1"/>
        <v>99.535853858843211</v>
      </c>
    </row>
    <row r="43" spans="3:8" x14ac:dyDescent="0.15">
      <c r="C43">
        <f t="shared" si="2"/>
        <v>3</v>
      </c>
      <c r="D43">
        <f t="shared" si="3"/>
        <v>6</v>
      </c>
      <c r="E43" s="65">
        <f t="shared" si="5"/>
        <v>1500000</v>
      </c>
      <c r="F43" s="62">
        <f t="shared" si="0"/>
        <v>127500</v>
      </c>
      <c r="G43" s="62">
        <f t="shared" si="4"/>
        <v>4050812.8031568057</v>
      </c>
      <c r="H43" s="67">
        <f t="shared" si="1"/>
        <v>103.16055675039685</v>
      </c>
    </row>
    <row r="44" spans="3:8" x14ac:dyDescent="0.15">
      <c r="C44">
        <f t="shared" si="2"/>
        <v>3</v>
      </c>
      <c r="D44">
        <f t="shared" si="3"/>
        <v>7</v>
      </c>
      <c r="E44" s="65">
        <f t="shared" si="5"/>
        <v>1500000</v>
      </c>
      <c r="F44" s="62">
        <f t="shared" si="0"/>
        <v>127500</v>
      </c>
      <c r="G44" s="62">
        <f t="shared" si="4"/>
        <v>4193667.3063238119</v>
      </c>
      <c r="H44" s="67">
        <f t="shared" si="1"/>
        <v>106.79857973421016</v>
      </c>
    </row>
    <row r="45" spans="3:8" x14ac:dyDescent="0.15">
      <c r="C45">
        <f t="shared" si="2"/>
        <v>3</v>
      </c>
      <c r="D45">
        <f t="shared" si="3"/>
        <v>8</v>
      </c>
      <c r="E45" s="65">
        <f t="shared" si="5"/>
        <v>1500000</v>
      </c>
      <c r="F45" s="62">
        <f t="shared" si="0"/>
        <v>127500</v>
      </c>
      <c r="G45" s="62">
        <f t="shared" si="4"/>
        <v>4337046.7725619506</v>
      </c>
      <c r="H45" s="67">
        <f t="shared" si="1"/>
        <v>110.4499717590834</v>
      </c>
    </row>
    <row r="46" spans="3:8" x14ac:dyDescent="0.15">
      <c r="C46">
        <f t="shared" ref="C46:C96" si="6">IF(MOD(D45,12)=0,C45+1,C45)</f>
        <v>3</v>
      </c>
      <c r="D46">
        <f t="shared" ref="D46:D96" si="7">IF(MOD(D45,12)=0,1,D45+1)</f>
        <v>9</v>
      </c>
      <c r="E46" s="65">
        <f t="shared" si="5"/>
        <v>1500000</v>
      </c>
      <c r="F46" s="62">
        <f t="shared" si="0"/>
        <v>127500</v>
      </c>
      <c r="G46" s="62">
        <f t="shared" si="4"/>
        <v>4480953.1310104514</v>
      </c>
      <c r="H46" s="67">
        <f t="shared" si="1"/>
        <v>114.11478195369432</v>
      </c>
    </row>
    <row r="47" spans="3:8" x14ac:dyDescent="0.15">
      <c r="C47">
        <f t="shared" si="6"/>
        <v>3</v>
      </c>
      <c r="D47">
        <f t="shared" si="7"/>
        <v>10</v>
      </c>
      <c r="E47" s="65">
        <f t="shared" si="5"/>
        <v>1500000</v>
      </c>
      <c r="F47" s="62">
        <f t="shared" si="0"/>
        <v>127500</v>
      </c>
      <c r="G47" s="62">
        <f t="shared" si="4"/>
        <v>4625388.3178977612</v>
      </c>
      <c r="H47" s="67">
        <f t="shared" si="1"/>
        <v>117.79305962725921</v>
      </c>
    </row>
    <row r="48" spans="3:8" x14ac:dyDescent="0.15">
      <c r="C48">
        <f t="shared" si="6"/>
        <v>3</v>
      </c>
      <c r="D48">
        <f t="shared" si="7"/>
        <v>11</v>
      </c>
      <c r="E48" s="65">
        <f t="shared" si="5"/>
        <v>1500000</v>
      </c>
      <c r="F48" s="62">
        <f t="shared" si="0"/>
        <v>127500</v>
      </c>
      <c r="G48" s="62">
        <f t="shared" si="4"/>
        <v>4770354.2765675988</v>
      </c>
      <c r="H48" s="67">
        <f t="shared" si="1"/>
        <v>121.48485427019635</v>
      </c>
    </row>
    <row r="49" spans="3:8" x14ac:dyDescent="0.15">
      <c r="C49">
        <f t="shared" si="6"/>
        <v>3</v>
      </c>
      <c r="D49">
        <f t="shared" si="7"/>
        <v>12</v>
      </c>
      <c r="E49" s="65">
        <f t="shared" si="5"/>
        <v>1500000</v>
      </c>
      <c r="F49" s="62">
        <f t="shared" si="0"/>
        <v>127500</v>
      </c>
      <c r="G49" s="62">
        <f t="shared" si="4"/>
        <v>4915852.9575050995</v>
      </c>
      <c r="H49" s="67">
        <f t="shared" si="1"/>
        <v>125.19021555479183</v>
      </c>
    </row>
    <row r="50" spans="3:8" x14ac:dyDescent="0.15">
      <c r="C50">
        <f t="shared" si="6"/>
        <v>4</v>
      </c>
      <c r="D50">
        <f t="shared" si="7"/>
        <v>1</v>
      </c>
      <c r="E50" s="65">
        <f t="shared" si="5"/>
        <v>1500000</v>
      </c>
      <c r="F50" s="62">
        <f t="shared" si="0"/>
        <v>127500</v>
      </c>
      <c r="G50" s="62">
        <f t="shared" si="4"/>
        <v>5061886.3183630602</v>
      </c>
      <c r="H50" s="67">
        <f t="shared" si="1"/>
        <v>128.90919333586794</v>
      </c>
    </row>
    <row r="51" spans="3:8" x14ac:dyDescent="0.15">
      <c r="C51">
        <f t="shared" si="6"/>
        <v>4</v>
      </c>
      <c r="D51">
        <f t="shared" si="7"/>
        <v>2</v>
      </c>
      <c r="E51" s="65">
        <f t="shared" si="5"/>
        <v>1500000</v>
      </c>
      <c r="F51" s="62">
        <f t="shared" si="0"/>
        <v>127500</v>
      </c>
      <c r="G51" s="62">
        <f t="shared" si="4"/>
        <v>5208456.3239882793</v>
      </c>
      <c r="H51" s="67">
        <f t="shared" si="1"/>
        <v>132.64183765145398</v>
      </c>
    </row>
    <row r="52" spans="3:8" x14ac:dyDescent="0.15">
      <c r="C52">
        <f t="shared" si="6"/>
        <v>4</v>
      </c>
      <c r="D52">
        <f t="shared" si="7"/>
        <v>3</v>
      </c>
      <c r="E52" s="65">
        <f t="shared" si="5"/>
        <v>1500000</v>
      </c>
      <c r="F52" s="62">
        <f t="shared" si="0"/>
        <v>127500</v>
      </c>
      <c r="G52" s="62">
        <f t="shared" si="4"/>
        <v>5355564.9464479918</v>
      </c>
      <c r="H52" s="67">
        <f t="shared" si="1"/>
        <v>136.38819872345942</v>
      </c>
    </row>
    <row r="53" spans="3:8" x14ac:dyDescent="0.15">
      <c r="C53">
        <f t="shared" si="6"/>
        <v>4</v>
      </c>
      <c r="D53">
        <f t="shared" si="7"/>
        <v>4</v>
      </c>
      <c r="E53" s="65">
        <f t="shared" si="5"/>
        <v>1500000</v>
      </c>
      <c r="F53" s="62">
        <f t="shared" si="0"/>
        <v>127500</v>
      </c>
      <c r="G53" s="62">
        <f t="shared" si="4"/>
        <v>5503214.1650564047</v>
      </c>
      <c r="H53" s="67">
        <f t="shared" si="1"/>
        <v>140.14832695834968</v>
      </c>
    </row>
    <row r="54" spans="3:8" x14ac:dyDescent="0.15">
      <c r="C54">
        <f t="shared" si="6"/>
        <v>4</v>
      </c>
      <c r="D54">
        <f t="shared" si="7"/>
        <v>5</v>
      </c>
      <c r="E54" s="65">
        <f t="shared" si="5"/>
        <v>1500000</v>
      </c>
      <c r="F54" s="62">
        <f t="shared" si="0"/>
        <v>127500</v>
      </c>
      <c r="G54" s="62">
        <f t="shared" si="4"/>
        <v>5651405.9664013265</v>
      </c>
      <c r="H54" s="67">
        <f t="shared" si="1"/>
        <v>143.92227294782438</v>
      </c>
    </row>
    <row r="55" spans="3:8" x14ac:dyDescent="0.15">
      <c r="C55">
        <f t="shared" si="6"/>
        <v>4</v>
      </c>
      <c r="D55">
        <f t="shared" si="7"/>
        <v>6</v>
      </c>
      <c r="E55" s="65">
        <f t="shared" si="5"/>
        <v>1500000</v>
      </c>
      <c r="F55" s="62">
        <f t="shared" si="0"/>
        <v>127500</v>
      </c>
      <c r="G55" s="62">
        <f t="shared" si="4"/>
        <v>5800142.3443708988</v>
      </c>
      <c r="H55" s="67">
        <f t="shared" si="1"/>
        <v>147.71008746949795</v>
      </c>
    </row>
    <row r="56" spans="3:8" x14ac:dyDescent="0.15">
      <c r="C56">
        <f t="shared" si="6"/>
        <v>4</v>
      </c>
      <c r="D56">
        <f t="shared" si="7"/>
        <v>7</v>
      </c>
      <c r="E56" s="65">
        <f t="shared" si="5"/>
        <v>1500000</v>
      </c>
      <c r="F56" s="62">
        <f t="shared" si="0"/>
        <v>127500</v>
      </c>
      <c r="G56" s="62">
        <f t="shared" si="4"/>
        <v>5949425.3001804203</v>
      </c>
      <c r="H56" s="67">
        <f t="shared" si="1"/>
        <v>151.51182148758286</v>
      </c>
    </row>
    <row r="57" spans="3:8" x14ac:dyDescent="0.15">
      <c r="C57">
        <f t="shared" si="6"/>
        <v>4</v>
      </c>
      <c r="D57">
        <f t="shared" si="7"/>
        <v>8</v>
      </c>
      <c r="E57" s="65">
        <f t="shared" si="5"/>
        <v>1500000</v>
      </c>
      <c r="F57" s="62">
        <f t="shared" si="0"/>
        <v>127500</v>
      </c>
      <c r="G57" s="62">
        <f t="shared" si="4"/>
        <v>6099256.8423992759</v>
      </c>
      <c r="H57" s="67">
        <f t="shared" si="1"/>
        <v>155.32752615357541</v>
      </c>
    </row>
    <row r="58" spans="3:8" x14ac:dyDescent="0.15">
      <c r="C58">
        <f t="shared" si="6"/>
        <v>4</v>
      </c>
      <c r="D58">
        <f t="shared" si="7"/>
        <v>9</v>
      </c>
      <c r="E58" s="65">
        <f t="shared" si="5"/>
        <v>1500000</v>
      </c>
      <c r="F58" s="62">
        <f t="shared" si="0"/>
        <v>127500</v>
      </c>
      <c r="G58" s="62">
        <f t="shared" si="4"/>
        <v>6249638.9869779591</v>
      </c>
      <c r="H58" s="67">
        <f t="shared" si="1"/>
        <v>159.1572528069438</v>
      </c>
    </row>
    <row r="59" spans="3:8" x14ac:dyDescent="0.15">
      <c r="C59">
        <f t="shared" si="6"/>
        <v>4</v>
      </c>
      <c r="D59">
        <f t="shared" si="7"/>
        <v>10</v>
      </c>
      <c r="E59" s="65">
        <f t="shared" si="5"/>
        <v>1500000</v>
      </c>
      <c r="F59" s="62">
        <f t="shared" si="0"/>
        <v>127500</v>
      </c>
      <c r="G59" s="62">
        <f t="shared" si="4"/>
        <v>6400573.7572751977</v>
      </c>
      <c r="H59" s="67">
        <f t="shared" si="1"/>
        <v>163.00105297581911</v>
      </c>
    </row>
    <row r="60" spans="3:8" x14ac:dyDescent="0.15">
      <c r="C60">
        <f t="shared" si="6"/>
        <v>4</v>
      </c>
      <c r="D60">
        <f t="shared" si="7"/>
        <v>11</v>
      </c>
      <c r="E60" s="65">
        <f t="shared" si="5"/>
        <v>1500000</v>
      </c>
      <c r="F60" s="62">
        <f t="shared" si="0"/>
        <v>127500</v>
      </c>
      <c r="G60" s="62">
        <f t="shared" si="4"/>
        <v>6552063.1840851773</v>
      </c>
      <c r="H60" s="67">
        <f t="shared" si="1"/>
        <v>166.8589783776884</v>
      </c>
    </row>
    <row r="61" spans="3:8" x14ac:dyDescent="0.15">
      <c r="C61">
        <f t="shared" si="6"/>
        <v>4</v>
      </c>
      <c r="D61">
        <f t="shared" si="7"/>
        <v>12</v>
      </c>
      <c r="E61" s="65">
        <f t="shared" si="5"/>
        <v>1500000</v>
      </c>
      <c r="F61" s="62">
        <f t="shared" si="0"/>
        <v>127500</v>
      </c>
      <c r="G61" s="62">
        <f t="shared" si="4"/>
        <v>6704109.3056648653</v>
      </c>
      <c r="H61" s="67">
        <f t="shared" si="1"/>
        <v>170.73108092009068</v>
      </c>
    </row>
    <row r="62" spans="3:8" x14ac:dyDescent="0.15">
      <c r="C62">
        <f t="shared" si="6"/>
        <v>5</v>
      </c>
      <c r="D62">
        <f t="shared" si="7"/>
        <v>1</v>
      </c>
      <c r="E62" s="65">
        <f t="shared" si="5"/>
        <v>1500000</v>
      </c>
      <c r="F62" s="62">
        <f t="shared" si="0"/>
        <v>127500</v>
      </c>
      <c r="G62" s="62">
        <f t="shared" si="4"/>
        <v>6856714.1677614348</v>
      </c>
      <c r="H62" s="67">
        <f t="shared" si="1"/>
        <v>174.61741270131526</v>
      </c>
    </row>
    <row r="63" spans="3:8" x14ac:dyDescent="0.15">
      <c r="C63">
        <f t="shared" si="6"/>
        <v>5</v>
      </c>
      <c r="D63">
        <f t="shared" si="7"/>
        <v>2</v>
      </c>
      <c r="E63" s="65">
        <f t="shared" si="5"/>
        <v>1500000</v>
      </c>
      <c r="F63" s="62">
        <f t="shared" si="0"/>
        <v>127500</v>
      </c>
      <c r="G63" s="62">
        <f t="shared" si="4"/>
        <v>7009879.8236397887</v>
      </c>
      <c r="H63" s="67">
        <f t="shared" si="1"/>
        <v>178.51802601110265</v>
      </c>
    </row>
    <row r="64" spans="3:8" x14ac:dyDescent="0.15">
      <c r="C64">
        <f t="shared" si="6"/>
        <v>5</v>
      </c>
      <c r="D64">
        <f t="shared" si="7"/>
        <v>3</v>
      </c>
      <c r="E64" s="65">
        <f t="shared" si="5"/>
        <v>1500000</v>
      </c>
      <c r="F64" s="62">
        <f t="shared" si="0"/>
        <v>127500</v>
      </c>
      <c r="G64" s="62">
        <f t="shared" si="4"/>
        <v>7163608.3341101883</v>
      </c>
      <c r="H64" s="67">
        <f t="shared" si="1"/>
        <v>182.43297333134834</v>
      </c>
    </row>
    <row r="65" spans="3:8" x14ac:dyDescent="0.15">
      <c r="C65">
        <f t="shared" si="6"/>
        <v>5</v>
      </c>
      <c r="D65">
        <f t="shared" si="7"/>
        <v>4</v>
      </c>
      <c r="E65" s="65">
        <f t="shared" si="5"/>
        <v>1500000</v>
      </c>
      <c r="F65" s="62">
        <f t="shared" si="0"/>
        <v>127500</v>
      </c>
      <c r="G65" s="62">
        <f t="shared" si="4"/>
        <v>7317901.76755598</v>
      </c>
      <c r="H65" s="67">
        <f t="shared" si="1"/>
        <v>186.36230733680867</v>
      </c>
    </row>
    <row r="66" spans="3:8" x14ac:dyDescent="0.15">
      <c r="C66">
        <f t="shared" si="6"/>
        <v>5</v>
      </c>
      <c r="D66">
        <f t="shared" si="7"/>
        <v>5</v>
      </c>
      <c r="E66" s="65">
        <f t="shared" si="5"/>
        <v>1500000</v>
      </c>
      <c r="F66" s="62">
        <f t="shared" si="0"/>
        <v>127500</v>
      </c>
      <c r="G66" s="62">
        <f t="shared" si="4"/>
        <v>7472762.1999614239</v>
      </c>
      <c r="H66" s="67">
        <f t="shared" si="1"/>
        <v>190.30608089580974</v>
      </c>
    </row>
    <row r="67" spans="3:8" x14ac:dyDescent="0.15">
      <c r="C67">
        <f t="shared" si="6"/>
        <v>5</v>
      </c>
      <c r="D67">
        <f t="shared" si="7"/>
        <v>6</v>
      </c>
      <c r="E67" s="65">
        <f t="shared" si="5"/>
        <v>1500000</v>
      </c>
      <c r="F67" s="62">
        <f t="shared" si="0"/>
        <v>127500</v>
      </c>
      <c r="G67" s="62">
        <f t="shared" si="4"/>
        <v>7628191.7149396269</v>
      </c>
      <c r="H67" s="67">
        <f t="shared" si="1"/>
        <v>194.26434707095862</v>
      </c>
    </row>
    <row r="68" spans="3:8" x14ac:dyDescent="0.15">
      <c r="C68">
        <f t="shared" si="6"/>
        <v>5</v>
      </c>
      <c r="D68">
        <f t="shared" si="7"/>
        <v>7</v>
      </c>
      <c r="E68" s="65">
        <f t="shared" si="5"/>
        <v>1500000</v>
      </c>
      <c r="F68" s="62">
        <f t="shared" si="0"/>
        <v>127500</v>
      </c>
      <c r="G68" s="62">
        <f t="shared" si="4"/>
        <v>7784192.4037605776</v>
      </c>
      <c r="H68" s="67">
        <f t="shared" si="1"/>
        <v>198.23715911985735</v>
      </c>
    </row>
    <row r="69" spans="3:8" x14ac:dyDescent="0.15">
      <c r="C69">
        <f t="shared" si="6"/>
        <v>5</v>
      </c>
      <c r="D69">
        <f t="shared" si="7"/>
        <v>8</v>
      </c>
      <c r="E69" s="65">
        <f t="shared" si="5"/>
        <v>1500000</v>
      </c>
      <c r="F69" s="62">
        <f t="shared" si="0"/>
        <v>127500</v>
      </c>
      <c r="G69" s="62">
        <f t="shared" si="4"/>
        <v>7940766.3653792813</v>
      </c>
      <c r="H69" s="67">
        <f t="shared" si="1"/>
        <v>202.22457049581956</v>
      </c>
    </row>
    <row r="70" spans="3:8" x14ac:dyDescent="0.15">
      <c r="C70">
        <f t="shared" si="6"/>
        <v>5</v>
      </c>
      <c r="D70">
        <f t="shared" si="7"/>
        <v>9</v>
      </c>
      <c r="E70" s="65">
        <f t="shared" si="5"/>
        <v>1500000</v>
      </c>
      <c r="F70" s="62">
        <f t="shared" si="0"/>
        <v>127500</v>
      </c>
      <c r="G70" s="62">
        <f t="shared" si="4"/>
        <v>8097915.7064640056</v>
      </c>
      <c r="H70" s="67">
        <f t="shared" si="1"/>
        <v>206.22663484858955</v>
      </c>
    </row>
    <row r="71" spans="3:8" x14ac:dyDescent="0.15">
      <c r="C71">
        <f t="shared" si="6"/>
        <v>5</v>
      </c>
      <c r="D71">
        <f t="shared" si="7"/>
        <v>10</v>
      </c>
      <c r="E71" s="65">
        <f t="shared" si="5"/>
        <v>1500000</v>
      </c>
      <c r="F71" s="62">
        <f t="shared" si="0"/>
        <v>127500</v>
      </c>
      <c r="G71" s="62">
        <f t="shared" si="4"/>
        <v>8255642.5414246209</v>
      </c>
      <c r="H71" s="67">
        <f t="shared" si="1"/>
        <v>210.24340602506427</v>
      </c>
    </row>
    <row r="72" spans="3:8" x14ac:dyDescent="0.15">
      <c r="C72">
        <f t="shared" si="6"/>
        <v>5</v>
      </c>
      <c r="D72">
        <f t="shared" si="7"/>
        <v>11</v>
      </c>
      <c r="E72" s="65">
        <f t="shared" si="5"/>
        <v>1500000</v>
      </c>
      <c r="F72" s="62">
        <f t="shared" si="0"/>
        <v>127500</v>
      </c>
      <c r="G72" s="62">
        <f t="shared" si="4"/>
        <v>8413948.9924410507</v>
      </c>
      <c r="H72" s="67">
        <f t="shared" si="1"/>
        <v>214.27493807001773</v>
      </c>
    </row>
    <row r="73" spans="3:8" x14ac:dyDescent="0.15">
      <c r="C73">
        <f t="shared" si="6"/>
        <v>5</v>
      </c>
      <c r="D73">
        <f t="shared" si="7"/>
        <v>12</v>
      </c>
      <c r="E73" s="65">
        <f t="shared" si="5"/>
        <v>1500000</v>
      </c>
      <c r="F73" s="62">
        <f t="shared" si="0"/>
        <v>127500</v>
      </c>
      <c r="G73" s="62">
        <f t="shared" si="4"/>
        <v>8572837.1894918252</v>
      </c>
      <c r="H73" s="67">
        <f t="shared" si="1"/>
        <v>218.32128522682811</v>
      </c>
    </row>
    <row r="74" spans="3:8" x14ac:dyDescent="0.15">
      <c r="C74">
        <f t="shared" si="6"/>
        <v>6</v>
      </c>
      <c r="D74">
        <f t="shared" si="7"/>
        <v>1</v>
      </c>
      <c r="E74" s="65">
        <f t="shared" si="5"/>
        <v>1500000</v>
      </c>
      <c r="F74" s="62">
        <f t="shared" si="0"/>
        <v>127500</v>
      </c>
      <c r="G74" s="62">
        <f t="shared" si="4"/>
        <v>8732309.2703827396</v>
      </c>
      <c r="H74" s="67">
        <f t="shared" si="1"/>
        <v>222.38250193820775</v>
      </c>
    </row>
    <row r="75" spans="3:8" x14ac:dyDescent="0.15">
      <c r="C75">
        <f t="shared" si="6"/>
        <v>6</v>
      </c>
      <c r="D75">
        <f t="shared" si="7"/>
        <v>2</v>
      </c>
      <c r="E75" s="65">
        <f t="shared" si="5"/>
        <v>1500000</v>
      </c>
      <c r="F75" s="62">
        <f t="shared" si="0"/>
        <v>127500</v>
      </c>
      <c r="G75" s="62">
        <f t="shared" si="4"/>
        <v>8892367.3807756193</v>
      </c>
      <c r="H75" s="67">
        <f t="shared" si="1"/>
        <v>226.45864284693559</v>
      </c>
    </row>
    <row r="76" spans="3:8" x14ac:dyDescent="0.15">
      <c r="C76">
        <f t="shared" si="6"/>
        <v>6</v>
      </c>
      <c r="D76">
        <f t="shared" si="7"/>
        <v>3</v>
      </c>
      <c r="E76" s="65">
        <f t="shared" si="5"/>
        <v>1500000</v>
      </c>
      <c r="F76" s="62">
        <f t="shared" si="0"/>
        <v>127500</v>
      </c>
      <c r="G76" s="62">
        <f t="shared" si="4"/>
        <v>9053013.6742171869</v>
      </c>
      <c r="H76" s="67">
        <f t="shared" si="1"/>
        <v>230.54976279659235</v>
      </c>
    </row>
    <row r="77" spans="3:8" x14ac:dyDescent="0.15">
      <c r="C77">
        <f t="shared" si="6"/>
        <v>6</v>
      </c>
      <c r="D77">
        <f t="shared" si="7"/>
        <v>4</v>
      </c>
      <c r="E77" s="65">
        <f t="shared" si="5"/>
        <v>1500000</v>
      </c>
      <c r="F77" s="62">
        <f t="shared" si="0"/>
        <v>127500</v>
      </c>
      <c r="G77" s="62">
        <f t="shared" si="4"/>
        <v>9214250.3121680394</v>
      </c>
      <c r="H77" s="67">
        <f t="shared" si="1"/>
        <v>234.6559168322984</v>
      </c>
    </row>
    <row r="78" spans="3:8" x14ac:dyDescent="0.15">
      <c r="C78">
        <f t="shared" si="6"/>
        <v>6</v>
      </c>
      <c r="D78">
        <f t="shared" si="7"/>
        <v>5</v>
      </c>
      <c r="E78" s="65">
        <f t="shared" si="5"/>
        <v>1500000</v>
      </c>
      <c r="F78" s="62">
        <f t="shared" si="0"/>
        <v>127500</v>
      </c>
      <c r="G78" s="62">
        <f t="shared" si="4"/>
        <v>9376079.464031728</v>
      </c>
      <c r="H78" s="67">
        <f t="shared" si="1"/>
        <v>238.77716020145451</v>
      </c>
    </row>
    <row r="79" spans="3:8" x14ac:dyDescent="0.15">
      <c r="C79">
        <f t="shared" si="6"/>
        <v>6</v>
      </c>
      <c r="D79">
        <f t="shared" si="7"/>
        <v>6</v>
      </c>
      <c r="E79" s="65">
        <f t="shared" si="5"/>
        <v>1500000</v>
      </c>
      <c r="F79" s="62">
        <f t="shared" ref="F79:F142" si="8">IF(E79/$D$3&lt;$D$2*(1+$D$11)^(C79-1),0.1*E79,0.1*$D$2*$D$3*(1+$D$11)^(C79-1))*(1-$D$9)</f>
        <v>127500</v>
      </c>
      <c r="G79" s="62">
        <f t="shared" si="4"/>
        <v>9538503.3071839511</v>
      </c>
      <c r="H79" s="67">
        <f t="shared" ref="H79:H142" si="9">G79/$D$3</f>
        <v>242.9135483544851</v>
      </c>
    </row>
    <row r="80" spans="3:8" x14ac:dyDescent="0.15">
      <c r="C80">
        <f t="shared" si="6"/>
        <v>6</v>
      </c>
      <c r="D80">
        <f t="shared" si="7"/>
        <v>7</v>
      </c>
      <c r="E80" s="65">
        <f t="shared" si="5"/>
        <v>1500000</v>
      </c>
      <c r="F80" s="62">
        <f t="shared" si="8"/>
        <v>127500</v>
      </c>
      <c r="G80" s="62">
        <f t="shared" ref="G80:G143" si="10">(F80+G79)*(1+$D$5)</f>
        <v>9701524.0270018447</v>
      </c>
      <c r="H80" s="67">
        <f t="shared" si="9"/>
        <v>247.0651369455843</v>
      </c>
    </row>
    <row r="81" spans="3:8" x14ac:dyDescent="0.15">
      <c r="C81">
        <f t="shared" si="6"/>
        <v>6</v>
      </c>
      <c r="D81">
        <f t="shared" si="7"/>
        <v>8</v>
      </c>
      <c r="E81" s="65">
        <f t="shared" ref="E81:E144" si="11">E80</f>
        <v>1500000</v>
      </c>
      <c r="F81" s="62">
        <f t="shared" si="8"/>
        <v>127500</v>
      </c>
      <c r="G81" s="62">
        <f t="shared" si="10"/>
        <v>9865143.8168933913</v>
      </c>
      <c r="H81" s="67">
        <f t="shared" si="9"/>
        <v>251.23198183346483</v>
      </c>
    </row>
    <row r="82" spans="3:8" x14ac:dyDescent="0.15">
      <c r="C82">
        <f t="shared" si="6"/>
        <v>6</v>
      </c>
      <c r="D82">
        <f t="shared" si="7"/>
        <v>9</v>
      </c>
      <c r="E82" s="65">
        <f t="shared" si="11"/>
        <v>1500000</v>
      </c>
      <c r="F82" s="62">
        <f t="shared" si="8"/>
        <v>127500</v>
      </c>
      <c r="G82" s="62">
        <f t="shared" si="10"/>
        <v>10029364.878326928</v>
      </c>
      <c r="H82" s="67">
        <f t="shared" si="9"/>
        <v>255.41413908210947</v>
      </c>
    </row>
    <row r="83" spans="3:8" x14ac:dyDescent="0.15">
      <c r="C83">
        <f t="shared" si="6"/>
        <v>6</v>
      </c>
      <c r="D83">
        <f t="shared" si="7"/>
        <v>10</v>
      </c>
      <c r="E83" s="65">
        <f t="shared" si="11"/>
        <v>1500000</v>
      </c>
      <c r="F83" s="62">
        <f t="shared" si="8"/>
        <v>127500</v>
      </c>
      <c r="G83" s="62">
        <f t="shared" si="10"/>
        <v>10194189.420860771</v>
      </c>
      <c r="H83" s="67">
        <f t="shared" si="9"/>
        <v>259.61166496152555</v>
      </c>
    </row>
    <row r="84" spans="3:8" x14ac:dyDescent="0.15">
      <c r="C84">
        <f t="shared" si="6"/>
        <v>6</v>
      </c>
      <c r="D84">
        <f t="shared" si="7"/>
        <v>11</v>
      </c>
      <c r="E84" s="65">
        <f t="shared" si="11"/>
        <v>1500000</v>
      </c>
      <c r="F84" s="62">
        <f t="shared" si="8"/>
        <v>127500</v>
      </c>
      <c r="G84" s="62">
        <f t="shared" si="10"/>
        <v>10359619.66217294</v>
      </c>
      <c r="H84" s="67">
        <f t="shared" si="9"/>
        <v>263.8246159485019</v>
      </c>
    </row>
    <row r="85" spans="3:8" x14ac:dyDescent="0.15">
      <c r="C85">
        <f t="shared" si="6"/>
        <v>6</v>
      </c>
      <c r="D85">
        <f t="shared" si="7"/>
        <v>12</v>
      </c>
      <c r="E85" s="65">
        <f t="shared" si="11"/>
        <v>1500000</v>
      </c>
      <c r="F85" s="62">
        <f t="shared" si="8"/>
        <v>127500</v>
      </c>
      <c r="G85" s="62">
        <f t="shared" si="10"/>
        <v>10525657.828090999</v>
      </c>
      <c r="H85" s="67">
        <f t="shared" si="9"/>
        <v>268.05304872736872</v>
      </c>
    </row>
    <row r="86" spans="3:8" x14ac:dyDescent="0.15">
      <c r="C86">
        <f t="shared" si="6"/>
        <v>7</v>
      </c>
      <c r="D86">
        <f t="shared" si="7"/>
        <v>1</v>
      </c>
      <c r="E86" s="65">
        <f t="shared" si="11"/>
        <v>1500000</v>
      </c>
      <c r="F86" s="62">
        <f t="shared" si="8"/>
        <v>127500</v>
      </c>
      <c r="G86" s="62">
        <f t="shared" si="10"/>
        <v>10692306.152622005</v>
      </c>
      <c r="H86" s="67">
        <f t="shared" si="9"/>
        <v>272.29702019076046</v>
      </c>
    </row>
    <row r="87" spans="3:8" x14ac:dyDescent="0.15">
      <c r="C87">
        <f t="shared" si="6"/>
        <v>7</v>
      </c>
      <c r="D87">
        <f t="shared" si="7"/>
        <v>2</v>
      </c>
      <c r="E87" s="65">
        <f t="shared" si="11"/>
        <v>1500000</v>
      </c>
      <c r="F87" s="62">
        <f t="shared" si="8"/>
        <v>127500</v>
      </c>
      <c r="G87" s="62">
        <f t="shared" si="10"/>
        <v>10859566.877982564</v>
      </c>
      <c r="H87" s="67">
        <f t="shared" si="9"/>
        <v>276.55658744038107</v>
      </c>
    </row>
    <row r="88" spans="3:8" x14ac:dyDescent="0.15">
      <c r="C88">
        <f t="shared" si="6"/>
        <v>7</v>
      </c>
      <c r="D88">
        <f t="shared" si="7"/>
        <v>3</v>
      </c>
      <c r="E88" s="65">
        <f t="shared" si="11"/>
        <v>1500000</v>
      </c>
      <c r="F88" s="62">
        <f t="shared" si="8"/>
        <v>127500</v>
      </c>
      <c r="G88" s="62">
        <f t="shared" si="10"/>
        <v>11027442.254629003</v>
      </c>
      <c r="H88" s="67">
        <f t="shared" si="9"/>
        <v>280.83180778777239</v>
      </c>
    </row>
    <row r="89" spans="3:8" x14ac:dyDescent="0.15">
      <c r="C89">
        <f t="shared" si="6"/>
        <v>7</v>
      </c>
      <c r="D89">
        <f t="shared" si="7"/>
        <v>4</v>
      </c>
      <c r="E89" s="65">
        <f t="shared" si="11"/>
        <v>1500000</v>
      </c>
      <c r="F89" s="62">
        <f t="shared" si="8"/>
        <v>127500</v>
      </c>
      <c r="G89" s="62">
        <f t="shared" si="10"/>
        <v>11195934.541287644</v>
      </c>
      <c r="H89" s="67">
        <f t="shared" si="9"/>
        <v>285.12273875508521</v>
      </c>
    </row>
    <row r="90" spans="3:8" x14ac:dyDescent="0.15">
      <c r="C90">
        <f t="shared" si="6"/>
        <v>7</v>
      </c>
      <c r="D90">
        <f t="shared" si="7"/>
        <v>5</v>
      </c>
      <c r="E90" s="65">
        <f t="shared" si="11"/>
        <v>1500000</v>
      </c>
      <c r="F90" s="62">
        <f t="shared" si="8"/>
        <v>127500</v>
      </c>
      <c r="G90" s="62">
        <f t="shared" si="10"/>
        <v>11365046.004985198</v>
      </c>
      <c r="H90" s="67">
        <f t="shared" si="9"/>
        <v>289.42943807585334</v>
      </c>
    </row>
    <row r="91" spans="3:8" x14ac:dyDescent="0.15">
      <c r="C91">
        <f t="shared" si="6"/>
        <v>7</v>
      </c>
      <c r="D91">
        <f t="shared" si="7"/>
        <v>6</v>
      </c>
      <c r="E91" s="65">
        <f t="shared" si="11"/>
        <v>1500000</v>
      </c>
      <c r="F91" s="62">
        <f t="shared" si="8"/>
        <v>127500</v>
      </c>
      <c r="G91" s="62">
        <f t="shared" si="10"/>
        <v>11534778.921079271</v>
      </c>
      <c r="H91" s="67">
        <f t="shared" si="9"/>
        <v>293.75196369577031</v>
      </c>
    </row>
    <row r="92" spans="3:8" x14ac:dyDescent="0.15">
      <c r="C92">
        <f t="shared" si="6"/>
        <v>7</v>
      </c>
      <c r="D92">
        <f t="shared" si="7"/>
        <v>7</v>
      </c>
      <c r="E92" s="65">
        <f t="shared" si="11"/>
        <v>1500000</v>
      </c>
      <c r="F92" s="62">
        <f t="shared" si="8"/>
        <v>127500</v>
      </c>
      <c r="G92" s="62">
        <f t="shared" si="10"/>
        <v>11705135.57328897</v>
      </c>
      <c r="H92" s="67">
        <f t="shared" si="9"/>
        <v>298.09037377346897</v>
      </c>
    </row>
    <row r="93" spans="3:8" x14ac:dyDescent="0.15">
      <c r="C93">
        <f t="shared" si="6"/>
        <v>7</v>
      </c>
      <c r="D93">
        <f t="shared" si="7"/>
        <v>8</v>
      </c>
      <c r="E93" s="65">
        <f t="shared" si="11"/>
        <v>1500000</v>
      </c>
      <c r="F93" s="62">
        <f t="shared" si="8"/>
        <v>127500</v>
      </c>
      <c r="G93" s="62">
        <f t="shared" si="10"/>
        <v>11876118.253725635</v>
      </c>
      <c r="H93" s="67">
        <f t="shared" si="9"/>
        <v>302.44472668130408</v>
      </c>
    </row>
    <row r="94" spans="3:8" x14ac:dyDescent="0.15">
      <c r="C94">
        <f t="shared" si="6"/>
        <v>7</v>
      </c>
      <c r="D94">
        <f t="shared" si="7"/>
        <v>9</v>
      </c>
      <c r="E94" s="65">
        <f t="shared" si="11"/>
        <v>1500000</v>
      </c>
      <c r="F94" s="62">
        <f t="shared" si="8"/>
        <v>127500</v>
      </c>
      <c r="G94" s="62">
        <f t="shared" si="10"/>
        <v>12047729.262923682</v>
      </c>
      <c r="H94" s="67">
        <f t="shared" si="9"/>
        <v>306.81508100613775</v>
      </c>
    </row>
    <row r="95" spans="3:8" x14ac:dyDescent="0.15">
      <c r="C95">
        <f t="shared" si="6"/>
        <v>7</v>
      </c>
      <c r="D95">
        <f t="shared" si="7"/>
        <v>10</v>
      </c>
      <c r="E95" s="65">
        <f t="shared" si="11"/>
        <v>1500000</v>
      </c>
      <c r="F95" s="62">
        <f t="shared" si="8"/>
        <v>127500</v>
      </c>
      <c r="G95" s="62">
        <f t="shared" si="10"/>
        <v>12219970.909871548</v>
      </c>
      <c r="H95" s="67">
        <f t="shared" si="9"/>
        <v>311.20149555012756</v>
      </c>
    </row>
    <row r="96" spans="3:8" x14ac:dyDescent="0.15">
      <c r="C96">
        <f t="shared" si="6"/>
        <v>7</v>
      </c>
      <c r="D96">
        <f t="shared" si="7"/>
        <v>11</v>
      </c>
      <c r="E96" s="65">
        <f t="shared" si="11"/>
        <v>1500000</v>
      </c>
      <c r="F96" s="62">
        <f t="shared" si="8"/>
        <v>127500</v>
      </c>
      <c r="G96" s="62">
        <f t="shared" si="10"/>
        <v>12392845.512042765</v>
      </c>
      <c r="H96" s="67">
        <f t="shared" si="9"/>
        <v>315.60402933151784</v>
      </c>
    </row>
    <row r="97" spans="3:8" x14ac:dyDescent="0.15">
      <c r="C97">
        <f t="shared" ref="C97:C160" si="12">IF(MOD(D96,12)=0,C96+1,C96)</f>
        <v>7</v>
      </c>
      <c r="D97">
        <f t="shared" ref="D97:D160" si="13">IF(MOD(D96,12)=0,1,D96+1)</f>
        <v>12</v>
      </c>
      <c r="E97" s="65">
        <f t="shared" si="11"/>
        <v>1500000</v>
      </c>
      <c r="F97" s="62">
        <f t="shared" si="8"/>
        <v>127500</v>
      </c>
      <c r="G97" s="62">
        <f t="shared" si="10"/>
        <v>12566355.395427136</v>
      </c>
      <c r="H97" s="67">
        <f t="shared" si="9"/>
        <v>320.02274158543372</v>
      </c>
    </row>
    <row r="98" spans="3:8" x14ac:dyDescent="0.15">
      <c r="C98">
        <f t="shared" si="12"/>
        <v>8</v>
      </c>
      <c r="D98">
        <f t="shared" si="13"/>
        <v>1</v>
      </c>
      <c r="E98" s="65">
        <f t="shared" si="11"/>
        <v>1500000</v>
      </c>
      <c r="F98" s="62">
        <f t="shared" si="8"/>
        <v>127500</v>
      </c>
      <c r="G98" s="62">
        <f t="shared" si="10"/>
        <v>12740502.894562038</v>
      </c>
      <c r="H98" s="67">
        <f t="shared" si="9"/>
        <v>324.45769176467809</v>
      </c>
    </row>
    <row r="99" spans="3:8" x14ac:dyDescent="0.15">
      <c r="C99">
        <f t="shared" si="12"/>
        <v>8</v>
      </c>
      <c r="D99">
        <f t="shared" si="13"/>
        <v>2</v>
      </c>
      <c r="E99" s="65">
        <f t="shared" si="11"/>
        <v>1500000</v>
      </c>
      <c r="F99" s="62">
        <f t="shared" si="8"/>
        <v>127500</v>
      </c>
      <c r="G99" s="62">
        <f t="shared" si="10"/>
        <v>12915290.352563823</v>
      </c>
      <c r="H99" s="67">
        <f t="shared" si="9"/>
        <v>328.90893954053161</v>
      </c>
    </row>
    <row r="100" spans="3:8" x14ac:dyDescent="0.15">
      <c r="C100">
        <f t="shared" si="12"/>
        <v>8</v>
      </c>
      <c r="D100">
        <f t="shared" si="13"/>
        <v>3</v>
      </c>
      <c r="E100" s="65">
        <f t="shared" si="11"/>
        <v>1500000</v>
      </c>
      <c r="F100" s="62">
        <f t="shared" si="8"/>
        <v>127500</v>
      </c>
      <c r="G100" s="62">
        <f t="shared" si="10"/>
        <v>13090720.12115935</v>
      </c>
      <c r="H100" s="67">
        <f t="shared" si="9"/>
        <v>333.37654480355553</v>
      </c>
    </row>
    <row r="101" spans="3:8" x14ac:dyDescent="0.15">
      <c r="C101">
        <f t="shared" si="12"/>
        <v>8</v>
      </c>
      <c r="D101">
        <f t="shared" si="13"/>
        <v>4</v>
      </c>
      <c r="E101" s="65">
        <f t="shared" si="11"/>
        <v>1500000</v>
      </c>
      <c r="F101" s="62">
        <f t="shared" si="8"/>
        <v>127500</v>
      </c>
      <c r="G101" s="62">
        <f t="shared" si="10"/>
        <v>13266794.560717631</v>
      </c>
      <c r="H101" s="67">
        <f t="shared" si="9"/>
        <v>337.86056766439748</v>
      </c>
    </row>
    <row r="102" spans="3:8" x14ac:dyDescent="0.15">
      <c r="C102">
        <f t="shared" si="12"/>
        <v>8</v>
      </c>
      <c r="D102">
        <f t="shared" si="13"/>
        <v>5</v>
      </c>
      <c r="E102" s="65">
        <f t="shared" si="11"/>
        <v>1500000</v>
      </c>
      <c r="F102" s="62">
        <f t="shared" si="8"/>
        <v>127500</v>
      </c>
      <c r="G102" s="62">
        <f t="shared" si="10"/>
        <v>13443516.040281577</v>
      </c>
      <c r="H102" s="67">
        <f t="shared" si="9"/>
        <v>342.36106845460017</v>
      </c>
    </row>
    <row r="103" spans="3:8" x14ac:dyDescent="0.15">
      <c r="C103">
        <f t="shared" si="12"/>
        <v>8</v>
      </c>
      <c r="D103">
        <f t="shared" si="13"/>
        <v>6</v>
      </c>
      <c r="E103" s="65">
        <f t="shared" si="11"/>
        <v>1500000</v>
      </c>
      <c r="F103" s="62">
        <f t="shared" si="8"/>
        <v>127500</v>
      </c>
      <c r="G103" s="62">
        <f t="shared" si="10"/>
        <v>13620886.937599882</v>
      </c>
      <c r="H103" s="67">
        <f t="shared" si="9"/>
        <v>346.87810772741341</v>
      </c>
    </row>
    <row r="104" spans="3:8" x14ac:dyDescent="0.15">
      <c r="C104">
        <f t="shared" si="12"/>
        <v>8</v>
      </c>
      <c r="D104">
        <f t="shared" si="13"/>
        <v>7</v>
      </c>
      <c r="E104" s="65">
        <f t="shared" si="11"/>
        <v>1500000</v>
      </c>
      <c r="F104" s="62">
        <f t="shared" si="8"/>
        <v>127500</v>
      </c>
      <c r="G104" s="62">
        <f t="shared" si="10"/>
        <v>13798909.639159018</v>
      </c>
      <c r="H104" s="67">
        <f t="shared" si="9"/>
        <v>351.4117462586085</v>
      </c>
    </row>
    <row r="105" spans="3:8" x14ac:dyDescent="0.15">
      <c r="C105">
        <f t="shared" si="12"/>
        <v>8</v>
      </c>
      <c r="D105">
        <f t="shared" si="13"/>
        <v>8</v>
      </c>
      <c r="E105" s="65">
        <f t="shared" si="11"/>
        <v>1500000</v>
      </c>
      <c r="F105" s="62">
        <f t="shared" si="8"/>
        <v>127500</v>
      </c>
      <c r="G105" s="62">
        <f t="shared" si="10"/>
        <v>13977586.540215334</v>
      </c>
      <c r="H105" s="67">
        <f t="shared" si="9"/>
        <v>355.96204504729621</v>
      </c>
    </row>
    <row r="106" spans="3:8" x14ac:dyDescent="0.15">
      <c r="C106">
        <f t="shared" si="12"/>
        <v>8</v>
      </c>
      <c r="D106">
        <f t="shared" si="13"/>
        <v>9</v>
      </c>
      <c r="E106" s="65">
        <f t="shared" si="11"/>
        <v>1500000</v>
      </c>
      <c r="F106" s="62">
        <f t="shared" si="8"/>
        <v>127500</v>
      </c>
      <c r="G106" s="62">
        <f t="shared" si="10"/>
        <v>14156920.044827292</v>
      </c>
      <c r="H106" s="67">
        <f t="shared" si="9"/>
        <v>360.52906531674739</v>
      </c>
    </row>
    <row r="107" spans="3:8" x14ac:dyDescent="0.15">
      <c r="C107">
        <f t="shared" si="12"/>
        <v>8</v>
      </c>
      <c r="D107">
        <f t="shared" si="13"/>
        <v>10</v>
      </c>
      <c r="E107" s="65">
        <f t="shared" si="11"/>
        <v>1500000</v>
      </c>
      <c r="F107" s="62">
        <f t="shared" si="8"/>
        <v>127500</v>
      </c>
      <c r="G107" s="62">
        <f t="shared" si="10"/>
        <v>14336912.565887813</v>
      </c>
      <c r="H107" s="67">
        <f t="shared" si="9"/>
        <v>365.11286851521675</v>
      </c>
    </row>
    <row r="108" spans="3:8" x14ac:dyDescent="0.15">
      <c r="C108">
        <f t="shared" si="12"/>
        <v>8</v>
      </c>
      <c r="D108">
        <f t="shared" si="13"/>
        <v>11</v>
      </c>
      <c r="E108" s="65">
        <f t="shared" si="11"/>
        <v>1500000</v>
      </c>
      <c r="F108" s="62">
        <f t="shared" si="8"/>
        <v>127500</v>
      </c>
      <c r="G108" s="62">
        <f t="shared" si="10"/>
        <v>14517566.525156735</v>
      </c>
      <c r="H108" s="67">
        <f t="shared" si="9"/>
        <v>369.71351631676964</v>
      </c>
    </row>
    <row r="109" spans="3:8" x14ac:dyDescent="0.15">
      <c r="C109">
        <f t="shared" si="12"/>
        <v>8</v>
      </c>
      <c r="D109">
        <f t="shared" si="13"/>
        <v>12</v>
      </c>
      <c r="E109" s="65">
        <f t="shared" si="11"/>
        <v>1500000</v>
      </c>
      <c r="F109" s="62">
        <f t="shared" si="8"/>
        <v>127500</v>
      </c>
      <c r="G109" s="62">
        <f t="shared" si="10"/>
        <v>14698884.353293404</v>
      </c>
      <c r="H109" s="67">
        <f t="shared" si="9"/>
        <v>374.33107062211172</v>
      </c>
    </row>
    <row r="110" spans="3:8" x14ac:dyDescent="0.15">
      <c r="C110">
        <f t="shared" si="12"/>
        <v>9</v>
      </c>
      <c r="D110">
        <f t="shared" si="13"/>
        <v>1</v>
      </c>
      <c r="E110" s="65">
        <f t="shared" si="11"/>
        <v>1500000</v>
      </c>
      <c r="F110" s="62">
        <f t="shared" si="8"/>
        <v>127500</v>
      </c>
      <c r="G110" s="62">
        <f t="shared" si="10"/>
        <v>14880868.489889376</v>
      </c>
      <c r="H110" s="67">
        <f t="shared" si="9"/>
        <v>378.96559355942208</v>
      </c>
    </row>
    <row r="111" spans="3:8" x14ac:dyDescent="0.15">
      <c r="C111">
        <f t="shared" si="12"/>
        <v>9</v>
      </c>
      <c r="D111">
        <f t="shared" si="13"/>
        <v>2</v>
      </c>
      <c r="E111" s="65">
        <f t="shared" si="11"/>
        <v>1500000</v>
      </c>
      <c r="F111" s="62">
        <f t="shared" si="8"/>
        <v>127500</v>
      </c>
      <c r="G111" s="62">
        <f t="shared" si="10"/>
        <v>15063521.383501241</v>
      </c>
      <c r="H111" s="67">
        <f t="shared" si="9"/>
        <v>383.61714748518904</v>
      </c>
    </row>
    <row r="112" spans="3:8" x14ac:dyDescent="0.15">
      <c r="C112">
        <f t="shared" si="12"/>
        <v>9</v>
      </c>
      <c r="D112">
        <f t="shared" si="13"/>
        <v>3</v>
      </c>
      <c r="E112" s="65">
        <f t="shared" si="11"/>
        <v>1500000</v>
      </c>
      <c r="F112" s="62">
        <f t="shared" si="8"/>
        <v>127500</v>
      </c>
      <c r="G112" s="62">
        <f t="shared" si="10"/>
        <v>15246845.491683569</v>
      </c>
      <c r="H112" s="67">
        <f t="shared" si="9"/>
        <v>388.28579498504899</v>
      </c>
    </row>
    <row r="113" spans="3:8" x14ac:dyDescent="0.15">
      <c r="C113">
        <f t="shared" si="12"/>
        <v>9</v>
      </c>
      <c r="D113">
        <f t="shared" si="13"/>
        <v>4</v>
      </c>
      <c r="E113" s="65">
        <f t="shared" si="11"/>
        <v>1500000</v>
      </c>
      <c r="F113" s="62">
        <f t="shared" si="8"/>
        <v>127500</v>
      </c>
      <c r="G113" s="62">
        <f t="shared" si="10"/>
        <v>15430843.281021971</v>
      </c>
      <c r="H113" s="67">
        <f t="shared" si="9"/>
        <v>392.97159887462885</v>
      </c>
    </row>
    <row r="114" spans="3:8" x14ac:dyDescent="0.15">
      <c r="C114">
        <f t="shared" si="12"/>
        <v>9</v>
      </c>
      <c r="D114">
        <f t="shared" si="13"/>
        <v>5</v>
      </c>
      <c r="E114" s="65">
        <f t="shared" si="11"/>
        <v>1500000</v>
      </c>
      <c r="F114" s="62">
        <f t="shared" si="8"/>
        <v>127500</v>
      </c>
      <c r="G114" s="62">
        <f t="shared" si="10"/>
        <v>15615517.227166295</v>
      </c>
      <c r="H114" s="67">
        <f t="shared" si="9"/>
        <v>397.67462220039067</v>
      </c>
    </row>
    <row r="115" spans="3:8" x14ac:dyDescent="0.15">
      <c r="C115">
        <f t="shared" si="12"/>
        <v>9</v>
      </c>
      <c r="D115">
        <f t="shared" si="13"/>
        <v>6</v>
      </c>
      <c r="E115" s="65">
        <f t="shared" si="11"/>
        <v>1500000</v>
      </c>
      <c r="F115" s="62">
        <f t="shared" si="8"/>
        <v>127500</v>
      </c>
      <c r="G115" s="62">
        <f t="shared" si="10"/>
        <v>15800869.814863926</v>
      </c>
      <c r="H115" s="67">
        <f t="shared" si="9"/>
        <v>402.39492824048051</v>
      </c>
    </row>
    <row r="116" spans="3:8" x14ac:dyDescent="0.15">
      <c r="C116">
        <f t="shared" si="12"/>
        <v>9</v>
      </c>
      <c r="D116">
        <f t="shared" si="13"/>
        <v>7</v>
      </c>
      <c r="E116" s="65">
        <f t="shared" si="11"/>
        <v>1500000</v>
      </c>
      <c r="F116" s="62">
        <f t="shared" si="8"/>
        <v>127500</v>
      </c>
      <c r="G116" s="62">
        <f t="shared" si="10"/>
        <v>15986903.537993222</v>
      </c>
      <c r="H116" s="67">
        <f t="shared" si="9"/>
        <v>407.13258050557943</v>
      </c>
    </row>
    <row r="117" spans="3:8" x14ac:dyDescent="0.15">
      <c r="C117">
        <f t="shared" si="12"/>
        <v>9</v>
      </c>
      <c r="D117">
        <f t="shared" si="13"/>
        <v>8</v>
      </c>
      <c r="E117" s="65">
        <f t="shared" si="11"/>
        <v>1500000</v>
      </c>
      <c r="F117" s="62">
        <f t="shared" si="8"/>
        <v>127500</v>
      </c>
      <c r="G117" s="62">
        <f t="shared" si="10"/>
        <v>16173620.899597073</v>
      </c>
      <c r="H117" s="67">
        <f t="shared" si="9"/>
        <v>411.88764273975812</v>
      </c>
    </row>
    <row r="118" spans="3:8" x14ac:dyDescent="0.15">
      <c r="C118">
        <f t="shared" si="12"/>
        <v>9</v>
      </c>
      <c r="D118">
        <f t="shared" si="13"/>
        <v>9</v>
      </c>
      <c r="E118" s="65">
        <f t="shared" si="11"/>
        <v>1500000</v>
      </c>
      <c r="F118" s="62">
        <f t="shared" si="8"/>
        <v>127500</v>
      </c>
      <c r="G118" s="62">
        <f t="shared" si="10"/>
        <v>16361024.411916571</v>
      </c>
      <c r="H118" s="67">
        <f t="shared" si="9"/>
        <v>416.66017892133459</v>
      </c>
    </row>
    <row r="119" spans="3:8" x14ac:dyDescent="0.15">
      <c r="C119">
        <f t="shared" si="12"/>
        <v>9</v>
      </c>
      <c r="D119">
        <f t="shared" si="13"/>
        <v>10</v>
      </c>
      <c r="E119" s="65">
        <f t="shared" si="11"/>
        <v>1500000</v>
      </c>
      <c r="F119" s="62">
        <f t="shared" si="8"/>
        <v>127500</v>
      </c>
      <c r="G119" s="62">
        <f t="shared" si="10"/>
        <v>16549116.596424814</v>
      </c>
      <c r="H119" s="67">
        <f t="shared" si="9"/>
        <v>421.45025326373508</v>
      </c>
    </row>
    <row r="120" spans="3:8" x14ac:dyDescent="0.15">
      <c r="C120">
        <f t="shared" si="12"/>
        <v>9</v>
      </c>
      <c r="D120">
        <f t="shared" si="13"/>
        <v>11</v>
      </c>
      <c r="E120" s="65">
        <f t="shared" si="11"/>
        <v>1500000</v>
      </c>
      <c r="F120" s="62">
        <f t="shared" si="8"/>
        <v>127500</v>
      </c>
      <c r="G120" s="62">
        <f t="shared" si="10"/>
        <v>16737899.983860837</v>
      </c>
      <c r="H120" s="67">
        <f t="shared" si="9"/>
        <v>426.25793021635781</v>
      </c>
    </row>
    <row r="121" spans="3:8" x14ac:dyDescent="0.15">
      <c r="C121">
        <f t="shared" si="12"/>
        <v>9</v>
      </c>
      <c r="D121">
        <f t="shared" si="13"/>
        <v>12</v>
      </c>
      <c r="E121" s="65">
        <f t="shared" si="11"/>
        <v>1500000</v>
      </c>
      <c r="F121" s="62">
        <f t="shared" si="8"/>
        <v>127500</v>
      </c>
      <c r="G121" s="62">
        <f t="shared" si="10"/>
        <v>16927377.114263654</v>
      </c>
      <c r="H121" s="67">
        <f t="shared" si="9"/>
        <v>431.08327446544024</v>
      </c>
    </row>
    <row r="122" spans="3:8" x14ac:dyDescent="0.15">
      <c r="C122">
        <f t="shared" si="12"/>
        <v>10</v>
      </c>
      <c r="D122">
        <f t="shared" si="13"/>
        <v>1</v>
      </c>
      <c r="E122" s="65">
        <f t="shared" si="11"/>
        <v>1500000</v>
      </c>
      <c r="F122" s="62">
        <f t="shared" si="8"/>
        <v>127500</v>
      </c>
      <c r="G122" s="62">
        <f t="shared" si="10"/>
        <v>17117550.537006445</v>
      </c>
      <c r="H122" s="67">
        <f t="shared" si="9"/>
        <v>435.92635093492959</v>
      </c>
    </row>
    <row r="123" spans="3:8" x14ac:dyDescent="0.15">
      <c r="C123">
        <f t="shared" si="12"/>
        <v>10</v>
      </c>
      <c r="D123">
        <f t="shared" si="13"/>
        <v>2</v>
      </c>
      <c r="E123" s="65">
        <f t="shared" si="11"/>
        <v>1500000</v>
      </c>
      <c r="F123" s="62">
        <f t="shared" si="8"/>
        <v>127500</v>
      </c>
      <c r="G123" s="62">
        <f t="shared" si="10"/>
        <v>17308422.810830846</v>
      </c>
      <c r="H123" s="67">
        <f t="shared" si="9"/>
        <v>440.78722478735608</v>
      </c>
    </row>
    <row r="124" spans="3:8" x14ac:dyDescent="0.15">
      <c r="C124">
        <f t="shared" si="12"/>
        <v>10</v>
      </c>
      <c r="D124">
        <f t="shared" si="13"/>
        <v>3</v>
      </c>
      <c r="E124" s="65">
        <f t="shared" si="11"/>
        <v>1500000</v>
      </c>
      <c r="F124" s="62">
        <f t="shared" si="8"/>
        <v>127500</v>
      </c>
      <c r="G124" s="62">
        <f t="shared" si="10"/>
        <v>17499996.50388138</v>
      </c>
      <c r="H124" s="67">
        <f t="shared" si="9"/>
        <v>445.66596142470979</v>
      </c>
    </row>
    <row r="125" spans="3:8" x14ac:dyDescent="0.15">
      <c r="C125">
        <f t="shared" si="12"/>
        <v>10</v>
      </c>
      <c r="D125">
        <f t="shared" si="13"/>
        <v>4</v>
      </c>
      <c r="E125" s="65">
        <f t="shared" si="11"/>
        <v>1500000</v>
      </c>
      <c r="F125" s="62">
        <f t="shared" si="8"/>
        <v>127500</v>
      </c>
      <c r="G125" s="62">
        <f t="shared" si="10"/>
        <v>17692274.19374001</v>
      </c>
      <c r="H125" s="67">
        <f t="shared" si="9"/>
        <v>450.56262648932068</v>
      </c>
    </row>
    <row r="126" spans="3:8" x14ac:dyDescent="0.15">
      <c r="C126">
        <f t="shared" si="12"/>
        <v>10</v>
      </c>
      <c r="D126">
        <f t="shared" si="13"/>
        <v>5</v>
      </c>
      <c r="E126" s="65">
        <f t="shared" si="11"/>
        <v>1500000</v>
      </c>
      <c r="F126" s="62">
        <f t="shared" si="8"/>
        <v>127500</v>
      </c>
      <c r="G126" s="62">
        <f t="shared" si="10"/>
        <v>17885258.46746083</v>
      </c>
      <c r="H126" s="67">
        <f t="shared" si="9"/>
        <v>455.47728586474187</v>
      </c>
    </row>
    <row r="127" spans="3:8" x14ac:dyDescent="0.15">
      <c r="C127">
        <f t="shared" si="12"/>
        <v>10</v>
      </c>
      <c r="D127">
        <f t="shared" si="13"/>
        <v>6</v>
      </c>
      <c r="E127" s="65">
        <f t="shared" si="11"/>
        <v>1500000</v>
      </c>
      <c r="F127" s="62">
        <f t="shared" si="8"/>
        <v>127500</v>
      </c>
      <c r="G127" s="62">
        <f t="shared" si="10"/>
        <v>18078951.921604853</v>
      </c>
      <c r="H127" s="67">
        <f t="shared" si="9"/>
        <v>460.41000567663576</v>
      </c>
    </row>
    <row r="128" spans="3:8" x14ac:dyDescent="0.15">
      <c r="C128">
        <f t="shared" si="12"/>
        <v>10</v>
      </c>
      <c r="D128">
        <f t="shared" si="13"/>
        <v>7</v>
      </c>
      <c r="E128" s="65">
        <f t="shared" si="11"/>
        <v>1500000</v>
      </c>
      <c r="F128" s="62">
        <f t="shared" si="8"/>
        <v>127500</v>
      </c>
      <c r="G128" s="62">
        <f t="shared" si="10"/>
        <v>18273357.162274968</v>
      </c>
      <c r="H128" s="67">
        <f t="shared" si="9"/>
        <v>465.3608522936641</v>
      </c>
    </row>
    <row r="129" spans="3:8" x14ac:dyDescent="0.15">
      <c r="C129">
        <f t="shared" si="12"/>
        <v>10</v>
      </c>
      <c r="D129">
        <f t="shared" si="13"/>
        <v>8</v>
      </c>
      <c r="E129" s="65">
        <f t="shared" si="11"/>
        <v>1500000</v>
      </c>
      <c r="F129" s="62">
        <f t="shared" si="8"/>
        <v>127500</v>
      </c>
      <c r="G129" s="62">
        <f t="shared" si="10"/>
        <v>18468476.805150993</v>
      </c>
      <c r="H129" s="67">
        <f t="shared" si="9"/>
        <v>470.32989232838082</v>
      </c>
    </row>
    <row r="130" spans="3:8" x14ac:dyDescent="0.15">
      <c r="C130">
        <f t="shared" si="12"/>
        <v>10</v>
      </c>
      <c r="D130">
        <f t="shared" si="13"/>
        <v>9</v>
      </c>
      <c r="E130" s="65">
        <f t="shared" si="11"/>
        <v>1500000</v>
      </c>
      <c r="F130" s="62">
        <f t="shared" si="8"/>
        <v>127500</v>
      </c>
      <c r="G130" s="62">
        <f t="shared" si="10"/>
        <v>18664313.475524869</v>
      </c>
      <c r="H130" s="67">
        <f t="shared" si="9"/>
        <v>475.31719263812829</v>
      </c>
    </row>
    <row r="131" spans="3:8" x14ac:dyDescent="0.15">
      <c r="C131">
        <f t="shared" si="12"/>
        <v>10</v>
      </c>
      <c r="D131">
        <f t="shared" si="13"/>
        <v>10</v>
      </c>
      <c r="E131" s="65">
        <f t="shared" si="11"/>
        <v>1500000</v>
      </c>
      <c r="F131" s="62">
        <f t="shared" si="8"/>
        <v>127500</v>
      </c>
      <c r="G131" s="62">
        <f t="shared" si="10"/>
        <v>18860869.808335982</v>
      </c>
      <c r="H131" s="67">
        <f t="shared" si="9"/>
        <v>480.32282032593679</v>
      </c>
    </row>
    <row r="132" spans="3:8" x14ac:dyDescent="0.15">
      <c r="C132">
        <f t="shared" si="12"/>
        <v>10</v>
      </c>
      <c r="D132">
        <f t="shared" si="13"/>
        <v>11</v>
      </c>
      <c r="E132" s="65">
        <f t="shared" si="11"/>
        <v>1500000</v>
      </c>
      <c r="F132" s="62">
        <f t="shared" si="8"/>
        <v>127500</v>
      </c>
      <c r="G132" s="62">
        <f t="shared" si="10"/>
        <v>19058148.448206626</v>
      </c>
      <c r="H132" s="67">
        <f t="shared" si="9"/>
        <v>485.34684274142751</v>
      </c>
    </row>
    <row r="133" spans="3:8" x14ac:dyDescent="0.15">
      <c r="C133">
        <f t="shared" si="12"/>
        <v>10</v>
      </c>
      <c r="D133">
        <f t="shared" si="13"/>
        <v>12</v>
      </c>
      <c r="E133" s="65">
        <f t="shared" si="11"/>
        <v>1500000</v>
      </c>
      <c r="F133" s="62">
        <f t="shared" si="8"/>
        <v>127500</v>
      </c>
      <c r="G133" s="62">
        <f t="shared" si="10"/>
        <v>19256152.049477573</v>
      </c>
      <c r="H133" s="67">
        <f t="shared" si="9"/>
        <v>490.38932748171874</v>
      </c>
    </row>
    <row r="134" spans="3:8" x14ac:dyDescent="0.15">
      <c r="C134">
        <f t="shared" si="12"/>
        <v>11</v>
      </c>
      <c r="D134">
        <f t="shared" si="13"/>
        <v>1</v>
      </c>
      <c r="E134" s="65">
        <f t="shared" si="11"/>
        <v>1500000</v>
      </c>
      <c r="F134" s="62">
        <f t="shared" si="8"/>
        <v>127500</v>
      </c>
      <c r="G134" s="62">
        <f t="shared" si="10"/>
        <v>19454883.276243791</v>
      </c>
      <c r="H134" s="67">
        <f t="shared" si="9"/>
        <v>495.45034239233513</v>
      </c>
    </row>
    <row r="135" spans="3:8" x14ac:dyDescent="0.15">
      <c r="C135">
        <f t="shared" si="12"/>
        <v>11</v>
      </c>
      <c r="D135">
        <f t="shared" si="13"/>
        <v>2</v>
      </c>
      <c r="E135" s="65">
        <f t="shared" si="11"/>
        <v>1500000</v>
      </c>
      <c r="F135" s="62">
        <f t="shared" si="8"/>
        <v>127500</v>
      </c>
      <c r="G135" s="62">
        <f t="shared" si="10"/>
        <v>19654344.802390289</v>
      </c>
      <c r="H135" s="67">
        <f t="shared" si="9"/>
        <v>500.52995556812078</v>
      </c>
    </row>
    <row r="136" spans="3:8" x14ac:dyDescent="0.15">
      <c r="C136">
        <f t="shared" si="12"/>
        <v>11</v>
      </c>
      <c r="D136">
        <f t="shared" si="13"/>
        <v>3</v>
      </c>
      <c r="E136" s="65">
        <f t="shared" si="11"/>
        <v>1500000</v>
      </c>
      <c r="F136" s="62">
        <f t="shared" si="8"/>
        <v>127500</v>
      </c>
      <c r="G136" s="62">
        <f t="shared" si="10"/>
        <v>19854539.311628096</v>
      </c>
      <c r="H136" s="67">
        <f t="shared" si="9"/>
        <v>505.62823535415544</v>
      </c>
    </row>
    <row r="137" spans="3:8" x14ac:dyDescent="0.15">
      <c r="C137">
        <f t="shared" si="12"/>
        <v>11</v>
      </c>
      <c r="D137">
        <f t="shared" si="13"/>
        <v>4</v>
      </c>
      <c r="E137" s="65">
        <f t="shared" si="11"/>
        <v>1500000</v>
      </c>
      <c r="F137" s="62">
        <f t="shared" si="8"/>
        <v>127500</v>
      </c>
      <c r="G137" s="62">
        <f t="shared" si="10"/>
        <v>20055469.497530367</v>
      </c>
      <c r="H137" s="67">
        <f t="shared" si="9"/>
        <v>510.74525034667386</v>
      </c>
    </row>
    <row r="138" spans="3:8" x14ac:dyDescent="0.15">
      <c r="C138">
        <f t="shared" si="12"/>
        <v>11</v>
      </c>
      <c r="D138">
        <f t="shared" si="13"/>
        <v>5</v>
      </c>
      <c r="E138" s="65">
        <f t="shared" si="11"/>
        <v>1500000</v>
      </c>
      <c r="F138" s="62">
        <f t="shared" si="8"/>
        <v>127500</v>
      </c>
      <c r="G138" s="62">
        <f t="shared" si="10"/>
        <v>20257138.063568622</v>
      </c>
      <c r="H138" s="67">
        <f t="shared" si="9"/>
        <v>515.88106939398892</v>
      </c>
    </row>
    <row r="139" spans="3:8" x14ac:dyDescent="0.15">
      <c r="C139">
        <f t="shared" si="12"/>
        <v>11</v>
      </c>
      <c r="D139">
        <f t="shared" si="13"/>
        <v>6</v>
      </c>
      <c r="E139" s="65">
        <f t="shared" si="11"/>
        <v>1500000</v>
      </c>
      <c r="F139" s="62">
        <f t="shared" si="8"/>
        <v>127500</v>
      </c>
      <c r="G139" s="62">
        <f t="shared" si="10"/>
        <v>20459547.723149128</v>
      </c>
      <c r="H139" s="67">
        <f t="shared" si="9"/>
        <v>521.03576159741806</v>
      </c>
    </row>
    <row r="140" spans="3:8" x14ac:dyDescent="0.15">
      <c r="C140">
        <f t="shared" si="12"/>
        <v>11</v>
      </c>
      <c r="D140">
        <f t="shared" si="13"/>
        <v>7</v>
      </c>
      <c r="E140" s="65">
        <f t="shared" si="11"/>
        <v>1500000</v>
      </c>
      <c r="F140" s="62">
        <f t="shared" si="8"/>
        <v>127500</v>
      </c>
      <c r="G140" s="62">
        <f t="shared" si="10"/>
        <v>20662701.199649397</v>
      </c>
      <c r="H140" s="67">
        <f t="shared" si="9"/>
        <v>526.20939631221268</v>
      </c>
    </row>
    <row r="141" spans="3:8" x14ac:dyDescent="0.15">
      <c r="C141">
        <f t="shared" si="12"/>
        <v>11</v>
      </c>
      <c r="D141">
        <f t="shared" si="13"/>
        <v>8</v>
      </c>
      <c r="E141" s="65">
        <f t="shared" si="11"/>
        <v>1500000</v>
      </c>
      <c r="F141" s="62">
        <f t="shared" si="8"/>
        <v>127500</v>
      </c>
      <c r="G141" s="62">
        <f t="shared" si="10"/>
        <v>20866601.226454843</v>
      </c>
      <c r="H141" s="67">
        <f t="shared" si="9"/>
        <v>531.40204314849166</v>
      </c>
    </row>
    <row r="142" spans="3:8" x14ac:dyDescent="0.15">
      <c r="C142">
        <f t="shared" si="12"/>
        <v>11</v>
      </c>
      <c r="D142">
        <f t="shared" si="13"/>
        <v>9</v>
      </c>
      <c r="E142" s="65">
        <f t="shared" si="11"/>
        <v>1500000</v>
      </c>
      <c r="F142" s="62">
        <f t="shared" si="8"/>
        <v>127500</v>
      </c>
      <c r="G142" s="62">
        <f t="shared" si="10"/>
        <v>21071250.546995543</v>
      </c>
      <c r="H142" s="67">
        <f t="shared" si="9"/>
        <v>536.6137719721778</v>
      </c>
    </row>
    <row r="143" spans="3:8" x14ac:dyDescent="0.15">
      <c r="C143">
        <f t="shared" si="12"/>
        <v>11</v>
      </c>
      <c r="D143">
        <f t="shared" si="13"/>
        <v>10</v>
      </c>
      <c r="E143" s="65">
        <f t="shared" si="11"/>
        <v>1500000</v>
      </c>
      <c r="F143" s="62">
        <f t="shared" ref="F143:F206" si="14">IF(E143/$D$3&lt;$D$2*(1+$D$11)^(C143-1),0.1*E143,0.1*$D$2*$D$3*(1+$D$11)^(C143-1))*(1-$D$9)</f>
        <v>127500</v>
      </c>
      <c r="G143" s="62">
        <f t="shared" si="10"/>
        <v>21276651.914783157</v>
      </c>
      <c r="H143" s="67">
        <f t="shared" ref="H143:H206" si="15">G143/$D$3</f>
        <v>541.84465290593766</v>
      </c>
    </row>
    <row r="144" spans="3:8" x14ac:dyDescent="0.15">
      <c r="C144">
        <f t="shared" si="12"/>
        <v>11</v>
      </c>
      <c r="D144">
        <f t="shared" si="13"/>
        <v>11</v>
      </c>
      <c r="E144" s="65">
        <f t="shared" si="11"/>
        <v>1500000</v>
      </c>
      <c r="F144" s="62">
        <f t="shared" si="14"/>
        <v>127500</v>
      </c>
      <c r="G144" s="62">
        <f t="shared" ref="G144:G207" si="16">(F144+G143)*(1+$D$5)</f>
        <v>21482808.09344798</v>
      </c>
      <c r="H144" s="67">
        <f t="shared" si="15"/>
        <v>547.09475633012551</v>
      </c>
    </row>
    <row r="145" spans="3:8" x14ac:dyDescent="0.15">
      <c r="C145">
        <f t="shared" si="12"/>
        <v>11</v>
      </c>
      <c r="D145">
        <f t="shared" si="13"/>
        <v>12</v>
      </c>
      <c r="E145" s="65">
        <f t="shared" ref="E145:E208" si="17">E144</f>
        <v>1500000</v>
      </c>
      <c r="F145" s="62">
        <f t="shared" si="14"/>
        <v>127500</v>
      </c>
      <c r="G145" s="62">
        <f t="shared" si="16"/>
        <v>21689721.856776118</v>
      </c>
      <c r="H145" s="67">
        <f t="shared" si="15"/>
        <v>552.36415288372973</v>
      </c>
    </row>
    <row r="146" spans="3:8" x14ac:dyDescent="0.15">
      <c r="C146">
        <f t="shared" si="12"/>
        <v>12</v>
      </c>
      <c r="D146">
        <f t="shared" si="13"/>
        <v>1</v>
      </c>
      <c r="E146" s="65">
        <f t="shared" si="17"/>
        <v>1500000</v>
      </c>
      <c r="F146" s="62">
        <f t="shared" si="14"/>
        <v>127500</v>
      </c>
      <c r="G146" s="62">
        <f t="shared" si="16"/>
        <v>21897395.988746814</v>
      </c>
      <c r="H146" s="67">
        <f t="shared" si="15"/>
        <v>557.65291346532388</v>
      </c>
    </row>
    <row r="147" spans="3:8" x14ac:dyDescent="0.15">
      <c r="C147">
        <f t="shared" si="12"/>
        <v>12</v>
      </c>
      <c r="D147">
        <f t="shared" si="13"/>
        <v>2</v>
      </c>
      <c r="E147" s="65">
        <f t="shared" si="17"/>
        <v>1500000</v>
      </c>
      <c r="F147" s="62">
        <f t="shared" si="14"/>
        <v>127500</v>
      </c>
      <c r="G147" s="62">
        <f t="shared" si="16"/>
        <v>22105833.283569906</v>
      </c>
      <c r="H147" s="67">
        <f t="shared" si="15"/>
        <v>562.96110923401989</v>
      </c>
    </row>
    <row r="148" spans="3:8" x14ac:dyDescent="0.15">
      <c r="C148">
        <f t="shared" si="12"/>
        <v>12</v>
      </c>
      <c r="D148">
        <f t="shared" si="13"/>
        <v>3</v>
      </c>
      <c r="E148" s="65">
        <f t="shared" si="17"/>
        <v>1500000</v>
      </c>
      <c r="F148" s="62">
        <f t="shared" si="14"/>
        <v>127500</v>
      </c>
      <c r="G148" s="62">
        <f t="shared" si="16"/>
        <v>22315036.545723416</v>
      </c>
      <c r="H148" s="67">
        <f t="shared" si="15"/>
        <v>568.28881161042614</v>
      </c>
    </row>
    <row r="149" spans="3:8" x14ac:dyDescent="0.15">
      <c r="C149">
        <f t="shared" si="12"/>
        <v>12</v>
      </c>
      <c r="D149">
        <f t="shared" si="13"/>
        <v>4</v>
      </c>
      <c r="E149" s="65">
        <f t="shared" si="17"/>
        <v>1500000</v>
      </c>
      <c r="F149" s="62">
        <f t="shared" si="14"/>
        <v>127500</v>
      </c>
      <c r="G149" s="62">
        <f t="shared" si="16"/>
        <v>22525008.589991286</v>
      </c>
      <c r="H149" s="67">
        <f t="shared" si="15"/>
        <v>573.63609227760787</v>
      </c>
    </row>
    <row r="150" spans="3:8" x14ac:dyDescent="0.15">
      <c r="C150">
        <f t="shared" si="12"/>
        <v>12</v>
      </c>
      <c r="D150">
        <f t="shared" si="13"/>
        <v>5</v>
      </c>
      <c r="E150" s="65">
        <f t="shared" si="17"/>
        <v>1500000</v>
      </c>
      <c r="F150" s="62">
        <f t="shared" si="14"/>
        <v>127500</v>
      </c>
      <c r="G150" s="62">
        <f t="shared" si="16"/>
        <v>22735752.241501264</v>
      </c>
      <c r="H150" s="67">
        <f t="shared" si="15"/>
        <v>579.00302318205217</v>
      </c>
    </row>
    <row r="151" spans="3:8" x14ac:dyDescent="0.15">
      <c r="C151">
        <f t="shared" si="12"/>
        <v>12</v>
      </c>
      <c r="D151">
        <f t="shared" si="13"/>
        <v>6</v>
      </c>
      <c r="E151" s="65">
        <f t="shared" si="17"/>
        <v>1500000</v>
      </c>
      <c r="F151" s="62">
        <f t="shared" si="14"/>
        <v>127500</v>
      </c>
      <c r="G151" s="62">
        <f t="shared" si="16"/>
        <v>22947270.335762892</v>
      </c>
      <c r="H151" s="67">
        <f t="shared" si="15"/>
        <v>584.38967653463556</v>
      </c>
    </row>
    <row r="152" spans="3:8" x14ac:dyDescent="0.15">
      <c r="C152">
        <f t="shared" si="12"/>
        <v>12</v>
      </c>
      <c r="D152">
        <f t="shared" si="13"/>
        <v>7</v>
      </c>
      <c r="E152" s="65">
        <f t="shared" si="17"/>
        <v>1500000</v>
      </c>
      <c r="F152" s="62">
        <f t="shared" si="14"/>
        <v>127500</v>
      </c>
      <c r="G152" s="62">
        <f t="shared" si="16"/>
        <v>23159565.718705676</v>
      </c>
      <c r="H152" s="67">
        <f t="shared" si="15"/>
        <v>589.79612481159597</v>
      </c>
    </row>
    <row r="153" spans="3:8" x14ac:dyDescent="0.15">
      <c r="C153">
        <f t="shared" si="12"/>
        <v>12</v>
      </c>
      <c r="D153">
        <f t="shared" si="13"/>
        <v>8</v>
      </c>
      <c r="E153" s="65">
        <f t="shared" si="17"/>
        <v>1500000</v>
      </c>
      <c r="F153" s="62">
        <f t="shared" si="14"/>
        <v>127500</v>
      </c>
      <c r="G153" s="62">
        <f t="shared" si="16"/>
        <v>23372641.246717367</v>
      </c>
      <c r="H153" s="67">
        <f t="shared" si="15"/>
        <v>595.22244075550759</v>
      </c>
    </row>
    <row r="154" spans="3:8" x14ac:dyDescent="0.15">
      <c r="C154">
        <f t="shared" si="12"/>
        <v>12</v>
      </c>
      <c r="D154">
        <f t="shared" si="13"/>
        <v>9</v>
      </c>
      <c r="E154" s="65">
        <f t="shared" si="17"/>
        <v>1500000</v>
      </c>
      <c r="F154" s="62">
        <f t="shared" si="14"/>
        <v>127500</v>
      </c>
      <c r="G154" s="62">
        <f t="shared" si="16"/>
        <v>23586499.786682397</v>
      </c>
      <c r="H154" s="67">
        <f t="shared" si="15"/>
        <v>600.6686973762595</v>
      </c>
    </row>
    <row r="155" spans="3:8" x14ac:dyDescent="0.15">
      <c r="C155">
        <f t="shared" si="12"/>
        <v>12</v>
      </c>
      <c r="D155">
        <f t="shared" si="13"/>
        <v>10</v>
      </c>
      <c r="E155" s="65">
        <f t="shared" si="17"/>
        <v>1500000</v>
      </c>
      <c r="F155" s="62">
        <f t="shared" si="14"/>
        <v>127500</v>
      </c>
      <c r="G155" s="62">
        <f t="shared" si="16"/>
        <v>23801144.216020454</v>
      </c>
      <c r="H155" s="67">
        <f t="shared" si="15"/>
        <v>606.13496795203855</v>
      </c>
    </row>
    <row r="156" spans="3:8" x14ac:dyDescent="0.15">
      <c r="C156">
        <f t="shared" si="12"/>
        <v>12</v>
      </c>
      <c r="D156">
        <f t="shared" si="13"/>
        <v>11</v>
      </c>
      <c r="E156" s="65">
        <f t="shared" si="17"/>
        <v>1500000</v>
      </c>
      <c r="F156" s="62">
        <f t="shared" si="14"/>
        <v>127500</v>
      </c>
      <c r="G156" s="62">
        <f t="shared" si="16"/>
        <v>24016577.422725193</v>
      </c>
      <c r="H156" s="67">
        <f t="shared" si="15"/>
        <v>611.62132603031478</v>
      </c>
    </row>
    <row r="157" spans="3:8" x14ac:dyDescent="0.15">
      <c r="C157">
        <f t="shared" si="12"/>
        <v>12</v>
      </c>
      <c r="D157">
        <f t="shared" si="13"/>
        <v>12</v>
      </c>
      <c r="E157" s="65">
        <f t="shared" si="17"/>
        <v>1500000</v>
      </c>
      <c r="F157" s="62">
        <f t="shared" si="14"/>
        <v>127500</v>
      </c>
      <c r="G157" s="62">
        <f t="shared" si="16"/>
        <v>24232802.305403098</v>
      </c>
      <c r="H157" s="67">
        <f t="shared" si="15"/>
        <v>617.12784542883128</v>
      </c>
    </row>
    <row r="158" spans="3:8" x14ac:dyDescent="0.15">
      <c r="C158">
        <f t="shared" si="12"/>
        <v>13</v>
      </c>
      <c r="D158">
        <f t="shared" si="13"/>
        <v>1</v>
      </c>
      <c r="E158" s="65">
        <f t="shared" si="17"/>
        <v>1500000</v>
      </c>
      <c r="F158" s="62">
        <f t="shared" si="14"/>
        <v>127500</v>
      </c>
      <c r="G158" s="62">
        <f t="shared" si="16"/>
        <v>24449821.773312476</v>
      </c>
      <c r="H158" s="67">
        <f t="shared" si="15"/>
        <v>622.65460023659716</v>
      </c>
    </row>
    <row r="159" spans="3:8" x14ac:dyDescent="0.15">
      <c r="C159">
        <f t="shared" si="12"/>
        <v>13</v>
      </c>
      <c r="D159">
        <f t="shared" si="13"/>
        <v>2</v>
      </c>
      <c r="E159" s="65">
        <f t="shared" si="17"/>
        <v>1500000</v>
      </c>
      <c r="F159" s="62">
        <f t="shared" si="14"/>
        <v>127500</v>
      </c>
      <c r="G159" s="62">
        <f t="shared" si="16"/>
        <v>24667638.746402606</v>
      </c>
      <c r="H159" s="67">
        <f t="shared" si="15"/>
        <v>628.20166481488445</v>
      </c>
    </row>
    <row r="160" spans="3:8" x14ac:dyDescent="0.15">
      <c r="C160">
        <f t="shared" si="12"/>
        <v>13</v>
      </c>
      <c r="D160">
        <f t="shared" si="13"/>
        <v>3</v>
      </c>
      <c r="E160" s="65">
        <f t="shared" si="17"/>
        <v>1500000</v>
      </c>
      <c r="F160" s="62">
        <f t="shared" si="14"/>
        <v>127500</v>
      </c>
      <c r="G160" s="62">
        <f t="shared" si="16"/>
        <v>24886256.155353021</v>
      </c>
      <c r="H160" s="67">
        <f t="shared" si="15"/>
        <v>633.76911379822889</v>
      </c>
    </row>
    <row r="161" spans="3:8" x14ac:dyDescent="0.15">
      <c r="C161">
        <f t="shared" ref="C161:C224" si="18">IF(MOD(D160,12)=0,C160+1,C160)</f>
        <v>13</v>
      </c>
      <c r="D161">
        <f t="shared" ref="D161:D224" si="19">IF(MOD(D160,12)=0,1,D160+1)</f>
        <v>4</v>
      </c>
      <c r="E161" s="65">
        <f t="shared" si="17"/>
        <v>1500000</v>
      </c>
      <c r="F161" s="62">
        <f t="shared" si="14"/>
        <v>127500</v>
      </c>
      <c r="G161" s="62">
        <f t="shared" si="16"/>
        <v>25105676.941612948</v>
      </c>
      <c r="H161" s="67">
        <f t="shared" si="15"/>
        <v>639.35702209543388</v>
      </c>
    </row>
    <row r="162" spans="3:8" x14ac:dyDescent="0.15">
      <c r="C162">
        <f t="shared" si="18"/>
        <v>13</v>
      </c>
      <c r="D162">
        <f t="shared" si="19"/>
        <v>5</v>
      </c>
      <c r="E162" s="65">
        <f t="shared" si="17"/>
        <v>1500000</v>
      </c>
      <c r="F162" s="62">
        <f t="shared" si="14"/>
        <v>127500</v>
      </c>
      <c r="G162" s="62">
        <f t="shared" si="16"/>
        <v>25325904.057440873</v>
      </c>
      <c r="H162" s="67">
        <f t="shared" si="15"/>
        <v>644.96546489057812</v>
      </c>
    </row>
    <row r="163" spans="3:8" x14ac:dyDescent="0.15">
      <c r="C163">
        <f t="shared" si="18"/>
        <v>13</v>
      </c>
      <c r="D163">
        <f t="shared" si="19"/>
        <v>6</v>
      </c>
      <c r="E163" s="65">
        <f t="shared" si="17"/>
        <v>1500000</v>
      </c>
      <c r="F163" s="62">
        <f t="shared" si="14"/>
        <v>127500</v>
      </c>
      <c r="G163" s="62">
        <f t="shared" si="16"/>
        <v>25546940.465944275</v>
      </c>
      <c r="H163" s="67">
        <f t="shared" si="15"/>
        <v>650.59451764402786</v>
      </c>
    </row>
    <row r="164" spans="3:8" x14ac:dyDescent="0.15">
      <c r="C164">
        <f t="shared" si="18"/>
        <v>13</v>
      </c>
      <c r="D164">
        <f t="shared" si="19"/>
        <v>7</v>
      </c>
      <c r="E164" s="65">
        <f t="shared" si="17"/>
        <v>1500000</v>
      </c>
      <c r="F164" s="62">
        <f t="shared" si="14"/>
        <v>127500</v>
      </c>
      <c r="G164" s="62">
        <f t="shared" si="16"/>
        <v>25768789.141119484</v>
      </c>
      <c r="H164" s="67">
        <f t="shared" si="15"/>
        <v>656.24425609345144</v>
      </c>
    </row>
    <row r="165" spans="3:8" x14ac:dyDescent="0.15">
      <c r="C165">
        <f t="shared" si="18"/>
        <v>13</v>
      </c>
      <c r="D165">
        <f t="shared" si="19"/>
        <v>8</v>
      </c>
      <c r="E165" s="65">
        <f t="shared" si="17"/>
        <v>1500000</v>
      </c>
      <c r="F165" s="62">
        <f t="shared" si="14"/>
        <v>127500</v>
      </c>
      <c r="G165" s="62">
        <f t="shared" si="16"/>
        <v>25991453.067891702</v>
      </c>
      <c r="H165" s="67">
        <f t="shared" si="15"/>
        <v>661.91475625483906</v>
      </c>
    </row>
    <row r="166" spans="3:8" x14ac:dyDescent="0.15">
      <c r="C166">
        <f t="shared" si="18"/>
        <v>13</v>
      </c>
      <c r="D166">
        <f t="shared" si="19"/>
        <v>9</v>
      </c>
      <c r="E166" s="65">
        <f t="shared" si="17"/>
        <v>1500000</v>
      </c>
      <c r="F166" s="62">
        <f t="shared" si="14"/>
        <v>127500</v>
      </c>
      <c r="G166" s="62">
        <f t="shared" si="16"/>
        <v>26214935.242155161</v>
      </c>
      <c r="H166" s="67">
        <f t="shared" si="15"/>
        <v>667.60609442352484</v>
      </c>
    </row>
    <row r="167" spans="3:8" x14ac:dyDescent="0.15">
      <c r="C167">
        <f t="shared" si="18"/>
        <v>13</v>
      </c>
      <c r="D167">
        <f t="shared" si="19"/>
        <v>10</v>
      </c>
      <c r="E167" s="65">
        <f t="shared" si="17"/>
        <v>1500000</v>
      </c>
      <c r="F167" s="62">
        <f t="shared" si="14"/>
        <v>127500</v>
      </c>
      <c r="G167" s="62">
        <f t="shared" si="16"/>
        <v>26439238.67081343</v>
      </c>
      <c r="H167" s="67">
        <f t="shared" si="15"/>
        <v>673.31834717521394</v>
      </c>
    </row>
    <row r="168" spans="3:8" x14ac:dyDescent="0.15">
      <c r="C168">
        <f t="shared" si="18"/>
        <v>13</v>
      </c>
      <c r="D168">
        <f t="shared" si="19"/>
        <v>11</v>
      </c>
      <c r="E168" s="65">
        <f t="shared" si="17"/>
        <v>1500000</v>
      </c>
      <c r="F168" s="62">
        <f t="shared" si="14"/>
        <v>127500</v>
      </c>
      <c r="G168" s="62">
        <f t="shared" si="16"/>
        <v>26664366.371819884</v>
      </c>
      <c r="H168" s="67">
        <f t="shared" si="15"/>
        <v>679.05159136701275</v>
      </c>
    </row>
    <row r="169" spans="3:8" x14ac:dyDescent="0.15">
      <c r="C169">
        <f t="shared" si="18"/>
        <v>13</v>
      </c>
      <c r="D169">
        <f t="shared" si="19"/>
        <v>12</v>
      </c>
      <c r="E169" s="65">
        <f t="shared" si="17"/>
        <v>1500000</v>
      </c>
      <c r="F169" s="62">
        <f t="shared" si="14"/>
        <v>127500</v>
      </c>
      <c r="G169" s="62">
        <f t="shared" si="16"/>
        <v>26890321.374218296</v>
      </c>
      <c r="H169" s="67">
        <f t="shared" si="15"/>
        <v>684.80590413846244</v>
      </c>
    </row>
    <row r="170" spans="3:8" x14ac:dyDescent="0.15">
      <c r="C170">
        <f t="shared" si="18"/>
        <v>14</v>
      </c>
      <c r="D170">
        <f t="shared" si="19"/>
        <v>1</v>
      </c>
      <c r="E170" s="65">
        <f t="shared" si="17"/>
        <v>1500000</v>
      </c>
      <c r="F170" s="62">
        <f t="shared" si="14"/>
        <v>127500</v>
      </c>
      <c r="G170" s="62">
        <f t="shared" si="16"/>
        <v>27117106.718183596</v>
      </c>
      <c r="H170" s="67">
        <f t="shared" si="15"/>
        <v>690.58136291257779</v>
      </c>
    </row>
    <row r="171" spans="3:8" x14ac:dyDescent="0.15">
      <c r="C171">
        <f t="shared" si="18"/>
        <v>14</v>
      </c>
      <c r="D171">
        <f t="shared" si="19"/>
        <v>2</v>
      </c>
      <c r="E171" s="65">
        <f t="shared" si="17"/>
        <v>1500000</v>
      </c>
      <c r="F171" s="62">
        <f t="shared" si="14"/>
        <v>127500</v>
      </c>
      <c r="G171" s="62">
        <f t="shared" si="16"/>
        <v>27344725.455062781</v>
      </c>
      <c r="H171" s="67">
        <f t="shared" si="15"/>
        <v>696.37804539688807</v>
      </c>
    </row>
    <row r="172" spans="3:8" x14ac:dyDescent="0.15">
      <c r="C172">
        <f t="shared" si="18"/>
        <v>14</v>
      </c>
      <c r="D172">
        <f t="shared" si="19"/>
        <v>3</v>
      </c>
      <c r="E172" s="65">
        <f t="shared" si="17"/>
        <v>1500000</v>
      </c>
      <c r="F172" s="62">
        <f t="shared" si="14"/>
        <v>127500</v>
      </c>
      <c r="G172" s="62">
        <f t="shared" si="16"/>
        <v>27573180.647415966</v>
      </c>
      <c r="H172" s="67">
        <f t="shared" si="15"/>
        <v>702.19602958448309</v>
      </c>
    </row>
    <row r="173" spans="3:8" x14ac:dyDescent="0.15">
      <c r="C173">
        <f t="shared" si="18"/>
        <v>14</v>
      </c>
      <c r="D173">
        <f t="shared" si="19"/>
        <v>4</v>
      </c>
      <c r="E173" s="65">
        <f t="shared" si="17"/>
        <v>1500000</v>
      </c>
      <c r="F173" s="62">
        <f t="shared" si="14"/>
        <v>127500</v>
      </c>
      <c r="G173" s="62">
        <f t="shared" si="16"/>
        <v>27802475.369057588</v>
      </c>
      <c r="H173" s="67">
        <f t="shared" si="15"/>
        <v>708.03539375506216</v>
      </c>
    </row>
    <row r="174" spans="3:8" x14ac:dyDescent="0.15">
      <c r="C174">
        <f t="shared" si="18"/>
        <v>14</v>
      </c>
      <c r="D174">
        <f t="shared" si="19"/>
        <v>5</v>
      </c>
      <c r="E174" s="65">
        <f t="shared" si="17"/>
        <v>1500000</v>
      </c>
      <c r="F174" s="62">
        <f t="shared" si="14"/>
        <v>127500</v>
      </c>
      <c r="G174" s="62">
        <f t="shared" si="16"/>
        <v>28032612.705097772</v>
      </c>
      <c r="H174" s="67">
        <f t="shared" si="15"/>
        <v>713.89621647598801</v>
      </c>
    </row>
    <row r="175" spans="3:8" x14ac:dyDescent="0.15">
      <c r="C175">
        <f t="shared" si="18"/>
        <v>14</v>
      </c>
      <c r="D175">
        <f t="shared" si="19"/>
        <v>6</v>
      </c>
      <c r="E175" s="65">
        <f t="shared" si="17"/>
        <v>1500000</v>
      </c>
      <c r="F175" s="62">
        <f t="shared" si="14"/>
        <v>127500</v>
      </c>
      <c r="G175" s="62">
        <f t="shared" si="16"/>
        <v>28263595.751983825</v>
      </c>
      <c r="H175" s="67">
        <f t="shared" si="15"/>
        <v>719.7785766033428</v>
      </c>
    </row>
    <row r="176" spans="3:8" x14ac:dyDescent="0.15">
      <c r="C176">
        <f t="shared" si="18"/>
        <v>14</v>
      </c>
      <c r="D176">
        <f t="shared" si="19"/>
        <v>7</v>
      </c>
      <c r="E176" s="65">
        <f t="shared" si="17"/>
        <v>1500000</v>
      </c>
      <c r="F176" s="62">
        <f t="shared" si="14"/>
        <v>127500</v>
      </c>
      <c r="G176" s="62">
        <f t="shared" si="16"/>
        <v>28495427.617541917</v>
      </c>
      <c r="H176" s="67">
        <f t="shared" si="15"/>
        <v>725.68255328299051</v>
      </c>
    </row>
    <row r="177" spans="3:8" x14ac:dyDescent="0.15">
      <c r="C177">
        <f t="shared" si="18"/>
        <v>14</v>
      </c>
      <c r="D177">
        <f t="shared" si="19"/>
        <v>8</v>
      </c>
      <c r="E177" s="65">
        <f t="shared" si="17"/>
        <v>1500000</v>
      </c>
      <c r="F177" s="62">
        <f t="shared" si="14"/>
        <v>127500</v>
      </c>
      <c r="G177" s="62">
        <f t="shared" si="16"/>
        <v>28728111.421018884</v>
      </c>
      <c r="H177" s="67">
        <f t="shared" si="15"/>
        <v>731.60822595164052</v>
      </c>
    </row>
    <row r="178" spans="3:8" x14ac:dyDescent="0.15">
      <c r="C178">
        <f t="shared" si="18"/>
        <v>14</v>
      </c>
      <c r="D178">
        <f t="shared" si="19"/>
        <v>9</v>
      </c>
      <c r="E178" s="65">
        <f t="shared" si="17"/>
        <v>1500000</v>
      </c>
      <c r="F178" s="62">
        <f t="shared" si="14"/>
        <v>127500</v>
      </c>
      <c r="G178" s="62">
        <f t="shared" si="16"/>
        <v>28961650.293124195</v>
      </c>
      <c r="H178" s="67">
        <f t="shared" si="15"/>
        <v>737.55567433791714</v>
      </c>
    </row>
    <row r="179" spans="3:8" x14ac:dyDescent="0.15">
      <c r="C179">
        <f t="shared" si="18"/>
        <v>14</v>
      </c>
      <c r="D179">
        <f t="shared" si="19"/>
        <v>10</v>
      </c>
      <c r="E179" s="65">
        <f t="shared" si="17"/>
        <v>1500000</v>
      </c>
      <c r="F179" s="62">
        <f t="shared" si="14"/>
        <v>127500</v>
      </c>
      <c r="G179" s="62">
        <f t="shared" si="16"/>
        <v>29196047.37607209</v>
      </c>
      <c r="H179" s="67">
        <f t="shared" si="15"/>
        <v>743.52497846343238</v>
      </c>
    </row>
    <row r="180" spans="3:8" x14ac:dyDescent="0.15">
      <c r="C180">
        <f t="shared" si="18"/>
        <v>14</v>
      </c>
      <c r="D180">
        <f t="shared" si="19"/>
        <v>11</v>
      </c>
      <c r="E180" s="65">
        <f t="shared" si="17"/>
        <v>1500000</v>
      </c>
      <c r="F180" s="62">
        <f t="shared" si="14"/>
        <v>127500</v>
      </c>
      <c r="G180" s="62">
        <f t="shared" si="16"/>
        <v>29431305.823623836</v>
      </c>
      <c r="H180" s="67">
        <f t="shared" si="15"/>
        <v>749.51621864386209</v>
      </c>
    </row>
    <row r="181" spans="3:8" x14ac:dyDescent="0.15">
      <c r="C181">
        <f t="shared" si="18"/>
        <v>14</v>
      </c>
      <c r="D181">
        <f t="shared" si="19"/>
        <v>12</v>
      </c>
      <c r="E181" s="65">
        <f t="shared" si="17"/>
        <v>1500000</v>
      </c>
      <c r="F181" s="62">
        <f t="shared" si="14"/>
        <v>127500</v>
      </c>
      <c r="G181" s="62">
        <f t="shared" si="16"/>
        <v>29667428.801130176</v>
      </c>
      <c r="H181" s="67">
        <f t="shared" si="15"/>
        <v>755.52947549002704</v>
      </c>
    </row>
    <row r="182" spans="3:8" x14ac:dyDescent="0.15">
      <c r="C182">
        <f t="shared" si="18"/>
        <v>15</v>
      </c>
      <c r="D182">
        <f t="shared" si="19"/>
        <v>1</v>
      </c>
      <c r="E182" s="65">
        <f t="shared" si="17"/>
        <v>1500000</v>
      </c>
      <c r="F182" s="62">
        <f t="shared" si="14"/>
        <v>127500</v>
      </c>
      <c r="G182" s="62">
        <f t="shared" si="16"/>
        <v>29904419.485573914</v>
      </c>
      <c r="H182" s="67">
        <f t="shared" si="15"/>
        <v>761.56482990897757</v>
      </c>
    </row>
    <row r="183" spans="3:8" x14ac:dyDescent="0.15">
      <c r="C183">
        <f t="shared" si="18"/>
        <v>15</v>
      </c>
      <c r="D183">
        <f t="shared" si="19"/>
        <v>2</v>
      </c>
      <c r="E183" s="65">
        <f t="shared" si="17"/>
        <v>1500000</v>
      </c>
      <c r="F183" s="62">
        <f t="shared" si="14"/>
        <v>127500</v>
      </c>
      <c r="G183" s="62">
        <f t="shared" si="16"/>
        <v>30142281.065612663</v>
      </c>
      <c r="H183" s="67">
        <f t="shared" si="15"/>
        <v>767.62236310508172</v>
      </c>
    </row>
    <row r="184" spans="3:8" x14ac:dyDescent="0.15">
      <c r="C184">
        <f t="shared" si="18"/>
        <v>15</v>
      </c>
      <c r="D184">
        <f t="shared" si="19"/>
        <v>3</v>
      </c>
      <c r="E184" s="65">
        <f t="shared" si="17"/>
        <v>1500000</v>
      </c>
      <c r="F184" s="62">
        <f t="shared" si="14"/>
        <v>127500</v>
      </c>
      <c r="G184" s="62">
        <f t="shared" si="16"/>
        <v>30381016.74162174</v>
      </c>
      <c r="H184" s="67">
        <f t="shared" si="15"/>
        <v>773.70215658111852</v>
      </c>
    </row>
    <row r="185" spans="3:8" x14ac:dyDescent="0.15">
      <c r="C185">
        <f t="shared" si="18"/>
        <v>15</v>
      </c>
      <c r="D185">
        <f t="shared" si="19"/>
        <v>4</v>
      </c>
      <c r="E185" s="65">
        <f t="shared" si="17"/>
        <v>1500000</v>
      </c>
      <c r="F185" s="62">
        <f t="shared" si="14"/>
        <v>127500</v>
      </c>
      <c r="G185" s="62">
        <f t="shared" si="16"/>
        <v>30620629.725737236</v>
      </c>
      <c r="H185" s="67">
        <f t="shared" si="15"/>
        <v>779.80429213937373</v>
      </c>
    </row>
    <row r="186" spans="3:8" x14ac:dyDescent="0.15">
      <c r="C186">
        <f t="shared" si="18"/>
        <v>15</v>
      </c>
      <c r="D186">
        <f t="shared" si="19"/>
        <v>5</v>
      </c>
      <c r="E186" s="65">
        <f t="shared" si="17"/>
        <v>1500000</v>
      </c>
      <c r="F186" s="62">
        <f t="shared" si="14"/>
        <v>127500</v>
      </c>
      <c r="G186" s="62">
        <f t="shared" si="16"/>
        <v>30861123.241899226</v>
      </c>
      <c r="H186" s="67">
        <f t="shared" si="15"/>
        <v>785.92885188274113</v>
      </c>
    </row>
    <row r="187" spans="3:8" x14ac:dyDescent="0.15">
      <c r="C187">
        <f t="shared" si="18"/>
        <v>15</v>
      </c>
      <c r="D187">
        <f t="shared" si="19"/>
        <v>6</v>
      </c>
      <c r="E187" s="65">
        <f t="shared" si="17"/>
        <v>1500000</v>
      </c>
      <c r="F187" s="62">
        <f t="shared" si="14"/>
        <v>127500</v>
      </c>
      <c r="G187" s="62">
        <f t="shared" si="16"/>
        <v>31102500.525895152</v>
      </c>
      <c r="H187" s="67">
        <f t="shared" si="15"/>
        <v>792.07591821582696</v>
      </c>
    </row>
    <row r="188" spans="3:8" x14ac:dyDescent="0.15">
      <c r="C188">
        <f t="shared" si="18"/>
        <v>15</v>
      </c>
      <c r="D188">
        <f t="shared" si="19"/>
        <v>7</v>
      </c>
      <c r="E188" s="65">
        <f t="shared" si="17"/>
        <v>1500000</v>
      </c>
      <c r="F188" s="62">
        <f t="shared" si="14"/>
        <v>127500</v>
      </c>
      <c r="G188" s="62">
        <f t="shared" si="16"/>
        <v>31344764.825403359</v>
      </c>
      <c r="H188" s="67">
        <f t="shared" si="15"/>
        <v>798.24557384605873</v>
      </c>
    </row>
    <row r="189" spans="3:8" x14ac:dyDescent="0.15">
      <c r="C189">
        <f t="shared" si="18"/>
        <v>15</v>
      </c>
      <c r="D189">
        <f t="shared" si="19"/>
        <v>8</v>
      </c>
      <c r="E189" s="65">
        <f t="shared" si="17"/>
        <v>1500000</v>
      </c>
      <c r="F189" s="62">
        <f t="shared" si="14"/>
        <v>127500</v>
      </c>
      <c r="G189" s="62">
        <f t="shared" si="16"/>
        <v>31587919.400036789</v>
      </c>
      <c r="H189" s="67">
        <f t="shared" si="15"/>
        <v>804.43790178479799</v>
      </c>
    </row>
    <row r="190" spans="3:8" x14ac:dyDescent="0.15">
      <c r="C190">
        <f t="shared" si="18"/>
        <v>15</v>
      </c>
      <c r="D190">
        <f t="shared" si="19"/>
        <v>9</v>
      </c>
      <c r="E190" s="65">
        <f t="shared" si="17"/>
        <v>1500000</v>
      </c>
      <c r="F190" s="62">
        <f t="shared" si="14"/>
        <v>127500</v>
      </c>
      <c r="G190" s="62">
        <f t="shared" si="16"/>
        <v>31831967.521386843</v>
      </c>
      <c r="H190" s="67">
        <f t="shared" si="15"/>
        <v>810.65298534845715</v>
      </c>
    </row>
    <row r="191" spans="3:8" x14ac:dyDescent="0.15">
      <c r="C191">
        <f t="shared" si="18"/>
        <v>15</v>
      </c>
      <c r="D191">
        <f t="shared" si="19"/>
        <v>10</v>
      </c>
      <c r="E191" s="65">
        <f t="shared" si="17"/>
        <v>1500000</v>
      </c>
      <c r="F191" s="62">
        <f t="shared" si="14"/>
        <v>127500</v>
      </c>
      <c r="G191" s="62">
        <f t="shared" si="16"/>
        <v>32076912.473067392</v>
      </c>
      <c r="H191" s="67">
        <f t="shared" si="15"/>
        <v>816.89090815962061</v>
      </c>
    </row>
    <row r="192" spans="3:8" x14ac:dyDescent="0.15">
      <c r="C192">
        <f t="shared" si="18"/>
        <v>15</v>
      </c>
      <c r="D192">
        <f t="shared" si="19"/>
        <v>11</v>
      </c>
      <c r="E192" s="65">
        <f t="shared" si="17"/>
        <v>1500000</v>
      </c>
      <c r="F192" s="62">
        <f t="shared" si="14"/>
        <v>127500</v>
      </c>
      <c r="G192" s="62">
        <f t="shared" si="16"/>
        <v>32322757.550758965</v>
      </c>
      <c r="H192" s="67">
        <f t="shared" si="15"/>
        <v>823.15175414816963</v>
      </c>
    </row>
    <row r="193" spans="3:8" x14ac:dyDescent="0.15">
      <c r="C193">
        <f t="shared" si="18"/>
        <v>15</v>
      </c>
      <c r="D193">
        <f t="shared" si="19"/>
        <v>12</v>
      </c>
      <c r="E193" s="65">
        <f t="shared" si="17"/>
        <v>1500000</v>
      </c>
      <c r="F193" s="62">
        <f t="shared" si="14"/>
        <v>127500</v>
      </c>
      <c r="G193" s="62">
        <f t="shared" si="16"/>
        <v>32569506.062253091</v>
      </c>
      <c r="H193" s="67">
        <f t="shared" si="15"/>
        <v>829.43560755241208</v>
      </c>
    </row>
    <row r="194" spans="3:8" x14ac:dyDescent="0.15">
      <c r="C194">
        <f t="shared" si="18"/>
        <v>16</v>
      </c>
      <c r="D194">
        <f t="shared" si="19"/>
        <v>1</v>
      </c>
      <c r="E194" s="65">
        <f t="shared" si="17"/>
        <v>1500000</v>
      </c>
      <c r="F194" s="62">
        <f t="shared" si="14"/>
        <v>127500</v>
      </c>
      <c r="G194" s="62">
        <f t="shared" si="16"/>
        <v>32817161.327496801</v>
      </c>
      <c r="H194" s="67">
        <f t="shared" si="15"/>
        <v>835.7425529202153</v>
      </c>
    </row>
    <row r="195" spans="3:8" x14ac:dyDescent="0.15">
      <c r="C195">
        <f t="shared" si="18"/>
        <v>16</v>
      </c>
      <c r="D195">
        <f t="shared" si="19"/>
        <v>2</v>
      </c>
      <c r="E195" s="65">
        <f t="shared" si="17"/>
        <v>1500000</v>
      </c>
      <c r="F195" s="62">
        <f t="shared" si="14"/>
        <v>127500</v>
      </c>
      <c r="G195" s="62">
        <f t="shared" si="16"/>
        <v>33065726.678637296</v>
      </c>
      <c r="H195" s="67">
        <f t="shared" si="15"/>
        <v>842.07267511014436</v>
      </c>
    </row>
    <row r="196" spans="3:8" x14ac:dyDescent="0.15">
      <c r="C196">
        <f t="shared" si="18"/>
        <v>16</v>
      </c>
      <c r="D196">
        <f t="shared" si="19"/>
        <v>3</v>
      </c>
      <c r="E196" s="65">
        <f t="shared" si="17"/>
        <v>1500000</v>
      </c>
      <c r="F196" s="62">
        <f t="shared" si="14"/>
        <v>127500</v>
      </c>
      <c r="G196" s="62">
        <f t="shared" si="16"/>
        <v>33315205.460066784</v>
      </c>
      <c r="H196" s="67">
        <f t="shared" si="15"/>
        <v>848.42605929260276</v>
      </c>
    </row>
    <row r="197" spans="3:8" x14ac:dyDescent="0.15">
      <c r="C197">
        <f t="shared" si="18"/>
        <v>16</v>
      </c>
      <c r="D197">
        <f t="shared" si="19"/>
        <v>4</v>
      </c>
      <c r="E197" s="65">
        <f t="shared" si="17"/>
        <v>1500000</v>
      </c>
      <c r="F197" s="62">
        <f t="shared" si="14"/>
        <v>127500</v>
      </c>
      <c r="G197" s="62">
        <f t="shared" si="16"/>
        <v>33565601.028467476</v>
      </c>
      <c r="H197" s="67">
        <f t="shared" si="15"/>
        <v>854.80279095097944</v>
      </c>
    </row>
    <row r="198" spans="3:8" x14ac:dyDescent="0.15">
      <c r="C198">
        <f t="shared" si="18"/>
        <v>16</v>
      </c>
      <c r="D198">
        <f t="shared" si="19"/>
        <v>5</v>
      </c>
      <c r="E198" s="65">
        <f t="shared" si="17"/>
        <v>1500000</v>
      </c>
      <c r="F198" s="62">
        <f t="shared" si="14"/>
        <v>127500</v>
      </c>
      <c r="G198" s="62">
        <f t="shared" si="16"/>
        <v>33816916.752856754</v>
      </c>
      <c r="H198" s="67">
        <f t="shared" si="15"/>
        <v>861.20295588279828</v>
      </c>
    </row>
    <row r="199" spans="3:8" x14ac:dyDescent="0.15">
      <c r="C199">
        <f t="shared" si="18"/>
        <v>16</v>
      </c>
      <c r="D199">
        <f t="shared" si="19"/>
        <v>6</v>
      </c>
      <c r="E199" s="65">
        <f t="shared" si="17"/>
        <v>1500000</v>
      </c>
      <c r="F199" s="62">
        <f t="shared" si="14"/>
        <v>127500</v>
      </c>
      <c r="G199" s="62">
        <f t="shared" si="16"/>
        <v>34069156.014632501</v>
      </c>
      <c r="H199" s="67">
        <f t="shared" si="15"/>
        <v>867.62664020087323</v>
      </c>
    </row>
    <row r="200" spans="3:8" x14ac:dyDescent="0.15">
      <c r="C200">
        <f t="shared" si="18"/>
        <v>16</v>
      </c>
      <c r="D200">
        <f t="shared" si="19"/>
        <v>7</v>
      </c>
      <c r="E200" s="65">
        <f t="shared" si="17"/>
        <v>1500000</v>
      </c>
      <c r="F200" s="62">
        <f t="shared" si="14"/>
        <v>127500</v>
      </c>
      <c r="G200" s="62">
        <f t="shared" si="16"/>
        <v>34322322.207618579</v>
      </c>
      <c r="H200" s="67">
        <f t="shared" si="15"/>
        <v>874.07393033446544</v>
      </c>
    </row>
    <row r="201" spans="3:8" x14ac:dyDescent="0.15">
      <c r="C201">
        <f t="shared" si="18"/>
        <v>16</v>
      </c>
      <c r="D201">
        <f t="shared" si="19"/>
        <v>8</v>
      </c>
      <c r="E201" s="65">
        <f t="shared" si="17"/>
        <v>1500000</v>
      </c>
      <c r="F201" s="62">
        <f t="shared" si="14"/>
        <v>127500</v>
      </c>
      <c r="G201" s="62">
        <f t="shared" si="16"/>
        <v>34576418.738110512</v>
      </c>
      <c r="H201" s="67">
        <f t="shared" si="15"/>
        <v>880.54491303044801</v>
      </c>
    </row>
    <row r="202" spans="3:8" x14ac:dyDescent="0.15">
      <c r="C202">
        <f t="shared" si="18"/>
        <v>16</v>
      </c>
      <c r="D202">
        <f t="shared" si="19"/>
        <v>9</v>
      </c>
      <c r="E202" s="65">
        <f t="shared" si="17"/>
        <v>1500000</v>
      </c>
      <c r="F202" s="62">
        <f t="shared" si="14"/>
        <v>127500</v>
      </c>
      <c r="G202" s="62">
        <f t="shared" si="16"/>
        <v>34831449.02492132</v>
      </c>
      <c r="H202" s="67">
        <f t="shared" si="15"/>
        <v>887.0396753544718</v>
      </c>
    </row>
    <row r="203" spans="3:8" x14ac:dyDescent="0.15">
      <c r="C203">
        <f t="shared" si="18"/>
        <v>16</v>
      </c>
      <c r="D203">
        <f t="shared" si="19"/>
        <v>10</v>
      </c>
      <c r="E203" s="65">
        <f t="shared" si="17"/>
        <v>1500000</v>
      </c>
      <c r="F203" s="62">
        <f t="shared" si="14"/>
        <v>127500</v>
      </c>
      <c r="G203" s="62">
        <f t="shared" si="16"/>
        <v>35087416.499427497</v>
      </c>
      <c r="H203" s="67">
        <f t="shared" si="15"/>
        <v>893.55830469213765</v>
      </c>
    </row>
    <row r="204" spans="3:8" x14ac:dyDescent="0.15">
      <c r="C204">
        <f t="shared" si="18"/>
        <v>16</v>
      </c>
      <c r="D204">
        <f t="shared" si="19"/>
        <v>11</v>
      </c>
      <c r="E204" s="65">
        <f t="shared" si="17"/>
        <v>1500000</v>
      </c>
      <c r="F204" s="62">
        <f t="shared" si="14"/>
        <v>127500</v>
      </c>
      <c r="G204" s="62">
        <f t="shared" si="16"/>
        <v>35344324.605615191</v>
      </c>
      <c r="H204" s="67">
        <f t="shared" si="15"/>
        <v>900.10088875017141</v>
      </c>
    </row>
    <row r="205" spans="3:8" x14ac:dyDescent="0.15">
      <c r="C205">
        <f t="shared" si="18"/>
        <v>16</v>
      </c>
      <c r="D205">
        <f t="shared" si="19"/>
        <v>12</v>
      </c>
      <c r="E205" s="65">
        <f t="shared" si="17"/>
        <v>1500000</v>
      </c>
      <c r="F205" s="62">
        <f t="shared" si="14"/>
        <v>127500</v>
      </c>
      <c r="G205" s="62">
        <f t="shared" si="16"/>
        <v>35602176.800126553</v>
      </c>
      <c r="H205" s="67">
        <f t="shared" si="15"/>
        <v>906.6675155576047</v>
      </c>
    </row>
    <row r="206" spans="3:8" x14ac:dyDescent="0.15">
      <c r="C206">
        <f t="shared" si="18"/>
        <v>17</v>
      </c>
      <c r="D206">
        <f t="shared" si="19"/>
        <v>1</v>
      </c>
      <c r="E206" s="65">
        <f t="shared" si="17"/>
        <v>1500000</v>
      </c>
      <c r="F206" s="62">
        <f t="shared" si="14"/>
        <v>127500</v>
      </c>
      <c r="G206" s="62">
        <f t="shared" si="16"/>
        <v>35860976.552306227</v>
      </c>
      <c r="H206" s="67">
        <f t="shared" si="15"/>
        <v>913.25827346695917</v>
      </c>
    </row>
    <row r="207" spans="3:8" x14ac:dyDescent="0.15">
      <c r="C207">
        <f t="shared" si="18"/>
        <v>17</v>
      </c>
      <c r="D207">
        <f t="shared" si="19"/>
        <v>2</v>
      </c>
      <c r="E207" s="65">
        <f t="shared" si="17"/>
        <v>1500000</v>
      </c>
      <c r="F207" s="62">
        <f t="shared" ref="F207:F270" si="20">IF(E207/$D$3&lt;$D$2*(1+$D$11)^(C207-1),0.1*E207,0.1*$D$2*$D$3*(1+$D$11)^(C207-1))*(1-$D$9)</f>
        <v>127500</v>
      </c>
      <c r="G207" s="62">
        <f t="shared" si="16"/>
        <v>36120727.344248042</v>
      </c>
      <c r="H207" s="67">
        <f t="shared" ref="H207:H270" si="21">G207/$D$3</f>
        <v>919.8732511554349</v>
      </c>
    </row>
    <row r="208" spans="3:8" x14ac:dyDescent="0.15">
      <c r="C208">
        <f t="shared" si="18"/>
        <v>17</v>
      </c>
      <c r="D208">
        <f t="shared" si="19"/>
        <v>3</v>
      </c>
      <c r="E208" s="65">
        <f t="shared" si="17"/>
        <v>1500000</v>
      </c>
      <c r="F208" s="62">
        <f t="shared" si="20"/>
        <v>127500</v>
      </c>
      <c r="G208" s="62">
        <f t="shared" ref="G208:G271" si="22">(F208+G207)*(1+$D$5)</f>
        <v>36381432.670841858</v>
      </c>
      <c r="H208" s="67">
        <f t="shared" si="21"/>
        <v>926.51253762610395</v>
      </c>
    </row>
    <row r="209" spans="3:8" x14ac:dyDescent="0.15">
      <c r="C209">
        <f t="shared" si="18"/>
        <v>17</v>
      </c>
      <c r="D209">
        <f t="shared" si="19"/>
        <v>4</v>
      </c>
      <c r="E209" s="65">
        <f t="shared" ref="E209:E272" si="23">E208</f>
        <v>1500000</v>
      </c>
      <c r="F209" s="62">
        <f t="shared" si="20"/>
        <v>127500</v>
      </c>
      <c r="G209" s="62">
        <f t="shared" si="22"/>
        <v>36643096.039820582</v>
      </c>
      <c r="H209" s="67">
        <f t="shared" si="21"/>
        <v>933.17622220910755</v>
      </c>
    </row>
    <row r="210" spans="3:8" x14ac:dyDescent="0.15">
      <c r="C210">
        <f t="shared" si="18"/>
        <v>17</v>
      </c>
      <c r="D210">
        <f t="shared" si="19"/>
        <v>5</v>
      </c>
      <c r="E210" s="65">
        <f t="shared" si="23"/>
        <v>1500000</v>
      </c>
      <c r="F210" s="62">
        <f t="shared" si="20"/>
        <v>127500</v>
      </c>
      <c r="G210" s="62">
        <f t="shared" si="22"/>
        <v>36905720.971807383</v>
      </c>
      <c r="H210" s="67">
        <f t="shared" si="21"/>
        <v>939.86439456285848</v>
      </c>
    </row>
    <row r="211" spans="3:8" x14ac:dyDescent="0.15">
      <c r="C211">
        <f t="shared" si="18"/>
        <v>17</v>
      </c>
      <c r="D211">
        <f t="shared" si="19"/>
        <v>6</v>
      </c>
      <c r="E211" s="65">
        <f t="shared" si="23"/>
        <v>1500000</v>
      </c>
      <c r="F211" s="62">
        <f t="shared" si="20"/>
        <v>127500</v>
      </c>
      <c r="G211" s="62">
        <f t="shared" si="22"/>
        <v>37169311.000363037</v>
      </c>
      <c r="H211" s="67">
        <f t="shared" si="21"/>
        <v>946.5771446752467</v>
      </c>
    </row>
    <row r="212" spans="3:8" x14ac:dyDescent="0.15">
      <c r="C212">
        <f t="shared" si="18"/>
        <v>17</v>
      </c>
      <c r="D212">
        <f t="shared" si="19"/>
        <v>7</v>
      </c>
      <c r="E212" s="65">
        <f t="shared" si="23"/>
        <v>1500000</v>
      </c>
      <c r="F212" s="62">
        <f t="shared" si="20"/>
        <v>127500</v>
      </c>
      <c r="G212" s="62">
        <f t="shared" si="22"/>
        <v>37433869.672033489</v>
      </c>
      <c r="H212" s="67">
        <f t="shared" si="21"/>
        <v>953.31456286485059</v>
      </c>
    </row>
    <row r="213" spans="3:8" x14ac:dyDescent="0.15">
      <c r="C213">
        <f t="shared" si="18"/>
        <v>17</v>
      </c>
      <c r="D213">
        <f t="shared" si="19"/>
        <v>8</v>
      </c>
      <c r="E213" s="65">
        <f t="shared" si="23"/>
        <v>1500000</v>
      </c>
      <c r="F213" s="62">
        <f t="shared" si="20"/>
        <v>127500</v>
      </c>
      <c r="G213" s="62">
        <f t="shared" si="22"/>
        <v>37699400.546397559</v>
      </c>
      <c r="H213" s="67">
        <f t="shared" si="21"/>
        <v>960.07673978215234</v>
      </c>
    </row>
    <row r="214" spans="3:8" x14ac:dyDescent="0.15">
      <c r="C214">
        <f t="shared" si="18"/>
        <v>17</v>
      </c>
      <c r="D214">
        <f t="shared" si="19"/>
        <v>9</v>
      </c>
      <c r="E214" s="65">
        <f t="shared" si="23"/>
        <v>1500000</v>
      </c>
      <c r="F214" s="62">
        <f t="shared" si="20"/>
        <v>127500</v>
      </c>
      <c r="G214" s="62">
        <f t="shared" si="22"/>
        <v>37965907.196114853</v>
      </c>
      <c r="H214" s="67">
        <f t="shared" si="21"/>
        <v>966.86376641075719</v>
      </c>
    </row>
    <row r="215" spans="3:8" x14ac:dyDescent="0.15">
      <c r="C215">
        <f t="shared" si="18"/>
        <v>17</v>
      </c>
      <c r="D215">
        <f t="shared" si="19"/>
        <v>10</v>
      </c>
      <c r="E215" s="65">
        <f t="shared" si="23"/>
        <v>1500000</v>
      </c>
      <c r="F215" s="62">
        <f t="shared" si="20"/>
        <v>127500</v>
      </c>
      <c r="G215" s="62">
        <f t="shared" si="22"/>
        <v>38233393.206973806</v>
      </c>
      <c r="H215" s="67">
        <f t="shared" si="21"/>
        <v>973.675734068618</v>
      </c>
    </row>
    <row r="216" spans="3:8" x14ac:dyDescent="0.15">
      <c r="C216">
        <f t="shared" si="18"/>
        <v>17</v>
      </c>
      <c r="D216">
        <f t="shared" si="19"/>
        <v>11</v>
      </c>
      <c r="E216" s="65">
        <f t="shared" si="23"/>
        <v>1500000</v>
      </c>
      <c r="F216" s="62">
        <f t="shared" si="20"/>
        <v>127500</v>
      </c>
      <c r="G216" s="62">
        <f t="shared" si="22"/>
        <v>38501862.177939944</v>
      </c>
      <c r="H216" s="67">
        <f t="shared" si="21"/>
        <v>980.51273440926309</v>
      </c>
    </row>
    <row r="217" spans="3:8" x14ac:dyDescent="0.15">
      <c r="C217">
        <f t="shared" si="18"/>
        <v>17</v>
      </c>
      <c r="D217">
        <f t="shared" si="19"/>
        <v>12</v>
      </c>
      <c r="E217" s="65">
        <f t="shared" si="23"/>
        <v>1500000</v>
      </c>
      <c r="F217" s="62">
        <f t="shared" si="20"/>
        <v>127500</v>
      </c>
      <c r="G217" s="62">
        <f t="shared" si="22"/>
        <v>38771317.721204318</v>
      </c>
      <c r="H217" s="67">
        <f t="shared" si="21"/>
        <v>987.37485942303101</v>
      </c>
    </row>
    <row r="218" spans="3:8" x14ac:dyDescent="0.15">
      <c r="C218">
        <f t="shared" si="18"/>
        <v>18</v>
      </c>
      <c r="D218">
        <f t="shared" si="19"/>
        <v>1</v>
      </c>
      <c r="E218" s="65">
        <f t="shared" si="23"/>
        <v>1500000</v>
      </c>
      <c r="F218" s="62">
        <f t="shared" si="20"/>
        <v>127500</v>
      </c>
      <c r="G218" s="62">
        <f t="shared" si="22"/>
        <v>39041763.462232076</v>
      </c>
      <c r="H218" s="67">
        <f t="shared" si="21"/>
        <v>994.26220143830631</v>
      </c>
    </row>
    <row r="219" spans="3:8" x14ac:dyDescent="0.15">
      <c r="C219">
        <f t="shared" si="18"/>
        <v>18</v>
      </c>
      <c r="D219">
        <f t="shared" si="19"/>
        <v>2</v>
      </c>
      <c r="E219" s="65">
        <f t="shared" si="23"/>
        <v>1500000</v>
      </c>
      <c r="F219" s="62">
        <f t="shared" si="20"/>
        <v>127500</v>
      </c>
      <c r="G219" s="62">
        <f t="shared" si="22"/>
        <v>39313203.039811276</v>
      </c>
      <c r="H219" s="67">
        <f t="shared" si="21"/>
        <v>1001.1748531227636</v>
      </c>
    </row>
    <row r="220" spans="3:8" x14ac:dyDescent="0.15">
      <c r="C220">
        <f t="shared" si="18"/>
        <v>18</v>
      </c>
      <c r="D220">
        <f t="shared" si="19"/>
        <v>3</v>
      </c>
      <c r="E220" s="65">
        <f t="shared" si="23"/>
        <v>1500000</v>
      </c>
      <c r="F220" s="62">
        <f t="shared" si="20"/>
        <v>127500</v>
      </c>
      <c r="G220" s="62">
        <f t="shared" si="22"/>
        <v>39585640.106101811</v>
      </c>
      <c r="H220" s="67">
        <f t="shared" si="21"/>
        <v>1008.1129074846127</v>
      </c>
    </row>
    <row r="221" spans="3:8" x14ac:dyDescent="0.15">
      <c r="C221">
        <f t="shared" si="18"/>
        <v>18</v>
      </c>
      <c r="D221">
        <f t="shared" si="19"/>
        <v>4</v>
      </c>
      <c r="E221" s="65">
        <f t="shared" si="23"/>
        <v>1500000</v>
      </c>
      <c r="F221" s="62">
        <f t="shared" si="20"/>
        <v>127500</v>
      </c>
      <c r="G221" s="62">
        <f t="shared" si="22"/>
        <v>39859078.326684579</v>
      </c>
      <c r="H221" s="67">
        <f t="shared" si="21"/>
        <v>1015.0764578738515</v>
      </c>
    </row>
    <row r="222" spans="3:8" x14ac:dyDescent="0.15">
      <c r="C222">
        <f t="shared" si="18"/>
        <v>18</v>
      </c>
      <c r="D222">
        <f t="shared" si="19"/>
        <v>5</v>
      </c>
      <c r="E222" s="65">
        <f t="shared" si="23"/>
        <v>1500000</v>
      </c>
      <c r="F222" s="62">
        <f t="shared" si="20"/>
        <v>127500</v>
      </c>
      <c r="G222" s="62">
        <f t="shared" si="22"/>
        <v>40133521.380610786</v>
      </c>
      <c r="H222" s="67">
        <f t="shared" si="21"/>
        <v>1022.0655979835212</v>
      </c>
    </row>
    <row r="223" spans="3:8" x14ac:dyDescent="0.15">
      <c r="C223">
        <f t="shared" si="18"/>
        <v>18</v>
      </c>
      <c r="D223">
        <f t="shared" si="19"/>
        <v>6</v>
      </c>
      <c r="E223" s="65">
        <f t="shared" si="23"/>
        <v>1500000</v>
      </c>
      <c r="F223" s="62">
        <f t="shared" si="20"/>
        <v>127500</v>
      </c>
      <c r="G223" s="62">
        <f t="shared" si="22"/>
        <v>40408972.960451446</v>
      </c>
      <c r="H223" s="67">
        <f t="shared" si="21"/>
        <v>1029.0804218509668</v>
      </c>
    </row>
    <row r="224" spans="3:8" x14ac:dyDescent="0.15">
      <c r="C224">
        <f t="shared" si="18"/>
        <v>18</v>
      </c>
      <c r="D224">
        <f t="shared" si="19"/>
        <v>7</v>
      </c>
      <c r="E224" s="65">
        <f t="shared" si="23"/>
        <v>1500000</v>
      </c>
      <c r="F224" s="62">
        <f t="shared" si="20"/>
        <v>127500</v>
      </c>
      <c r="G224" s="62">
        <f t="shared" si="22"/>
        <v>40685436.77234707</v>
      </c>
      <c r="H224" s="67">
        <f t="shared" si="21"/>
        <v>1036.1210238591032</v>
      </c>
    </row>
    <row r="225" spans="3:8" x14ac:dyDescent="0.15">
      <c r="C225">
        <f t="shared" ref="C225:C288" si="24">IF(MOD(D224,12)=0,C224+1,C224)</f>
        <v>18</v>
      </c>
      <c r="D225">
        <f t="shared" ref="D225:D288" si="25">IF(MOD(D224,12)=0,1,D224+1)</f>
        <v>8</v>
      </c>
      <c r="E225" s="65">
        <f t="shared" si="23"/>
        <v>1500000</v>
      </c>
      <c r="F225" s="62">
        <f t="shared" si="20"/>
        <v>127500</v>
      </c>
      <c r="G225" s="62">
        <f t="shared" si="22"/>
        <v>40962916.536057524</v>
      </c>
      <c r="H225" s="67">
        <f t="shared" si="21"/>
        <v>1043.1874987376834</v>
      </c>
    </row>
    <row r="226" spans="3:8" x14ac:dyDescent="0.15">
      <c r="C226">
        <f t="shared" si="24"/>
        <v>18</v>
      </c>
      <c r="D226">
        <f t="shared" si="25"/>
        <v>9</v>
      </c>
      <c r="E226" s="65">
        <f t="shared" si="23"/>
        <v>1500000</v>
      </c>
      <c r="F226" s="62">
        <f t="shared" si="20"/>
        <v>127500</v>
      </c>
      <c r="G226" s="62">
        <f t="shared" si="22"/>
        <v>41241415.985012092</v>
      </c>
      <c r="H226" s="67">
        <f t="shared" si="21"/>
        <v>1050.2799415645754</v>
      </c>
    </row>
    <row r="227" spans="3:8" x14ac:dyDescent="0.15">
      <c r="C227">
        <f t="shared" si="24"/>
        <v>18</v>
      </c>
      <c r="D227">
        <f t="shared" si="25"/>
        <v>10</v>
      </c>
      <c r="E227" s="65">
        <f t="shared" si="23"/>
        <v>1500000</v>
      </c>
      <c r="F227" s="62">
        <f t="shared" si="20"/>
        <v>127500</v>
      </c>
      <c r="G227" s="62">
        <f t="shared" si="22"/>
        <v>41520938.866359696</v>
      </c>
      <c r="H227" s="67">
        <f t="shared" si="21"/>
        <v>1057.3984477670399</v>
      </c>
    </row>
    <row r="228" spans="3:8" x14ac:dyDescent="0.15">
      <c r="C228">
        <f t="shared" si="24"/>
        <v>18</v>
      </c>
      <c r="D228">
        <f t="shared" si="25"/>
        <v>11</v>
      </c>
      <c r="E228" s="65">
        <f t="shared" si="23"/>
        <v>1500000</v>
      </c>
      <c r="F228" s="62">
        <f t="shared" si="20"/>
        <v>127500</v>
      </c>
      <c r="G228" s="62">
        <f t="shared" si="22"/>
        <v>41801488.941019312</v>
      </c>
      <c r="H228" s="67">
        <f t="shared" si="21"/>
        <v>1064.5431131230141</v>
      </c>
    </row>
    <row r="229" spans="3:8" x14ac:dyDescent="0.15">
      <c r="C229">
        <f t="shared" si="24"/>
        <v>18</v>
      </c>
      <c r="D229">
        <f t="shared" si="25"/>
        <v>12</v>
      </c>
      <c r="E229" s="65">
        <f t="shared" si="23"/>
        <v>1500000</v>
      </c>
      <c r="F229" s="62">
        <f t="shared" si="20"/>
        <v>127500</v>
      </c>
      <c r="G229" s="62">
        <f t="shared" si="22"/>
        <v>42083069.983730584</v>
      </c>
      <c r="H229" s="67">
        <f t="shared" si="21"/>
        <v>1071.7140337624016</v>
      </c>
    </row>
    <row r="230" spans="3:8" x14ac:dyDescent="0.15">
      <c r="C230">
        <f t="shared" si="24"/>
        <v>19</v>
      </c>
      <c r="D230">
        <f t="shared" si="25"/>
        <v>1</v>
      </c>
      <c r="E230" s="65">
        <f t="shared" si="23"/>
        <v>1500000</v>
      </c>
      <c r="F230" s="62">
        <f t="shared" si="20"/>
        <v>127500</v>
      </c>
      <c r="G230" s="62">
        <f t="shared" si="22"/>
        <v>42365685.783104599</v>
      </c>
      <c r="H230" s="67">
        <f t="shared" si="21"/>
        <v>1078.9113061683645</v>
      </c>
    </row>
    <row r="231" spans="3:8" x14ac:dyDescent="0.15">
      <c r="C231">
        <f t="shared" si="24"/>
        <v>19</v>
      </c>
      <c r="D231">
        <f t="shared" si="25"/>
        <v>2</v>
      </c>
      <c r="E231" s="65">
        <f t="shared" si="23"/>
        <v>1500000</v>
      </c>
      <c r="F231" s="62">
        <f t="shared" si="20"/>
        <v>127500</v>
      </c>
      <c r="G231" s="62">
        <f t="shared" si="22"/>
        <v>42649340.141674861</v>
      </c>
      <c r="H231" s="67">
        <f t="shared" si="21"/>
        <v>1086.1350271786223</v>
      </c>
    </row>
    <row r="232" spans="3:8" x14ac:dyDescent="0.15">
      <c r="C232">
        <f t="shared" si="24"/>
        <v>19</v>
      </c>
      <c r="D232">
        <f t="shared" si="25"/>
        <v>3</v>
      </c>
      <c r="E232" s="65">
        <f t="shared" si="23"/>
        <v>1500000</v>
      </c>
      <c r="F232" s="62">
        <f t="shared" si="20"/>
        <v>127500</v>
      </c>
      <c r="G232" s="62">
        <f t="shared" si="22"/>
        <v>42934036.875948474</v>
      </c>
      <c r="H232" s="67">
        <f t="shared" si="21"/>
        <v>1093.3852939867547</v>
      </c>
    </row>
    <row r="233" spans="3:8" x14ac:dyDescent="0.15">
      <c r="C233">
        <f t="shared" si="24"/>
        <v>19</v>
      </c>
      <c r="D233">
        <f t="shared" si="25"/>
        <v>4</v>
      </c>
      <c r="E233" s="65">
        <f t="shared" si="23"/>
        <v>1500000</v>
      </c>
      <c r="F233" s="62">
        <f t="shared" si="20"/>
        <v>127500</v>
      </c>
      <c r="G233" s="62">
        <f t="shared" si="22"/>
        <v>43219779.816457465</v>
      </c>
      <c r="H233" s="67">
        <f t="shared" si="21"/>
        <v>1100.6622041435091</v>
      </c>
    </row>
    <row r="234" spans="3:8" x14ac:dyDescent="0.15">
      <c r="C234">
        <f t="shared" si="24"/>
        <v>19</v>
      </c>
      <c r="D234">
        <f t="shared" si="25"/>
        <v>5</v>
      </c>
      <c r="E234" s="65">
        <f t="shared" si="23"/>
        <v>1500000</v>
      </c>
      <c r="F234" s="62">
        <f t="shared" si="20"/>
        <v>127500</v>
      </c>
      <c r="G234" s="62">
        <f t="shared" si="22"/>
        <v>43506572.807810351</v>
      </c>
      <c r="H234" s="67">
        <f t="shared" si="21"/>
        <v>1107.9658555581141</v>
      </c>
    </row>
    <row r="235" spans="3:8" x14ac:dyDescent="0.15">
      <c r="C235">
        <f t="shared" si="24"/>
        <v>19</v>
      </c>
      <c r="D235">
        <f t="shared" si="25"/>
        <v>6</v>
      </c>
      <c r="E235" s="65">
        <f t="shared" si="23"/>
        <v>1500000</v>
      </c>
      <c r="F235" s="62">
        <f t="shared" si="20"/>
        <v>127500</v>
      </c>
      <c r="G235" s="62">
        <f t="shared" si="22"/>
        <v>43794419.70874384</v>
      </c>
      <c r="H235" s="67">
        <f t="shared" si="21"/>
        <v>1115.2963464995946</v>
      </c>
    </row>
    <row r="236" spans="3:8" x14ac:dyDescent="0.15">
      <c r="C236">
        <f t="shared" si="24"/>
        <v>19</v>
      </c>
      <c r="D236">
        <f t="shared" si="25"/>
        <v>7</v>
      </c>
      <c r="E236" s="65">
        <f t="shared" si="23"/>
        <v>1500000</v>
      </c>
      <c r="F236" s="62">
        <f t="shared" si="20"/>
        <v>127500</v>
      </c>
      <c r="G236" s="62">
        <f t="shared" si="22"/>
        <v>44083324.392174765</v>
      </c>
      <c r="H236" s="67">
        <f t="shared" si="21"/>
        <v>1122.6537755980969</v>
      </c>
    </row>
    <row r="237" spans="3:8" x14ac:dyDescent="0.15">
      <c r="C237">
        <f t="shared" si="24"/>
        <v>19</v>
      </c>
      <c r="D237">
        <f t="shared" si="25"/>
        <v>8</v>
      </c>
      <c r="E237" s="65">
        <f t="shared" si="23"/>
        <v>1500000</v>
      </c>
      <c r="F237" s="62">
        <f t="shared" si="20"/>
        <v>127500</v>
      </c>
      <c r="G237" s="62">
        <f t="shared" si="22"/>
        <v>44373290.745252192</v>
      </c>
      <c r="H237" s="67">
        <f t="shared" si="21"/>
        <v>1130.0382418462134</v>
      </c>
    </row>
    <row r="238" spans="3:8" x14ac:dyDescent="0.15">
      <c r="C238">
        <f t="shared" si="24"/>
        <v>19</v>
      </c>
      <c r="D238">
        <f t="shared" si="25"/>
        <v>9</v>
      </c>
      <c r="E238" s="65">
        <f t="shared" si="23"/>
        <v>1500000</v>
      </c>
      <c r="F238" s="62">
        <f t="shared" si="20"/>
        <v>127500</v>
      </c>
      <c r="G238" s="62">
        <f t="shared" si="22"/>
        <v>44664322.669409715</v>
      </c>
      <c r="H238" s="67">
        <f t="shared" si="21"/>
        <v>1137.4498446003156</v>
      </c>
    </row>
    <row r="239" spans="3:8" x14ac:dyDescent="0.15">
      <c r="C239">
        <f t="shared" si="24"/>
        <v>19</v>
      </c>
      <c r="D239">
        <f t="shared" si="25"/>
        <v>10</v>
      </c>
      <c r="E239" s="65">
        <f t="shared" si="23"/>
        <v>1500000</v>
      </c>
      <c r="F239" s="62">
        <f t="shared" si="20"/>
        <v>127500</v>
      </c>
      <c r="G239" s="62">
        <f t="shared" si="22"/>
        <v>44956424.080417961</v>
      </c>
      <c r="H239" s="67">
        <f t="shared" si="21"/>
        <v>1144.888683581891</v>
      </c>
    </row>
    <row r="240" spans="3:8" x14ac:dyDescent="0.15">
      <c r="C240">
        <f t="shared" si="24"/>
        <v>19</v>
      </c>
      <c r="D240">
        <f t="shared" si="25"/>
        <v>11</v>
      </c>
      <c r="E240" s="65">
        <f t="shared" si="23"/>
        <v>1500000</v>
      </c>
      <c r="F240" s="62">
        <f t="shared" si="20"/>
        <v>127500</v>
      </c>
      <c r="G240" s="62">
        <f t="shared" si="22"/>
        <v>45249598.908437259</v>
      </c>
      <c r="H240" s="67">
        <f t="shared" si="21"/>
        <v>1152.354858878884</v>
      </c>
    </row>
    <row r="241" spans="3:8" x14ac:dyDescent="0.15">
      <c r="C241">
        <f t="shared" si="24"/>
        <v>19</v>
      </c>
      <c r="D241">
        <f t="shared" si="25"/>
        <v>12</v>
      </c>
      <c r="E241" s="65">
        <f t="shared" si="23"/>
        <v>1500000</v>
      </c>
      <c r="F241" s="62">
        <f t="shared" si="20"/>
        <v>127500</v>
      </c>
      <c r="G241" s="62">
        <f t="shared" si="22"/>
        <v>45543851.09807054</v>
      </c>
      <c r="H241" s="67">
        <f t="shared" si="21"/>
        <v>1159.848470947044</v>
      </c>
    </row>
    <row r="242" spans="3:8" x14ac:dyDescent="0.15">
      <c r="C242">
        <f t="shared" si="24"/>
        <v>20</v>
      </c>
      <c r="D242">
        <f t="shared" si="25"/>
        <v>1</v>
      </c>
      <c r="E242" s="65">
        <f t="shared" si="23"/>
        <v>1500000</v>
      </c>
      <c r="F242" s="62">
        <f t="shared" si="20"/>
        <v>127500</v>
      </c>
      <c r="G242" s="62">
        <f t="shared" si="22"/>
        <v>45839184.608416378</v>
      </c>
      <c r="H242" s="67">
        <f t="shared" si="21"/>
        <v>1167.369620611275</v>
      </c>
    </row>
    <row r="243" spans="3:8" x14ac:dyDescent="0.15">
      <c r="C243">
        <f t="shared" si="24"/>
        <v>20</v>
      </c>
      <c r="D243">
        <f t="shared" si="25"/>
        <v>2</v>
      </c>
      <c r="E243" s="65">
        <f t="shared" si="23"/>
        <v>1500000</v>
      </c>
      <c r="F243" s="62">
        <f t="shared" si="20"/>
        <v>127500</v>
      </c>
      <c r="G243" s="62">
        <f t="shared" si="22"/>
        <v>46135603.413122304</v>
      </c>
      <c r="H243" s="67">
        <f t="shared" si="21"/>
        <v>1174.9184090669944</v>
      </c>
    </row>
    <row r="244" spans="3:8" x14ac:dyDescent="0.15">
      <c r="C244">
        <f t="shared" si="24"/>
        <v>20</v>
      </c>
      <c r="D244">
        <f t="shared" si="25"/>
        <v>3</v>
      </c>
      <c r="E244" s="65">
        <f t="shared" si="23"/>
        <v>1500000</v>
      </c>
      <c r="F244" s="62">
        <f t="shared" si="20"/>
        <v>127500</v>
      </c>
      <c r="G244" s="62">
        <f t="shared" si="22"/>
        <v>46433111.500438228</v>
      </c>
      <c r="H244" s="67">
        <f t="shared" si="21"/>
        <v>1182.4949378814929</v>
      </c>
    </row>
    <row r="245" spans="3:8" x14ac:dyDescent="0.15">
      <c r="C245">
        <f t="shared" si="24"/>
        <v>20</v>
      </c>
      <c r="D245">
        <f t="shared" si="25"/>
        <v>4</v>
      </c>
      <c r="E245" s="65">
        <f t="shared" si="23"/>
        <v>1500000</v>
      </c>
      <c r="F245" s="62">
        <f t="shared" si="20"/>
        <v>127500</v>
      </c>
      <c r="G245" s="62">
        <f t="shared" si="22"/>
        <v>46731712.873270124</v>
      </c>
      <c r="H245" s="67">
        <f t="shared" si="21"/>
        <v>1190.0993089953013</v>
      </c>
    </row>
    <row r="246" spans="3:8" x14ac:dyDescent="0.15">
      <c r="C246">
        <f t="shared" si="24"/>
        <v>20</v>
      </c>
      <c r="D246">
        <f t="shared" si="25"/>
        <v>5</v>
      </c>
      <c r="E246" s="65">
        <f t="shared" si="23"/>
        <v>1500000</v>
      </c>
      <c r="F246" s="62">
        <f t="shared" si="20"/>
        <v>127500</v>
      </c>
      <c r="G246" s="62">
        <f t="shared" si="22"/>
        <v>47031411.549233891</v>
      </c>
      <c r="H246" s="67">
        <f t="shared" si="21"/>
        <v>1197.7316247235633</v>
      </c>
    </row>
    <row r="247" spans="3:8" x14ac:dyDescent="0.15">
      <c r="C247">
        <f t="shared" si="24"/>
        <v>20</v>
      </c>
      <c r="D247">
        <f t="shared" si="25"/>
        <v>6</v>
      </c>
      <c r="E247" s="65">
        <f t="shared" si="23"/>
        <v>1500000</v>
      </c>
      <c r="F247" s="62">
        <f t="shared" si="20"/>
        <v>127500</v>
      </c>
      <c r="G247" s="62">
        <f t="shared" si="22"/>
        <v>47332211.560709387</v>
      </c>
      <c r="H247" s="67">
        <f t="shared" si="21"/>
        <v>1205.3919877574106</v>
      </c>
    </row>
    <row r="248" spans="3:8" x14ac:dyDescent="0.15">
      <c r="C248">
        <f t="shared" si="24"/>
        <v>20</v>
      </c>
      <c r="D248">
        <f t="shared" si="25"/>
        <v>7</v>
      </c>
      <c r="E248" s="65">
        <f t="shared" si="23"/>
        <v>1500000</v>
      </c>
      <c r="F248" s="62">
        <f t="shared" si="20"/>
        <v>127500</v>
      </c>
      <c r="G248" s="62">
        <f t="shared" si="22"/>
        <v>47634116.954894707</v>
      </c>
      <c r="H248" s="67">
        <f t="shared" si="21"/>
        <v>1213.0805011653456</v>
      </c>
    </row>
    <row r="249" spans="3:8" x14ac:dyDescent="0.15">
      <c r="C249">
        <f t="shared" si="24"/>
        <v>20</v>
      </c>
      <c r="D249">
        <f t="shared" si="25"/>
        <v>8</v>
      </c>
      <c r="E249" s="65">
        <f t="shared" si="23"/>
        <v>1500000</v>
      </c>
      <c r="F249" s="62">
        <f t="shared" si="20"/>
        <v>127500</v>
      </c>
      <c r="G249" s="62">
        <f t="shared" si="22"/>
        <v>47937131.793860614</v>
      </c>
      <c r="H249" s="67">
        <f t="shared" si="21"/>
        <v>1220.7972683946273</v>
      </c>
    </row>
    <row r="250" spans="3:8" x14ac:dyDescent="0.15">
      <c r="C250">
        <f t="shared" si="24"/>
        <v>20</v>
      </c>
      <c r="D250">
        <f t="shared" si="25"/>
        <v>9</v>
      </c>
      <c r="E250" s="65">
        <f t="shared" si="23"/>
        <v>1500000</v>
      </c>
      <c r="F250" s="62">
        <f t="shared" si="20"/>
        <v>127500</v>
      </c>
      <c r="G250" s="62">
        <f t="shared" si="22"/>
        <v>48241260.154605232</v>
      </c>
      <c r="H250" s="67">
        <f t="shared" si="21"/>
        <v>1228.5423932726642</v>
      </c>
    </row>
    <row r="251" spans="3:8" x14ac:dyDescent="0.15">
      <c r="C251">
        <f t="shared" si="24"/>
        <v>20</v>
      </c>
      <c r="D251">
        <f t="shared" si="25"/>
        <v>10</v>
      </c>
      <c r="E251" s="65">
        <f t="shared" si="23"/>
        <v>1500000</v>
      </c>
      <c r="F251" s="62">
        <f t="shared" si="20"/>
        <v>127500</v>
      </c>
      <c r="G251" s="62">
        <f t="shared" si="22"/>
        <v>48546506.129108854</v>
      </c>
      <c r="H251" s="67">
        <f t="shared" si="21"/>
        <v>1236.3159800084104</v>
      </c>
    </row>
    <row r="252" spans="3:8" x14ac:dyDescent="0.15">
      <c r="C252">
        <f t="shared" si="24"/>
        <v>20</v>
      </c>
      <c r="D252">
        <f t="shared" si="25"/>
        <v>11</v>
      </c>
      <c r="E252" s="65">
        <f t="shared" si="23"/>
        <v>1500000</v>
      </c>
      <c r="F252" s="62">
        <f t="shared" si="20"/>
        <v>127500</v>
      </c>
      <c r="G252" s="62">
        <f t="shared" si="22"/>
        <v>48852873.824389026</v>
      </c>
      <c r="H252" s="67">
        <f t="shared" si="21"/>
        <v>1244.1181331937685</v>
      </c>
    </row>
    <row r="253" spans="3:8" x14ac:dyDescent="0.15">
      <c r="C253">
        <f t="shared" si="24"/>
        <v>20</v>
      </c>
      <c r="D253">
        <f t="shared" si="25"/>
        <v>12</v>
      </c>
      <c r="E253" s="65">
        <f t="shared" si="23"/>
        <v>1500000</v>
      </c>
      <c r="F253" s="62">
        <f t="shared" si="20"/>
        <v>127500</v>
      </c>
      <c r="G253" s="62">
        <f t="shared" si="22"/>
        <v>49160367.362555802</v>
      </c>
      <c r="H253" s="67">
        <f t="shared" si="21"/>
        <v>1251.9489578049954</v>
      </c>
    </row>
    <row r="254" spans="3:8" x14ac:dyDescent="0.15">
      <c r="C254">
        <f t="shared" si="24"/>
        <v>21</v>
      </c>
      <c r="D254">
        <f t="shared" si="25"/>
        <v>1</v>
      </c>
      <c r="E254" s="65">
        <f t="shared" si="23"/>
        <v>1500000</v>
      </c>
      <c r="F254" s="62">
        <f t="shared" si="20"/>
        <v>127500</v>
      </c>
      <c r="G254" s="62">
        <f t="shared" si="22"/>
        <v>49468990.880867206</v>
      </c>
      <c r="H254" s="67">
        <f t="shared" si="21"/>
        <v>1259.808559204117</v>
      </c>
    </row>
    <row r="255" spans="3:8" x14ac:dyDescent="0.15">
      <c r="C255">
        <f t="shared" si="24"/>
        <v>21</v>
      </c>
      <c r="D255">
        <f t="shared" si="25"/>
        <v>2</v>
      </c>
      <c r="E255" s="65">
        <f t="shared" si="23"/>
        <v>1500000</v>
      </c>
      <c r="F255" s="62">
        <f t="shared" si="20"/>
        <v>127500</v>
      </c>
      <c r="G255" s="62">
        <f t="shared" si="22"/>
        <v>49778748.5317849</v>
      </c>
      <c r="H255" s="67">
        <f t="shared" si="21"/>
        <v>1267.6970431403438</v>
      </c>
    </row>
    <row r="256" spans="3:8" x14ac:dyDescent="0.15">
      <c r="C256">
        <f t="shared" si="24"/>
        <v>21</v>
      </c>
      <c r="D256">
        <f t="shared" si="25"/>
        <v>3</v>
      </c>
      <c r="E256" s="65">
        <f t="shared" si="23"/>
        <v>1500000</v>
      </c>
      <c r="F256" s="62">
        <f t="shared" si="20"/>
        <v>127500</v>
      </c>
      <c r="G256" s="62">
        <f t="shared" si="22"/>
        <v>50089644.483030044</v>
      </c>
      <c r="H256" s="67">
        <f t="shared" si="21"/>
        <v>1275.6145157514948</v>
      </c>
    </row>
    <row r="257" spans="3:8" x14ac:dyDescent="0.15">
      <c r="C257">
        <f t="shared" si="24"/>
        <v>21</v>
      </c>
      <c r="D257">
        <f t="shared" si="25"/>
        <v>4</v>
      </c>
      <c r="E257" s="65">
        <f t="shared" si="23"/>
        <v>1500000</v>
      </c>
      <c r="F257" s="62">
        <f t="shared" si="20"/>
        <v>127500</v>
      </c>
      <c r="G257" s="62">
        <f t="shared" si="22"/>
        <v>50401682.917639375</v>
      </c>
      <c r="H257" s="67">
        <f t="shared" si="21"/>
        <v>1283.5610835654245</v>
      </c>
    </row>
    <row r="258" spans="3:8" x14ac:dyDescent="0.15">
      <c r="C258">
        <f t="shared" si="24"/>
        <v>21</v>
      </c>
      <c r="D258">
        <f t="shared" si="25"/>
        <v>5</v>
      </c>
      <c r="E258" s="65">
        <f t="shared" si="23"/>
        <v>1500000</v>
      </c>
      <c r="F258" s="62">
        <f t="shared" si="20"/>
        <v>127500</v>
      </c>
      <c r="G258" s="62">
        <f t="shared" si="22"/>
        <v>50714868.034021512</v>
      </c>
      <c r="H258" s="67">
        <f t="shared" si="21"/>
        <v>1291.5368535014584</v>
      </c>
    </row>
    <row r="259" spans="3:8" x14ac:dyDescent="0.15">
      <c r="C259">
        <f t="shared" si="24"/>
        <v>21</v>
      </c>
      <c r="D259">
        <f t="shared" si="25"/>
        <v>6</v>
      </c>
      <c r="E259" s="65">
        <f t="shared" si="23"/>
        <v>1500000</v>
      </c>
      <c r="F259" s="62">
        <f t="shared" si="20"/>
        <v>127500</v>
      </c>
      <c r="G259" s="62">
        <f t="shared" si="22"/>
        <v>51029204.046013407</v>
      </c>
      <c r="H259" s="67">
        <f t="shared" si="21"/>
        <v>1299.541932871829</v>
      </c>
    </row>
    <row r="260" spans="3:8" x14ac:dyDescent="0.15">
      <c r="C260">
        <f t="shared" si="24"/>
        <v>21</v>
      </c>
      <c r="D260">
        <f t="shared" si="25"/>
        <v>7</v>
      </c>
      <c r="E260" s="65">
        <f t="shared" si="23"/>
        <v>1500000</v>
      </c>
      <c r="F260" s="62">
        <f t="shared" si="20"/>
        <v>127500</v>
      </c>
      <c r="G260" s="62">
        <f t="shared" si="22"/>
        <v>51344695.182937063</v>
      </c>
      <c r="H260" s="67">
        <f t="shared" si="21"/>
        <v>1307.576429383121</v>
      </c>
    </row>
    <row r="261" spans="3:8" x14ac:dyDescent="0.15">
      <c r="C261">
        <f t="shared" si="24"/>
        <v>21</v>
      </c>
      <c r="D261">
        <f t="shared" si="25"/>
        <v>8</v>
      </c>
      <c r="E261" s="65">
        <f t="shared" si="23"/>
        <v>1500000</v>
      </c>
      <c r="F261" s="62">
        <f t="shared" si="20"/>
        <v>127500</v>
      </c>
      <c r="G261" s="62">
        <f t="shared" si="22"/>
        <v>51661345.689656444</v>
      </c>
      <c r="H261" s="67">
        <f t="shared" si="21"/>
        <v>1315.6404511377204</v>
      </c>
    </row>
    <row r="262" spans="3:8" x14ac:dyDescent="0.15">
      <c r="C262">
        <f t="shared" si="24"/>
        <v>21</v>
      </c>
      <c r="D262">
        <f t="shared" si="25"/>
        <v>9</v>
      </c>
      <c r="E262" s="65">
        <f t="shared" si="23"/>
        <v>1500000</v>
      </c>
      <c r="F262" s="62">
        <f t="shared" si="20"/>
        <v>127500</v>
      </c>
      <c r="G262" s="62">
        <f t="shared" si="22"/>
        <v>51979159.826634564</v>
      </c>
      <c r="H262" s="67">
        <f t="shared" si="21"/>
        <v>1323.7341066352687</v>
      </c>
    </row>
    <row r="263" spans="3:8" x14ac:dyDescent="0.15">
      <c r="C263">
        <f t="shared" si="24"/>
        <v>21</v>
      </c>
      <c r="D263">
        <f t="shared" si="25"/>
        <v>10</v>
      </c>
      <c r="E263" s="65">
        <f t="shared" si="23"/>
        <v>1500000</v>
      </c>
      <c r="F263" s="62">
        <f t="shared" si="20"/>
        <v>127500</v>
      </c>
      <c r="G263" s="62">
        <f t="shared" si="22"/>
        <v>52298141.869990848</v>
      </c>
      <c r="H263" s="67">
        <f t="shared" si="21"/>
        <v>1331.8575047741238</v>
      </c>
    </row>
    <row r="264" spans="3:8" x14ac:dyDescent="0.15">
      <c r="C264">
        <f t="shared" si="24"/>
        <v>21</v>
      </c>
      <c r="D264">
        <f t="shared" si="25"/>
        <v>11</v>
      </c>
      <c r="E264" s="65">
        <f t="shared" si="23"/>
        <v>1500000</v>
      </c>
      <c r="F264" s="62">
        <f t="shared" si="20"/>
        <v>127500</v>
      </c>
      <c r="G264" s="62">
        <f t="shared" si="22"/>
        <v>52618296.111558624</v>
      </c>
      <c r="H264" s="67">
        <f t="shared" si="21"/>
        <v>1340.0107548528226</v>
      </c>
    </row>
    <row r="265" spans="3:8" x14ac:dyDescent="0.15">
      <c r="C265">
        <f t="shared" si="24"/>
        <v>21</v>
      </c>
      <c r="D265">
        <f t="shared" si="25"/>
        <v>12</v>
      </c>
      <c r="E265" s="65">
        <f t="shared" si="23"/>
        <v>1500000</v>
      </c>
      <c r="F265" s="62">
        <f t="shared" si="20"/>
        <v>127500</v>
      </c>
      <c r="G265" s="62">
        <f t="shared" si="22"/>
        <v>52939626.858942904</v>
      </c>
      <c r="H265" s="67">
        <f t="shared" si="21"/>
        <v>1348.1939665715549</v>
      </c>
    </row>
    <row r="266" spans="3:8" x14ac:dyDescent="0.15">
      <c r="C266">
        <f t="shared" si="24"/>
        <v>22</v>
      </c>
      <c r="D266">
        <f t="shared" si="25"/>
        <v>1</v>
      </c>
      <c r="E266" s="65">
        <f t="shared" si="23"/>
        <v>1500000</v>
      </c>
      <c r="F266" s="62">
        <f t="shared" si="20"/>
        <v>127500</v>
      </c>
      <c r="G266" s="62">
        <f t="shared" si="22"/>
        <v>53262138.435578324</v>
      </c>
      <c r="H266" s="67">
        <f t="shared" si="21"/>
        <v>1356.407250033637</v>
      </c>
    </row>
    <row r="267" spans="3:8" x14ac:dyDescent="0.15">
      <c r="C267">
        <f t="shared" si="24"/>
        <v>22</v>
      </c>
      <c r="D267">
        <f t="shared" si="25"/>
        <v>2</v>
      </c>
      <c r="E267" s="65">
        <f t="shared" si="23"/>
        <v>1500000</v>
      </c>
      <c r="F267" s="62">
        <f t="shared" si="20"/>
        <v>127500</v>
      </c>
      <c r="G267" s="62">
        <f t="shared" si="22"/>
        <v>53585835.18078731</v>
      </c>
      <c r="H267" s="67">
        <f t="shared" si="21"/>
        <v>1364.6507157469939</v>
      </c>
    </row>
    <row r="268" spans="3:8" x14ac:dyDescent="0.15">
      <c r="C268">
        <f t="shared" si="24"/>
        <v>22</v>
      </c>
      <c r="D268">
        <f t="shared" si="25"/>
        <v>3</v>
      </c>
      <c r="E268" s="65">
        <f t="shared" si="23"/>
        <v>1500000</v>
      </c>
      <c r="F268" s="62">
        <f t="shared" si="20"/>
        <v>127500</v>
      </c>
      <c r="G268" s="62">
        <f t="shared" si="22"/>
        <v>53910721.449838482</v>
      </c>
      <c r="H268" s="67">
        <f t="shared" si="21"/>
        <v>1372.9244746256463</v>
      </c>
    </row>
    <row r="269" spans="3:8" x14ac:dyDescent="0.15">
      <c r="C269">
        <f t="shared" si="24"/>
        <v>22</v>
      </c>
      <c r="D269">
        <f t="shared" si="25"/>
        <v>4</v>
      </c>
      <c r="E269" s="65">
        <f t="shared" si="23"/>
        <v>1500000</v>
      </c>
      <c r="F269" s="62">
        <f t="shared" si="20"/>
        <v>127500</v>
      </c>
      <c r="G269" s="62">
        <f t="shared" si="22"/>
        <v>54236801.614005238</v>
      </c>
      <c r="H269" s="67">
        <f t="shared" si="21"/>
        <v>1381.2286379912032</v>
      </c>
    </row>
    <row r="270" spans="3:8" x14ac:dyDescent="0.15">
      <c r="C270">
        <f t="shared" si="24"/>
        <v>22</v>
      </c>
      <c r="D270">
        <f t="shared" si="25"/>
        <v>5</v>
      </c>
      <c r="E270" s="65">
        <f t="shared" si="23"/>
        <v>1500000</v>
      </c>
      <c r="F270" s="62">
        <f t="shared" si="20"/>
        <v>127500</v>
      </c>
      <c r="G270" s="62">
        <f t="shared" si="22"/>
        <v>54564080.06062457</v>
      </c>
      <c r="H270" s="67">
        <f t="shared" si="21"/>
        <v>1389.5633175743585</v>
      </c>
    </row>
    <row r="271" spans="3:8" x14ac:dyDescent="0.15">
      <c r="C271">
        <f t="shared" si="24"/>
        <v>22</v>
      </c>
      <c r="D271">
        <f t="shared" si="25"/>
        <v>6</v>
      </c>
      <c r="E271" s="65">
        <f t="shared" si="23"/>
        <v>1500000</v>
      </c>
      <c r="F271" s="62">
        <f t="shared" ref="F271:F334" si="26">IF(E271/$D$3&lt;$D$2*(1+$D$11)^(C271-1),0.1*E271,0.1*$D$2*$D$3*(1+$D$11)^(C271-1))*(1-$D$9)</f>
        <v>127500</v>
      </c>
      <c r="G271" s="62">
        <f t="shared" si="22"/>
        <v>54892561.193156101</v>
      </c>
      <c r="H271" s="67">
        <f t="shared" ref="H271:H334" si="27">G271/$D$3</f>
        <v>1397.9286255163959</v>
      </c>
    </row>
    <row r="272" spans="3:8" x14ac:dyDescent="0.15">
      <c r="C272">
        <f t="shared" si="24"/>
        <v>22</v>
      </c>
      <c r="D272">
        <f t="shared" si="25"/>
        <v>7</v>
      </c>
      <c r="E272" s="65">
        <f t="shared" si="23"/>
        <v>1500000</v>
      </c>
      <c r="F272" s="62">
        <f t="shared" si="26"/>
        <v>127500</v>
      </c>
      <c r="G272" s="62">
        <f t="shared" ref="G272:G335" si="28">(F272+G271)*(1+$D$5)</f>
        <v>55222249.431241319</v>
      </c>
      <c r="H272" s="67">
        <f t="shared" si="27"/>
        <v>1406.3246743706959</v>
      </c>
    </row>
    <row r="273" spans="3:8" x14ac:dyDescent="0.15">
      <c r="C273">
        <f t="shared" si="24"/>
        <v>22</v>
      </c>
      <c r="D273">
        <f t="shared" si="25"/>
        <v>8</v>
      </c>
      <c r="E273" s="65">
        <f t="shared" ref="E273:E336" si="29">E272</f>
        <v>1500000</v>
      </c>
      <c r="F273" s="62">
        <f t="shared" si="26"/>
        <v>127500</v>
      </c>
      <c r="G273" s="62">
        <f t="shared" si="28"/>
        <v>55553149.210763067</v>
      </c>
      <c r="H273" s="67">
        <f t="shared" si="27"/>
        <v>1414.7515771042522</v>
      </c>
    </row>
    <row r="274" spans="3:8" x14ac:dyDescent="0.15">
      <c r="C274">
        <f t="shared" si="24"/>
        <v>22</v>
      </c>
      <c r="D274">
        <f t="shared" si="25"/>
        <v>9</v>
      </c>
      <c r="E274" s="65">
        <f t="shared" si="29"/>
        <v>1500000</v>
      </c>
      <c r="F274" s="62">
        <f t="shared" si="26"/>
        <v>127500</v>
      </c>
      <c r="G274" s="62">
        <f t="shared" si="28"/>
        <v>55885264.983905204</v>
      </c>
      <c r="H274" s="67">
        <f t="shared" si="27"/>
        <v>1423.2094470991904</v>
      </c>
    </row>
    <row r="275" spans="3:8" x14ac:dyDescent="0.15">
      <c r="C275">
        <f t="shared" si="24"/>
        <v>22</v>
      </c>
      <c r="D275">
        <f t="shared" si="25"/>
        <v>10</v>
      </c>
      <c r="E275" s="65">
        <f t="shared" si="29"/>
        <v>1500000</v>
      </c>
      <c r="F275" s="62">
        <f t="shared" si="26"/>
        <v>127500</v>
      </c>
      <c r="G275" s="62">
        <f t="shared" si="28"/>
        <v>56218601.219212517</v>
      </c>
      <c r="H275" s="67">
        <f t="shared" si="27"/>
        <v>1431.6983981542935</v>
      </c>
    </row>
    <row r="276" spans="3:8" x14ac:dyDescent="0.15">
      <c r="C276">
        <f t="shared" si="24"/>
        <v>22</v>
      </c>
      <c r="D276">
        <f t="shared" si="25"/>
        <v>11</v>
      </c>
      <c r="E276" s="65">
        <f t="shared" si="29"/>
        <v>1500000</v>
      </c>
      <c r="F276" s="62">
        <f t="shared" si="26"/>
        <v>127500</v>
      </c>
      <c r="G276" s="62">
        <f t="shared" si="28"/>
        <v>56553162.401650846</v>
      </c>
      <c r="H276" s="67">
        <f t="shared" si="27"/>
        <v>1440.218544486534</v>
      </c>
    </row>
    <row r="277" spans="3:8" x14ac:dyDescent="0.15">
      <c r="C277">
        <f t="shared" si="24"/>
        <v>22</v>
      </c>
      <c r="D277">
        <f t="shared" si="25"/>
        <v>12</v>
      </c>
      <c r="E277" s="65">
        <f t="shared" si="29"/>
        <v>1500000</v>
      </c>
      <c r="F277" s="62">
        <f t="shared" si="26"/>
        <v>127500</v>
      </c>
      <c r="G277" s="62">
        <f t="shared" si="28"/>
        <v>56888953.032667421</v>
      </c>
      <c r="H277" s="67">
        <f t="shared" si="27"/>
        <v>1448.7700007326093</v>
      </c>
    </row>
    <row r="278" spans="3:8" x14ac:dyDescent="0.15">
      <c r="C278">
        <f t="shared" si="24"/>
        <v>23</v>
      </c>
      <c r="D278">
        <f t="shared" si="25"/>
        <v>1</v>
      </c>
      <c r="E278" s="65">
        <f t="shared" si="29"/>
        <v>1500000</v>
      </c>
      <c r="F278" s="62">
        <f t="shared" si="26"/>
        <v>127500</v>
      </c>
      <c r="G278" s="62">
        <f t="shared" si="28"/>
        <v>57225977.63025143</v>
      </c>
      <c r="H278" s="67">
        <f t="shared" si="27"/>
        <v>1457.352881950485</v>
      </c>
    </row>
    <row r="279" spans="3:8" x14ac:dyDescent="0.15">
      <c r="C279">
        <f t="shared" si="24"/>
        <v>23</v>
      </c>
      <c r="D279">
        <f t="shared" si="25"/>
        <v>2</v>
      </c>
      <c r="E279" s="65">
        <f t="shared" si="29"/>
        <v>1500000</v>
      </c>
      <c r="F279" s="62">
        <f t="shared" si="26"/>
        <v>127500</v>
      </c>
      <c r="G279" s="62">
        <f t="shared" si="28"/>
        <v>57564240.728994824</v>
      </c>
      <c r="H279" s="67">
        <f t="shared" si="27"/>
        <v>1465.9673036209431</v>
      </c>
    </row>
    <row r="280" spans="3:8" x14ac:dyDescent="0.15">
      <c r="C280">
        <f t="shared" si="24"/>
        <v>23</v>
      </c>
      <c r="D280">
        <f t="shared" si="25"/>
        <v>3</v>
      </c>
      <c r="E280" s="65">
        <f t="shared" si="29"/>
        <v>1500000</v>
      </c>
      <c r="F280" s="62">
        <f t="shared" si="26"/>
        <v>127500</v>
      </c>
      <c r="G280" s="62">
        <f t="shared" si="28"/>
        <v>57903746.880153298</v>
      </c>
      <c r="H280" s="67">
        <f t="shared" si="27"/>
        <v>1474.6133816491349</v>
      </c>
    </row>
    <row r="281" spans="3:8" x14ac:dyDescent="0.15">
      <c r="C281">
        <f t="shared" si="24"/>
        <v>23</v>
      </c>
      <c r="D281">
        <f t="shared" si="25"/>
        <v>4</v>
      </c>
      <c r="E281" s="65">
        <f t="shared" si="29"/>
        <v>1500000</v>
      </c>
      <c r="F281" s="62">
        <f t="shared" si="26"/>
        <v>127500</v>
      </c>
      <c r="G281" s="62">
        <f t="shared" si="28"/>
        <v>58244500.65170756</v>
      </c>
      <c r="H281" s="67">
        <f t="shared" si="27"/>
        <v>1483.2912323661419</v>
      </c>
    </row>
    <row r="282" spans="3:8" x14ac:dyDescent="0.15">
      <c r="C282">
        <f t="shared" si="24"/>
        <v>23</v>
      </c>
      <c r="D282">
        <f t="shared" si="25"/>
        <v>5</v>
      </c>
      <c r="E282" s="65">
        <f t="shared" si="29"/>
        <v>1500000</v>
      </c>
      <c r="F282" s="62">
        <f t="shared" si="26"/>
        <v>127500</v>
      </c>
      <c r="G282" s="62">
        <f t="shared" si="28"/>
        <v>58586506.628424764</v>
      </c>
      <c r="H282" s="67">
        <f t="shared" si="27"/>
        <v>1492.0009725305392</v>
      </c>
    </row>
    <row r="283" spans="3:8" x14ac:dyDescent="0.15">
      <c r="C283">
        <f t="shared" si="24"/>
        <v>23</v>
      </c>
      <c r="D283">
        <f t="shared" si="25"/>
        <v>6</v>
      </c>
      <c r="E283" s="65">
        <f t="shared" si="29"/>
        <v>1500000</v>
      </c>
      <c r="F283" s="62">
        <f t="shared" si="26"/>
        <v>127500</v>
      </c>
      <c r="G283" s="62">
        <f t="shared" si="28"/>
        <v>58929769.411920212</v>
      </c>
      <c r="H283" s="67">
        <f t="shared" si="27"/>
        <v>1500.7427193299682</v>
      </c>
    </row>
    <row r="284" spans="3:8" x14ac:dyDescent="0.15">
      <c r="C284">
        <f t="shared" si="24"/>
        <v>23</v>
      </c>
      <c r="D284">
        <f t="shared" si="25"/>
        <v>7</v>
      </c>
      <c r="E284" s="65">
        <f t="shared" si="29"/>
        <v>1500000</v>
      </c>
      <c r="F284" s="62">
        <f t="shared" si="26"/>
        <v>127500</v>
      </c>
      <c r="G284" s="62">
        <f t="shared" si="28"/>
        <v>59274293.620719269</v>
      </c>
      <c r="H284" s="67">
        <f t="shared" si="27"/>
        <v>1509.5165903827117</v>
      </c>
    </row>
    <row r="285" spans="3:8" x14ac:dyDescent="0.15">
      <c r="C285">
        <f t="shared" si="24"/>
        <v>23</v>
      </c>
      <c r="D285">
        <f t="shared" si="25"/>
        <v>8</v>
      </c>
      <c r="E285" s="65">
        <f t="shared" si="29"/>
        <v>1500000</v>
      </c>
      <c r="F285" s="62">
        <f t="shared" si="26"/>
        <v>127500</v>
      </c>
      <c r="G285" s="62">
        <f t="shared" si="28"/>
        <v>59620083.890319496</v>
      </c>
      <c r="H285" s="67">
        <f t="shared" si="27"/>
        <v>1518.322703739278</v>
      </c>
    </row>
    <row r="286" spans="3:8" x14ac:dyDescent="0.15">
      <c r="C286">
        <f t="shared" si="24"/>
        <v>23</v>
      </c>
      <c r="D286">
        <f t="shared" si="25"/>
        <v>9</v>
      </c>
      <c r="E286" s="65">
        <f t="shared" si="29"/>
        <v>1500000</v>
      </c>
      <c r="F286" s="62">
        <f t="shared" si="26"/>
        <v>127500</v>
      </c>
      <c r="G286" s="62">
        <f t="shared" si="28"/>
        <v>59967144.873253033</v>
      </c>
      <c r="H286" s="67">
        <f t="shared" si="27"/>
        <v>1527.1611778839886</v>
      </c>
    </row>
    <row r="287" spans="3:8" x14ac:dyDescent="0.15">
      <c r="C287">
        <f t="shared" si="24"/>
        <v>23</v>
      </c>
      <c r="D287">
        <f t="shared" si="25"/>
        <v>10</v>
      </c>
      <c r="E287" s="65">
        <f t="shared" si="29"/>
        <v>1500000</v>
      </c>
      <c r="F287" s="62">
        <f t="shared" si="26"/>
        <v>127500</v>
      </c>
      <c r="G287" s="62">
        <f t="shared" si="28"/>
        <v>60315481.239149176</v>
      </c>
      <c r="H287" s="67">
        <f t="shared" si="27"/>
        <v>1536.0321317365715</v>
      </c>
    </row>
    <row r="288" spans="3:8" x14ac:dyDescent="0.15">
      <c r="C288">
        <f t="shared" si="24"/>
        <v>23</v>
      </c>
      <c r="D288">
        <f t="shared" si="25"/>
        <v>11</v>
      </c>
      <c r="E288" s="65">
        <f t="shared" si="29"/>
        <v>1500000</v>
      </c>
      <c r="F288" s="62">
        <f t="shared" si="26"/>
        <v>127500</v>
      </c>
      <c r="G288" s="62">
        <f t="shared" si="28"/>
        <v>60665097.674797229</v>
      </c>
      <c r="H288" s="67">
        <f t="shared" si="27"/>
        <v>1544.9356846537628</v>
      </c>
    </row>
    <row r="289" spans="3:8" x14ac:dyDescent="0.15">
      <c r="C289">
        <f t="shared" ref="C289:C352" si="30">IF(MOD(D288,12)=0,C288+1,C288)</f>
        <v>23</v>
      </c>
      <c r="D289">
        <f t="shared" ref="D289:D352" si="31">IF(MOD(D288,12)=0,1,D288+1)</f>
        <v>12</v>
      </c>
      <c r="E289" s="65">
        <f t="shared" si="29"/>
        <v>1500000</v>
      </c>
      <c r="F289" s="62">
        <f t="shared" si="26"/>
        <v>127500</v>
      </c>
      <c r="G289" s="62">
        <f t="shared" si="28"/>
        <v>61015998.884209551</v>
      </c>
      <c r="H289" s="67">
        <f t="shared" si="27"/>
        <v>1553.8719564309115</v>
      </c>
    </row>
    <row r="290" spans="3:8" x14ac:dyDescent="0.15">
      <c r="C290">
        <f t="shared" si="30"/>
        <v>24</v>
      </c>
      <c r="D290">
        <f t="shared" si="31"/>
        <v>1</v>
      </c>
      <c r="E290" s="65">
        <f t="shared" si="29"/>
        <v>1500000</v>
      </c>
      <c r="F290" s="62">
        <f t="shared" si="26"/>
        <v>127500</v>
      </c>
      <c r="G290" s="62">
        <f t="shared" si="28"/>
        <v>61368189.588684842</v>
      </c>
      <c r="H290" s="67">
        <f t="shared" si="27"/>
        <v>1562.8410673035917</v>
      </c>
    </row>
    <row r="291" spans="3:8" x14ac:dyDescent="0.15">
      <c r="C291">
        <f t="shared" si="30"/>
        <v>24</v>
      </c>
      <c r="D291">
        <f t="shared" si="31"/>
        <v>2</v>
      </c>
      <c r="E291" s="65">
        <f t="shared" si="29"/>
        <v>1500000</v>
      </c>
      <c r="F291" s="62">
        <f t="shared" si="26"/>
        <v>127500</v>
      </c>
      <c r="G291" s="62">
        <f t="shared" si="28"/>
        <v>61721674.526871689</v>
      </c>
      <c r="H291" s="67">
        <f t="shared" si="27"/>
        <v>1571.8431379492204</v>
      </c>
    </row>
    <row r="292" spans="3:8" x14ac:dyDescent="0.15">
      <c r="C292">
        <f t="shared" si="30"/>
        <v>24</v>
      </c>
      <c r="D292">
        <f t="shared" si="31"/>
        <v>3</v>
      </c>
      <c r="E292" s="65">
        <f t="shared" si="29"/>
        <v>1500000</v>
      </c>
      <c r="F292" s="62">
        <f t="shared" si="26"/>
        <v>127500</v>
      </c>
      <c r="G292" s="62">
        <f t="shared" si="28"/>
        <v>62076458.454832293</v>
      </c>
      <c r="H292" s="67">
        <f t="shared" si="27"/>
        <v>1580.8782894886808</v>
      </c>
    </row>
    <row r="293" spans="3:8" x14ac:dyDescent="0.15">
      <c r="C293">
        <f t="shared" si="30"/>
        <v>24</v>
      </c>
      <c r="D293">
        <f t="shared" si="31"/>
        <v>4</v>
      </c>
      <c r="E293" s="65">
        <f t="shared" si="29"/>
        <v>1500000</v>
      </c>
      <c r="F293" s="62">
        <f t="shared" si="26"/>
        <v>127500</v>
      </c>
      <c r="G293" s="62">
        <f t="shared" si="28"/>
        <v>62432546.146106496</v>
      </c>
      <c r="H293" s="67">
        <f t="shared" si="27"/>
        <v>1589.946643487953</v>
      </c>
    </row>
    <row r="294" spans="3:8" x14ac:dyDescent="0.15">
      <c r="C294">
        <f t="shared" si="30"/>
        <v>24</v>
      </c>
      <c r="D294">
        <f t="shared" si="31"/>
        <v>5</v>
      </c>
      <c r="E294" s="65">
        <f t="shared" si="29"/>
        <v>1500000</v>
      </c>
      <c r="F294" s="62">
        <f t="shared" si="26"/>
        <v>127500</v>
      </c>
      <c r="G294" s="62">
        <f t="shared" si="28"/>
        <v>62789942.391775973</v>
      </c>
      <c r="H294" s="67">
        <f t="shared" si="27"/>
        <v>1599.0483219597484</v>
      </c>
    </row>
    <row r="295" spans="3:8" x14ac:dyDescent="0.15">
      <c r="C295">
        <f t="shared" si="30"/>
        <v>24</v>
      </c>
      <c r="D295">
        <f t="shared" si="31"/>
        <v>6</v>
      </c>
      <c r="E295" s="65">
        <f t="shared" si="29"/>
        <v>1500000</v>
      </c>
      <c r="F295" s="62">
        <f t="shared" si="26"/>
        <v>127500</v>
      </c>
      <c r="G295" s="62">
        <f t="shared" si="28"/>
        <v>63148652.000528716</v>
      </c>
      <c r="H295" s="67">
        <f t="shared" si="27"/>
        <v>1608.1834473651513</v>
      </c>
    </row>
    <row r="296" spans="3:8" x14ac:dyDescent="0.15">
      <c r="C296">
        <f t="shared" si="30"/>
        <v>24</v>
      </c>
      <c r="D296">
        <f t="shared" si="31"/>
        <v>7</v>
      </c>
      <c r="E296" s="65">
        <f t="shared" si="29"/>
        <v>1500000</v>
      </c>
      <c r="F296" s="62">
        <f t="shared" si="26"/>
        <v>127500</v>
      </c>
      <c r="G296" s="62">
        <f t="shared" si="28"/>
        <v>63508679.798723727</v>
      </c>
      <c r="H296" s="67">
        <f t="shared" si="27"/>
        <v>1617.3521426152683</v>
      </c>
    </row>
    <row r="297" spans="3:8" x14ac:dyDescent="0.15">
      <c r="C297">
        <f t="shared" si="30"/>
        <v>24</v>
      </c>
      <c r="D297">
        <f t="shared" si="31"/>
        <v>8</v>
      </c>
      <c r="E297" s="65">
        <f t="shared" si="29"/>
        <v>1500000</v>
      </c>
      <c r="F297" s="62">
        <f t="shared" si="26"/>
        <v>127500</v>
      </c>
      <c r="G297" s="62">
        <f t="shared" si="28"/>
        <v>63870030.630455971</v>
      </c>
      <c r="H297" s="67">
        <f t="shared" si="27"/>
        <v>1626.5545310728805</v>
      </c>
    </row>
    <row r="298" spans="3:8" x14ac:dyDescent="0.15">
      <c r="C298">
        <f t="shared" si="30"/>
        <v>24</v>
      </c>
      <c r="D298">
        <f t="shared" si="31"/>
        <v>9</v>
      </c>
      <c r="E298" s="65">
        <f t="shared" si="29"/>
        <v>1500000</v>
      </c>
      <c r="F298" s="62">
        <f t="shared" si="26"/>
        <v>127500</v>
      </c>
      <c r="G298" s="62">
        <f t="shared" si="28"/>
        <v>64232709.357621513</v>
      </c>
      <c r="H298" s="67">
        <f t="shared" si="27"/>
        <v>1635.7907365541028</v>
      </c>
    </row>
    <row r="299" spans="3:8" x14ac:dyDescent="0.15">
      <c r="C299">
        <f t="shared" si="30"/>
        <v>24</v>
      </c>
      <c r="D299">
        <f t="shared" si="31"/>
        <v>10</v>
      </c>
      <c r="E299" s="65">
        <f t="shared" si="29"/>
        <v>1500000</v>
      </c>
      <c r="F299" s="62">
        <f t="shared" si="26"/>
        <v>127500</v>
      </c>
      <c r="G299" s="62">
        <f t="shared" si="28"/>
        <v>64596720.859982982</v>
      </c>
      <c r="H299" s="67">
        <f t="shared" si="27"/>
        <v>1645.0608833300519</v>
      </c>
    </row>
    <row r="300" spans="3:8" x14ac:dyDescent="0.15">
      <c r="C300">
        <f t="shared" si="30"/>
        <v>24</v>
      </c>
      <c r="D300">
        <f t="shared" si="31"/>
        <v>11</v>
      </c>
      <c r="E300" s="65">
        <f t="shared" si="29"/>
        <v>1500000</v>
      </c>
      <c r="F300" s="62">
        <f t="shared" si="26"/>
        <v>127500</v>
      </c>
      <c r="G300" s="62">
        <f t="shared" si="28"/>
        <v>64962070.035235196</v>
      </c>
      <c r="H300" s="67">
        <f t="shared" si="27"/>
        <v>1654.3650961285168</v>
      </c>
    </row>
    <row r="301" spans="3:8" x14ac:dyDescent="0.15">
      <c r="C301">
        <f t="shared" si="30"/>
        <v>24</v>
      </c>
      <c r="D301">
        <f t="shared" si="31"/>
        <v>12</v>
      </c>
      <c r="E301" s="65">
        <f t="shared" si="29"/>
        <v>1500000</v>
      </c>
      <c r="F301" s="62">
        <f t="shared" si="26"/>
        <v>127500</v>
      </c>
      <c r="G301" s="62">
        <f t="shared" si="28"/>
        <v>65328761.799071074</v>
      </c>
      <c r="H301" s="67">
        <f t="shared" si="27"/>
        <v>1663.7035001356371</v>
      </c>
    </row>
    <row r="302" spans="3:8" x14ac:dyDescent="0.15">
      <c r="C302">
        <f t="shared" si="30"/>
        <v>25</v>
      </c>
      <c r="D302">
        <f t="shared" si="31"/>
        <v>1</v>
      </c>
      <c r="E302" s="65">
        <f t="shared" si="29"/>
        <v>1500000</v>
      </c>
      <c r="F302" s="62">
        <f t="shared" si="26"/>
        <v>127500</v>
      </c>
      <c r="G302" s="62">
        <f t="shared" si="28"/>
        <v>65696801.085247755</v>
      </c>
      <c r="H302" s="67">
        <f t="shared" si="27"/>
        <v>1673.0762209975881</v>
      </c>
    </row>
    <row r="303" spans="3:8" x14ac:dyDescent="0.15">
      <c r="C303">
        <f t="shared" si="30"/>
        <v>25</v>
      </c>
      <c r="D303">
        <f t="shared" si="31"/>
        <v>2</v>
      </c>
      <c r="E303" s="65">
        <f t="shared" si="29"/>
        <v>1500000</v>
      </c>
      <c r="F303" s="62">
        <f t="shared" si="26"/>
        <v>127500</v>
      </c>
      <c r="G303" s="62">
        <f t="shared" si="28"/>
        <v>66066192.845653012</v>
      </c>
      <c r="H303" s="67">
        <f t="shared" si="27"/>
        <v>1682.48338482227</v>
      </c>
    </row>
    <row r="304" spans="3:8" x14ac:dyDescent="0.15">
      <c r="C304">
        <f t="shared" si="30"/>
        <v>25</v>
      </c>
      <c r="D304">
        <f t="shared" si="31"/>
        <v>3</v>
      </c>
      <c r="E304" s="65">
        <f t="shared" si="29"/>
        <v>1500000</v>
      </c>
      <c r="F304" s="62">
        <f t="shared" si="26"/>
        <v>127500</v>
      </c>
      <c r="G304" s="62">
        <f t="shared" si="28"/>
        <v>66436942.050371848</v>
      </c>
      <c r="H304" s="67">
        <f t="shared" si="27"/>
        <v>1691.9251181810064</v>
      </c>
    </row>
    <row r="305" spans="3:8" x14ac:dyDescent="0.15">
      <c r="C305">
        <f t="shared" si="30"/>
        <v>25</v>
      </c>
      <c r="D305">
        <f t="shared" si="31"/>
        <v>4</v>
      </c>
      <c r="E305" s="65">
        <f t="shared" si="29"/>
        <v>1500000</v>
      </c>
      <c r="F305" s="62">
        <f t="shared" si="26"/>
        <v>127500</v>
      </c>
      <c r="G305" s="62">
        <f t="shared" si="28"/>
        <v>66809053.687753387</v>
      </c>
      <c r="H305" s="67">
        <f t="shared" si="27"/>
        <v>1701.4015481102458</v>
      </c>
    </row>
    <row r="306" spans="3:8" x14ac:dyDescent="0.15">
      <c r="C306">
        <f t="shared" si="30"/>
        <v>25</v>
      </c>
      <c r="D306">
        <f t="shared" si="31"/>
        <v>5</v>
      </c>
      <c r="E306" s="65">
        <f t="shared" si="29"/>
        <v>1500000</v>
      </c>
      <c r="F306" s="62">
        <f t="shared" si="26"/>
        <v>127500</v>
      </c>
      <c r="G306" s="62">
        <f t="shared" si="28"/>
        <v>67182532.764477983</v>
      </c>
      <c r="H306" s="67">
        <f t="shared" si="27"/>
        <v>1710.9128021132715</v>
      </c>
    </row>
    <row r="307" spans="3:8" x14ac:dyDescent="0.15">
      <c r="C307">
        <f t="shared" si="30"/>
        <v>25</v>
      </c>
      <c r="D307">
        <f t="shared" si="31"/>
        <v>6</v>
      </c>
      <c r="E307" s="65">
        <f t="shared" si="29"/>
        <v>1500000</v>
      </c>
      <c r="F307" s="62">
        <f t="shared" si="26"/>
        <v>127500</v>
      </c>
      <c r="G307" s="62">
        <f t="shared" si="28"/>
        <v>67557384.305624604</v>
      </c>
      <c r="H307" s="67">
        <f t="shared" si="27"/>
        <v>1720.4590081619181</v>
      </c>
    </row>
    <row r="308" spans="3:8" x14ac:dyDescent="0.15">
      <c r="C308">
        <f t="shared" si="30"/>
        <v>25</v>
      </c>
      <c r="D308">
        <f t="shared" si="31"/>
        <v>7</v>
      </c>
      <c r="E308" s="65">
        <f t="shared" si="29"/>
        <v>1500000</v>
      </c>
      <c r="F308" s="62">
        <f t="shared" si="26"/>
        <v>127500</v>
      </c>
      <c r="G308" s="62">
        <f t="shared" si="28"/>
        <v>67933613.354738399</v>
      </c>
      <c r="H308" s="67">
        <f t="shared" si="27"/>
        <v>1730.0402946982904</v>
      </c>
    </row>
    <row r="309" spans="3:8" x14ac:dyDescent="0.15">
      <c r="C309">
        <f t="shared" si="30"/>
        <v>25</v>
      </c>
      <c r="D309">
        <f t="shared" si="31"/>
        <v>8</v>
      </c>
      <c r="E309" s="65">
        <f t="shared" si="29"/>
        <v>1500000</v>
      </c>
      <c r="F309" s="62">
        <f t="shared" si="26"/>
        <v>127500</v>
      </c>
      <c r="G309" s="62">
        <f t="shared" si="28"/>
        <v>68311224.97389859</v>
      </c>
      <c r="H309" s="67">
        <f t="shared" si="27"/>
        <v>1739.6567906364949</v>
      </c>
    </row>
    <row r="310" spans="3:8" x14ac:dyDescent="0.15">
      <c r="C310">
        <f t="shared" si="30"/>
        <v>25</v>
      </c>
      <c r="D310">
        <f t="shared" si="31"/>
        <v>9</v>
      </c>
      <c r="E310" s="65">
        <f t="shared" si="29"/>
        <v>1500000</v>
      </c>
      <c r="F310" s="62">
        <f t="shared" si="26"/>
        <v>127500</v>
      </c>
      <c r="G310" s="62">
        <f t="shared" si="28"/>
        <v>68690224.243786588</v>
      </c>
      <c r="H310" s="67">
        <f t="shared" si="27"/>
        <v>1749.3086253643723</v>
      </c>
    </row>
    <row r="311" spans="3:8" x14ac:dyDescent="0.15">
      <c r="C311">
        <f t="shared" si="30"/>
        <v>25</v>
      </c>
      <c r="D311">
        <f t="shared" si="31"/>
        <v>10</v>
      </c>
      <c r="E311" s="65">
        <f t="shared" si="29"/>
        <v>1500000</v>
      </c>
      <c r="F311" s="62">
        <f t="shared" si="26"/>
        <v>127500</v>
      </c>
      <c r="G311" s="62">
        <f t="shared" si="28"/>
        <v>69070616.263754323</v>
      </c>
      <c r="H311" s="67">
        <f t="shared" si="27"/>
        <v>1758.9959287452393</v>
      </c>
    </row>
    <row r="312" spans="3:8" x14ac:dyDescent="0.15">
      <c r="C312">
        <f t="shared" si="30"/>
        <v>25</v>
      </c>
      <c r="D312">
        <f t="shared" si="31"/>
        <v>11</v>
      </c>
      <c r="E312" s="65">
        <f t="shared" si="29"/>
        <v>1500000</v>
      </c>
      <c r="F312" s="62">
        <f t="shared" si="26"/>
        <v>127500</v>
      </c>
      <c r="G312" s="62">
        <f t="shared" si="28"/>
        <v>69452406.151892886</v>
      </c>
      <c r="H312" s="67">
        <f t="shared" si="27"/>
        <v>1768.7188311196351</v>
      </c>
    </row>
    <row r="313" spans="3:8" x14ac:dyDescent="0.15">
      <c r="C313">
        <f t="shared" si="30"/>
        <v>25</v>
      </c>
      <c r="D313">
        <f t="shared" si="31"/>
        <v>12</v>
      </c>
      <c r="E313" s="65">
        <f t="shared" si="29"/>
        <v>1500000</v>
      </c>
      <c r="F313" s="62">
        <f t="shared" si="26"/>
        <v>127500</v>
      </c>
      <c r="G313" s="62">
        <f t="shared" si="28"/>
        <v>69835599.045101374</v>
      </c>
      <c r="H313" s="67">
        <f t="shared" si="27"/>
        <v>1778.4774633070758</v>
      </c>
    </row>
    <row r="314" spans="3:8" x14ac:dyDescent="0.15">
      <c r="C314">
        <f t="shared" si="30"/>
        <v>26</v>
      </c>
      <c r="D314">
        <f t="shared" si="31"/>
        <v>1</v>
      </c>
      <c r="E314" s="65">
        <f t="shared" si="29"/>
        <v>1500000</v>
      </c>
      <c r="F314" s="62">
        <f t="shared" si="26"/>
        <v>127500</v>
      </c>
      <c r="G314" s="62">
        <f t="shared" si="28"/>
        <v>70220200.099156007</v>
      </c>
      <c r="H314" s="67">
        <f t="shared" si="27"/>
        <v>1788.2719566078142</v>
      </c>
    </row>
    <row r="315" spans="3:8" x14ac:dyDescent="0.15">
      <c r="C315">
        <f t="shared" si="30"/>
        <v>26</v>
      </c>
      <c r="D315">
        <f t="shared" si="31"/>
        <v>2</v>
      </c>
      <c r="E315" s="65">
        <f t="shared" si="29"/>
        <v>1500000</v>
      </c>
      <c r="F315" s="62">
        <f t="shared" si="26"/>
        <v>127500</v>
      </c>
      <c r="G315" s="62">
        <f t="shared" si="28"/>
        <v>70606214.4887795</v>
      </c>
      <c r="H315" s="67">
        <f t="shared" si="27"/>
        <v>1798.1024428046071</v>
      </c>
    </row>
    <row r="316" spans="3:8" x14ac:dyDescent="0.15">
      <c r="C316">
        <f t="shared" si="30"/>
        <v>26</v>
      </c>
      <c r="D316">
        <f t="shared" si="31"/>
        <v>3</v>
      </c>
      <c r="E316" s="65">
        <f t="shared" si="29"/>
        <v>1500000</v>
      </c>
      <c r="F316" s="62">
        <f t="shared" si="26"/>
        <v>127500</v>
      </c>
      <c r="G316" s="62">
        <f t="shared" si="28"/>
        <v>70993647.407710686</v>
      </c>
      <c r="H316" s="67">
        <f t="shared" si="27"/>
        <v>1807.9690541644866</v>
      </c>
    </row>
    <row r="317" spans="3:8" x14ac:dyDescent="0.15">
      <c r="C317">
        <f t="shared" si="30"/>
        <v>26</v>
      </c>
      <c r="D317">
        <f t="shared" si="31"/>
        <v>4</v>
      </c>
      <c r="E317" s="65">
        <f t="shared" si="29"/>
        <v>1500000</v>
      </c>
      <c r="F317" s="62">
        <f t="shared" si="26"/>
        <v>127500</v>
      </c>
      <c r="G317" s="62">
        <f t="shared" si="28"/>
        <v>71382504.068774402</v>
      </c>
      <c r="H317" s="67">
        <f t="shared" si="27"/>
        <v>1817.8719234405419</v>
      </c>
    </row>
    <row r="318" spans="3:8" x14ac:dyDescent="0.15">
      <c r="C318">
        <f t="shared" si="30"/>
        <v>26</v>
      </c>
      <c r="D318">
        <f t="shared" si="31"/>
        <v>5</v>
      </c>
      <c r="E318" s="65">
        <f t="shared" si="29"/>
        <v>1500000</v>
      </c>
      <c r="F318" s="62">
        <f t="shared" si="26"/>
        <v>127500</v>
      </c>
      <c r="G318" s="62">
        <f t="shared" si="28"/>
        <v>71772789.703951612</v>
      </c>
      <c r="H318" s="67">
        <f t="shared" si="27"/>
        <v>1827.8111838737041</v>
      </c>
    </row>
    <row r="319" spans="3:8" x14ac:dyDescent="0.15">
      <c r="C319">
        <f t="shared" si="30"/>
        <v>26</v>
      </c>
      <c r="D319">
        <f t="shared" si="31"/>
        <v>6</v>
      </c>
      <c r="E319" s="65">
        <f t="shared" si="29"/>
        <v>1500000</v>
      </c>
      <c r="F319" s="62">
        <f t="shared" si="26"/>
        <v>127500</v>
      </c>
      <c r="G319" s="62">
        <f t="shared" si="28"/>
        <v>72164509.564449832</v>
      </c>
      <c r="H319" s="67">
        <f t="shared" si="27"/>
        <v>1837.7869691945396</v>
      </c>
    </row>
    <row r="320" spans="3:8" x14ac:dyDescent="0.15">
      <c r="C320">
        <f t="shared" si="30"/>
        <v>26</v>
      </c>
      <c r="D320">
        <f t="shared" si="31"/>
        <v>7</v>
      </c>
      <c r="E320" s="65">
        <f t="shared" si="29"/>
        <v>1500000</v>
      </c>
      <c r="F320" s="62">
        <f t="shared" si="26"/>
        <v>127500</v>
      </c>
      <c r="G320" s="62">
        <f t="shared" si="28"/>
        <v>72557668.920773745</v>
      </c>
      <c r="H320" s="67">
        <f t="shared" si="27"/>
        <v>1847.7994136250488</v>
      </c>
    </row>
    <row r="321" spans="3:8" x14ac:dyDescent="0.15">
      <c r="C321">
        <f t="shared" si="30"/>
        <v>26</v>
      </c>
      <c r="D321">
        <f t="shared" si="31"/>
        <v>8</v>
      </c>
      <c r="E321" s="65">
        <f t="shared" si="29"/>
        <v>1500000</v>
      </c>
      <c r="F321" s="62">
        <f t="shared" si="26"/>
        <v>127500</v>
      </c>
      <c r="G321" s="62">
        <f t="shared" si="28"/>
        <v>72952273.062796146</v>
      </c>
      <c r="H321" s="67">
        <f t="shared" si="27"/>
        <v>1857.8486518804725</v>
      </c>
    </row>
    <row r="322" spans="3:8" x14ac:dyDescent="0.15">
      <c r="C322">
        <f t="shared" si="30"/>
        <v>26</v>
      </c>
      <c r="D322">
        <f t="shared" si="31"/>
        <v>9</v>
      </c>
      <c r="E322" s="65">
        <f t="shared" si="29"/>
        <v>1500000</v>
      </c>
      <c r="F322" s="62">
        <f t="shared" si="26"/>
        <v>127500</v>
      </c>
      <c r="G322" s="62">
        <f t="shared" si="28"/>
        <v>73348327.299829096</v>
      </c>
      <c r="H322" s="67">
        <f t="shared" si="27"/>
        <v>1867.9348191711044</v>
      </c>
    </row>
    <row r="323" spans="3:8" x14ac:dyDescent="0.15">
      <c r="C323">
        <f t="shared" si="30"/>
        <v>26</v>
      </c>
      <c r="D323">
        <f t="shared" si="31"/>
        <v>10</v>
      </c>
      <c r="E323" s="65">
        <f t="shared" si="29"/>
        <v>1500000</v>
      </c>
      <c r="F323" s="62">
        <f t="shared" si="26"/>
        <v>127500</v>
      </c>
      <c r="G323" s="62">
        <f t="shared" si="28"/>
        <v>73745836.960695386</v>
      </c>
      <c r="H323" s="67">
        <f t="shared" si="27"/>
        <v>1878.0580512041104</v>
      </c>
    </row>
    <row r="324" spans="3:8" x14ac:dyDescent="0.15">
      <c r="C324">
        <f t="shared" si="30"/>
        <v>26</v>
      </c>
      <c r="D324">
        <f t="shared" si="31"/>
        <v>11</v>
      </c>
      <c r="E324" s="65">
        <f t="shared" si="29"/>
        <v>1500000</v>
      </c>
      <c r="F324" s="62">
        <f t="shared" si="26"/>
        <v>127500</v>
      </c>
      <c r="G324" s="62">
        <f t="shared" si="28"/>
        <v>74144807.393800184</v>
      </c>
      <c r="H324" s="67">
        <f t="shared" si="27"/>
        <v>1888.2184841853539</v>
      </c>
    </row>
    <row r="325" spans="3:8" x14ac:dyDescent="0.15">
      <c r="C325">
        <f t="shared" si="30"/>
        <v>26</v>
      </c>
      <c r="D325">
        <f t="shared" si="31"/>
        <v>12</v>
      </c>
      <c r="E325" s="65">
        <f t="shared" si="29"/>
        <v>1500000</v>
      </c>
      <c r="F325" s="62">
        <f t="shared" si="26"/>
        <v>127500</v>
      </c>
      <c r="G325" s="62">
        <f t="shared" si="28"/>
        <v>74545243.967203051</v>
      </c>
      <c r="H325" s="67">
        <f t="shared" si="27"/>
        <v>1898.4162548212294</v>
      </c>
    </row>
    <row r="326" spans="3:8" x14ac:dyDescent="0.15">
      <c r="C326">
        <f t="shared" si="30"/>
        <v>27</v>
      </c>
      <c r="D326">
        <f t="shared" si="31"/>
        <v>1</v>
      </c>
      <c r="E326" s="65">
        <f t="shared" si="29"/>
        <v>1500000</v>
      </c>
      <c r="F326" s="62">
        <f t="shared" si="26"/>
        <v>127500</v>
      </c>
      <c r="G326" s="62">
        <f t="shared" si="28"/>
        <v>74947152.068690136</v>
      </c>
      <c r="H326" s="67">
        <f t="shared" si="27"/>
        <v>1908.6515003205011</v>
      </c>
    </row>
    <row r="327" spans="3:8" x14ac:dyDescent="0.15">
      <c r="C327">
        <f t="shared" si="30"/>
        <v>27</v>
      </c>
      <c r="D327">
        <f t="shared" si="31"/>
        <v>2</v>
      </c>
      <c r="E327" s="65">
        <f t="shared" si="29"/>
        <v>1500000</v>
      </c>
      <c r="F327" s="62">
        <f t="shared" si="26"/>
        <v>127500</v>
      </c>
      <c r="G327" s="62">
        <f t="shared" si="28"/>
        <v>75350537.105846688</v>
      </c>
      <c r="H327" s="67">
        <f t="shared" si="27"/>
        <v>1918.9243583961495</v>
      </c>
    </row>
    <row r="328" spans="3:8" x14ac:dyDescent="0.15">
      <c r="C328">
        <f t="shared" si="30"/>
        <v>27</v>
      </c>
      <c r="D328">
        <f t="shared" si="31"/>
        <v>3</v>
      </c>
      <c r="E328" s="65">
        <f t="shared" si="29"/>
        <v>1500000</v>
      </c>
      <c r="F328" s="62">
        <f t="shared" si="26"/>
        <v>127500</v>
      </c>
      <c r="G328" s="62">
        <f t="shared" si="28"/>
        <v>75755404.506129771</v>
      </c>
      <c r="H328" s="67">
        <f t="shared" si="27"/>
        <v>1929.2349672672235</v>
      </c>
    </row>
    <row r="329" spans="3:8" x14ac:dyDescent="0.15">
      <c r="C329">
        <f t="shared" si="30"/>
        <v>27</v>
      </c>
      <c r="D329">
        <f t="shared" si="31"/>
        <v>4</v>
      </c>
      <c r="E329" s="65">
        <f t="shared" si="29"/>
        <v>1500000</v>
      </c>
      <c r="F329" s="62">
        <f t="shared" si="26"/>
        <v>127500</v>
      </c>
      <c r="G329" s="62">
        <f t="shared" si="28"/>
        <v>76161759.716941342</v>
      </c>
      <c r="H329" s="67">
        <f t="shared" si="27"/>
        <v>1939.583465660701</v>
      </c>
    </row>
    <row r="330" spans="3:8" x14ac:dyDescent="0.15">
      <c r="C330">
        <f t="shared" si="30"/>
        <v>27</v>
      </c>
      <c r="D330">
        <f t="shared" si="31"/>
        <v>5</v>
      </c>
      <c r="E330" s="65">
        <f t="shared" si="29"/>
        <v>1500000</v>
      </c>
      <c r="F330" s="62">
        <f t="shared" si="26"/>
        <v>127500</v>
      </c>
      <c r="G330" s="62">
        <f t="shared" si="28"/>
        <v>76569608.20570153</v>
      </c>
      <c r="H330" s="67">
        <f t="shared" si="27"/>
        <v>1949.9699928133555</v>
      </c>
    </row>
    <row r="331" spans="3:8" x14ac:dyDescent="0.15">
      <c r="C331">
        <f t="shared" si="30"/>
        <v>27</v>
      </c>
      <c r="D331">
        <f t="shared" si="31"/>
        <v>6</v>
      </c>
      <c r="E331" s="65">
        <f t="shared" si="29"/>
        <v>1500000</v>
      </c>
      <c r="F331" s="62">
        <f t="shared" si="26"/>
        <v>127500</v>
      </c>
      <c r="G331" s="62">
        <f t="shared" si="28"/>
        <v>76978955.459922165</v>
      </c>
      <c r="H331" s="67">
        <f t="shared" si="27"/>
        <v>1960.3946884736285</v>
      </c>
    </row>
    <row r="332" spans="3:8" x14ac:dyDescent="0.15">
      <c r="C332">
        <f t="shared" si="30"/>
        <v>27</v>
      </c>
      <c r="D332">
        <f t="shared" si="31"/>
        <v>7</v>
      </c>
      <c r="E332" s="65">
        <f t="shared" si="29"/>
        <v>1500000</v>
      </c>
      <c r="F332" s="62">
        <f t="shared" si="26"/>
        <v>127500</v>
      </c>
      <c r="G332" s="62">
        <f t="shared" si="28"/>
        <v>77389806.987280652</v>
      </c>
      <c r="H332" s="67">
        <f t="shared" si="27"/>
        <v>1970.8576929035105</v>
      </c>
    </row>
    <row r="333" spans="3:8" x14ac:dyDescent="0.15">
      <c r="C333">
        <f t="shared" si="30"/>
        <v>27</v>
      </c>
      <c r="D333">
        <f t="shared" si="31"/>
        <v>8</v>
      </c>
      <c r="E333" s="65">
        <f t="shared" si="29"/>
        <v>1500000</v>
      </c>
      <c r="F333" s="62">
        <f t="shared" si="26"/>
        <v>127500</v>
      </c>
      <c r="G333" s="62">
        <f t="shared" si="28"/>
        <v>77802168.315694064</v>
      </c>
      <c r="H333" s="67">
        <f t="shared" si="27"/>
        <v>1981.3591468804284</v>
      </c>
    </row>
    <row r="334" spans="3:8" x14ac:dyDescent="0.15">
      <c r="C334">
        <f t="shared" si="30"/>
        <v>27</v>
      </c>
      <c r="D334">
        <f t="shared" si="31"/>
        <v>9</v>
      </c>
      <c r="E334" s="65">
        <f t="shared" si="29"/>
        <v>1500000</v>
      </c>
      <c r="F334" s="62">
        <f t="shared" si="26"/>
        <v>127500</v>
      </c>
      <c r="G334" s="62">
        <f t="shared" si="28"/>
        <v>78216044.993393496</v>
      </c>
      <c r="H334" s="67">
        <f t="shared" si="27"/>
        <v>1991.8991916991386</v>
      </c>
    </row>
    <row r="335" spans="3:8" x14ac:dyDescent="0.15">
      <c r="C335">
        <f t="shared" si="30"/>
        <v>27</v>
      </c>
      <c r="D335">
        <f t="shared" si="31"/>
        <v>10</v>
      </c>
      <c r="E335" s="65">
        <f t="shared" si="29"/>
        <v>1500000</v>
      </c>
      <c r="F335" s="62">
        <f t="shared" ref="F335:F398" si="32">IF(E335/$D$3&lt;$D$2*(1+$D$11)^(C335-1),0.1*E335,0.1*$D$2*$D$3*(1+$D$11)^(C335-1))*(1-$D$9)</f>
        <v>127500</v>
      </c>
      <c r="G335" s="62">
        <f t="shared" si="28"/>
        <v>78631442.588998765</v>
      </c>
      <c r="H335" s="67">
        <f t="shared" ref="H335:H398" si="33">G335/$D$3</f>
        <v>2002.4779691736298</v>
      </c>
    </row>
    <row r="336" spans="3:8" x14ac:dyDescent="0.15">
      <c r="C336">
        <f t="shared" si="30"/>
        <v>27</v>
      </c>
      <c r="D336">
        <f t="shared" si="31"/>
        <v>11</v>
      </c>
      <c r="E336" s="65">
        <f t="shared" si="29"/>
        <v>1500000</v>
      </c>
      <c r="F336" s="62">
        <f t="shared" si="32"/>
        <v>127500</v>
      </c>
      <c r="G336" s="62">
        <f t="shared" ref="G336:G399" si="34">(F336+G335)*(1+$D$5)</f>
        <v>79048366.691593289</v>
      </c>
      <c r="H336" s="67">
        <f t="shared" si="33"/>
        <v>2013.0956216390296</v>
      </c>
    </row>
    <row r="337" spans="3:8" x14ac:dyDescent="0.15">
      <c r="C337">
        <f t="shared" si="30"/>
        <v>27</v>
      </c>
      <c r="D337">
        <f t="shared" si="31"/>
        <v>12</v>
      </c>
      <c r="E337" s="65">
        <f t="shared" ref="E337:E400" si="35">E336</f>
        <v>1500000</v>
      </c>
      <c r="F337" s="62">
        <f t="shared" si="32"/>
        <v>127500</v>
      </c>
      <c r="G337" s="62">
        <f t="shared" si="34"/>
        <v>79466822.910799295</v>
      </c>
      <c r="H337" s="67">
        <f t="shared" si="33"/>
        <v>2023.7522919535197</v>
      </c>
    </row>
    <row r="338" spans="3:8" x14ac:dyDescent="0.15">
      <c r="C338">
        <f t="shared" si="30"/>
        <v>28</v>
      </c>
      <c r="D338">
        <f t="shared" si="31"/>
        <v>1</v>
      </c>
      <c r="E338" s="65">
        <f t="shared" si="35"/>
        <v>1500000</v>
      </c>
      <c r="F338" s="62">
        <f t="shared" si="32"/>
        <v>127500</v>
      </c>
      <c r="G338" s="62">
        <f t="shared" si="34"/>
        <v>79886816.876853302</v>
      </c>
      <c r="H338" s="67">
        <f t="shared" si="33"/>
        <v>2034.4481235002586</v>
      </c>
    </row>
    <row r="339" spans="3:8" x14ac:dyDescent="0.15">
      <c r="C339">
        <f t="shared" si="30"/>
        <v>28</v>
      </c>
      <c r="D339">
        <f t="shared" si="31"/>
        <v>2</v>
      </c>
      <c r="E339" s="65">
        <f t="shared" si="35"/>
        <v>1500000</v>
      </c>
      <c r="F339" s="62">
        <f t="shared" si="32"/>
        <v>127500</v>
      </c>
      <c r="G339" s="62">
        <f t="shared" si="34"/>
        <v>80308354.240681902</v>
      </c>
      <c r="H339" s="67">
        <f t="shared" si="33"/>
        <v>2045.1832601893113</v>
      </c>
    </row>
    <row r="340" spans="3:8" x14ac:dyDescent="0.15">
      <c r="C340">
        <f t="shared" si="30"/>
        <v>28</v>
      </c>
      <c r="D340">
        <f t="shared" si="31"/>
        <v>3</v>
      </c>
      <c r="E340" s="65">
        <f t="shared" si="35"/>
        <v>1500000</v>
      </c>
      <c r="F340" s="62">
        <f t="shared" si="32"/>
        <v>127500</v>
      </c>
      <c r="G340" s="62">
        <f t="shared" si="34"/>
        <v>80731440.673977733</v>
      </c>
      <c r="H340" s="67">
        <f t="shared" si="33"/>
        <v>2055.9578464595838</v>
      </c>
    </row>
    <row r="341" spans="3:8" x14ac:dyDescent="0.15">
      <c r="C341">
        <f t="shared" si="30"/>
        <v>28</v>
      </c>
      <c r="D341">
        <f t="shared" si="31"/>
        <v>4</v>
      </c>
      <c r="E341" s="65">
        <f t="shared" si="35"/>
        <v>1500000</v>
      </c>
      <c r="F341" s="62">
        <f t="shared" si="32"/>
        <v>127500</v>
      </c>
      <c r="G341" s="62">
        <f t="shared" si="34"/>
        <v>81156081.869275838</v>
      </c>
      <c r="H341" s="67">
        <f t="shared" si="33"/>
        <v>2066.7720272807683</v>
      </c>
    </row>
    <row r="342" spans="3:8" x14ac:dyDescent="0.15">
      <c r="C342">
        <f t="shared" si="30"/>
        <v>28</v>
      </c>
      <c r="D342">
        <f t="shared" si="31"/>
        <v>5</v>
      </c>
      <c r="E342" s="65">
        <f t="shared" si="35"/>
        <v>1500000</v>
      </c>
      <c r="F342" s="62">
        <f t="shared" si="32"/>
        <v>127500</v>
      </c>
      <c r="G342" s="62">
        <f t="shared" si="34"/>
        <v>81582283.540030226</v>
      </c>
      <c r="H342" s="67">
        <f t="shared" si="33"/>
        <v>2077.625948155292</v>
      </c>
    </row>
    <row r="343" spans="3:8" x14ac:dyDescent="0.15">
      <c r="C343">
        <f t="shared" si="30"/>
        <v>28</v>
      </c>
      <c r="D343">
        <f t="shared" si="31"/>
        <v>6</v>
      </c>
      <c r="E343" s="65">
        <f t="shared" si="35"/>
        <v>1500000</v>
      </c>
      <c r="F343" s="62">
        <f t="shared" si="32"/>
        <v>127500</v>
      </c>
      <c r="G343" s="62">
        <f t="shared" si="34"/>
        <v>82010051.42069079</v>
      </c>
      <c r="H343" s="67">
        <f t="shared" si="33"/>
        <v>2088.5197551202773</v>
      </c>
    </row>
    <row r="344" spans="3:8" x14ac:dyDescent="0.15">
      <c r="C344">
        <f t="shared" si="30"/>
        <v>28</v>
      </c>
      <c r="D344">
        <f t="shared" si="31"/>
        <v>7</v>
      </c>
      <c r="E344" s="65">
        <f t="shared" si="35"/>
        <v>1500000</v>
      </c>
      <c r="F344" s="62">
        <f t="shared" si="32"/>
        <v>127500</v>
      </c>
      <c r="G344" s="62">
        <f t="shared" si="34"/>
        <v>82439391.266780406</v>
      </c>
      <c r="H344" s="67">
        <f t="shared" si="33"/>
        <v>2099.4535947495042</v>
      </c>
    </row>
    <row r="345" spans="3:8" x14ac:dyDescent="0.15">
      <c r="C345">
        <f t="shared" si="30"/>
        <v>28</v>
      </c>
      <c r="D345">
        <f t="shared" si="31"/>
        <v>8</v>
      </c>
      <c r="E345" s="65">
        <f t="shared" si="35"/>
        <v>1500000</v>
      </c>
      <c r="F345" s="62">
        <f t="shared" si="32"/>
        <v>127500</v>
      </c>
      <c r="G345" s="62">
        <f t="shared" si="34"/>
        <v>82870308.854972422</v>
      </c>
      <c r="H345" s="67">
        <f t="shared" si="33"/>
        <v>2110.4276141553833</v>
      </c>
    </row>
    <row r="346" spans="3:8" x14ac:dyDescent="0.15">
      <c r="C346">
        <f t="shared" si="30"/>
        <v>28</v>
      </c>
      <c r="D346">
        <f t="shared" si="31"/>
        <v>9</v>
      </c>
      <c r="E346" s="65">
        <f t="shared" si="35"/>
        <v>1500000</v>
      </c>
      <c r="F346" s="62">
        <f t="shared" si="32"/>
        <v>127500</v>
      </c>
      <c r="G346" s="62">
        <f t="shared" si="34"/>
        <v>83302809.983168334</v>
      </c>
      <c r="H346" s="67">
        <f t="shared" si="33"/>
        <v>2121.4419609909355</v>
      </c>
    </row>
    <row r="347" spans="3:8" x14ac:dyDescent="0.15">
      <c r="C347">
        <f t="shared" si="30"/>
        <v>28</v>
      </c>
      <c r="D347">
        <f t="shared" si="31"/>
        <v>10</v>
      </c>
      <c r="E347" s="65">
        <f t="shared" si="35"/>
        <v>1500000</v>
      </c>
      <c r="F347" s="62">
        <f t="shared" si="32"/>
        <v>127500</v>
      </c>
      <c r="G347" s="62">
        <f t="shared" si="34"/>
        <v>83736900.470575839</v>
      </c>
      <c r="H347" s="67">
        <f t="shared" si="33"/>
        <v>2132.4967834517788</v>
      </c>
    </row>
    <row r="348" spans="3:8" x14ac:dyDescent="0.15">
      <c r="C348">
        <f t="shared" si="30"/>
        <v>28</v>
      </c>
      <c r="D348">
        <f t="shared" si="31"/>
        <v>11</v>
      </c>
      <c r="E348" s="65">
        <f t="shared" si="35"/>
        <v>1500000</v>
      </c>
      <c r="F348" s="62">
        <f t="shared" si="32"/>
        <v>127500</v>
      </c>
      <c r="G348" s="62">
        <f t="shared" si="34"/>
        <v>84172586.157787114</v>
      </c>
      <c r="H348" s="67">
        <f t="shared" si="33"/>
        <v>2143.5922302781214</v>
      </c>
    </row>
    <row r="349" spans="3:8" x14ac:dyDescent="0.15">
      <c r="C349">
        <f t="shared" si="30"/>
        <v>28</v>
      </c>
      <c r="D349">
        <f t="shared" si="31"/>
        <v>12</v>
      </c>
      <c r="E349" s="65">
        <f t="shared" si="35"/>
        <v>1500000</v>
      </c>
      <c r="F349" s="62">
        <f t="shared" si="32"/>
        <v>127500</v>
      </c>
      <c r="G349" s="62">
        <f t="shared" si="34"/>
        <v>84609872.906857386</v>
      </c>
      <c r="H349" s="67">
        <f t="shared" si="33"/>
        <v>2154.7284507567633</v>
      </c>
    </row>
    <row r="350" spans="3:8" x14ac:dyDescent="0.15">
      <c r="C350">
        <f t="shared" si="30"/>
        <v>29</v>
      </c>
      <c r="D350">
        <f t="shared" si="31"/>
        <v>1</v>
      </c>
      <c r="E350" s="65">
        <f t="shared" si="35"/>
        <v>1500000</v>
      </c>
      <c r="F350" s="62">
        <f t="shared" si="32"/>
        <v>127500</v>
      </c>
      <c r="G350" s="62">
        <f t="shared" si="34"/>
        <v>85048766.601383835</v>
      </c>
      <c r="H350" s="67">
        <f t="shared" si="33"/>
        <v>2165.9055947231059</v>
      </c>
    </row>
    <row r="351" spans="3:8" x14ac:dyDescent="0.15">
      <c r="C351">
        <f t="shared" si="30"/>
        <v>29</v>
      </c>
      <c r="D351">
        <f t="shared" si="31"/>
        <v>2</v>
      </c>
      <c r="E351" s="65">
        <f t="shared" si="35"/>
        <v>1500000</v>
      </c>
      <c r="F351" s="62">
        <f t="shared" si="32"/>
        <v>127500</v>
      </c>
      <c r="G351" s="62">
        <f t="shared" si="34"/>
        <v>85489273.146584719</v>
      </c>
      <c r="H351" s="67">
        <f t="shared" si="33"/>
        <v>2177.1238125631662</v>
      </c>
    </row>
    <row r="352" spans="3:8" x14ac:dyDescent="0.15">
      <c r="C352">
        <f t="shared" si="30"/>
        <v>29</v>
      </c>
      <c r="D352">
        <f t="shared" si="31"/>
        <v>3</v>
      </c>
      <c r="E352" s="65">
        <f t="shared" si="35"/>
        <v>1500000</v>
      </c>
      <c r="F352" s="62">
        <f t="shared" si="32"/>
        <v>127500</v>
      </c>
      <c r="G352" s="62">
        <f t="shared" si="34"/>
        <v>85931398.469378859</v>
      </c>
      <c r="H352" s="67">
        <f t="shared" si="33"/>
        <v>2188.3832552156009</v>
      </c>
    </row>
    <row r="353" spans="3:8" x14ac:dyDescent="0.15">
      <c r="C353">
        <f t="shared" ref="C353:C416" si="36">IF(MOD(D352,12)=0,C352+1,C352)</f>
        <v>29</v>
      </c>
      <c r="D353">
        <f t="shared" ref="D353:D416" si="37">IF(MOD(D352,12)=0,1,D352+1)</f>
        <v>4</v>
      </c>
      <c r="E353" s="65">
        <f t="shared" si="35"/>
        <v>1500000</v>
      </c>
      <c r="F353" s="62">
        <f t="shared" si="32"/>
        <v>127500</v>
      </c>
      <c r="G353" s="62">
        <f t="shared" si="34"/>
        <v>86375148.51846537</v>
      </c>
      <c r="H353" s="67">
        <f t="shared" si="33"/>
        <v>2199.6840741737383</v>
      </c>
    </row>
    <row r="354" spans="3:8" x14ac:dyDescent="0.15">
      <c r="C354">
        <f t="shared" si="36"/>
        <v>29</v>
      </c>
      <c r="D354">
        <f t="shared" si="37"/>
        <v>5</v>
      </c>
      <c r="E354" s="65">
        <f t="shared" si="35"/>
        <v>1500000</v>
      </c>
      <c r="F354" s="62">
        <f t="shared" si="32"/>
        <v>127500</v>
      </c>
      <c r="G354" s="62">
        <f t="shared" si="34"/>
        <v>86820529.264403716</v>
      </c>
      <c r="H354" s="67">
        <f t="shared" si="33"/>
        <v>2211.0264214876161</v>
      </c>
    </row>
    <row r="355" spans="3:8" x14ac:dyDescent="0.15">
      <c r="C355">
        <f t="shared" si="36"/>
        <v>29</v>
      </c>
      <c r="D355">
        <f t="shared" si="37"/>
        <v>6</v>
      </c>
      <c r="E355" s="65">
        <f t="shared" si="35"/>
        <v>1500000</v>
      </c>
      <c r="F355" s="62">
        <f t="shared" si="32"/>
        <v>127500</v>
      </c>
      <c r="G355" s="62">
        <f t="shared" si="34"/>
        <v>87267546.699694008</v>
      </c>
      <c r="H355" s="67">
        <f t="shared" si="33"/>
        <v>2222.4104497660255</v>
      </c>
    </row>
    <row r="356" spans="3:8" x14ac:dyDescent="0.15">
      <c r="C356">
        <f t="shared" si="36"/>
        <v>29</v>
      </c>
      <c r="D356">
        <f t="shared" si="37"/>
        <v>7</v>
      </c>
      <c r="E356" s="65">
        <f t="shared" si="35"/>
        <v>1500000</v>
      </c>
      <c r="F356" s="62">
        <f t="shared" si="32"/>
        <v>127500</v>
      </c>
      <c r="G356" s="62">
        <f t="shared" si="34"/>
        <v>87716206.838857666</v>
      </c>
      <c r="H356" s="67">
        <f t="shared" si="33"/>
        <v>2233.8363121785678</v>
      </c>
    </row>
    <row r="357" spans="3:8" x14ac:dyDescent="0.15">
      <c r="C357">
        <f t="shared" si="36"/>
        <v>29</v>
      </c>
      <c r="D357">
        <f t="shared" si="37"/>
        <v>8</v>
      </c>
      <c r="E357" s="65">
        <f t="shared" si="35"/>
        <v>1500000</v>
      </c>
      <c r="F357" s="62">
        <f t="shared" si="32"/>
        <v>127500</v>
      </c>
      <c r="G357" s="62">
        <f t="shared" si="34"/>
        <v>88166515.718518317</v>
      </c>
      <c r="H357" s="67">
        <f t="shared" si="33"/>
        <v>2245.3041624577113</v>
      </c>
    </row>
    <row r="358" spans="3:8" x14ac:dyDescent="0.15">
      <c r="C358">
        <f t="shared" si="36"/>
        <v>29</v>
      </c>
      <c r="D358">
        <f t="shared" si="37"/>
        <v>9</v>
      </c>
      <c r="E358" s="65">
        <f t="shared" si="35"/>
        <v>1500000</v>
      </c>
      <c r="F358" s="62">
        <f t="shared" si="32"/>
        <v>127500</v>
      </c>
      <c r="G358" s="62">
        <f t="shared" si="34"/>
        <v>88618479.397483051</v>
      </c>
      <c r="H358" s="67">
        <f t="shared" si="33"/>
        <v>2256.8141549008637</v>
      </c>
    </row>
    <row r="359" spans="3:8" x14ac:dyDescent="0.15">
      <c r="C359">
        <f t="shared" si="36"/>
        <v>29</v>
      </c>
      <c r="D359">
        <f t="shared" si="37"/>
        <v>10</v>
      </c>
      <c r="E359" s="65">
        <f t="shared" si="35"/>
        <v>1500000</v>
      </c>
      <c r="F359" s="62">
        <f t="shared" si="32"/>
        <v>127500</v>
      </c>
      <c r="G359" s="62">
        <f t="shared" si="34"/>
        <v>89072103.9568239</v>
      </c>
      <c r="H359" s="67">
        <f t="shared" si="33"/>
        <v>2268.3664443724451</v>
      </c>
    </row>
    <row r="360" spans="3:8" x14ac:dyDescent="0.15">
      <c r="C360">
        <f t="shared" si="36"/>
        <v>29</v>
      </c>
      <c r="D360">
        <f t="shared" si="37"/>
        <v>11</v>
      </c>
      <c r="E360" s="65">
        <f t="shared" si="35"/>
        <v>1500000</v>
      </c>
      <c r="F360" s="62">
        <f t="shared" si="32"/>
        <v>127500</v>
      </c>
      <c r="G360" s="62">
        <f t="shared" si="34"/>
        <v>89527395.499959677</v>
      </c>
      <c r="H360" s="67">
        <f t="shared" si="33"/>
        <v>2279.9611863059727</v>
      </c>
    </row>
    <row r="361" spans="3:8" x14ac:dyDescent="0.15">
      <c r="C361">
        <f t="shared" si="36"/>
        <v>29</v>
      </c>
      <c r="D361">
        <f t="shared" si="37"/>
        <v>12</v>
      </c>
      <c r="E361" s="65">
        <f t="shared" si="35"/>
        <v>1500000</v>
      </c>
      <c r="F361" s="62">
        <f t="shared" si="32"/>
        <v>127500</v>
      </c>
      <c r="G361" s="62">
        <f t="shared" si="34"/>
        <v>89984360.152738109</v>
      </c>
      <c r="H361" s="67">
        <f t="shared" si="33"/>
        <v>2291.5985367061539</v>
      </c>
    </row>
    <row r="362" spans="3:8" x14ac:dyDescent="0.15">
      <c r="C362">
        <f t="shared" si="36"/>
        <v>30</v>
      </c>
      <c r="D362">
        <f t="shared" si="37"/>
        <v>1</v>
      </c>
      <c r="E362" s="65">
        <f t="shared" si="35"/>
        <v>1500000</v>
      </c>
      <c r="F362" s="62">
        <f t="shared" si="32"/>
        <v>127500</v>
      </c>
      <c r="G362" s="62">
        <f t="shared" si="34"/>
        <v>90443004.063518241</v>
      </c>
      <c r="H362" s="67">
        <f t="shared" si="33"/>
        <v>2303.2786521509815</v>
      </c>
    </row>
    <row r="363" spans="3:8" x14ac:dyDescent="0.15">
      <c r="C363">
        <f t="shared" si="36"/>
        <v>30</v>
      </c>
      <c r="D363">
        <f t="shared" si="37"/>
        <v>2</v>
      </c>
      <c r="E363" s="65">
        <f t="shared" si="35"/>
        <v>1500000</v>
      </c>
      <c r="F363" s="62">
        <f t="shared" si="32"/>
        <v>127500</v>
      </c>
      <c r="G363" s="62">
        <f t="shared" si="34"/>
        <v>90903333.403253168</v>
      </c>
      <c r="H363" s="67">
        <f t="shared" si="33"/>
        <v>2315.0016897938444</v>
      </c>
    </row>
    <row r="364" spans="3:8" x14ac:dyDescent="0.15">
      <c r="C364">
        <f t="shared" si="36"/>
        <v>30</v>
      </c>
      <c r="D364">
        <f t="shared" si="37"/>
        <v>3</v>
      </c>
      <c r="E364" s="65">
        <f t="shared" si="35"/>
        <v>1500000</v>
      </c>
      <c r="F364" s="62">
        <f t="shared" si="32"/>
        <v>127500</v>
      </c>
      <c r="G364" s="62">
        <f t="shared" si="34"/>
        <v>91365354.365573049</v>
      </c>
      <c r="H364" s="67">
        <f t="shared" si="33"/>
        <v>2326.7678073656389</v>
      </c>
    </row>
    <row r="365" spans="3:8" x14ac:dyDescent="0.15">
      <c r="C365">
        <f t="shared" si="36"/>
        <v>30</v>
      </c>
      <c r="D365">
        <f t="shared" si="37"/>
        <v>4</v>
      </c>
      <c r="E365" s="65">
        <f t="shared" si="35"/>
        <v>1500000</v>
      </c>
      <c r="F365" s="62">
        <f t="shared" si="32"/>
        <v>127500</v>
      </c>
      <c r="G365" s="62">
        <f t="shared" si="34"/>
        <v>91829073.166868463</v>
      </c>
      <c r="H365" s="67">
        <f t="shared" si="33"/>
        <v>2338.5771631768926</v>
      </c>
    </row>
    <row r="366" spans="3:8" x14ac:dyDescent="0.15">
      <c r="C366">
        <f t="shared" si="36"/>
        <v>30</v>
      </c>
      <c r="D366">
        <f t="shared" si="37"/>
        <v>5</v>
      </c>
      <c r="E366" s="65">
        <f t="shared" si="35"/>
        <v>1500000</v>
      </c>
      <c r="F366" s="62">
        <f t="shared" si="32"/>
        <v>127500</v>
      </c>
      <c r="G366" s="62">
        <f t="shared" si="34"/>
        <v>92294496.046374038</v>
      </c>
      <c r="H366" s="67">
        <f t="shared" si="33"/>
        <v>2350.4299161198946</v>
      </c>
    </row>
    <row r="367" spans="3:8" x14ac:dyDescent="0.15">
      <c r="C367">
        <f t="shared" si="36"/>
        <v>30</v>
      </c>
      <c r="D367">
        <f t="shared" si="37"/>
        <v>6</v>
      </c>
      <c r="E367" s="65">
        <f t="shared" si="35"/>
        <v>1500000</v>
      </c>
      <c r="F367" s="62">
        <f t="shared" si="32"/>
        <v>127500</v>
      </c>
      <c r="G367" s="62">
        <f t="shared" si="34"/>
        <v>92761629.266252384</v>
      </c>
      <c r="H367" s="67">
        <f t="shared" si="33"/>
        <v>2362.3262256708326</v>
      </c>
    </row>
    <row r="368" spans="3:8" x14ac:dyDescent="0.15">
      <c r="C368">
        <f t="shared" si="36"/>
        <v>30</v>
      </c>
      <c r="D368">
        <f t="shared" si="37"/>
        <v>7</v>
      </c>
      <c r="E368" s="65">
        <f t="shared" si="35"/>
        <v>1500000</v>
      </c>
      <c r="F368" s="62">
        <f t="shared" si="32"/>
        <v>127500</v>
      </c>
      <c r="G368" s="62">
        <f t="shared" si="34"/>
        <v>93230479.111678407</v>
      </c>
      <c r="H368" s="67">
        <f t="shared" si="33"/>
        <v>2374.2662518919392</v>
      </c>
    </row>
    <row r="369" spans="3:8" x14ac:dyDescent="0.15">
      <c r="C369">
        <f t="shared" si="36"/>
        <v>30</v>
      </c>
      <c r="D369">
        <f t="shared" si="37"/>
        <v>8</v>
      </c>
      <c r="E369" s="65">
        <f t="shared" si="35"/>
        <v>1500000</v>
      </c>
      <c r="F369" s="62">
        <f t="shared" si="32"/>
        <v>127500</v>
      </c>
      <c r="G369" s="62">
        <f t="shared" si="34"/>
        <v>93701051.890923783</v>
      </c>
      <c r="H369" s="67">
        <f t="shared" si="33"/>
        <v>2386.2501554336441</v>
      </c>
    </row>
    <row r="370" spans="3:8" x14ac:dyDescent="0.15">
      <c r="C370">
        <f t="shared" si="36"/>
        <v>30</v>
      </c>
      <c r="D370">
        <f t="shared" si="37"/>
        <v>9</v>
      </c>
      <c r="E370" s="65">
        <f t="shared" si="35"/>
        <v>1500000</v>
      </c>
      <c r="F370" s="62">
        <f t="shared" si="32"/>
        <v>127500</v>
      </c>
      <c r="G370" s="62">
        <f t="shared" si="34"/>
        <v>94173353.935441926</v>
      </c>
      <c r="H370" s="67">
        <f t="shared" si="33"/>
        <v>2398.2780975367382</v>
      </c>
    </row>
    <row r="371" spans="3:8" x14ac:dyDescent="0.15">
      <c r="C371">
        <f t="shared" si="36"/>
        <v>30</v>
      </c>
      <c r="D371">
        <f t="shared" si="37"/>
        <v>10</v>
      </c>
      <c r="E371" s="65">
        <f t="shared" si="35"/>
        <v>1500000</v>
      </c>
      <c r="F371" s="62">
        <f t="shared" si="32"/>
        <v>127500</v>
      </c>
      <c r="G371" s="62">
        <f t="shared" si="34"/>
        <v>94647391.599953115</v>
      </c>
      <c r="H371" s="67">
        <f t="shared" si="33"/>
        <v>2410.350240034541</v>
      </c>
    </row>
    <row r="372" spans="3:8" x14ac:dyDescent="0.15">
      <c r="C372">
        <f t="shared" si="36"/>
        <v>30</v>
      </c>
      <c r="D372">
        <f t="shared" si="37"/>
        <v>11</v>
      </c>
      <c r="E372" s="65">
        <f t="shared" si="35"/>
        <v>1500000</v>
      </c>
      <c r="F372" s="62">
        <f t="shared" si="32"/>
        <v>127500</v>
      </c>
      <c r="G372" s="62">
        <f t="shared" si="34"/>
        <v>95123171.262529999</v>
      </c>
      <c r="H372" s="67">
        <f t="shared" si="33"/>
        <v>2422.4667453550774</v>
      </c>
    </row>
    <row r="373" spans="3:8" x14ac:dyDescent="0.15">
      <c r="C373">
        <f t="shared" si="36"/>
        <v>30</v>
      </c>
      <c r="D373">
        <f t="shared" si="37"/>
        <v>12</v>
      </c>
      <c r="E373" s="65">
        <f t="shared" si="35"/>
        <v>1500000</v>
      </c>
      <c r="F373" s="62">
        <f t="shared" si="32"/>
        <v>127500</v>
      </c>
      <c r="G373" s="62">
        <f t="shared" si="34"/>
        <v>95600699.324683458</v>
      </c>
      <c r="H373" s="67">
        <f t="shared" si="33"/>
        <v>2434.6277765232662</v>
      </c>
    </row>
    <row r="374" spans="3:8" x14ac:dyDescent="0.15">
      <c r="C374">
        <f t="shared" si="36"/>
        <v>31</v>
      </c>
      <c r="D374">
        <f t="shared" si="37"/>
        <v>1</v>
      </c>
      <c r="E374" s="65">
        <f t="shared" si="35"/>
        <v>1500000</v>
      </c>
      <c r="F374" s="62">
        <f t="shared" si="32"/>
        <v>127500</v>
      </c>
      <c r="G374" s="62">
        <f t="shared" si="34"/>
        <v>96079982.211448699</v>
      </c>
      <c r="H374" s="67">
        <f t="shared" si="33"/>
        <v>2446.8334971631116</v>
      </c>
    </row>
    <row r="375" spans="3:8" x14ac:dyDescent="0.15">
      <c r="C375">
        <f t="shared" si="36"/>
        <v>31</v>
      </c>
      <c r="D375">
        <f t="shared" si="37"/>
        <v>2</v>
      </c>
      <c r="E375" s="65">
        <f t="shared" si="35"/>
        <v>1500000</v>
      </c>
      <c r="F375" s="62">
        <f t="shared" si="32"/>
        <v>127500</v>
      </c>
      <c r="G375" s="62">
        <f t="shared" si="34"/>
        <v>96561026.371471688</v>
      </c>
      <c r="H375" s="67">
        <f t="shared" si="33"/>
        <v>2459.0840714999026</v>
      </c>
    </row>
    <row r="376" spans="3:8" x14ac:dyDescent="0.15">
      <c r="C376">
        <f t="shared" si="36"/>
        <v>31</v>
      </c>
      <c r="D376">
        <f t="shared" si="37"/>
        <v>3</v>
      </c>
      <c r="E376" s="65">
        <f t="shared" si="35"/>
        <v>1500000</v>
      </c>
      <c r="F376" s="62">
        <f t="shared" si="32"/>
        <v>127500</v>
      </c>
      <c r="G376" s="62">
        <f t="shared" si="34"/>
        <v>97043838.277095959</v>
      </c>
      <c r="H376" s="67">
        <f t="shared" si="33"/>
        <v>2471.3796643624278</v>
      </c>
    </row>
    <row r="377" spans="3:8" x14ac:dyDescent="0.15">
      <c r="C377">
        <f t="shared" si="36"/>
        <v>31</v>
      </c>
      <c r="D377">
        <f t="shared" si="37"/>
        <v>4</v>
      </c>
      <c r="E377" s="65">
        <f t="shared" si="35"/>
        <v>1500000</v>
      </c>
      <c r="F377" s="62">
        <f t="shared" si="32"/>
        <v>127500</v>
      </c>
      <c r="G377" s="62">
        <f t="shared" si="34"/>
        <v>97528424.424449667</v>
      </c>
      <c r="H377" s="67">
        <f t="shared" si="33"/>
        <v>2483.7204411851881</v>
      </c>
    </row>
    <row r="378" spans="3:8" x14ac:dyDescent="0.15">
      <c r="C378">
        <f t="shared" si="36"/>
        <v>31</v>
      </c>
      <c r="D378">
        <f t="shared" si="37"/>
        <v>5</v>
      </c>
      <c r="E378" s="65">
        <f t="shared" si="35"/>
        <v>1500000</v>
      </c>
      <c r="F378" s="62">
        <f t="shared" si="32"/>
        <v>127500</v>
      </c>
      <c r="G378" s="62">
        <f t="shared" si="34"/>
        <v>98014791.333532989</v>
      </c>
      <c r="H378" s="67">
        <f t="shared" si="33"/>
        <v>2496.1065680106253</v>
      </c>
    </row>
    <row r="379" spans="3:8" x14ac:dyDescent="0.15">
      <c r="C379">
        <f t="shared" si="36"/>
        <v>31</v>
      </c>
      <c r="D379">
        <f t="shared" si="37"/>
        <v>6</v>
      </c>
      <c r="E379" s="65">
        <f t="shared" si="35"/>
        <v>1500000</v>
      </c>
      <c r="F379" s="62">
        <f t="shared" si="32"/>
        <v>127500</v>
      </c>
      <c r="G379" s="62">
        <f t="shared" si="34"/>
        <v>98502945.548305869</v>
      </c>
      <c r="H379" s="67">
        <f t="shared" si="33"/>
        <v>2508.5382114913559</v>
      </c>
    </row>
    <row r="380" spans="3:8" x14ac:dyDescent="0.15">
      <c r="C380">
        <f t="shared" si="36"/>
        <v>31</v>
      </c>
      <c r="D380">
        <f t="shared" si="37"/>
        <v>7</v>
      </c>
      <c r="E380" s="65">
        <f t="shared" si="35"/>
        <v>1500000</v>
      </c>
      <c r="F380" s="62">
        <f t="shared" si="32"/>
        <v>127500</v>
      </c>
      <c r="G380" s="62">
        <f t="shared" si="34"/>
        <v>98992893.63677606</v>
      </c>
      <c r="H380" s="67">
        <f t="shared" si="33"/>
        <v>2521.0155388924118</v>
      </c>
    </row>
    <row r="381" spans="3:8" x14ac:dyDescent="0.15">
      <c r="C381">
        <f t="shared" si="36"/>
        <v>31</v>
      </c>
      <c r="D381">
        <f t="shared" si="37"/>
        <v>8</v>
      </c>
      <c r="E381" s="65">
        <f t="shared" si="35"/>
        <v>1500000</v>
      </c>
      <c r="F381" s="62">
        <f t="shared" si="32"/>
        <v>127500</v>
      </c>
      <c r="G381" s="62">
        <f t="shared" si="34"/>
        <v>99484642.191087484</v>
      </c>
      <c r="H381" s="67">
        <f t="shared" si="33"/>
        <v>2533.5387180934936</v>
      </c>
    </row>
    <row r="382" spans="3:8" x14ac:dyDescent="0.15">
      <c r="C382">
        <f t="shared" si="36"/>
        <v>31</v>
      </c>
      <c r="D382">
        <f t="shared" si="37"/>
        <v>9</v>
      </c>
      <c r="E382" s="65">
        <f t="shared" si="35"/>
        <v>1500000</v>
      </c>
      <c r="F382" s="62">
        <f t="shared" si="32"/>
        <v>127500</v>
      </c>
      <c r="G382" s="62">
        <f t="shared" si="34"/>
        <v>99978197.827608943</v>
      </c>
      <c r="H382" s="67">
        <f t="shared" si="33"/>
        <v>2546.1079175912269</v>
      </c>
    </row>
    <row r="383" spans="3:8" x14ac:dyDescent="0.15">
      <c r="C383">
        <f t="shared" si="36"/>
        <v>31</v>
      </c>
      <c r="D383">
        <f t="shared" si="37"/>
        <v>10</v>
      </c>
      <c r="E383" s="65">
        <f t="shared" si="35"/>
        <v>1500000</v>
      </c>
      <c r="F383" s="62">
        <f t="shared" si="32"/>
        <v>127500</v>
      </c>
      <c r="G383" s="62">
        <f t="shared" si="34"/>
        <v>100473567.18702313</v>
      </c>
      <c r="H383" s="67">
        <f t="shared" si="33"/>
        <v>2558.7233065014307</v>
      </c>
    </row>
    <row r="384" spans="3:8" x14ac:dyDescent="0.15">
      <c r="C384">
        <f t="shared" si="36"/>
        <v>31</v>
      </c>
      <c r="D384">
        <f t="shared" si="37"/>
        <v>11</v>
      </c>
      <c r="E384" s="65">
        <f t="shared" si="35"/>
        <v>1500000</v>
      </c>
      <c r="F384" s="62">
        <f t="shared" si="32"/>
        <v>127500</v>
      </c>
      <c r="G384" s="62">
        <f t="shared" si="34"/>
        <v>100970756.93441598</v>
      </c>
      <c r="H384" s="67">
        <f t="shared" si="33"/>
        <v>2571.3850545613914</v>
      </c>
    </row>
    <row r="385" spans="3:8" x14ac:dyDescent="0.15">
      <c r="C385">
        <f t="shared" si="36"/>
        <v>31</v>
      </c>
      <c r="D385">
        <f t="shared" si="37"/>
        <v>12</v>
      </c>
      <c r="E385" s="65">
        <f t="shared" si="35"/>
        <v>1500000</v>
      </c>
      <c r="F385" s="62">
        <f t="shared" si="32"/>
        <v>127500</v>
      </c>
      <c r="G385" s="62">
        <f t="shared" si="34"/>
        <v>101469773.75936635</v>
      </c>
      <c r="H385" s="67">
        <f t="shared" si="33"/>
        <v>2584.093332132149</v>
      </c>
    </row>
    <row r="386" spans="3:8" x14ac:dyDescent="0.15">
      <c r="C386">
        <f t="shared" si="36"/>
        <v>32</v>
      </c>
      <c r="D386">
        <f t="shared" si="37"/>
        <v>1</v>
      </c>
      <c r="E386" s="65">
        <f t="shared" si="35"/>
        <v>1500000</v>
      </c>
      <c r="F386" s="62">
        <f t="shared" si="32"/>
        <v>127500</v>
      </c>
      <c r="G386" s="62">
        <f t="shared" si="34"/>
        <v>101970624.37603602</v>
      </c>
      <c r="H386" s="67">
        <f t="shared" si="33"/>
        <v>2596.8483102007872</v>
      </c>
    </row>
    <row r="387" spans="3:8" x14ac:dyDescent="0.15">
      <c r="C387">
        <f t="shared" si="36"/>
        <v>32</v>
      </c>
      <c r="D387">
        <f t="shared" si="37"/>
        <v>2</v>
      </c>
      <c r="E387" s="65">
        <f t="shared" si="35"/>
        <v>1500000</v>
      </c>
      <c r="F387" s="62">
        <f t="shared" si="32"/>
        <v>127500</v>
      </c>
      <c r="G387" s="62">
        <f t="shared" si="34"/>
        <v>102473315.52326004</v>
      </c>
      <c r="H387" s="67">
        <f t="shared" si="33"/>
        <v>2609.6501603827342</v>
      </c>
    </row>
    <row r="388" spans="3:8" x14ac:dyDescent="0.15">
      <c r="C388">
        <f t="shared" si="36"/>
        <v>32</v>
      </c>
      <c r="D388">
        <f t="shared" si="37"/>
        <v>3</v>
      </c>
      <c r="E388" s="65">
        <f t="shared" si="35"/>
        <v>1500000</v>
      </c>
      <c r="F388" s="62">
        <f t="shared" si="32"/>
        <v>127500</v>
      </c>
      <c r="G388" s="62">
        <f t="shared" si="34"/>
        <v>102977853.9646374</v>
      </c>
      <c r="H388" s="67">
        <f t="shared" si="33"/>
        <v>2622.4990549240724</v>
      </c>
    </row>
    <row r="389" spans="3:8" x14ac:dyDescent="0.15">
      <c r="C389">
        <f t="shared" si="36"/>
        <v>32</v>
      </c>
      <c r="D389">
        <f t="shared" si="37"/>
        <v>4</v>
      </c>
      <c r="E389" s="65">
        <f t="shared" si="35"/>
        <v>1500000</v>
      </c>
      <c r="F389" s="62">
        <f t="shared" si="32"/>
        <v>127500</v>
      </c>
      <c r="G389" s="62">
        <f t="shared" si="34"/>
        <v>103484246.48862202</v>
      </c>
      <c r="H389" s="67">
        <f t="shared" si="33"/>
        <v>2635.3951667038573</v>
      </c>
    </row>
    <row r="390" spans="3:8" x14ac:dyDescent="0.15">
      <c r="C390">
        <f t="shared" si="36"/>
        <v>32</v>
      </c>
      <c r="D390">
        <f t="shared" si="37"/>
        <v>5</v>
      </c>
      <c r="E390" s="65">
        <f t="shared" si="35"/>
        <v>1500000</v>
      </c>
      <c r="F390" s="62">
        <f t="shared" si="32"/>
        <v>127500</v>
      </c>
      <c r="G390" s="62">
        <f t="shared" si="34"/>
        <v>103992499.9086141</v>
      </c>
      <c r="H390" s="67">
        <f t="shared" si="33"/>
        <v>2648.3386692364393</v>
      </c>
    </row>
    <row r="391" spans="3:8" x14ac:dyDescent="0.15">
      <c r="C391">
        <f t="shared" si="36"/>
        <v>32</v>
      </c>
      <c r="D391">
        <f t="shared" si="37"/>
        <v>6</v>
      </c>
      <c r="E391" s="65">
        <f t="shared" si="35"/>
        <v>1500000</v>
      </c>
      <c r="F391" s="62">
        <f t="shared" si="32"/>
        <v>127500</v>
      </c>
      <c r="G391" s="62">
        <f t="shared" si="34"/>
        <v>104502621.06305176</v>
      </c>
      <c r="H391" s="67">
        <f t="shared" si="33"/>
        <v>2661.3297366738025</v>
      </c>
    </row>
    <row r="392" spans="3:8" x14ac:dyDescent="0.15">
      <c r="C392">
        <f t="shared" si="36"/>
        <v>32</v>
      </c>
      <c r="D392">
        <f t="shared" si="37"/>
        <v>7</v>
      </c>
      <c r="E392" s="65">
        <f t="shared" si="35"/>
        <v>1500000</v>
      </c>
      <c r="F392" s="62">
        <f t="shared" si="32"/>
        <v>127500</v>
      </c>
      <c r="G392" s="62">
        <f t="shared" si="34"/>
        <v>105014616.81550311</v>
      </c>
      <c r="H392" s="67">
        <f t="shared" si="33"/>
        <v>2674.368543807906</v>
      </c>
    </row>
    <row r="393" spans="3:8" x14ac:dyDescent="0.15">
      <c r="C393">
        <f t="shared" si="36"/>
        <v>32</v>
      </c>
      <c r="D393">
        <f t="shared" si="37"/>
        <v>8</v>
      </c>
      <c r="E393" s="65">
        <f t="shared" si="35"/>
        <v>1500000</v>
      </c>
      <c r="F393" s="62">
        <f t="shared" si="32"/>
        <v>127500</v>
      </c>
      <c r="G393" s="62">
        <f t="shared" si="34"/>
        <v>105528494.05475855</v>
      </c>
      <c r="H393" s="67">
        <f t="shared" si="33"/>
        <v>2687.4552660730365</v>
      </c>
    </row>
    <row r="394" spans="3:8" x14ac:dyDescent="0.15">
      <c r="C394">
        <f t="shared" si="36"/>
        <v>32</v>
      </c>
      <c r="D394">
        <f t="shared" si="37"/>
        <v>9</v>
      </c>
      <c r="E394" s="65">
        <f t="shared" si="35"/>
        <v>1500000</v>
      </c>
      <c r="F394" s="62">
        <f t="shared" si="32"/>
        <v>127500</v>
      </c>
      <c r="G394" s="62">
        <f t="shared" si="34"/>
        <v>106044259.69492348</v>
      </c>
      <c r="H394" s="67">
        <f t="shared" si="33"/>
        <v>2700.590079548168</v>
      </c>
    </row>
    <row r="395" spans="3:8" x14ac:dyDescent="0.15">
      <c r="C395">
        <f t="shared" si="36"/>
        <v>32</v>
      </c>
      <c r="D395">
        <f t="shared" si="37"/>
        <v>10</v>
      </c>
      <c r="E395" s="65">
        <f t="shared" si="35"/>
        <v>1500000</v>
      </c>
      <c r="F395" s="62">
        <f t="shared" si="32"/>
        <v>127500</v>
      </c>
      <c r="G395" s="62">
        <f t="shared" si="34"/>
        <v>106561920.6755113</v>
      </c>
      <c r="H395" s="67">
        <f t="shared" si="33"/>
        <v>2713.7731609593307</v>
      </c>
    </row>
    <row r="396" spans="3:8" x14ac:dyDescent="0.15">
      <c r="C396">
        <f t="shared" si="36"/>
        <v>32</v>
      </c>
      <c r="D396">
        <f t="shared" si="37"/>
        <v>11</v>
      </c>
      <c r="E396" s="65">
        <f t="shared" si="35"/>
        <v>1500000</v>
      </c>
      <c r="F396" s="62">
        <f t="shared" si="32"/>
        <v>127500</v>
      </c>
      <c r="G396" s="62">
        <f t="shared" si="34"/>
        <v>107081483.96153682</v>
      </c>
      <c r="H396" s="67">
        <f t="shared" si="33"/>
        <v>2727.0046876819897</v>
      </c>
    </row>
    <row r="397" spans="3:8" x14ac:dyDescent="0.15">
      <c r="C397">
        <f t="shared" si="36"/>
        <v>32</v>
      </c>
      <c r="D397">
        <f t="shared" si="37"/>
        <v>12</v>
      </c>
      <c r="E397" s="65">
        <f t="shared" si="35"/>
        <v>1500000</v>
      </c>
      <c r="F397" s="62">
        <f t="shared" si="32"/>
        <v>127500</v>
      </c>
      <c r="G397" s="62">
        <f t="shared" si="34"/>
        <v>107602956.54360996</v>
      </c>
      <c r="H397" s="67">
        <f t="shared" si="33"/>
        <v>2740.2848377434316</v>
      </c>
    </row>
    <row r="398" spans="3:8" x14ac:dyDescent="0.15">
      <c r="C398">
        <f t="shared" si="36"/>
        <v>33</v>
      </c>
      <c r="D398">
        <f t="shared" si="37"/>
        <v>1</v>
      </c>
      <c r="E398" s="65">
        <f t="shared" si="35"/>
        <v>1500000</v>
      </c>
      <c r="F398" s="62">
        <f t="shared" si="32"/>
        <v>127500</v>
      </c>
      <c r="G398" s="62">
        <f t="shared" si="34"/>
        <v>108126345.43802977</v>
      </c>
      <c r="H398" s="67">
        <f t="shared" si="33"/>
        <v>2753.6137898251582</v>
      </c>
    </row>
    <row r="399" spans="3:8" x14ac:dyDescent="0.15">
      <c r="C399">
        <f t="shared" si="36"/>
        <v>33</v>
      </c>
      <c r="D399">
        <f t="shared" si="37"/>
        <v>2</v>
      </c>
      <c r="E399" s="65">
        <f t="shared" si="35"/>
        <v>1500000</v>
      </c>
      <c r="F399" s="62">
        <f t="shared" ref="F399:F462" si="38">IF(E399/$D$3&lt;$D$2*(1+$D$11)^(C399-1),0.1*E399,0.1*$D$2*$D$3*(1+$D$11)^(C399-1))*(1-$D$9)</f>
        <v>127500</v>
      </c>
      <c r="G399" s="62">
        <f t="shared" si="34"/>
        <v>108651657.68687887</v>
      </c>
      <c r="H399" s="67">
        <f t="shared" ref="H399:H462" si="39">G399/$D$3</f>
        <v>2766.9917232652929</v>
      </c>
    </row>
    <row r="400" spans="3:8" x14ac:dyDescent="0.15">
      <c r="C400">
        <f t="shared" si="36"/>
        <v>33</v>
      </c>
      <c r="D400">
        <f t="shared" si="37"/>
        <v>3</v>
      </c>
      <c r="E400" s="65">
        <f t="shared" si="35"/>
        <v>1500000</v>
      </c>
      <c r="F400" s="62">
        <f t="shared" si="38"/>
        <v>127500</v>
      </c>
      <c r="G400" s="62">
        <f t="shared" ref="G400:G463" si="40">(F400+G399)*(1+$D$5)</f>
        <v>109178900.35811822</v>
      </c>
      <c r="H400" s="67">
        <f t="shared" si="39"/>
        <v>2780.4188180609917</v>
      </c>
    </row>
    <row r="401" spans="3:8" x14ac:dyDescent="0.15">
      <c r="C401">
        <f t="shared" si="36"/>
        <v>33</v>
      </c>
      <c r="D401">
        <f t="shared" si="37"/>
        <v>4</v>
      </c>
      <c r="E401" s="65">
        <f t="shared" ref="E401:E464" si="41">E400</f>
        <v>1500000</v>
      </c>
      <c r="F401" s="62">
        <f t="shared" si="38"/>
        <v>127500</v>
      </c>
      <c r="G401" s="62">
        <f t="shared" si="40"/>
        <v>109708080.54568215</v>
      </c>
      <c r="H401" s="67">
        <f t="shared" si="39"/>
        <v>2793.8952548708662</v>
      </c>
    </row>
    <row r="402" spans="3:8" x14ac:dyDescent="0.15">
      <c r="C402">
        <f t="shared" si="36"/>
        <v>33</v>
      </c>
      <c r="D402">
        <f t="shared" si="37"/>
        <v>5</v>
      </c>
      <c r="E402" s="65">
        <f t="shared" si="41"/>
        <v>1500000</v>
      </c>
      <c r="F402" s="62">
        <f t="shared" si="38"/>
        <v>127500</v>
      </c>
      <c r="G402" s="62">
        <f t="shared" si="40"/>
        <v>110239205.36957386</v>
      </c>
      <c r="H402" s="67">
        <f t="shared" si="39"/>
        <v>2807.4212150174144</v>
      </c>
    </row>
    <row r="403" spans="3:8" x14ac:dyDescent="0.15">
      <c r="C403">
        <f t="shared" si="36"/>
        <v>33</v>
      </c>
      <c r="D403">
        <f t="shared" si="37"/>
        <v>6</v>
      </c>
      <c r="E403" s="65">
        <f t="shared" si="41"/>
        <v>1500000</v>
      </c>
      <c r="F403" s="62">
        <f t="shared" si="38"/>
        <v>127500</v>
      </c>
      <c r="G403" s="62">
        <f t="shared" si="40"/>
        <v>110772281.97596121</v>
      </c>
      <c r="H403" s="67">
        <f t="shared" si="39"/>
        <v>2820.9968804894588</v>
      </c>
    </row>
    <row r="404" spans="3:8" x14ac:dyDescent="0.15">
      <c r="C404">
        <f t="shared" si="36"/>
        <v>33</v>
      </c>
      <c r="D404">
        <f t="shared" si="37"/>
        <v>7</v>
      </c>
      <c r="E404" s="65">
        <f t="shared" si="41"/>
        <v>1500000</v>
      </c>
      <c r="F404" s="62">
        <f t="shared" si="38"/>
        <v>127500</v>
      </c>
      <c r="G404" s="62">
        <f t="shared" si="40"/>
        <v>111307317.53727287</v>
      </c>
      <c r="H404" s="67">
        <f t="shared" si="39"/>
        <v>2834.6224339445971</v>
      </c>
    </row>
    <row r="405" spans="3:8" x14ac:dyDescent="0.15">
      <c r="C405">
        <f t="shared" si="36"/>
        <v>33</v>
      </c>
      <c r="D405">
        <f t="shared" si="37"/>
        <v>8</v>
      </c>
      <c r="E405" s="65">
        <f t="shared" si="41"/>
        <v>1500000</v>
      </c>
      <c r="F405" s="62">
        <f t="shared" si="38"/>
        <v>127500</v>
      </c>
      <c r="G405" s="62">
        <f t="shared" si="40"/>
        <v>111844319.25229481</v>
      </c>
      <c r="H405" s="67">
        <f t="shared" si="39"/>
        <v>2848.2980587116585</v>
      </c>
    </row>
    <row r="406" spans="3:8" x14ac:dyDescent="0.15">
      <c r="C406">
        <f t="shared" si="36"/>
        <v>33</v>
      </c>
      <c r="D406">
        <f t="shared" si="37"/>
        <v>9</v>
      </c>
      <c r="E406" s="65">
        <f t="shared" si="41"/>
        <v>1500000</v>
      </c>
      <c r="F406" s="62">
        <f t="shared" si="38"/>
        <v>127500</v>
      </c>
      <c r="G406" s="62">
        <f t="shared" si="40"/>
        <v>112383294.34626716</v>
      </c>
      <c r="H406" s="67">
        <f t="shared" si="39"/>
        <v>2862.0239387931711</v>
      </c>
    </row>
    <row r="407" spans="3:8" x14ac:dyDescent="0.15">
      <c r="C407">
        <f t="shared" si="36"/>
        <v>33</v>
      </c>
      <c r="D407">
        <f t="shared" si="37"/>
        <v>10</v>
      </c>
      <c r="E407" s="65">
        <f t="shared" si="41"/>
        <v>1500000</v>
      </c>
      <c r="F407" s="62">
        <f t="shared" si="38"/>
        <v>127500</v>
      </c>
      <c r="G407" s="62">
        <f t="shared" si="40"/>
        <v>112924250.07098144</v>
      </c>
      <c r="H407" s="67">
        <f t="shared" si="39"/>
        <v>2875.800258867836</v>
      </c>
    </row>
    <row r="408" spans="3:8" x14ac:dyDescent="0.15">
      <c r="C408">
        <f t="shared" si="36"/>
        <v>33</v>
      </c>
      <c r="D408">
        <f t="shared" si="37"/>
        <v>11</v>
      </c>
      <c r="E408" s="65">
        <f t="shared" si="41"/>
        <v>1500000</v>
      </c>
      <c r="F408" s="62">
        <f t="shared" si="38"/>
        <v>127500</v>
      </c>
      <c r="G408" s="62">
        <f t="shared" si="40"/>
        <v>113467193.70487812</v>
      </c>
      <c r="H408" s="67">
        <f t="shared" si="39"/>
        <v>2889.627204293015</v>
      </c>
    </row>
    <row r="409" spans="3:8" x14ac:dyDescent="0.15">
      <c r="C409">
        <f t="shared" si="36"/>
        <v>33</v>
      </c>
      <c r="D409">
        <f t="shared" si="37"/>
        <v>12</v>
      </c>
      <c r="E409" s="65">
        <f t="shared" si="41"/>
        <v>1500000</v>
      </c>
      <c r="F409" s="62">
        <f t="shared" si="38"/>
        <v>127500</v>
      </c>
      <c r="G409" s="62">
        <f t="shared" si="40"/>
        <v>114012132.55314456</v>
      </c>
      <c r="H409" s="67">
        <f t="shared" si="39"/>
        <v>2903.5049611072218</v>
      </c>
    </row>
    <row r="410" spans="3:8" x14ac:dyDescent="0.15">
      <c r="C410">
        <f t="shared" si="36"/>
        <v>34</v>
      </c>
      <c r="D410">
        <f t="shared" si="37"/>
        <v>1</v>
      </c>
      <c r="E410" s="65">
        <f t="shared" si="41"/>
        <v>1500000</v>
      </c>
      <c r="F410" s="62">
        <f t="shared" si="38"/>
        <v>127500</v>
      </c>
      <c r="G410" s="62">
        <f t="shared" si="40"/>
        <v>114559073.94781326</v>
      </c>
      <c r="H410" s="67">
        <f t="shared" si="39"/>
        <v>2917.4337160326263</v>
      </c>
    </row>
    <row r="411" spans="3:8" x14ac:dyDescent="0.15">
      <c r="C411">
        <f t="shared" si="36"/>
        <v>34</v>
      </c>
      <c r="D411">
        <f t="shared" si="37"/>
        <v>2</v>
      </c>
      <c r="E411" s="65">
        <f t="shared" si="41"/>
        <v>1500000</v>
      </c>
      <c r="F411" s="62">
        <f t="shared" si="38"/>
        <v>127500</v>
      </c>
      <c r="G411" s="62">
        <f t="shared" si="40"/>
        <v>115108025.24786058</v>
      </c>
      <c r="H411" s="67">
        <f t="shared" si="39"/>
        <v>2931.4136564775672</v>
      </c>
    </row>
    <row r="412" spans="3:8" x14ac:dyDescent="0.15">
      <c r="C412">
        <f t="shared" si="36"/>
        <v>34</v>
      </c>
      <c r="D412">
        <f t="shared" si="37"/>
        <v>3</v>
      </c>
      <c r="E412" s="65">
        <f t="shared" si="41"/>
        <v>1500000</v>
      </c>
      <c r="F412" s="62">
        <f t="shared" si="38"/>
        <v>127500</v>
      </c>
      <c r="G412" s="62">
        <f t="shared" si="40"/>
        <v>115658993.8393057</v>
      </c>
      <c r="H412" s="67">
        <f t="shared" si="39"/>
        <v>2945.4449705390725</v>
      </c>
    </row>
    <row r="413" spans="3:8" x14ac:dyDescent="0.15">
      <c r="C413">
        <f t="shared" si="36"/>
        <v>34</v>
      </c>
      <c r="D413">
        <f t="shared" si="37"/>
        <v>4</v>
      </c>
      <c r="E413" s="65">
        <f t="shared" si="41"/>
        <v>1500000</v>
      </c>
      <c r="F413" s="62">
        <f t="shared" si="38"/>
        <v>127500</v>
      </c>
      <c r="G413" s="62">
        <f t="shared" si="40"/>
        <v>116211987.13531001</v>
      </c>
      <c r="H413" s="67">
        <f t="shared" si="39"/>
        <v>2959.5278470053918</v>
      </c>
    </row>
    <row r="414" spans="3:8" x14ac:dyDescent="0.15">
      <c r="C414">
        <f t="shared" si="36"/>
        <v>34</v>
      </c>
      <c r="D414">
        <f t="shared" si="37"/>
        <v>5</v>
      </c>
      <c r="E414" s="65">
        <f t="shared" si="41"/>
        <v>1500000</v>
      </c>
      <c r="F414" s="62">
        <f t="shared" si="38"/>
        <v>127500</v>
      </c>
      <c r="G414" s="62">
        <f t="shared" si="40"/>
        <v>116767012.57627685</v>
      </c>
      <c r="H414" s="67">
        <f t="shared" si="39"/>
        <v>2973.6624753585347</v>
      </c>
    </row>
    <row r="415" spans="3:8" x14ac:dyDescent="0.15">
      <c r="C415">
        <f t="shared" si="36"/>
        <v>34</v>
      </c>
      <c r="D415">
        <f t="shared" si="37"/>
        <v>6</v>
      </c>
      <c r="E415" s="65">
        <f t="shared" si="41"/>
        <v>1500000</v>
      </c>
      <c r="F415" s="62">
        <f t="shared" si="38"/>
        <v>127500</v>
      </c>
      <c r="G415" s="62">
        <f t="shared" si="40"/>
        <v>117324077.62995164</v>
      </c>
      <c r="H415" s="67">
        <f t="shared" si="39"/>
        <v>2987.8490457768212</v>
      </c>
    </row>
    <row r="416" spans="3:8" x14ac:dyDescent="0.15">
      <c r="C416">
        <f t="shared" si="36"/>
        <v>34</v>
      </c>
      <c r="D416">
        <f t="shared" si="37"/>
        <v>7</v>
      </c>
      <c r="E416" s="65">
        <f t="shared" si="41"/>
        <v>1500000</v>
      </c>
      <c r="F416" s="62">
        <f t="shared" si="38"/>
        <v>127500</v>
      </c>
      <c r="G416" s="62">
        <f t="shared" si="40"/>
        <v>117883189.79152232</v>
      </c>
      <c r="H416" s="67">
        <f t="shared" si="39"/>
        <v>3002.0877491374408</v>
      </c>
    </row>
    <row r="417" spans="3:8" x14ac:dyDescent="0.15">
      <c r="C417">
        <f t="shared" ref="C417:C480" si="42">IF(MOD(D416,12)=0,C416+1,C416)</f>
        <v>34</v>
      </c>
      <c r="D417">
        <f t="shared" ref="D417:D480" si="43">IF(MOD(D416,12)=0,1,D416+1)</f>
        <v>8</v>
      </c>
      <c r="E417" s="65">
        <f t="shared" si="41"/>
        <v>1500000</v>
      </c>
      <c r="F417" s="62">
        <f t="shared" si="38"/>
        <v>127500</v>
      </c>
      <c r="G417" s="62">
        <f t="shared" si="40"/>
        <v>118444356.58372025</v>
      </c>
      <c r="H417" s="67">
        <f t="shared" si="39"/>
        <v>3016.3787770190202</v>
      </c>
    </row>
    <row r="418" spans="3:8" x14ac:dyDescent="0.15">
      <c r="C418">
        <f t="shared" si="42"/>
        <v>34</v>
      </c>
      <c r="D418">
        <f t="shared" si="43"/>
        <v>9</v>
      </c>
      <c r="E418" s="65">
        <f t="shared" si="41"/>
        <v>1500000</v>
      </c>
      <c r="F418" s="62">
        <f t="shared" si="38"/>
        <v>127500</v>
      </c>
      <c r="G418" s="62">
        <f t="shared" si="40"/>
        <v>119007585.55692136</v>
      </c>
      <c r="H418" s="67">
        <f t="shared" si="39"/>
        <v>3030.7223217042006</v>
      </c>
    </row>
    <row r="419" spans="3:8" x14ac:dyDescent="0.15">
      <c r="C419">
        <f t="shared" si="42"/>
        <v>34</v>
      </c>
      <c r="D419">
        <f t="shared" si="43"/>
        <v>10</v>
      </c>
      <c r="E419" s="65">
        <f t="shared" si="41"/>
        <v>1500000</v>
      </c>
      <c r="F419" s="62">
        <f t="shared" si="38"/>
        <v>127500</v>
      </c>
      <c r="G419" s="62">
        <f t="shared" si="40"/>
        <v>119572884.28924778</v>
      </c>
      <c r="H419" s="67">
        <f t="shared" si="39"/>
        <v>3045.1185761822253</v>
      </c>
    </row>
    <row r="420" spans="3:8" x14ac:dyDescent="0.15">
      <c r="C420">
        <f t="shared" si="42"/>
        <v>34</v>
      </c>
      <c r="D420">
        <f t="shared" si="43"/>
        <v>11</v>
      </c>
      <c r="E420" s="65">
        <f t="shared" si="41"/>
        <v>1500000</v>
      </c>
      <c r="F420" s="62">
        <f t="shared" si="38"/>
        <v>127500</v>
      </c>
      <c r="G420" s="62">
        <f t="shared" si="40"/>
        <v>120140260.38666981</v>
      </c>
      <c r="H420" s="67">
        <f t="shared" si="39"/>
        <v>3059.5677341515375</v>
      </c>
    </row>
    <row r="421" spans="3:8" x14ac:dyDescent="0.15">
      <c r="C421">
        <f t="shared" si="42"/>
        <v>34</v>
      </c>
      <c r="D421">
        <f t="shared" si="43"/>
        <v>12</v>
      </c>
      <c r="E421" s="65">
        <f t="shared" si="41"/>
        <v>1500000</v>
      </c>
      <c r="F421" s="62">
        <f t="shared" si="38"/>
        <v>127500</v>
      </c>
      <c r="G421" s="62">
        <f t="shared" si="40"/>
        <v>120709721.48310824</v>
      </c>
      <c r="H421" s="67">
        <f t="shared" si="39"/>
        <v>3074.0699900223835</v>
      </c>
    </row>
    <row r="422" spans="3:8" x14ac:dyDescent="0.15">
      <c r="C422">
        <f t="shared" si="42"/>
        <v>35</v>
      </c>
      <c r="D422">
        <f t="shared" si="43"/>
        <v>1</v>
      </c>
      <c r="E422" s="65">
        <f t="shared" si="41"/>
        <v>1500000</v>
      </c>
      <c r="F422" s="62">
        <f t="shared" si="38"/>
        <v>127500</v>
      </c>
      <c r="G422" s="62">
        <f t="shared" si="40"/>
        <v>121281275.24053703</v>
      </c>
      <c r="H422" s="67">
        <f t="shared" si="39"/>
        <v>3088.6255389194312</v>
      </c>
    </row>
    <row r="423" spans="3:8" x14ac:dyDescent="0.15">
      <c r="C423">
        <f t="shared" si="42"/>
        <v>35</v>
      </c>
      <c r="D423">
        <f t="shared" si="43"/>
        <v>2</v>
      </c>
      <c r="E423" s="65">
        <f t="shared" si="41"/>
        <v>1500000</v>
      </c>
      <c r="F423" s="62">
        <f t="shared" si="38"/>
        <v>127500</v>
      </c>
      <c r="G423" s="62">
        <f t="shared" si="40"/>
        <v>121854929.34908648</v>
      </c>
      <c r="H423" s="67">
        <f t="shared" si="39"/>
        <v>3103.2345766843941</v>
      </c>
    </row>
    <row r="424" spans="3:8" x14ac:dyDescent="0.15">
      <c r="C424">
        <f t="shared" si="42"/>
        <v>35</v>
      </c>
      <c r="D424">
        <f t="shared" si="43"/>
        <v>3</v>
      </c>
      <c r="E424" s="65">
        <f t="shared" si="41"/>
        <v>1500000</v>
      </c>
      <c r="F424" s="62">
        <f t="shared" si="38"/>
        <v>127500</v>
      </c>
      <c r="G424" s="62">
        <f t="shared" si="40"/>
        <v>122430691.52714662</v>
      </c>
      <c r="H424" s="67">
        <f t="shared" si="39"/>
        <v>3117.8972998786676</v>
      </c>
    </row>
    <row r="425" spans="3:8" x14ac:dyDescent="0.15">
      <c r="C425">
        <f t="shared" si="42"/>
        <v>35</v>
      </c>
      <c r="D425">
        <f t="shared" si="43"/>
        <v>4</v>
      </c>
      <c r="E425" s="65">
        <f t="shared" si="41"/>
        <v>1500000</v>
      </c>
      <c r="F425" s="62">
        <f t="shared" si="38"/>
        <v>127500</v>
      </c>
      <c r="G425" s="62">
        <f t="shared" si="40"/>
        <v>123008569.52147113</v>
      </c>
      <c r="H425" s="67">
        <f t="shared" si="39"/>
        <v>3132.6139057859709</v>
      </c>
    </row>
    <row r="426" spans="3:8" x14ac:dyDescent="0.15">
      <c r="C426">
        <f t="shared" si="42"/>
        <v>35</v>
      </c>
      <c r="D426">
        <f t="shared" si="43"/>
        <v>5</v>
      </c>
      <c r="E426" s="65">
        <f t="shared" si="41"/>
        <v>1500000</v>
      </c>
      <c r="F426" s="62">
        <f t="shared" si="38"/>
        <v>127500</v>
      </c>
      <c r="G426" s="62">
        <f t="shared" si="40"/>
        <v>123588571.10728148</v>
      </c>
      <c r="H426" s="67">
        <f t="shared" si="39"/>
        <v>3147.384592415005</v>
      </c>
    </row>
    <row r="427" spans="3:8" x14ac:dyDescent="0.15">
      <c r="C427">
        <f t="shared" si="42"/>
        <v>35</v>
      </c>
      <c r="D427">
        <f t="shared" si="43"/>
        <v>6</v>
      </c>
      <c r="E427" s="65">
        <f t="shared" si="41"/>
        <v>1500000</v>
      </c>
      <c r="F427" s="62">
        <f t="shared" si="38"/>
        <v>127500</v>
      </c>
      <c r="G427" s="62">
        <f t="shared" si="40"/>
        <v>124170704.08837163</v>
      </c>
      <c r="H427" s="67">
        <f t="shared" si="39"/>
        <v>3162.2095585021148</v>
      </c>
    </row>
    <row r="428" spans="3:8" x14ac:dyDescent="0.15">
      <c r="C428">
        <f t="shared" si="42"/>
        <v>35</v>
      </c>
      <c r="D428">
        <f t="shared" si="43"/>
        <v>7</v>
      </c>
      <c r="E428" s="65">
        <f t="shared" si="41"/>
        <v>1500000</v>
      </c>
      <c r="F428" s="62">
        <f t="shared" si="38"/>
        <v>127500</v>
      </c>
      <c r="G428" s="62">
        <f t="shared" si="40"/>
        <v>124754976.297213</v>
      </c>
      <c r="H428" s="67">
        <f t="shared" si="39"/>
        <v>3177.0890035139623</v>
      </c>
    </row>
    <row r="429" spans="3:8" x14ac:dyDescent="0.15">
      <c r="C429">
        <f t="shared" si="42"/>
        <v>35</v>
      </c>
      <c r="D429">
        <f t="shared" si="43"/>
        <v>8</v>
      </c>
      <c r="E429" s="65">
        <f t="shared" si="41"/>
        <v>1500000</v>
      </c>
      <c r="F429" s="62">
        <f t="shared" si="38"/>
        <v>127500</v>
      </c>
      <c r="G429" s="62">
        <f t="shared" si="40"/>
        <v>125341395.59505983</v>
      </c>
      <c r="H429" s="67">
        <f t="shared" si="39"/>
        <v>3192.0231276502122</v>
      </c>
    </row>
    <row r="430" spans="3:8" x14ac:dyDescent="0.15">
      <c r="C430">
        <f t="shared" si="42"/>
        <v>35</v>
      </c>
      <c r="D430">
        <f t="shared" si="43"/>
        <v>9</v>
      </c>
      <c r="E430" s="65">
        <f t="shared" si="41"/>
        <v>1500000</v>
      </c>
      <c r="F430" s="62">
        <f t="shared" si="38"/>
        <v>127500</v>
      </c>
      <c r="G430" s="62">
        <f t="shared" si="40"/>
        <v>125929969.87205498</v>
      </c>
      <c r="H430" s="67">
        <f t="shared" si="39"/>
        <v>3207.0121318462257</v>
      </c>
    </row>
    <row r="431" spans="3:8" x14ac:dyDescent="0.15">
      <c r="C431">
        <f t="shared" si="42"/>
        <v>35</v>
      </c>
      <c r="D431">
        <f t="shared" si="43"/>
        <v>10</v>
      </c>
      <c r="E431" s="65">
        <f t="shared" si="41"/>
        <v>1500000</v>
      </c>
      <c r="F431" s="62">
        <f t="shared" si="38"/>
        <v>127500</v>
      </c>
      <c r="G431" s="62">
        <f t="shared" si="40"/>
        <v>126520707.04733609</v>
      </c>
      <c r="H431" s="67">
        <f t="shared" si="39"/>
        <v>3222.056217775762</v>
      </c>
    </row>
    <row r="432" spans="3:8" x14ac:dyDescent="0.15">
      <c r="C432">
        <f t="shared" si="42"/>
        <v>35</v>
      </c>
      <c r="D432">
        <f t="shared" si="43"/>
        <v>11</v>
      </c>
      <c r="E432" s="65">
        <f t="shared" si="41"/>
        <v>1500000</v>
      </c>
      <c r="F432" s="62">
        <f t="shared" si="38"/>
        <v>127500</v>
      </c>
      <c r="G432" s="62">
        <f t="shared" si="40"/>
        <v>127113615.0691421</v>
      </c>
      <c r="H432" s="67">
        <f t="shared" si="39"/>
        <v>3237.1555878536929</v>
      </c>
    </row>
    <row r="433" spans="3:8" x14ac:dyDescent="0.15">
      <c r="C433">
        <f t="shared" si="42"/>
        <v>35</v>
      </c>
      <c r="D433">
        <f t="shared" si="43"/>
        <v>12</v>
      </c>
      <c r="E433" s="65">
        <f t="shared" si="41"/>
        <v>1500000</v>
      </c>
      <c r="F433" s="62">
        <f t="shared" si="38"/>
        <v>127500</v>
      </c>
      <c r="G433" s="62">
        <f t="shared" si="40"/>
        <v>127708701.91492026</v>
      </c>
      <c r="H433" s="67">
        <f t="shared" si="39"/>
        <v>3252.310445238727</v>
      </c>
    </row>
    <row r="434" spans="3:8" x14ac:dyDescent="0.15">
      <c r="C434">
        <f t="shared" si="42"/>
        <v>36</v>
      </c>
      <c r="D434">
        <f t="shared" si="43"/>
        <v>1</v>
      </c>
      <c r="E434" s="65">
        <f t="shared" si="41"/>
        <v>1500000</v>
      </c>
      <c r="F434" s="62">
        <f t="shared" si="38"/>
        <v>127500</v>
      </c>
      <c r="G434" s="62">
        <f t="shared" si="40"/>
        <v>128305975.59143335</v>
      </c>
      <c r="H434" s="67">
        <f t="shared" si="39"/>
        <v>3267.5209938361418</v>
      </c>
    </row>
    <row r="435" spans="3:8" x14ac:dyDescent="0.15">
      <c r="C435">
        <f t="shared" si="42"/>
        <v>36</v>
      </c>
      <c r="D435">
        <f t="shared" si="43"/>
        <v>2</v>
      </c>
      <c r="E435" s="65">
        <f t="shared" si="41"/>
        <v>1500000</v>
      </c>
      <c r="F435" s="62">
        <f t="shared" si="38"/>
        <v>127500</v>
      </c>
      <c r="G435" s="62">
        <f t="shared" si="40"/>
        <v>128905444.13486752</v>
      </c>
      <c r="H435" s="67">
        <f t="shared" si="39"/>
        <v>3282.7874383005283</v>
      </c>
    </row>
    <row r="436" spans="3:8" x14ac:dyDescent="0.15">
      <c r="C436">
        <f t="shared" si="42"/>
        <v>36</v>
      </c>
      <c r="D436">
        <f t="shared" si="43"/>
        <v>3</v>
      </c>
      <c r="E436" s="65">
        <f t="shared" si="41"/>
        <v>1500000</v>
      </c>
      <c r="F436" s="62">
        <f t="shared" si="38"/>
        <v>127500</v>
      </c>
      <c r="G436" s="62">
        <f t="shared" si="40"/>
        <v>129507115.61094037</v>
      </c>
      <c r="H436" s="67">
        <f t="shared" si="39"/>
        <v>3298.1099840385436</v>
      </c>
    </row>
    <row r="437" spans="3:8" x14ac:dyDescent="0.15">
      <c r="C437">
        <f t="shared" si="42"/>
        <v>36</v>
      </c>
      <c r="D437">
        <f t="shared" si="43"/>
        <v>4</v>
      </c>
      <c r="E437" s="65">
        <f t="shared" si="41"/>
        <v>1500000</v>
      </c>
      <c r="F437" s="62">
        <f t="shared" si="38"/>
        <v>127500</v>
      </c>
      <c r="G437" s="62">
        <f t="shared" si="40"/>
        <v>130110998.11500947</v>
      </c>
      <c r="H437" s="67">
        <f t="shared" si="39"/>
        <v>3313.4888372116757</v>
      </c>
    </row>
    <row r="438" spans="3:8" x14ac:dyDescent="0.15">
      <c r="C438">
        <f t="shared" si="42"/>
        <v>36</v>
      </c>
      <c r="D438">
        <f t="shared" si="43"/>
        <v>5</v>
      </c>
      <c r="E438" s="65">
        <f t="shared" si="41"/>
        <v>1500000</v>
      </c>
      <c r="F438" s="62">
        <f t="shared" si="38"/>
        <v>127500</v>
      </c>
      <c r="G438" s="62">
        <f t="shared" si="40"/>
        <v>130717099.77218129</v>
      </c>
      <c r="H438" s="67">
        <f t="shared" si="39"/>
        <v>3328.9242047390162</v>
      </c>
    </row>
    <row r="439" spans="3:8" x14ac:dyDescent="0.15">
      <c r="C439">
        <f t="shared" si="42"/>
        <v>36</v>
      </c>
      <c r="D439">
        <f t="shared" si="43"/>
        <v>6</v>
      </c>
      <c r="E439" s="65">
        <f t="shared" si="41"/>
        <v>1500000</v>
      </c>
      <c r="F439" s="62">
        <f t="shared" si="38"/>
        <v>127500</v>
      </c>
      <c r="G439" s="62">
        <f t="shared" si="40"/>
        <v>131325428.7374205</v>
      </c>
      <c r="H439" s="67">
        <f t="shared" si="39"/>
        <v>3344.416294300046</v>
      </c>
    </row>
    <row r="440" spans="3:8" x14ac:dyDescent="0.15">
      <c r="C440">
        <f t="shared" si="42"/>
        <v>36</v>
      </c>
      <c r="D440">
        <f t="shared" si="43"/>
        <v>7</v>
      </c>
      <c r="E440" s="65">
        <f t="shared" si="41"/>
        <v>1500000</v>
      </c>
      <c r="F440" s="62">
        <f t="shared" si="38"/>
        <v>127500</v>
      </c>
      <c r="G440" s="62">
        <f t="shared" si="40"/>
        <v>131935993.19565973</v>
      </c>
      <c r="H440" s="67">
        <f t="shared" si="39"/>
        <v>3359.9653143374267</v>
      </c>
    </row>
    <row r="441" spans="3:8" x14ac:dyDescent="0.15">
      <c r="C441">
        <f t="shared" si="42"/>
        <v>36</v>
      </c>
      <c r="D441">
        <f t="shared" si="43"/>
        <v>8</v>
      </c>
      <c r="E441" s="65">
        <f t="shared" si="41"/>
        <v>1500000</v>
      </c>
      <c r="F441" s="62">
        <f t="shared" si="38"/>
        <v>127500</v>
      </c>
      <c r="G441" s="62">
        <f t="shared" si="40"/>
        <v>132548801.36190967</v>
      </c>
      <c r="H441" s="67">
        <f t="shared" si="39"/>
        <v>3375.5714740598082</v>
      </c>
    </row>
    <row r="442" spans="3:8" x14ac:dyDescent="0.15">
      <c r="C442">
        <f t="shared" si="42"/>
        <v>36</v>
      </c>
      <c r="D442">
        <f t="shared" si="43"/>
        <v>9</v>
      </c>
      <c r="E442" s="65">
        <f t="shared" si="41"/>
        <v>1500000</v>
      </c>
      <c r="F442" s="62">
        <f t="shared" si="38"/>
        <v>127500</v>
      </c>
      <c r="G442" s="62">
        <f t="shared" si="40"/>
        <v>133163861.48136961</v>
      </c>
      <c r="H442" s="67">
        <f t="shared" si="39"/>
        <v>3391.2349834446422</v>
      </c>
    </row>
    <row r="443" spans="3:8" x14ac:dyDescent="0.15">
      <c r="C443">
        <f t="shared" si="42"/>
        <v>36</v>
      </c>
      <c r="D443">
        <f t="shared" si="43"/>
        <v>10</v>
      </c>
      <c r="E443" s="65">
        <f t="shared" si="41"/>
        <v>1500000</v>
      </c>
      <c r="F443" s="62">
        <f t="shared" si="38"/>
        <v>127500</v>
      </c>
      <c r="G443" s="62">
        <f t="shared" si="40"/>
        <v>133781181.82953838</v>
      </c>
      <c r="H443" s="67">
        <f t="shared" si="39"/>
        <v>3406.9560532410078</v>
      </c>
    </row>
    <row r="444" spans="3:8" x14ac:dyDescent="0.15">
      <c r="C444">
        <f t="shared" si="42"/>
        <v>36</v>
      </c>
      <c r="D444">
        <f t="shared" si="43"/>
        <v>11</v>
      </c>
      <c r="E444" s="65">
        <f t="shared" si="41"/>
        <v>1500000</v>
      </c>
      <c r="F444" s="62">
        <f t="shared" si="38"/>
        <v>127500</v>
      </c>
      <c r="G444" s="62">
        <f t="shared" si="40"/>
        <v>134400770.71232566</v>
      </c>
      <c r="H444" s="67">
        <f t="shared" si="39"/>
        <v>3422.7348949724455</v>
      </c>
    </row>
    <row r="445" spans="3:8" x14ac:dyDescent="0.15">
      <c r="C445">
        <f t="shared" si="42"/>
        <v>36</v>
      </c>
      <c r="D445">
        <f t="shared" si="43"/>
        <v>12</v>
      </c>
      <c r="E445" s="65">
        <f t="shared" si="41"/>
        <v>1500000</v>
      </c>
      <c r="F445" s="62">
        <f t="shared" si="38"/>
        <v>127500</v>
      </c>
      <c r="G445" s="62">
        <f t="shared" si="40"/>
        <v>135022636.46616384</v>
      </c>
      <c r="H445" s="67">
        <f t="shared" si="39"/>
        <v>3438.5717209398063</v>
      </c>
    </row>
    <row r="446" spans="3:8" x14ac:dyDescent="0.15">
      <c r="C446">
        <f t="shared" si="42"/>
        <v>37</v>
      </c>
      <c r="D446">
        <f t="shared" si="43"/>
        <v>1</v>
      </c>
      <c r="E446" s="65">
        <f t="shared" si="41"/>
        <v>1500000</v>
      </c>
      <c r="F446" s="62">
        <f t="shared" si="38"/>
        <v>127500</v>
      </c>
      <c r="G446" s="62">
        <f t="shared" si="40"/>
        <v>135646787.45812002</v>
      </c>
      <c r="H446" s="67">
        <f t="shared" si="39"/>
        <v>3454.4667442241048</v>
      </c>
    </row>
    <row r="447" spans="3:8" x14ac:dyDescent="0.15">
      <c r="C447">
        <f t="shared" si="42"/>
        <v>37</v>
      </c>
      <c r="D447">
        <f t="shared" si="43"/>
        <v>2</v>
      </c>
      <c r="E447" s="65">
        <f t="shared" si="41"/>
        <v>1500000</v>
      </c>
      <c r="F447" s="62">
        <f t="shared" si="38"/>
        <v>127500</v>
      </c>
      <c r="G447" s="62">
        <f t="shared" si="40"/>
        <v>136273232.08600873</v>
      </c>
      <c r="H447" s="67">
        <f t="shared" si="39"/>
        <v>3470.4201786893886</v>
      </c>
    </row>
    <row r="448" spans="3:8" x14ac:dyDescent="0.15">
      <c r="C448">
        <f t="shared" si="42"/>
        <v>37</v>
      </c>
      <c r="D448">
        <f t="shared" si="43"/>
        <v>3</v>
      </c>
      <c r="E448" s="65">
        <f t="shared" si="41"/>
        <v>1500000</v>
      </c>
      <c r="F448" s="62">
        <f t="shared" si="38"/>
        <v>127500</v>
      </c>
      <c r="G448" s="62">
        <f t="shared" si="40"/>
        <v>136901978.77850485</v>
      </c>
      <c r="H448" s="67">
        <f t="shared" si="39"/>
        <v>3486.4322389856143</v>
      </c>
    </row>
    <row r="449" spans="3:8" x14ac:dyDescent="0.15">
      <c r="C449">
        <f t="shared" si="42"/>
        <v>37</v>
      </c>
      <c r="D449">
        <f t="shared" si="43"/>
        <v>4</v>
      </c>
      <c r="E449" s="65">
        <f t="shared" si="41"/>
        <v>1500000</v>
      </c>
      <c r="F449" s="62">
        <f t="shared" si="38"/>
        <v>127500</v>
      </c>
      <c r="G449" s="62">
        <f t="shared" si="40"/>
        <v>137533035.99525705</v>
      </c>
      <c r="H449" s="67">
        <f t="shared" si="39"/>
        <v>3502.5031405515374</v>
      </c>
    </row>
    <row r="450" spans="3:8" x14ac:dyDescent="0.15">
      <c r="C450">
        <f t="shared" si="42"/>
        <v>37</v>
      </c>
      <c r="D450">
        <f t="shared" si="43"/>
        <v>5</v>
      </c>
      <c r="E450" s="65">
        <f t="shared" si="41"/>
        <v>1500000</v>
      </c>
      <c r="F450" s="62">
        <f t="shared" si="38"/>
        <v>127500</v>
      </c>
      <c r="G450" s="62">
        <f t="shared" si="40"/>
        <v>138166412.22700161</v>
      </c>
      <c r="H450" s="67">
        <f t="shared" si="39"/>
        <v>3518.6330996176084</v>
      </c>
    </row>
    <row r="451" spans="3:8" x14ac:dyDescent="0.15">
      <c r="C451">
        <f t="shared" si="42"/>
        <v>37</v>
      </c>
      <c r="D451">
        <f t="shared" si="43"/>
        <v>6</v>
      </c>
      <c r="E451" s="65">
        <f t="shared" si="41"/>
        <v>1500000</v>
      </c>
      <c r="F451" s="62">
        <f t="shared" si="38"/>
        <v>127500</v>
      </c>
      <c r="G451" s="62">
        <f t="shared" si="40"/>
        <v>138802115.99567658</v>
      </c>
      <c r="H451" s="67">
        <f t="shared" si="39"/>
        <v>3534.8223332088842</v>
      </c>
    </row>
    <row r="452" spans="3:8" x14ac:dyDescent="0.15">
      <c r="C452">
        <f t="shared" si="42"/>
        <v>37</v>
      </c>
      <c r="D452">
        <f t="shared" si="43"/>
        <v>7</v>
      </c>
      <c r="E452" s="65">
        <f t="shared" si="41"/>
        <v>1500000</v>
      </c>
      <c r="F452" s="62">
        <f t="shared" si="38"/>
        <v>127500</v>
      </c>
      <c r="G452" s="62">
        <f t="shared" si="40"/>
        <v>139440155.85453656</v>
      </c>
      <c r="H452" s="67">
        <f t="shared" si="39"/>
        <v>3551.0710591479469</v>
      </c>
    </row>
    <row r="453" spans="3:8" x14ac:dyDescent="0.15">
      <c r="C453">
        <f t="shared" si="42"/>
        <v>37</v>
      </c>
      <c r="D453">
        <f t="shared" si="43"/>
        <v>8</v>
      </c>
      <c r="E453" s="65">
        <f t="shared" si="41"/>
        <v>1500000</v>
      </c>
      <c r="F453" s="62">
        <f t="shared" si="38"/>
        <v>127500</v>
      </c>
      <c r="G453" s="62">
        <f t="shared" si="40"/>
        <v>140080540.38826776</v>
      </c>
      <c r="H453" s="67">
        <f t="shared" si="39"/>
        <v>3567.3794960578357</v>
      </c>
    </row>
    <row r="454" spans="3:8" x14ac:dyDescent="0.15">
      <c r="C454">
        <f t="shared" si="42"/>
        <v>37</v>
      </c>
      <c r="D454">
        <f t="shared" si="43"/>
        <v>9</v>
      </c>
      <c r="E454" s="65">
        <f t="shared" si="41"/>
        <v>1500000</v>
      </c>
      <c r="F454" s="62">
        <f t="shared" si="38"/>
        <v>127500</v>
      </c>
      <c r="G454" s="62">
        <f t="shared" si="40"/>
        <v>140723278.21310338</v>
      </c>
      <c r="H454" s="67">
        <f t="shared" si="39"/>
        <v>3583.7478633649871</v>
      </c>
    </row>
    <row r="455" spans="3:8" x14ac:dyDescent="0.15">
      <c r="C455">
        <f t="shared" si="42"/>
        <v>37</v>
      </c>
      <c r="D455">
        <f t="shared" si="43"/>
        <v>10</v>
      </c>
      <c r="E455" s="65">
        <f t="shared" si="41"/>
        <v>1500000</v>
      </c>
      <c r="F455" s="62">
        <f t="shared" si="38"/>
        <v>127500</v>
      </c>
      <c r="G455" s="62">
        <f t="shared" si="40"/>
        <v>141368377.97693974</v>
      </c>
      <c r="H455" s="67">
        <f t="shared" si="39"/>
        <v>3600.1763813021889</v>
      </c>
    </row>
    <row r="456" spans="3:8" x14ac:dyDescent="0.15">
      <c r="C456">
        <f t="shared" si="42"/>
        <v>37</v>
      </c>
      <c r="D456">
        <f t="shared" si="43"/>
        <v>11</v>
      </c>
      <c r="E456" s="65">
        <f t="shared" si="41"/>
        <v>1500000</v>
      </c>
      <c r="F456" s="62">
        <f t="shared" si="38"/>
        <v>127500</v>
      </c>
      <c r="G456" s="62">
        <f t="shared" si="40"/>
        <v>142015848.35945246</v>
      </c>
      <c r="H456" s="67">
        <f t="shared" si="39"/>
        <v>3616.6652709115415</v>
      </c>
    </row>
    <row r="457" spans="3:8" x14ac:dyDescent="0.15">
      <c r="C457">
        <f t="shared" si="42"/>
        <v>37</v>
      </c>
      <c r="D457">
        <f t="shared" si="43"/>
        <v>12</v>
      </c>
      <c r="E457" s="65">
        <f t="shared" si="41"/>
        <v>1500000</v>
      </c>
      <c r="F457" s="62">
        <f t="shared" si="38"/>
        <v>127500</v>
      </c>
      <c r="G457" s="62">
        <f t="shared" si="40"/>
        <v>142665698.07221335</v>
      </c>
      <c r="H457" s="67">
        <f t="shared" si="39"/>
        <v>3633.2147540474334</v>
      </c>
    </row>
    <row r="458" spans="3:8" x14ac:dyDescent="0.15">
      <c r="C458">
        <f t="shared" si="42"/>
        <v>38</v>
      </c>
      <c r="D458">
        <f t="shared" si="43"/>
        <v>1</v>
      </c>
      <c r="E458" s="65">
        <f t="shared" si="41"/>
        <v>1500000</v>
      </c>
      <c r="F458" s="62">
        <f t="shared" si="38"/>
        <v>127500</v>
      </c>
      <c r="G458" s="62">
        <f t="shared" si="40"/>
        <v>143317935.85880756</v>
      </c>
      <c r="H458" s="67">
        <f t="shared" si="39"/>
        <v>3649.8250533795253</v>
      </c>
    </row>
    <row r="459" spans="3:8" x14ac:dyDescent="0.15">
      <c r="C459">
        <f t="shared" si="42"/>
        <v>38</v>
      </c>
      <c r="D459">
        <f t="shared" si="43"/>
        <v>2</v>
      </c>
      <c r="E459" s="65">
        <f t="shared" si="41"/>
        <v>1500000</v>
      </c>
      <c r="F459" s="62">
        <f t="shared" si="38"/>
        <v>127500</v>
      </c>
      <c r="G459" s="62">
        <f t="shared" si="40"/>
        <v>143972570.49495128</v>
      </c>
      <c r="H459" s="67">
        <f t="shared" si="39"/>
        <v>3666.4963923957475</v>
      </c>
    </row>
    <row r="460" spans="3:8" x14ac:dyDescent="0.15">
      <c r="C460">
        <f t="shared" si="42"/>
        <v>38</v>
      </c>
      <c r="D460">
        <f t="shared" si="43"/>
        <v>3</v>
      </c>
      <c r="E460" s="65">
        <f t="shared" si="41"/>
        <v>1500000</v>
      </c>
      <c r="F460" s="62">
        <f t="shared" si="38"/>
        <v>127500</v>
      </c>
      <c r="G460" s="62">
        <f t="shared" si="40"/>
        <v>144629610.78860974</v>
      </c>
      <c r="H460" s="67">
        <f t="shared" si="39"/>
        <v>3683.228995405304</v>
      </c>
    </row>
    <row r="461" spans="3:8" x14ac:dyDescent="0.15">
      <c r="C461">
        <f t="shared" si="42"/>
        <v>38</v>
      </c>
      <c r="D461">
        <f t="shared" si="43"/>
        <v>4</v>
      </c>
      <c r="E461" s="65">
        <f t="shared" si="41"/>
        <v>1500000</v>
      </c>
      <c r="F461" s="62">
        <f t="shared" si="38"/>
        <v>127500</v>
      </c>
      <c r="G461" s="62">
        <f t="shared" si="40"/>
        <v>145289065.5801158</v>
      </c>
      <c r="H461" s="67">
        <f t="shared" si="39"/>
        <v>3700.0230875416933</v>
      </c>
    </row>
    <row r="462" spans="3:8" x14ac:dyDescent="0.15">
      <c r="C462">
        <f t="shared" si="42"/>
        <v>38</v>
      </c>
      <c r="D462">
        <f t="shared" si="43"/>
        <v>5</v>
      </c>
      <c r="E462" s="65">
        <f t="shared" si="41"/>
        <v>1500000</v>
      </c>
      <c r="F462" s="62">
        <f t="shared" si="38"/>
        <v>127500</v>
      </c>
      <c r="G462" s="62">
        <f t="shared" si="40"/>
        <v>145950943.74228886</v>
      </c>
      <c r="H462" s="67">
        <f t="shared" si="39"/>
        <v>3716.8788947657376</v>
      </c>
    </row>
    <row r="463" spans="3:8" x14ac:dyDescent="0.15">
      <c r="C463">
        <f t="shared" si="42"/>
        <v>38</v>
      </c>
      <c r="D463">
        <f t="shared" si="43"/>
        <v>6</v>
      </c>
      <c r="E463" s="65">
        <f t="shared" si="41"/>
        <v>1500000</v>
      </c>
      <c r="F463" s="62">
        <f t="shared" ref="F463:F493" si="44">IF(E463/$D$3&lt;$D$2*(1+$D$11)^(C463-1),0.1*E463,0.1*$D$2*$D$3*(1+$D$11)^(C463-1))*(1-$D$9)</f>
        <v>127500</v>
      </c>
      <c r="G463" s="62">
        <f t="shared" si="40"/>
        <v>146615254.18055421</v>
      </c>
      <c r="H463" s="67">
        <f t="shared" ref="H463:H493" si="45">G463/$D$3</f>
        <v>3733.7966438686212</v>
      </c>
    </row>
    <row r="464" spans="3:8" x14ac:dyDescent="0.15">
      <c r="C464">
        <f t="shared" si="42"/>
        <v>38</v>
      </c>
      <c r="D464">
        <f t="shared" si="43"/>
        <v>7</v>
      </c>
      <c r="E464" s="65">
        <f t="shared" si="41"/>
        <v>1500000</v>
      </c>
      <c r="F464" s="62">
        <f t="shared" si="44"/>
        <v>127500</v>
      </c>
      <c r="G464" s="62">
        <f t="shared" ref="G464:G493" si="46">(F464+G463)*(1+$D$5)</f>
        <v>147282005.83306292</v>
      </c>
      <c r="H464" s="67">
        <f t="shared" si="45"/>
        <v>3750.7765624749418</v>
      </c>
    </row>
    <row r="465" spans="3:8" x14ac:dyDescent="0.15">
      <c r="C465">
        <f t="shared" si="42"/>
        <v>38</v>
      </c>
      <c r="D465">
        <f t="shared" si="43"/>
        <v>8</v>
      </c>
      <c r="E465" s="65">
        <f t="shared" ref="E465:E493" si="47">E464</f>
        <v>1500000</v>
      </c>
      <c r="F465" s="62">
        <f t="shared" si="44"/>
        <v>127500</v>
      </c>
      <c r="G465" s="62">
        <f t="shared" si="46"/>
        <v>147951207.67081201</v>
      </c>
      <c r="H465" s="67">
        <f t="shared" si="45"/>
        <v>3767.8188790457757</v>
      </c>
    </row>
    <row r="466" spans="3:8" x14ac:dyDescent="0.15">
      <c r="C466">
        <f t="shared" si="42"/>
        <v>38</v>
      </c>
      <c r="D466">
        <f t="shared" si="43"/>
        <v>9</v>
      </c>
      <c r="E466" s="65">
        <f t="shared" si="47"/>
        <v>1500000</v>
      </c>
      <c r="F466" s="62">
        <f t="shared" si="44"/>
        <v>127500</v>
      </c>
      <c r="G466" s="62">
        <f t="shared" si="46"/>
        <v>148622868.69776526</v>
      </c>
      <c r="H466" s="67">
        <f t="shared" si="45"/>
        <v>3784.9238228817494</v>
      </c>
    </row>
    <row r="467" spans="3:8" x14ac:dyDescent="0.15">
      <c r="C467">
        <f t="shared" si="42"/>
        <v>38</v>
      </c>
      <c r="D467">
        <f t="shared" si="43"/>
        <v>10</v>
      </c>
      <c r="E467" s="65">
        <f t="shared" si="47"/>
        <v>1500000</v>
      </c>
      <c r="F467" s="62">
        <f t="shared" si="44"/>
        <v>127500</v>
      </c>
      <c r="G467" s="62">
        <f t="shared" si="46"/>
        <v>149296997.95097426</v>
      </c>
      <c r="H467" s="67">
        <f t="shared" si="45"/>
        <v>3802.0916241261252</v>
      </c>
    </row>
    <row r="468" spans="3:8" x14ac:dyDescent="0.15">
      <c r="C468">
        <f t="shared" si="42"/>
        <v>38</v>
      </c>
      <c r="D468">
        <f t="shared" si="43"/>
        <v>11</v>
      </c>
      <c r="E468" s="65">
        <f t="shared" si="47"/>
        <v>1500000</v>
      </c>
      <c r="F468" s="62">
        <f t="shared" si="44"/>
        <v>127500</v>
      </c>
      <c r="G468" s="62">
        <f t="shared" si="46"/>
        <v>149973604.50070006</v>
      </c>
      <c r="H468" s="67">
        <f t="shared" si="45"/>
        <v>3819.3225137678992</v>
      </c>
    </row>
    <row r="469" spans="3:8" x14ac:dyDescent="0.15">
      <c r="C469">
        <f t="shared" si="42"/>
        <v>38</v>
      </c>
      <c r="D469">
        <f t="shared" si="43"/>
        <v>12</v>
      </c>
      <c r="E469" s="65">
        <f t="shared" si="47"/>
        <v>1500000</v>
      </c>
      <c r="F469" s="62">
        <f t="shared" si="44"/>
        <v>127500</v>
      </c>
      <c r="G469" s="62">
        <f t="shared" si="46"/>
        <v>150652697.45053518</v>
      </c>
      <c r="H469" s="67">
        <f t="shared" si="45"/>
        <v>3836.616723644906</v>
      </c>
    </row>
    <row r="470" spans="3:8" x14ac:dyDescent="0.15">
      <c r="C470">
        <f t="shared" si="42"/>
        <v>39</v>
      </c>
      <c r="D470">
        <f t="shared" si="43"/>
        <v>1</v>
      </c>
      <c r="E470" s="65">
        <f t="shared" si="47"/>
        <v>1500000</v>
      </c>
      <c r="F470" s="62">
        <f t="shared" si="44"/>
        <v>127500</v>
      </c>
      <c r="G470" s="62">
        <f t="shared" si="46"/>
        <v>151334285.93752614</v>
      </c>
      <c r="H470" s="67">
        <f t="shared" si="45"/>
        <v>3853.9744864469426</v>
      </c>
    </row>
    <row r="471" spans="3:8" x14ac:dyDescent="0.15">
      <c r="C471">
        <f t="shared" si="42"/>
        <v>39</v>
      </c>
      <c r="D471">
        <f t="shared" si="43"/>
        <v>2</v>
      </c>
      <c r="E471" s="65">
        <f t="shared" si="47"/>
        <v>1500000</v>
      </c>
      <c r="F471" s="62">
        <f t="shared" si="44"/>
        <v>127500</v>
      </c>
      <c r="G471" s="62">
        <f t="shared" si="46"/>
        <v>152018379.13229632</v>
      </c>
      <c r="H471" s="67">
        <f t="shared" si="45"/>
        <v>3871.3960357188944</v>
      </c>
    </row>
    <row r="472" spans="3:8" x14ac:dyDescent="0.15">
      <c r="C472">
        <f t="shared" si="42"/>
        <v>39</v>
      </c>
      <c r="D472">
        <f t="shared" si="43"/>
        <v>3</v>
      </c>
      <c r="E472" s="65">
        <f t="shared" si="47"/>
        <v>1500000</v>
      </c>
      <c r="F472" s="62">
        <f t="shared" si="44"/>
        <v>127500</v>
      </c>
      <c r="G472" s="62">
        <f t="shared" si="46"/>
        <v>152704986.23916942</v>
      </c>
      <c r="H472" s="67">
        <f t="shared" si="45"/>
        <v>3888.8816058638808</v>
      </c>
    </row>
    <row r="473" spans="3:8" x14ac:dyDescent="0.15">
      <c r="C473">
        <f t="shared" si="42"/>
        <v>39</v>
      </c>
      <c r="D473">
        <f t="shared" si="43"/>
        <v>4</v>
      </c>
      <c r="E473" s="65">
        <f t="shared" si="47"/>
        <v>1500000</v>
      </c>
      <c r="F473" s="62">
        <f t="shared" si="44"/>
        <v>127500</v>
      </c>
      <c r="G473" s="62">
        <f t="shared" si="46"/>
        <v>153394116.49629325</v>
      </c>
      <c r="H473" s="67">
        <f t="shared" si="45"/>
        <v>3906.431432146408</v>
      </c>
    </row>
    <row r="474" spans="3:8" x14ac:dyDescent="0.15">
      <c r="C474">
        <f t="shared" si="42"/>
        <v>39</v>
      </c>
      <c r="D474">
        <f t="shared" si="43"/>
        <v>5</v>
      </c>
      <c r="E474" s="65">
        <f t="shared" si="47"/>
        <v>1500000</v>
      </c>
      <c r="F474" s="62">
        <f t="shared" si="44"/>
        <v>127500</v>
      </c>
      <c r="G474" s="62">
        <f t="shared" si="46"/>
        <v>154085779.17576408</v>
      </c>
      <c r="H474" s="67">
        <f t="shared" si="45"/>
        <v>3924.045750695534</v>
      </c>
    </row>
    <row r="475" spans="3:8" x14ac:dyDescent="0.15">
      <c r="C475">
        <f t="shared" si="42"/>
        <v>39</v>
      </c>
      <c r="D475">
        <f t="shared" si="43"/>
        <v>6</v>
      </c>
      <c r="E475" s="65">
        <f t="shared" si="47"/>
        <v>1500000</v>
      </c>
      <c r="F475" s="62">
        <f t="shared" si="44"/>
        <v>127500</v>
      </c>
      <c r="G475" s="62">
        <f t="shared" si="46"/>
        <v>154779983.58375138</v>
      </c>
      <c r="H475" s="67">
        <f t="shared" si="45"/>
        <v>3941.7247985080471</v>
      </c>
    </row>
    <row r="476" spans="3:8" x14ac:dyDescent="0.15">
      <c r="C476">
        <f t="shared" si="42"/>
        <v>39</v>
      </c>
      <c r="D476">
        <f t="shared" si="43"/>
        <v>7</v>
      </c>
      <c r="E476" s="65">
        <f t="shared" si="47"/>
        <v>1500000</v>
      </c>
      <c r="F476" s="62">
        <f t="shared" si="44"/>
        <v>127500</v>
      </c>
      <c r="G476" s="62">
        <f t="shared" si="46"/>
        <v>155476739.06062296</v>
      </c>
      <c r="H476" s="67">
        <f t="shared" si="45"/>
        <v>3959.4688134516518</v>
      </c>
    </row>
    <row r="477" spans="3:8" x14ac:dyDescent="0.15">
      <c r="C477">
        <f t="shared" si="42"/>
        <v>39</v>
      </c>
      <c r="D477">
        <f t="shared" si="43"/>
        <v>8</v>
      </c>
      <c r="E477" s="65">
        <f t="shared" si="47"/>
        <v>1500000</v>
      </c>
      <c r="F477" s="62">
        <f t="shared" si="44"/>
        <v>127500</v>
      </c>
      <c r="G477" s="62">
        <f t="shared" si="46"/>
        <v>156176054.98107076</v>
      </c>
      <c r="H477" s="67">
        <f t="shared" si="45"/>
        <v>3977.2780342681731</v>
      </c>
    </row>
    <row r="478" spans="3:8" x14ac:dyDescent="0.15">
      <c r="C478">
        <f t="shared" si="42"/>
        <v>39</v>
      </c>
      <c r="D478">
        <f t="shared" si="43"/>
        <v>9</v>
      </c>
      <c r="E478" s="65">
        <f t="shared" si="47"/>
        <v>1500000</v>
      </c>
      <c r="F478" s="62">
        <f t="shared" si="44"/>
        <v>127500</v>
      </c>
      <c r="G478" s="62">
        <f t="shared" si="46"/>
        <v>156877940.75423691</v>
      </c>
      <c r="H478" s="67">
        <f t="shared" si="45"/>
        <v>3995.1527005767657</v>
      </c>
    </row>
    <row r="479" spans="3:8" x14ac:dyDescent="0.15">
      <c r="C479">
        <f t="shared" si="42"/>
        <v>39</v>
      </c>
      <c r="D479">
        <f t="shared" si="43"/>
        <v>10</v>
      </c>
      <c r="E479" s="65">
        <f t="shared" si="47"/>
        <v>1500000</v>
      </c>
      <c r="F479" s="62">
        <f t="shared" si="44"/>
        <v>127500</v>
      </c>
      <c r="G479" s="62">
        <f t="shared" si="46"/>
        <v>157582405.82384032</v>
      </c>
      <c r="H479" s="67">
        <f t="shared" si="45"/>
        <v>4013.0930528771391</v>
      </c>
    </row>
    <row r="480" spans="3:8" x14ac:dyDescent="0.15">
      <c r="C480">
        <f t="shared" si="42"/>
        <v>39</v>
      </c>
      <c r="D480">
        <f t="shared" si="43"/>
        <v>11</v>
      </c>
      <c r="E480" s="65">
        <f t="shared" si="47"/>
        <v>1500000</v>
      </c>
      <c r="F480" s="62">
        <f t="shared" si="44"/>
        <v>127500</v>
      </c>
      <c r="G480" s="62">
        <f t="shared" si="46"/>
        <v>158289459.66830379</v>
      </c>
      <c r="H480" s="67">
        <f t="shared" si="45"/>
        <v>4031.0993325527925</v>
      </c>
    </row>
    <row r="481" spans="3:8" x14ac:dyDescent="0.15">
      <c r="C481">
        <f t="shared" ref="C481:C493" si="48">IF(MOD(D480,12)=0,C480+1,C480)</f>
        <v>39</v>
      </c>
      <c r="D481">
        <f t="shared" ref="D481:D493" si="49">IF(MOD(D480,12)=0,1,D480+1)</f>
        <v>12</v>
      </c>
      <c r="E481" s="65">
        <f t="shared" si="47"/>
        <v>1500000</v>
      </c>
      <c r="F481" s="62">
        <f t="shared" si="44"/>
        <v>127500</v>
      </c>
      <c r="G481" s="62">
        <f t="shared" si="46"/>
        <v>158999111.80088151</v>
      </c>
      <c r="H481" s="67">
        <f t="shared" si="45"/>
        <v>4049.1717818742654</v>
      </c>
    </row>
    <row r="482" spans="3:8" x14ac:dyDescent="0.15">
      <c r="C482">
        <f t="shared" si="48"/>
        <v>40</v>
      </c>
      <c r="D482">
        <f t="shared" si="49"/>
        <v>1</v>
      </c>
      <c r="E482" s="65">
        <f t="shared" si="47"/>
        <v>1500000</v>
      </c>
      <c r="F482" s="62">
        <f t="shared" si="44"/>
        <v>127500</v>
      </c>
      <c r="G482" s="62">
        <f t="shared" si="46"/>
        <v>159711371.76978704</v>
      </c>
      <c r="H482" s="67">
        <f t="shared" si="45"/>
        <v>4067.310644002393</v>
      </c>
    </row>
    <row r="483" spans="3:8" x14ac:dyDescent="0.15">
      <c r="C483">
        <f t="shared" si="48"/>
        <v>40</v>
      </c>
      <c r="D483">
        <f t="shared" si="49"/>
        <v>2</v>
      </c>
      <c r="E483" s="65">
        <f t="shared" si="47"/>
        <v>1500000</v>
      </c>
      <c r="F483" s="62">
        <f t="shared" si="44"/>
        <v>127500</v>
      </c>
      <c r="G483" s="62">
        <f t="shared" si="46"/>
        <v>160426249.15832189</v>
      </c>
      <c r="H483" s="67">
        <f t="shared" si="45"/>
        <v>4085.5161629915829</v>
      </c>
    </row>
    <row r="484" spans="3:8" x14ac:dyDescent="0.15">
      <c r="C484">
        <f t="shared" si="48"/>
        <v>40</v>
      </c>
      <c r="D484">
        <f t="shared" si="49"/>
        <v>3</v>
      </c>
      <c r="E484" s="65">
        <f t="shared" si="47"/>
        <v>1500000</v>
      </c>
      <c r="F484" s="62">
        <f t="shared" si="44"/>
        <v>127500</v>
      </c>
      <c r="G484" s="62">
        <f t="shared" si="46"/>
        <v>161143753.58500427</v>
      </c>
      <c r="H484" s="67">
        <f t="shared" si="45"/>
        <v>4103.7885837930935</v>
      </c>
    </row>
    <row r="485" spans="3:8" x14ac:dyDescent="0.15">
      <c r="C485">
        <f t="shared" si="48"/>
        <v>40</v>
      </c>
      <c r="D485">
        <f t="shared" si="49"/>
        <v>4</v>
      </c>
      <c r="E485" s="65">
        <f t="shared" si="47"/>
        <v>1500000</v>
      </c>
      <c r="F485" s="62">
        <f t="shared" si="44"/>
        <v>127500</v>
      </c>
      <c r="G485" s="62">
        <f t="shared" si="46"/>
        <v>161863894.70369866</v>
      </c>
      <c r="H485" s="67">
        <f t="shared" si="45"/>
        <v>4122.128152258334</v>
      </c>
    </row>
    <row r="486" spans="3:8" x14ac:dyDescent="0.15">
      <c r="C486">
        <f t="shared" si="48"/>
        <v>40</v>
      </c>
      <c r="D486">
        <f t="shared" si="49"/>
        <v>5</v>
      </c>
      <c r="E486" s="65">
        <f t="shared" si="47"/>
        <v>1500000</v>
      </c>
      <c r="F486" s="62">
        <f t="shared" si="44"/>
        <v>127500</v>
      </c>
      <c r="G486" s="62">
        <f t="shared" si="46"/>
        <v>162586682.20374569</v>
      </c>
      <c r="H486" s="67">
        <f t="shared" si="45"/>
        <v>4140.535115142171</v>
      </c>
    </row>
    <row r="487" spans="3:8" x14ac:dyDescent="0.15">
      <c r="C487">
        <f t="shared" si="48"/>
        <v>40</v>
      </c>
      <c r="D487">
        <f t="shared" si="49"/>
        <v>6</v>
      </c>
      <c r="E487" s="65">
        <f t="shared" si="47"/>
        <v>1500000</v>
      </c>
      <c r="F487" s="62">
        <f t="shared" si="44"/>
        <v>127500</v>
      </c>
      <c r="G487" s="62">
        <f t="shared" si="46"/>
        <v>163312125.81009242</v>
      </c>
      <c r="H487" s="67">
        <f t="shared" si="45"/>
        <v>4159.0097201062472</v>
      </c>
    </row>
    <row r="488" spans="3:8" x14ac:dyDescent="0.15">
      <c r="C488">
        <f t="shared" si="48"/>
        <v>40</v>
      </c>
      <c r="D488">
        <f t="shared" si="49"/>
        <v>7</v>
      </c>
      <c r="E488" s="65">
        <f t="shared" si="47"/>
        <v>1500000</v>
      </c>
      <c r="F488" s="62">
        <f t="shared" si="44"/>
        <v>127500</v>
      </c>
      <c r="G488" s="62">
        <f t="shared" si="46"/>
        <v>164040235.28342322</v>
      </c>
      <c r="H488" s="67">
        <f t="shared" si="45"/>
        <v>4177.552215722314</v>
      </c>
    </row>
    <row r="489" spans="3:8" x14ac:dyDescent="0.15">
      <c r="C489">
        <f t="shared" si="48"/>
        <v>40</v>
      </c>
      <c r="D489">
        <f t="shared" si="49"/>
        <v>8</v>
      </c>
      <c r="E489" s="65">
        <f t="shared" si="47"/>
        <v>1500000</v>
      </c>
      <c r="F489" s="62">
        <f t="shared" si="44"/>
        <v>127500</v>
      </c>
      <c r="G489" s="62">
        <f t="shared" si="46"/>
        <v>164771020.42029116</v>
      </c>
      <c r="H489" s="67">
        <f t="shared" si="45"/>
        <v>4196.1628514755785</v>
      </c>
    </row>
    <row r="490" spans="3:8" x14ac:dyDescent="0.15">
      <c r="C490">
        <f t="shared" si="48"/>
        <v>40</v>
      </c>
      <c r="D490">
        <f t="shared" si="49"/>
        <v>9</v>
      </c>
      <c r="E490" s="65">
        <f t="shared" si="47"/>
        <v>1500000</v>
      </c>
      <c r="F490" s="62">
        <f t="shared" si="44"/>
        <v>127500</v>
      </c>
      <c r="G490" s="62">
        <f t="shared" si="46"/>
        <v>165504491.05324978</v>
      </c>
      <c r="H490" s="67">
        <f t="shared" si="45"/>
        <v>4214.8418777680581</v>
      </c>
    </row>
    <row r="491" spans="3:8" x14ac:dyDescent="0.15">
      <c r="C491">
        <f t="shared" si="48"/>
        <v>40</v>
      </c>
      <c r="D491">
        <f t="shared" si="49"/>
        <v>10</v>
      </c>
      <c r="E491" s="65">
        <f t="shared" si="47"/>
        <v>1500000</v>
      </c>
      <c r="F491" s="62">
        <f t="shared" si="44"/>
        <v>127500</v>
      </c>
      <c r="G491" s="62">
        <f t="shared" si="46"/>
        <v>166240657.05098534</v>
      </c>
      <c r="H491" s="67">
        <f t="shared" si="45"/>
        <v>4233.5895459219473</v>
      </c>
    </row>
    <row r="492" spans="3:8" x14ac:dyDescent="0.15">
      <c r="C492">
        <f t="shared" si="48"/>
        <v>40</v>
      </c>
      <c r="D492">
        <f t="shared" si="49"/>
        <v>11</v>
      </c>
      <c r="E492" s="65">
        <f t="shared" si="47"/>
        <v>1500000</v>
      </c>
      <c r="F492" s="62">
        <f t="shared" si="44"/>
        <v>127500</v>
      </c>
      <c r="G492" s="62">
        <f t="shared" si="46"/>
        <v>166979528.31844965</v>
      </c>
      <c r="H492" s="67">
        <f t="shared" si="45"/>
        <v>4252.406108183005</v>
      </c>
    </row>
    <row r="493" spans="3:8" x14ac:dyDescent="0.15">
      <c r="C493">
        <f t="shared" si="48"/>
        <v>40</v>
      </c>
      <c r="D493">
        <f t="shared" si="49"/>
        <v>12</v>
      </c>
      <c r="E493" s="65">
        <f t="shared" si="47"/>
        <v>1500000</v>
      </c>
      <c r="F493" s="62">
        <f t="shared" si="44"/>
        <v>127500</v>
      </c>
      <c r="G493" s="62">
        <f t="shared" si="46"/>
        <v>167721114.79699335</v>
      </c>
      <c r="H493" s="67">
        <f t="shared" si="45"/>
        <v>4271.2918177239435</v>
      </c>
    </row>
    <row r="494" spans="3:8" x14ac:dyDescent="0.15">
      <c r="G494" s="61"/>
    </row>
  </sheetData>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WorkbookDrillPathInfo xmlns:xsd="http://www.w3.org/2001/XMLSchema" xmlns:xsi="http://www.w3.org/2001/XMLSchema-instance" xmlns="http://www.infor.com/qaa/DrillPath">
  <CurrentDrillPath>
    <DrillPathNode AnalysisType="NONE" Id="bbfbcf39-13fc-47b4-98cc-ee19bc116c11" Name="Antecedentes" HandleSummaryReportOnly="false">
      <SuppressZero>false</SuppressZero>
      <Children/>
    </DrillPathNode>
    <DrillPathNode AnalysisType="NONE" Id="f4cde339-05f1-4b6a-8738-5f1a1d99af2c" Name="Deposito Convenido Mensual" HandleSummaryReportOnly="false">
      <SuppressZero>false</SuppressZero>
      <Children/>
    </DrillPathNode>
    <DrillPathNode AnalysisType="NONE" Id="0ef09077-270e-4452-8de8-9b317ce03d6f" Name="UF" HandleSummaryReportOnly="false" Source="">
      <SuppressZero>false</SuppressZero>
      <Children/>
    </DrillPathNode>
  </CurrentDrillPath>
  <SavedDrillPath/>
</WorkbookDrillPathInfo>
</file>

<file path=customXml/itemProps1.xml><?xml version="1.0" encoding="utf-8"?>
<ds:datastoreItem xmlns:ds="http://schemas.openxmlformats.org/officeDocument/2006/customXml" ds:itemID="{7B787D48-A94E-43BA-9817-B0E523ADA8C5}">
  <ds:schemaRefs>
    <ds:schemaRef ds:uri="http://www.w3.org/2001/XMLSchema"/>
    <ds:schemaRef ds:uri="http://www.infor.com/qaa/DrillPath"/>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6</vt:i4>
      </vt:variant>
      <vt:variant>
        <vt:lpstr>Rangos con nombre</vt:lpstr>
      </vt:variant>
      <vt:variant>
        <vt:i4>23</vt:i4>
      </vt:variant>
    </vt:vector>
  </HeadingPairs>
  <TitlesOfParts>
    <vt:vector size="29" baseType="lpstr">
      <vt:lpstr>Change Log</vt:lpstr>
      <vt:lpstr>Antecedentes</vt:lpstr>
      <vt:lpstr>Deposito Convenido Mensual</vt:lpstr>
      <vt:lpstr>UF</vt:lpstr>
      <vt:lpstr>Impuesto</vt:lpstr>
      <vt:lpstr>ahorro oblg</vt:lpstr>
      <vt:lpstr>ahorroacum</vt:lpstr>
      <vt:lpstr>'Deposito Convenido Mensual'!Área_de_impresión</vt:lpstr>
      <vt:lpstr>CNU_H</vt:lpstr>
      <vt:lpstr>CNU_M</vt:lpstr>
      <vt:lpstr>cot_oblg</vt:lpstr>
      <vt:lpstr>cotizacion_cesantia</vt:lpstr>
      <vt:lpstr>edadjub</vt:lpstr>
      <vt:lpstr>Monto_DC</vt:lpstr>
      <vt:lpstr>Sueldo_Bruto</vt:lpstr>
      <vt:lpstr>tabla</vt:lpstr>
      <vt:lpstr>tasa_com_AFP</vt:lpstr>
      <vt:lpstr>tasa_dcto_AFP</vt:lpstr>
      <vt:lpstr>tasa_dcto_Salud</vt:lpstr>
      <vt:lpstr>tasa_imp</vt:lpstr>
      <vt:lpstr>tasa_imp_max</vt:lpstr>
      <vt:lpstr>TMg</vt:lpstr>
      <vt:lpstr>tope_APVB_mensual</vt:lpstr>
      <vt:lpstr>tope_DC_mensual</vt:lpstr>
      <vt:lpstr>tope_imponible_mensual</vt:lpstr>
      <vt:lpstr>tope_imponible_mensual_cot_cesantia</vt:lpstr>
      <vt:lpstr>uf</vt:lpstr>
      <vt:lpstr>utm</vt:lpstr>
      <vt:lpstr>Valor_UF</vt:lpstr>
    </vt:vector>
  </TitlesOfParts>
  <Company>Principal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c110936</dc:creator>
  <cp:lastModifiedBy>Arriagada, Joaquin</cp:lastModifiedBy>
  <cp:lastPrinted>2013-04-04T21:03:26Z</cp:lastPrinted>
  <dcterms:created xsi:type="dcterms:W3CDTF">2010-02-02T15:49:21Z</dcterms:created>
  <dcterms:modified xsi:type="dcterms:W3CDTF">2025-07-02T00:34:48Z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SV_QUERY_LIST_4F35BF76-6C0D-4D9B-82B2-816C12CF3733">
    <vt:lpwstr>empty_477D106A-C0D6-4607-AEBD-E2C9D60EA279</vt:lpwstr>
  </property>
  <property fmtid="{D5CDD505-2E9C-101B-9397-08002B2CF9AE}" pid="4" name="MSIP_Label_d6ee3f6f-dfa9-4d1e-aa5d-d0dea03c4102_Enabled">
    <vt:lpwstr>true</vt:lpwstr>
  </property>
  <property fmtid="{D5CDD505-2E9C-101B-9397-08002B2CF9AE}" pid="5" name="MSIP_Label_d6ee3f6f-dfa9-4d1e-aa5d-d0dea03c4102_SetDate">
    <vt:lpwstr>2023-03-06T18:57:56Z</vt:lpwstr>
  </property>
  <property fmtid="{D5CDD505-2E9C-101B-9397-08002B2CF9AE}" pid="6" name="MSIP_Label_d6ee3f6f-dfa9-4d1e-aa5d-d0dea03c4102_Method">
    <vt:lpwstr>Privileged</vt:lpwstr>
  </property>
  <property fmtid="{D5CDD505-2E9C-101B-9397-08002B2CF9AE}" pid="7" name="MSIP_Label_d6ee3f6f-dfa9-4d1e-aa5d-d0dea03c4102_Name">
    <vt:lpwstr>Public</vt:lpwstr>
  </property>
  <property fmtid="{D5CDD505-2E9C-101B-9397-08002B2CF9AE}" pid="8" name="MSIP_Label_d6ee3f6f-dfa9-4d1e-aa5d-d0dea03c4102_SiteId">
    <vt:lpwstr>3bea478c-1684-4a8c-8e85-045ec54ba430</vt:lpwstr>
  </property>
  <property fmtid="{D5CDD505-2E9C-101B-9397-08002B2CF9AE}" pid="9" name="MSIP_Label_d6ee3f6f-dfa9-4d1e-aa5d-d0dea03c4102_ActionId">
    <vt:lpwstr>3265e360-621e-474b-af88-23d1bb063649</vt:lpwstr>
  </property>
  <property fmtid="{D5CDD505-2E9C-101B-9397-08002B2CF9AE}" pid="10" name="MSIP_Label_d6ee3f6f-dfa9-4d1e-aa5d-d0dea03c4102_ContentBits">
    <vt:lpwstr>2</vt:lpwstr>
  </property>
</Properties>
</file>