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surainvestmentsla-my.sharepoint.com/personal/francisco_valencia_surainvestments_com/Documents/"/>
    </mc:Choice>
  </mc:AlternateContent>
  <xr:revisionPtr revIDLastSave="0" documentId="8_{0ED35F00-F8B4-492E-8094-5DC2057E931E}" xr6:coauthVersionLast="47" xr6:coauthVersionMax="47" xr10:uidLastSave="{00000000-0000-0000-0000-000000000000}"/>
  <workbookProtection workbookAlgorithmName="SHA-512" workbookHashValue="ngAP0dnqdtIOWi14PwR1V9F3/+gQVTRIUVD7eltwClwo7HrLKZDQigQtbORUpSrCI7iBoWrQ8YR8L/ccBfaWlw==" workbookSaltValue="Y3lVarUqzSB4UZX6AuTcGA==" workbookSpinCount="100000" lockStructure="1"/>
  <bookViews>
    <workbookView xWindow="-110" yWindow="-110" windowWidth="19420" windowHeight="11500" xr2:uid="{5633DFA2-2443-42B6-9159-10D9F4B7155A}"/>
  </bookViews>
  <sheets>
    <sheet name="Portada" sheetId="1" r:id="rId1"/>
    <sheet name="Paso 2B solicitado por cliente" sheetId="17" r:id="rId2"/>
    <sheet name="1.CNU" sheetId="3" state="hidden" r:id="rId3"/>
    <sheet name="3,41" sheetId="22" state="hidden" r:id="rId4"/>
    <sheet name="3,54 v2" sheetId="21" state="hidden" r:id="rId5"/>
    <sheet name="3,54" sheetId="20" state="hidden" r:id="rId6"/>
    <sheet name="3,43 t1" sheetId="19" state="hidden" r:id="rId7"/>
    <sheet name="3,43" sheetId="18" state="hidden" r:id="rId8"/>
    <sheet name="4,14" sheetId="12" state="hidden" r:id="rId9"/>
    <sheet name="4,41" sheetId="13" state="hidden" r:id="rId10"/>
    <sheet name="2.VF" sheetId="4" state="hidden" r:id="rId11"/>
    <sheet name="3.Ahorro" sheetId="8" state="hidden" r:id="rId12"/>
    <sheet name="Motor I" sheetId="7" state="hidden" r:id="rId13"/>
    <sheet name="Pension proyectada I" sheetId="5" state="hidden" r:id="rId14"/>
    <sheet name="Motor II" sheetId="11" state="hidden" r:id="rId15"/>
    <sheet name="Pension proyectada II" sheetId="10" state="hidden" r:id="rId16"/>
    <sheet name="Motor III" sheetId="14" state="hidden" r:id="rId17"/>
    <sheet name="Pension proyectada III" sheetId="16" state="hidden" r:id="rId18"/>
    <sheet name="Topes imponibles" sheetId="9" state="hidden" r:id="rId19"/>
  </sheets>
  <externalReferences>
    <externalReference r:id="rId20"/>
    <externalReference r:id="rId21"/>
  </externalReferences>
  <definedNames>
    <definedName name="año_pension" localSheetId="11">'[1]CNU Series'!$X$1:$X$15</definedName>
    <definedName name="año_pension" localSheetId="13">'[1]CNU Series'!$X$1:$X$15</definedName>
    <definedName name="año_pension" localSheetId="15">'[1]CNU Series'!$X$1:$X$15</definedName>
    <definedName name="año_pension" localSheetId="17">'[1]CNU Series'!$X$1:$X$15</definedName>
    <definedName name="año_pension">'[2]CNU Series'!$X$1:$X$15</definedName>
    <definedName name="_xlnm.Print_Area" localSheetId="0">Portada!$A$1:$GC$38</definedName>
    <definedName name="Estado" localSheetId="11">'[1]CNU Series'!$V$1:$V$2</definedName>
    <definedName name="Estado" localSheetId="13">'[1]CNU Series'!$V$1:$V$2</definedName>
    <definedName name="Estado" localSheetId="15">'[1]CNU Series'!$V$1:$V$2</definedName>
    <definedName name="Estado" localSheetId="17">'[1]CNU Series'!$V$1:$V$2</definedName>
    <definedName name="Estado">'[2]CNU Series'!$V$1:$V$2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B28" i="3"/>
  <c r="C28" i="3"/>
  <c r="B29" i="3"/>
  <c r="C29" i="3"/>
  <c r="B30" i="3"/>
  <c r="C30" i="3"/>
  <c r="B31" i="3"/>
  <c r="C31" i="3"/>
  <c r="B32" i="3"/>
  <c r="C32" i="3"/>
  <c r="B33" i="3"/>
  <c r="C33" i="3"/>
  <c r="B34" i="3"/>
  <c r="C34"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B53" i="3"/>
  <c r="C53" i="3"/>
  <c r="B54" i="3"/>
  <c r="C54" i="3"/>
  <c r="B55" i="3"/>
  <c r="C55" i="3"/>
  <c r="B56" i="3"/>
  <c r="C56" i="3"/>
  <c r="B57" i="3"/>
  <c r="C57" i="3"/>
  <c r="B58" i="3"/>
  <c r="C58" i="3"/>
  <c r="B59" i="3"/>
  <c r="C59" i="3"/>
  <c r="B60" i="3"/>
  <c r="C60" i="3"/>
  <c r="B61" i="3"/>
  <c r="C61" i="3"/>
  <c r="B62" i="3"/>
  <c r="C62" i="3"/>
  <c r="B63" i="3"/>
  <c r="C63" i="3"/>
  <c r="B64" i="3"/>
  <c r="C64" i="3"/>
  <c r="B65" i="3"/>
  <c r="C65" i="3"/>
  <c r="B66" i="3"/>
  <c r="C66" i="3"/>
  <c r="B67" i="3"/>
  <c r="C67" i="3"/>
  <c r="B68" i="3"/>
  <c r="C68" i="3"/>
  <c r="B69" i="3"/>
  <c r="C69" i="3"/>
  <c r="B70" i="3"/>
  <c r="C70" i="3"/>
  <c r="B71" i="3"/>
  <c r="C71" i="3"/>
  <c r="B72" i="3"/>
  <c r="C72" i="3"/>
  <c r="B73" i="3"/>
  <c r="C73" i="3"/>
  <c r="C3" i="3"/>
  <c r="B3" i="3"/>
  <c r="C73" i="21"/>
  <c r="B73" i="21"/>
  <c r="C72" i="21"/>
  <c r="B72" i="21"/>
  <c r="C71" i="21"/>
  <c r="B71" i="21"/>
  <c r="C70" i="21"/>
  <c r="B70" i="21"/>
  <c r="C69" i="21"/>
  <c r="B69" i="21"/>
  <c r="C68" i="21"/>
  <c r="B68" i="21"/>
  <c r="C67" i="21"/>
  <c r="B67" i="21"/>
  <c r="C66" i="21"/>
  <c r="B66" i="21"/>
  <c r="C65" i="21"/>
  <c r="B65" i="21"/>
  <c r="C64" i="21"/>
  <c r="B64" i="21"/>
  <c r="C63" i="21"/>
  <c r="B63" i="21"/>
  <c r="C62" i="21"/>
  <c r="B62" i="21"/>
  <c r="C61" i="21"/>
  <c r="B61" i="21"/>
  <c r="C60" i="21"/>
  <c r="B60" i="21"/>
  <c r="C59" i="21"/>
  <c r="B59" i="21"/>
  <c r="C58" i="21"/>
  <c r="B58" i="21"/>
  <c r="C57" i="21"/>
  <c r="B57" i="21"/>
  <c r="C56" i="21"/>
  <c r="B56" i="21"/>
  <c r="C55" i="21"/>
  <c r="B55" i="21"/>
  <c r="C54" i="21"/>
  <c r="B54" i="21"/>
  <c r="C53" i="21"/>
  <c r="B53" i="21"/>
  <c r="C52" i="21"/>
  <c r="B52" i="21"/>
  <c r="C51" i="21"/>
  <c r="B51" i="21"/>
  <c r="C50" i="21"/>
  <c r="B50" i="21"/>
  <c r="C49" i="21"/>
  <c r="B49" i="21"/>
  <c r="C48" i="21"/>
  <c r="B48" i="21"/>
  <c r="C47" i="21"/>
  <c r="B47" i="21"/>
  <c r="C46" i="21"/>
  <c r="B46" i="21"/>
  <c r="C45" i="21"/>
  <c r="B45" i="21"/>
  <c r="C44" i="21"/>
  <c r="B44" i="21"/>
  <c r="C43" i="21"/>
  <c r="B43" i="21"/>
  <c r="C42" i="21"/>
  <c r="B42" i="21"/>
  <c r="C41" i="21"/>
  <c r="B41" i="21"/>
  <c r="C40" i="21"/>
  <c r="B40" i="21"/>
  <c r="C39" i="21"/>
  <c r="B39" i="21"/>
  <c r="C38" i="21"/>
  <c r="B38" i="21"/>
  <c r="C37" i="21"/>
  <c r="B37" i="21"/>
  <c r="C36" i="21"/>
  <c r="B36" i="21"/>
  <c r="C35" i="21"/>
  <c r="B35" i="21"/>
  <c r="C34" i="21"/>
  <c r="B34" i="21"/>
  <c r="C33" i="21"/>
  <c r="B33" i="21"/>
  <c r="C32" i="21"/>
  <c r="B32" i="21"/>
  <c r="C31" i="21"/>
  <c r="B31" i="21"/>
  <c r="C30" i="21"/>
  <c r="B30" i="21"/>
  <c r="C29" i="21"/>
  <c r="B29" i="21"/>
  <c r="C28" i="21"/>
  <c r="B28" i="21"/>
  <c r="C27" i="21"/>
  <c r="B27" i="21"/>
  <c r="C26" i="21"/>
  <c r="B26" i="21"/>
  <c r="C25" i="21"/>
  <c r="B25" i="21"/>
  <c r="C24" i="21"/>
  <c r="B24" i="21"/>
  <c r="C23" i="21"/>
  <c r="B23" i="21"/>
  <c r="C22" i="21"/>
  <c r="B22" i="21"/>
  <c r="C21" i="21"/>
  <c r="B21" i="21"/>
  <c r="C20" i="21"/>
  <c r="B20" i="21"/>
  <c r="C19" i="21"/>
  <c r="B19" i="21"/>
  <c r="C18" i="21"/>
  <c r="B18" i="21"/>
  <c r="C17" i="21"/>
  <c r="B17" i="21"/>
  <c r="C16" i="21"/>
  <c r="B16" i="21"/>
  <c r="C15" i="21"/>
  <c r="B15" i="21"/>
  <c r="C14" i="21"/>
  <c r="B14" i="21"/>
  <c r="C13" i="21"/>
  <c r="B13" i="21"/>
  <c r="C12" i="21"/>
  <c r="B12" i="21"/>
  <c r="X11" i="21"/>
  <c r="C11" i="21"/>
  <c r="B11" i="21"/>
  <c r="X10" i="21"/>
  <c r="C10" i="21"/>
  <c r="B10" i="21"/>
  <c r="C9" i="21"/>
  <c r="B9" i="21"/>
  <c r="C8" i="21"/>
  <c r="B8" i="21"/>
  <c r="C7" i="21"/>
  <c r="B7" i="21"/>
  <c r="U6" i="21"/>
  <c r="O10" i="21" s="1"/>
  <c r="T6" i="21"/>
  <c r="X6" i="21" s="1"/>
  <c r="C6" i="21"/>
  <c r="B6" i="21"/>
  <c r="U5" i="21"/>
  <c r="T5" i="21"/>
  <c r="X5" i="21" s="1"/>
  <c r="C5" i="21"/>
  <c r="B5" i="21"/>
  <c r="X4" i="21"/>
  <c r="U4" i="21"/>
  <c r="T4" i="21"/>
  <c r="C4" i="21"/>
  <c r="B4" i="21"/>
  <c r="U3" i="21"/>
  <c r="X9" i="21" s="1"/>
  <c r="T3" i="21"/>
  <c r="X3" i="21" s="1"/>
  <c r="C3" i="21"/>
  <c r="B3" i="21"/>
  <c r="Q18" i="20"/>
  <c r="P18" i="20"/>
  <c r="P20" i="20"/>
  <c r="Q20" i="20"/>
  <c r="P21" i="20"/>
  <c r="Q21" i="20"/>
  <c r="P22" i="20"/>
  <c r="Q22" i="20"/>
  <c r="P23" i="20"/>
  <c r="Q23" i="20"/>
  <c r="P24" i="20"/>
  <c r="Q24" i="20"/>
  <c r="P25" i="20"/>
  <c r="Q25" i="20"/>
  <c r="P26" i="20"/>
  <c r="Q26" i="20"/>
  <c r="P27" i="20"/>
  <c r="Q27" i="20"/>
  <c r="P28" i="20"/>
  <c r="Q28" i="20"/>
  <c r="P29" i="20"/>
  <c r="Q29" i="20"/>
  <c r="P30" i="20"/>
  <c r="Q30" i="20"/>
  <c r="P31" i="20"/>
  <c r="Q31" i="20"/>
  <c r="P32" i="20"/>
  <c r="Q32" i="20"/>
  <c r="P33" i="20"/>
  <c r="Q33" i="20"/>
  <c r="P34" i="20"/>
  <c r="Q34" i="20"/>
  <c r="P35" i="20"/>
  <c r="Q35" i="20"/>
  <c r="P36" i="20"/>
  <c r="Q36" i="20"/>
  <c r="P37" i="20"/>
  <c r="Q37" i="20"/>
  <c r="P38" i="20"/>
  <c r="Q38" i="20"/>
  <c r="P39" i="20"/>
  <c r="Q39" i="20"/>
  <c r="P40" i="20"/>
  <c r="Q40" i="20"/>
  <c r="P41" i="20"/>
  <c r="Q41" i="20"/>
  <c r="P42" i="20"/>
  <c r="Q42" i="20"/>
  <c r="P43" i="20"/>
  <c r="Q43" i="20"/>
  <c r="P44" i="20"/>
  <c r="Q44" i="20"/>
  <c r="P45" i="20"/>
  <c r="Q45" i="20"/>
  <c r="P46" i="20"/>
  <c r="Q46" i="20"/>
  <c r="P47" i="20"/>
  <c r="Q47" i="20"/>
  <c r="P48" i="20"/>
  <c r="Q48" i="20"/>
  <c r="P49" i="20"/>
  <c r="Q49" i="20"/>
  <c r="P50" i="20"/>
  <c r="Q50" i="20"/>
  <c r="P51" i="20"/>
  <c r="Q51" i="20"/>
  <c r="P52" i="20"/>
  <c r="Q52" i="20"/>
  <c r="P53" i="20"/>
  <c r="Q53" i="20"/>
  <c r="P54" i="20"/>
  <c r="Q54" i="20"/>
  <c r="P55" i="20"/>
  <c r="Q55" i="20"/>
  <c r="P56" i="20"/>
  <c r="Q56" i="20"/>
  <c r="P57" i="20"/>
  <c r="Q57" i="20"/>
  <c r="P58" i="20"/>
  <c r="Q58" i="20"/>
  <c r="P59" i="20"/>
  <c r="Q59" i="20"/>
  <c r="P60" i="20"/>
  <c r="Q60" i="20"/>
  <c r="P61" i="20"/>
  <c r="Q61" i="20"/>
  <c r="P62" i="20"/>
  <c r="Q62" i="20"/>
  <c r="P63" i="20"/>
  <c r="Q63" i="20"/>
  <c r="P64" i="20"/>
  <c r="Q64" i="20"/>
  <c r="P65" i="20"/>
  <c r="Q65" i="20"/>
  <c r="P66" i="20"/>
  <c r="Q66" i="20"/>
  <c r="P67" i="20"/>
  <c r="Q67" i="20"/>
  <c r="P68" i="20"/>
  <c r="Q68" i="20"/>
  <c r="P69" i="20"/>
  <c r="Q69" i="20"/>
  <c r="P70" i="20"/>
  <c r="Q70" i="20"/>
  <c r="P71" i="20"/>
  <c r="Q71" i="20"/>
  <c r="P72" i="20"/>
  <c r="Q72" i="20"/>
  <c r="P73" i="20"/>
  <c r="Q73" i="20"/>
  <c r="P74" i="20"/>
  <c r="Q74" i="20"/>
  <c r="P75" i="20"/>
  <c r="Q75" i="20"/>
  <c r="P76" i="20"/>
  <c r="Q76" i="20"/>
  <c r="P77" i="20"/>
  <c r="Q77" i="20"/>
  <c r="P78" i="20"/>
  <c r="Q78" i="20"/>
  <c r="P79" i="20"/>
  <c r="Q79" i="20"/>
  <c r="P80" i="20"/>
  <c r="Q80" i="20"/>
  <c r="P81" i="20"/>
  <c r="Q81" i="20"/>
  <c r="P82" i="20"/>
  <c r="Q82" i="20"/>
  <c r="P83" i="20"/>
  <c r="Q83" i="20"/>
  <c r="P84" i="20"/>
  <c r="Q84" i="20"/>
  <c r="P85" i="20"/>
  <c r="Q85" i="20"/>
  <c r="P86" i="20"/>
  <c r="Q86" i="20"/>
  <c r="P87" i="20"/>
  <c r="Q87" i="20"/>
  <c r="P88" i="20"/>
  <c r="Q88" i="20"/>
  <c r="P89" i="20"/>
  <c r="Q89" i="20"/>
  <c r="Q19" i="20"/>
  <c r="P19" i="20"/>
  <c r="C73" i="19"/>
  <c r="B73" i="19"/>
  <c r="C72" i="19"/>
  <c r="B72" i="19"/>
  <c r="C71" i="19"/>
  <c r="B71" i="19"/>
  <c r="C70" i="19"/>
  <c r="B70" i="19"/>
  <c r="C69" i="19"/>
  <c r="B69" i="19"/>
  <c r="C68" i="19"/>
  <c r="B68" i="19"/>
  <c r="C67" i="19"/>
  <c r="B67" i="19"/>
  <c r="C66" i="19"/>
  <c r="B66" i="19"/>
  <c r="C65" i="19"/>
  <c r="B65" i="19"/>
  <c r="C64" i="19"/>
  <c r="B64" i="19"/>
  <c r="C63" i="19"/>
  <c r="B63" i="19"/>
  <c r="C62" i="19"/>
  <c r="B62" i="19"/>
  <c r="C61" i="19"/>
  <c r="B61" i="19"/>
  <c r="C60" i="19"/>
  <c r="B60" i="19"/>
  <c r="C59" i="19"/>
  <c r="B59" i="19"/>
  <c r="C58" i="19"/>
  <c r="B58" i="19"/>
  <c r="C57" i="19"/>
  <c r="B57" i="19"/>
  <c r="C56" i="19"/>
  <c r="B56" i="19"/>
  <c r="C55" i="19"/>
  <c r="B55" i="19"/>
  <c r="C54" i="19"/>
  <c r="B54" i="19"/>
  <c r="C53" i="19"/>
  <c r="B53" i="19"/>
  <c r="C52" i="19"/>
  <c r="B52" i="19"/>
  <c r="C51" i="19"/>
  <c r="B51" i="19"/>
  <c r="C50" i="19"/>
  <c r="B50" i="19"/>
  <c r="C49" i="19"/>
  <c r="B49" i="19"/>
  <c r="C48" i="19"/>
  <c r="B48" i="19"/>
  <c r="C47" i="19"/>
  <c r="B47" i="19"/>
  <c r="C46" i="19"/>
  <c r="B46" i="19"/>
  <c r="C45" i="19"/>
  <c r="B45" i="19"/>
  <c r="C44" i="19"/>
  <c r="B44" i="19"/>
  <c r="C43" i="19"/>
  <c r="B43" i="19"/>
  <c r="C42" i="19"/>
  <c r="B42" i="19"/>
  <c r="C41" i="19"/>
  <c r="B41" i="19"/>
  <c r="C40" i="19"/>
  <c r="B40" i="19"/>
  <c r="C39" i="19"/>
  <c r="B39" i="19"/>
  <c r="C38" i="19"/>
  <c r="B38" i="19"/>
  <c r="C37" i="19"/>
  <c r="B37" i="19"/>
  <c r="C36" i="19"/>
  <c r="B36" i="19"/>
  <c r="C35" i="19"/>
  <c r="B35" i="19"/>
  <c r="C34" i="19"/>
  <c r="B34" i="19"/>
  <c r="C33" i="19"/>
  <c r="B33" i="19"/>
  <c r="C32" i="19"/>
  <c r="B32" i="19"/>
  <c r="C31" i="19"/>
  <c r="B31" i="19"/>
  <c r="C30" i="19"/>
  <c r="B30" i="19"/>
  <c r="C29" i="19"/>
  <c r="B29" i="19"/>
  <c r="C28" i="19"/>
  <c r="B28" i="19"/>
  <c r="C27" i="19"/>
  <c r="B27" i="19"/>
  <c r="C26" i="19"/>
  <c r="B26" i="19"/>
  <c r="C25" i="19"/>
  <c r="B25" i="19"/>
  <c r="C24" i="19"/>
  <c r="B24" i="19"/>
  <c r="C23" i="19"/>
  <c r="B23" i="19"/>
  <c r="C22" i="19"/>
  <c r="B22" i="19"/>
  <c r="C21" i="19"/>
  <c r="B21" i="19"/>
  <c r="C20" i="19"/>
  <c r="B20" i="19"/>
  <c r="C19" i="19"/>
  <c r="B19" i="19"/>
  <c r="C18" i="19"/>
  <c r="B18" i="19"/>
  <c r="C17" i="19"/>
  <c r="B17" i="19"/>
  <c r="C16" i="19"/>
  <c r="B16" i="19"/>
  <c r="C15" i="19"/>
  <c r="B15" i="19"/>
  <c r="C14" i="19"/>
  <c r="B14" i="19"/>
  <c r="C13" i="19"/>
  <c r="B13" i="19"/>
  <c r="X12" i="19"/>
  <c r="C12" i="19"/>
  <c r="B12" i="19"/>
  <c r="C11" i="19"/>
  <c r="B11" i="19"/>
  <c r="X10" i="19"/>
  <c r="C10" i="19"/>
  <c r="B10" i="19"/>
  <c r="C9" i="19"/>
  <c r="B9" i="19"/>
  <c r="C8" i="19"/>
  <c r="B8" i="19"/>
  <c r="C7" i="19"/>
  <c r="B7" i="19"/>
  <c r="X6" i="19"/>
  <c r="U6" i="19"/>
  <c r="T6" i="19"/>
  <c r="C6" i="19"/>
  <c r="B6" i="19"/>
  <c r="U5" i="19"/>
  <c r="X11" i="19" s="1"/>
  <c r="T5" i="19"/>
  <c r="O9" i="19" s="1"/>
  <c r="C5" i="19"/>
  <c r="B5" i="19"/>
  <c r="U4" i="19"/>
  <c r="T4" i="19"/>
  <c r="X4" i="19" s="1"/>
  <c r="C4" i="19"/>
  <c r="B4" i="19"/>
  <c r="X3" i="19"/>
  <c r="U3" i="19"/>
  <c r="X9" i="19" s="1"/>
  <c r="T3" i="19"/>
  <c r="C3" i="19"/>
  <c r="B3" i="19"/>
  <c r="N42" i="14"/>
  <c r="N43" i="14"/>
  <c r="N44" i="14"/>
  <c r="N45" i="14"/>
  <c r="N41" i="14"/>
  <c r="G7" i="9"/>
  <c r="F7" i="9"/>
  <c r="F2" i="9"/>
  <c r="F3" i="9" s="1"/>
  <c r="O9" i="21" l="1"/>
  <c r="X12" i="21"/>
  <c r="X5" i="19"/>
  <c r="O10" i="19"/>
  <c r="X3" i="3"/>
  <c r="C3" i="16" l="1"/>
  <c r="S17" i="17"/>
  <c r="AC10" i="16" s="1"/>
  <c r="S16" i="17"/>
  <c r="Q27" i="16" s="1"/>
  <c r="S15" i="17"/>
  <c r="E5" i="16" s="1"/>
  <c r="N34" i="14"/>
  <c r="M39" i="14"/>
  <c r="M38" i="14"/>
  <c r="M37" i="14"/>
  <c r="M36" i="14"/>
  <c r="M35" i="14"/>
  <c r="L39" i="14"/>
  <c r="L38" i="14"/>
  <c r="L37" i="14"/>
  <c r="L36" i="14"/>
  <c r="L35" i="14"/>
  <c r="AA3" i="16"/>
  <c r="AA2" i="16"/>
  <c r="AH2" i="16" s="1"/>
  <c r="AK42" i="16"/>
  <c r="AF42" i="16"/>
  <c r="AK41" i="16"/>
  <c r="AF41" i="16"/>
  <c r="AG41" i="16" s="1"/>
  <c r="AK40" i="16"/>
  <c r="AF40" i="16"/>
  <c r="AG40" i="16" s="1"/>
  <c r="AK39" i="16"/>
  <c r="AF39" i="16"/>
  <c r="AK38" i="16"/>
  <c r="AF38" i="16"/>
  <c r="AG38" i="16" s="1"/>
  <c r="AK37" i="16"/>
  <c r="AF37" i="16"/>
  <c r="AG37" i="16" s="1"/>
  <c r="AK36" i="16"/>
  <c r="AF36" i="16"/>
  <c r="AK35" i="16"/>
  <c r="AF35" i="16"/>
  <c r="AG35" i="16" s="1"/>
  <c r="AK34" i="16"/>
  <c r="AF34" i="16"/>
  <c r="AG34" i="16" s="1"/>
  <c r="AK33" i="16"/>
  <c r="AF33" i="16"/>
  <c r="AK32" i="16"/>
  <c r="AF32" i="16"/>
  <c r="AG32" i="16" s="1"/>
  <c r="AK31" i="16"/>
  <c r="AF31" i="16"/>
  <c r="AG31" i="16" s="1"/>
  <c r="AK30" i="16"/>
  <c r="AF30" i="16"/>
  <c r="AG30" i="16" s="1"/>
  <c r="AK29" i="16"/>
  <c r="AF29" i="16"/>
  <c r="AG29" i="16" s="1"/>
  <c r="AK28" i="16"/>
  <c r="AF28" i="16"/>
  <c r="AG28" i="16" s="1"/>
  <c r="AK27" i="16"/>
  <c r="AF27" i="16"/>
  <c r="AG27" i="16" s="1"/>
  <c r="AK26" i="16"/>
  <c r="AF26" i="16"/>
  <c r="AG26" i="16" s="1"/>
  <c r="AK25" i="16"/>
  <c r="AF25" i="16"/>
  <c r="AK24" i="16"/>
  <c r="AF24" i="16"/>
  <c r="AG24" i="16" s="1"/>
  <c r="AK23" i="16"/>
  <c r="AF23" i="16"/>
  <c r="AG23" i="16" s="1"/>
  <c r="AK22" i="16"/>
  <c r="AF22" i="16"/>
  <c r="AG22" i="16" s="1"/>
  <c r="AK21" i="16"/>
  <c r="AF21" i="16"/>
  <c r="AG21" i="16" s="1"/>
  <c r="AK20" i="16"/>
  <c r="AF20" i="16"/>
  <c r="AK19" i="16"/>
  <c r="AF19" i="16"/>
  <c r="AG19" i="16" s="1"/>
  <c r="AK18" i="16"/>
  <c r="AF18" i="16"/>
  <c r="AK17" i="16"/>
  <c r="AF17" i="16"/>
  <c r="AG17" i="16" s="1"/>
  <c r="AK16" i="16"/>
  <c r="AF16" i="16"/>
  <c r="AG16" i="16" s="1"/>
  <c r="AK15" i="16"/>
  <c r="AF15" i="16"/>
  <c r="AG15" i="16" s="1"/>
  <c r="AK14" i="16"/>
  <c r="AF14" i="16"/>
  <c r="AG14" i="16" s="1"/>
  <c r="AK13" i="16"/>
  <c r="AF13" i="16"/>
  <c r="AG13" i="16" s="1"/>
  <c r="AK12" i="16"/>
  <c r="AF12" i="16"/>
  <c r="AG12" i="16" s="1"/>
  <c r="AK11" i="16"/>
  <c r="AF11" i="16"/>
  <c r="AG11" i="16" s="1"/>
  <c r="AK10" i="16"/>
  <c r="AF10" i="16"/>
  <c r="AG10" i="16" s="1"/>
  <c r="AK9" i="16"/>
  <c r="AF9" i="16"/>
  <c r="AG9" i="16" s="1"/>
  <c r="AK8" i="16"/>
  <c r="AF8" i="16"/>
  <c r="AG8" i="16" s="1"/>
  <c r="AK7" i="16"/>
  <c r="AF7" i="16"/>
  <c r="AG7" i="16" s="1"/>
  <c r="AK6" i="16"/>
  <c r="AF6" i="16"/>
  <c r="AG6" i="16" s="1"/>
  <c r="AK5" i="16"/>
  <c r="AF5" i="16"/>
  <c r="AG5" i="16" s="1"/>
  <c r="AK4" i="16"/>
  <c r="AF4" i="16"/>
  <c r="AK3" i="16"/>
  <c r="AF3" i="16"/>
  <c r="AG3" i="16" s="1"/>
  <c r="O3" i="16"/>
  <c r="O2" i="16"/>
  <c r="V2" i="16" s="1"/>
  <c r="C2" i="16"/>
  <c r="J2" i="16" s="1"/>
  <c r="Y42" i="16"/>
  <c r="S42" i="16"/>
  <c r="U42" i="16" s="1"/>
  <c r="S41" i="16"/>
  <c r="U41" i="16" s="1"/>
  <c r="Y41" i="16"/>
  <c r="Y40" i="16"/>
  <c r="S40" i="16"/>
  <c r="U40" i="16" s="1"/>
  <c r="S39" i="16"/>
  <c r="U39" i="16" s="1"/>
  <c r="Y39" i="16"/>
  <c r="Y38" i="16"/>
  <c r="S38" i="16"/>
  <c r="U38" i="16" s="1"/>
  <c r="S37" i="16"/>
  <c r="U37" i="16" s="1"/>
  <c r="Y37" i="16"/>
  <c r="Y36" i="16"/>
  <c r="S36" i="16"/>
  <c r="U36" i="16" s="1"/>
  <c r="S35" i="16"/>
  <c r="U35" i="16" s="1"/>
  <c r="Y35" i="16"/>
  <c r="Y34" i="16"/>
  <c r="S34" i="16"/>
  <c r="U34" i="16" s="1"/>
  <c r="S33" i="16"/>
  <c r="U33" i="16" s="1"/>
  <c r="Y33" i="16"/>
  <c r="Y32" i="16"/>
  <c r="S32" i="16"/>
  <c r="U32" i="16" s="1"/>
  <c r="S31" i="16"/>
  <c r="U31" i="16" s="1"/>
  <c r="Y31" i="16"/>
  <c r="Y30" i="16"/>
  <c r="S30" i="16"/>
  <c r="U30" i="16" s="1"/>
  <c r="S29" i="16"/>
  <c r="U29" i="16" s="1"/>
  <c r="Y29" i="16"/>
  <c r="Y28" i="16"/>
  <c r="S28" i="16"/>
  <c r="U28" i="16" s="1"/>
  <c r="S27" i="16"/>
  <c r="U27" i="16" s="1"/>
  <c r="Y27" i="16"/>
  <c r="Y26" i="16"/>
  <c r="S26" i="16"/>
  <c r="U26" i="16" s="1"/>
  <c r="S25" i="16"/>
  <c r="U25" i="16" s="1"/>
  <c r="Y25" i="16"/>
  <c r="Y24" i="16"/>
  <c r="S24" i="16"/>
  <c r="U24" i="16" s="1"/>
  <c r="S23" i="16"/>
  <c r="U23" i="16" s="1"/>
  <c r="Y23" i="16"/>
  <c r="Y22" i="16"/>
  <c r="S22" i="16"/>
  <c r="U22" i="16" s="1"/>
  <c r="S21" i="16"/>
  <c r="U21" i="16" s="1"/>
  <c r="Y21" i="16"/>
  <c r="Y20" i="16"/>
  <c r="S20" i="16"/>
  <c r="U20" i="16" s="1"/>
  <c r="S19" i="16"/>
  <c r="U19" i="16" s="1"/>
  <c r="Y19" i="16"/>
  <c r="Y18" i="16"/>
  <c r="S18" i="16"/>
  <c r="U18" i="16" s="1"/>
  <c r="S17" i="16"/>
  <c r="U17" i="16" s="1"/>
  <c r="Y17" i="16"/>
  <c r="Y16" i="16"/>
  <c r="S16" i="16"/>
  <c r="U16" i="16" s="1"/>
  <c r="S15" i="16"/>
  <c r="U15" i="16" s="1"/>
  <c r="Y15" i="16"/>
  <c r="Y14" i="16"/>
  <c r="S14" i="16"/>
  <c r="U14" i="16" s="1"/>
  <c r="S13" i="16"/>
  <c r="U13" i="16" s="1"/>
  <c r="Y13" i="16"/>
  <c r="Y12" i="16"/>
  <c r="S12" i="16"/>
  <c r="U12" i="16" s="1"/>
  <c r="S11" i="16"/>
  <c r="U11" i="16" s="1"/>
  <c r="Y11" i="16"/>
  <c r="Y10" i="16"/>
  <c r="S10" i="16"/>
  <c r="U10" i="16" s="1"/>
  <c r="S9" i="16"/>
  <c r="U9" i="16" s="1"/>
  <c r="Y9" i="16"/>
  <c r="Y8" i="16"/>
  <c r="S8" i="16"/>
  <c r="U8" i="16" s="1"/>
  <c r="S7" i="16"/>
  <c r="U7" i="16" s="1"/>
  <c r="Y7" i="16"/>
  <c r="Y6" i="16"/>
  <c r="S6" i="16"/>
  <c r="U6" i="16" s="1"/>
  <c r="S5" i="16"/>
  <c r="U5" i="16" s="1"/>
  <c r="Y5" i="16"/>
  <c r="Y4" i="16"/>
  <c r="S4" i="16"/>
  <c r="U4" i="16" s="1"/>
  <c r="S3" i="16"/>
  <c r="U3" i="16" s="1"/>
  <c r="Y3" i="16"/>
  <c r="C18" i="14"/>
  <c r="C15" i="14"/>
  <c r="C12" i="14"/>
  <c r="C10" i="14"/>
  <c r="C9" i="14"/>
  <c r="C8" i="14"/>
  <c r="X10" i="3"/>
  <c r="X11" i="3"/>
  <c r="X12" i="3"/>
  <c r="X9" i="3"/>
  <c r="X4" i="3"/>
  <c r="X5" i="3"/>
  <c r="X6" i="3"/>
  <c r="AM2" i="16" l="1"/>
  <c r="C19" i="14"/>
  <c r="E36" i="16"/>
  <c r="E27" i="16"/>
  <c r="E26" i="16"/>
  <c r="E20" i="16"/>
  <c r="E19" i="16"/>
  <c r="E3" i="16"/>
  <c r="E4" i="16"/>
  <c r="E42" i="16"/>
  <c r="E41" i="16"/>
  <c r="E35" i="16"/>
  <c r="E18" i="16"/>
  <c r="E34" i="16"/>
  <c r="E12" i="16"/>
  <c r="E33" i="16"/>
  <c r="E11" i="16"/>
  <c r="E28" i="16"/>
  <c r="E10" i="16"/>
  <c r="AC42" i="16"/>
  <c r="AC34" i="16"/>
  <c r="AC26" i="16"/>
  <c r="AC18" i="16"/>
  <c r="AC11" i="16"/>
  <c r="AC41" i="16"/>
  <c r="AC33" i="16"/>
  <c r="AC25" i="16"/>
  <c r="AC17" i="16"/>
  <c r="AC9" i="16"/>
  <c r="AC40" i="16"/>
  <c r="AC32" i="16"/>
  <c r="AC24" i="16"/>
  <c r="AC16" i="16"/>
  <c r="AC8" i="16"/>
  <c r="AC39" i="16"/>
  <c r="AC31" i="16"/>
  <c r="AC23" i="16"/>
  <c r="AC15" i="16"/>
  <c r="AC7" i="16"/>
  <c r="AC38" i="16"/>
  <c r="AC30" i="16"/>
  <c r="AC22" i="16"/>
  <c r="AC14" i="16"/>
  <c r="AC6" i="16"/>
  <c r="AC37" i="16"/>
  <c r="AC29" i="16"/>
  <c r="AC21" i="16"/>
  <c r="AC13" i="16"/>
  <c r="AC5" i="16"/>
  <c r="AC36" i="16"/>
  <c r="AC28" i="16"/>
  <c r="AC20" i="16"/>
  <c r="AC12" i="16"/>
  <c r="AC4" i="16"/>
  <c r="AC3" i="16"/>
  <c r="AC35" i="16"/>
  <c r="AC27" i="16"/>
  <c r="AC19" i="16"/>
  <c r="Q4" i="16"/>
  <c r="Q26" i="16"/>
  <c r="Q3" i="16"/>
  <c r="Q20" i="16"/>
  <c r="Q42" i="16"/>
  <c r="Q19" i="16"/>
  <c r="Q36" i="16"/>
  <c r="Q18" i="16"/>
  <c r="Q35" i="16"/>
  <c r="Q12" i="16"/>
  <c r="Q34" i="16"/>
  <c r="Q11" i="16"/>
  <c r="Q28" i="16"/>
  <c r="Q10" i="16"/>
  <c r="E25" i="16"/>
  <c r="E17" i="16"/>
  <c r="Q41" i="16"/>
  <c r="Q25" i="16"/>
  <c r="Q9" i="16"/>
  <c r="E40" i="16"/>
  <c r="E32" i="16"/>
  <c r="E24" i="16"/>
  <c r="E16" i="16"/>
  <c r="E8" i="16"/>
  <c r="Q40" i="16"/>
  <c r="Q32" i="16"/>
  <c r="Q24" i="16"/>
  <c r="Q16" i="16"/>
  <c r="Q8" i="16"/>
  <c r="E9" i="16"/>
  <c r="Q33" i="16"/>
  <c r="Q17" i="16"/>
  <c r="E39" i="16"/>
  <c r="E31" i="16"/>
  <c r="E23" i="16"/>
  <c r="E15" i="16"/>
  <c r="E7" i="16"/>
  <c r="Q39" i="16"/>
  <c r="Q31" i="16"/>
  <c r="Q23" i="16"/>
  <c r="Q15" i="16"/>
  <c r="Q7" i="16"/>
  <c r="E38" i="16"/>
  <c r="E30" i="16"/>
  <c r="E22" i="16"/>
  <c r="E14" i="16"/>
  <c r="E6" i="16"/>
  <c r="Q38" i="16"/>
  <c r="Q30" i="16"/>
  <c r="Q22" i="16"/>
  <c r="Q14" i="16"/>
  <c r="Q6" i="16"/>
  <c r="E37" i="16"/>
  <c r="E29" i="16"/>
  <c r="E21" i="16"/>
  <c r="E13" i="16"/>
  <c r="Q37" i="16"/>
  <c r="Q29" i="16"/>
  <c r="Q21" i="16"/>
  <c r="Q13" i="16"/>
  <c r="Q5" i="16"/>
  <c r="N37" i="14"/>
  <c r="N36" i="14"/>
  <c r="N39" i="14"/>
  <c r="O34" i="14"/>
  <c r="N35" i="14"/>
  <c r="N38" i="14"/>
  <c r="C11" i="14"/>
  <c r="AG36" i="16"/>
  <c r="AG33" i="16"/>
  <c r="AG4" i="16"/>
  <c r="AG18" i="16"/>
  <c r="AG25" i="16"/>
  <c r="AG42" i="16"/>
  <c r="AG20" i="16"/>
  <c r="AG39" i="16"/>
  <c r="T4" i="3"/>
  <c r="U4" i="3"/>
  <c r="T5" i="3"/>
  <c r="U5" i="3"/>
  <c r="T6" i="3"/>
  <c r="U6" i="3"/>
  <c r="U3" i="3"/>
  <c r="T3" i="3"/>
  <c r="G42" i="10"/>
  <c r="N7" i="9"/>
  <c r="M7" i="9"/>
  <c r="L7" i="9"/>
  <c r="Q7" i="9" s="1"/>
  <c r="H2" i="9"/>
  <c r="I2" i="9" s="1"/>
  <c r="E7" i="9"/>
  <c r="J7" i="9" s="1"/>
  <c r="B47" i="11"/>
  <c r="C46" i="11"/>
  <c r="B46" i="11"/>
  <c r="H36" i="11"/>
  <c r="H35" i="11"/>
  <c r="H34" i="11"/>
  <c r="C30" i="11"/>
  <c r="C18" i="11"/>
  <c r="J17" i="11"/>
  <c r="J16" i="11"/>
  <c r="C15" i="11"/>
  <c r="C12" i="11"/>
  <c r="C10" i="11"/>
  <c r="C9" i="11"/>
  <c r="I17" i="11" s="1"/>
  <c r="C8" i="11"/>
  <c r="B3" i="11" s="1"/>
  <c r="C3" i="11" s="1"/>
  <c r="S5" i="11"/>
  <c r="R5" i="11"/>
  <c r="H42" i="10"/>
  <c r="H41" i="10"/>
  <c r="H40" i="10"/>
  <c r="H39" i="10"/>
  <c r="G39" i="10"/>
  <c r="H38" i="10"/>
  <c r="G38" i="10"/>
  <c r="H37" i="10"/>
  <c r="H36" i="10"/>
  <c r="G36" i="10"/>
  <c r="H35" i="10"/>
  <c r="G35" i="10"/>
  <c r="H34" i="10"/>
  <c r="G34" i="10"/>
  <c r="H33" i="10"/>
  <c r="G33" i="10"/>
  <c r="H32" i="10"/>
  <c r="G32" i="10"/>
  <c r="H31" i="10"/>
  <c r="G31" i="10"/>
  <c r="H30" i="10"/>
  <c r="G30" i="10"/>
  <c r="H29" i="10"/>
  <c r="G29" i="10"/>
  <c r="H28" i="10"/>
  <c r="G28" i="10"/>
  <c r="H27" i="10"/>
  <c r="G27" i="10"/>
  <c r="H26" i="10"/>
  <c r="G26" i="10"/>
  <c r="H25" i="10"/>
  <c r="G25" i="10"/>
  <c r="H24" i="10"/>
  <c r="G24" i="10"/>
  <c r="H23" i="10"/>
  <c r="G23" i="10"/>
  <c r="H22" i="10"/>
  <c r="G22" i="10"/>
  <c r="H21" i="10"/>
  <c r="G21" i="10"/>
  <c r="H20" i="10"/>
  <c r="G20" i="10"/>
  <c r="H19" i="10"/>
  <c r="G19" i="10"/>
  <c r="H18" i="10"/>
  <c r="G18" i="10"/>
  <c r="H17" i="10"/>
  <c r="G17" i="10"/>
  <c r="H16" i="10"/>
  <c r="G16" i="10"/>
  <c r="H15" i="10"/>
  <c r="G15" i="10"/>
  <c r="H14" i="10"/>
  <c r="G14" i="10"/>
  <c r="H13" i="10"/>
  <c r="G13" i="10"/>
  <c r="H12" i="10"/>
  <c r="G12" i="10"/>
  <c r="H11" i="10"/>
  <c r="G11" i="10"/>
  <c r="H10" i="10"/>
  <c r="G10" i="10"/>
  <c r="H9" i="10"/>
  <c r="G9" i="10"/>
  <c r="H8" i="10"/>
  <c r="G8" i="10"/>
  <c r="H7" i="10"/>
  <c r="G7" i="10"/>
  <c r="H6" i="10"/>
  <c r="G6" i="10"/>
  <c r="H5" i="10"/>
  <c r="G5" i="10"/>
  <c r="H4" i="10"/>
  <c r="G4" i="10"/>
  <c r="H3" i="10"/>
  <c r="G3" i="10"/>
  <c r="O10" i="3" l="1"/>
  <c r="O9" i="3"/>
  <c r="G40" i="10"/>
  <c r="G41" i="10"/>
  <c r="G37" i="10"/>
  <c r="P7" i="9"/>
  <c r="I7" i="9"/>
  <c r="C11" i="11"/>
  <c r="C61" i="11" s="1"/>
  <c r="C62" i="11" s="1"/>
  <c r="C13" i="11"/>
  <c r="C51" i="11" s="1"/>
  <c r="C19" i="11"/>
  <c r="C37" i="11" s="1"/>
  <c r="C42" i="11" s="1"/>
  <c r="C47" i="11" s="1"/>
  <c r="I16" i="11"/>
  <c r="H13" i="11"/>
  <c r="C14" i="11" l="1"/>
  <c r="M31" i="11"/>
  <c r="M36" i="11" s="1"/>
  <c r="K30" i="11"/>
  <c r="K35" i="11" s="1"/>
  <c r="J29" i="11"/>
  <c r="J34" i="11" s="1"/>
  <c r="L15" i="11"/>
  <c r="L31" i="11"/>
  <c r="L36" i="11" s="1"/>
  <c r="J30" i="11"/>
  <c r="J35" i="11" s="1"/>
  <c r="I29" i="11"/>
  <c r="I34" i="11" s="1"/>
  <c r="K31" i="11"/>
  <c r="K36" i="11" s="1"/>
  <c r="I30" i="11"/>
  <c r="I35" i="11" s="1"/>
  <c r="J31" i="11"/>
  <c r="J36" i="11" s="1"/>
  <c r="N31" i="11"/>
  <c r="N36" i="11" s="1"/>
  <c r="K29" i="11"/>
  <c r="K34" i="11" s="1"/>
  <c r="I31" i="11"/>
  <c r="I36" i="11" s="1"/>
  <c r="N29" i="11"/>
  <c r="N34" i="11" s="1"/>
  <c r="N30" i="11"/>
  <c r="N35" i="11" s="1"/>
  <c r="M29" i="11"/>
  <c r="M34" i="11" s="1"/>
  <c r="L30" i="11"/>
  <c r="L35" i="11" s="1"/>
  <c r="M30" i="11"/>
  <c r="M35" i="11" s="1"/>
  <c r="L29" i="11"/>
  <c r="L34" i="11" s="1"/>
  <c r="J13" i="11" l="1"/>
  <c r="N12" i="11" s="1"/>
  <c r="O12" i="11" s="1"/>
  <c r="I13" i="11"/>
  <c r="K16" i="11" l="1"/>
  <c r="K17" i="11"/>
  <c r="K13" i="11" l="1"/>
  <c r="J38" i="11" s="1"/>
  <c r="K38" i="11" s="1"/>
  <c r="C33" i="11" l="1"/>
  <c r="C34" i="11" s="1"/>
  <c r="E33" i="11" l="1"/>
  <c r="F33" i="11" s="1"/>
  <c r="C36" i="11" s="1"/>
  <c r="C21" i="11"/>
  <c r="C22" i="11" s="1"/>
  <c r="E21" i="11" l="1"/>
  <c r="G21" i="11" s="1"/>
  <c r="C24" i="11" s="1"/>
  <c r="F21" i="11" l="1"/>
  <c r="DS19" i="1" l="1"/>
  <c r="C10" i="7"/>
  <c r="CZ21" i="1"/>
  <c r="CS21" i="1"/>
  <c r="CL21" i="1"/>
  <c r="CE21" i="1"/>
  <c r="CA21" i="1"/>
  <c r="BX21" i="1"/>
  <c r="H34" i="7"/>
  <c r="H36" i="7"/>
  <c r="H35" i="7"/>
  <c r="C3" i="10" l="1"/>
  <c r="C2" i="10"/>
  <c r="J2" i="10" s="1"/>
  <c r="C3" i="5"/>
  <c r="C2" i="5"/>
  <c r="J2" i="5" s="1"/>
  <c r="C15" i="7"/>
  <c r="C19" i="7" s="1"/>
  <c r="C12" i="7"/>
  <c r="J16" i="7"/>
  <c r="C9" i="7"/>
  <c r="J17" i="7"/>
  <c r="C8" i="7"/>
  <c r="D6" i="8"/>
  <c r="E6" i="8"/>
  <c r="E9" i="8" s="1"/>
  <c r="F6" i="8"/>
  <c r="G6" i="8"/>
  <c r="H6" i="8"/>
  <c r="I6" i="8"/>
  <c r="J6" i="8"/>
  <c r="C6" i="8"/>
  <c r="C2" i="8"/>
  <c r="J9" i="8" s="1"/>
  <c r="B47" i="7"/>
  <c r="B46" i="7"/>
  <c r="C18" i="7"/>
  <c r="C30" i="7"/>
  <c r="C46" i="7" s="1"/>
  <c r="I17" i="7" l="1"/>
  <c r="I16" i="7"/>
  <c r="R5" i="7"/>
  <c r="H13" i="7"/>
  <c r="C11" i="7"/>
  <c r="H33" i="8"/>
  <c r="H21" i="8"/>
  <c r="D9" i="8"/>
  <c r="J28" i="8"/>
  <c r="C8" i="8"/>
  <c r="H44" i="8"/>
  <c r="H28" i="8"/>
  <c r="J8" i="8"/>
  <c r="J47" i="8"/>
  <c r="J43" i="8"/>
  <c r="J39" i="8"/>
  <c r="J35" i="8"/>
  <c r="J31" i="8"/>
  <c r="J27" i="8"/>
  <c r="J23" i="8"/>
  <c r="J19" i="8"/>
  <c r="J15" i="8"/>
  <c r="J11" i="8"/>
  <c r="J32" i="8"/>
  <c r="J16" i="8"/>
  <c r="E8" i="8"/>
  <c r="H16" i="8"/>
  <c r="I8" i="8"/>
  <c r="H47" i="8"/>
  <c r="H43" i="8"/>
  <c r="H39" i="8"/>
  <c r="H35" i="8"/>
  <c r="H31" i="8"/>
  <c r="H27" i="8"/>
  <c r="H23" i="8"/>
  <c r="H19" i="8"/>
  <c r="H15" i="8"/>
  <c r="H11" i="8"/>
  <c r="H45" i="8"/>
  <c r="H29" i="8"/>
  <c r="H13" i="8"/>
  <c r="J36" i="8"/>
  <c r="J20" i="8"/>
  <c r="H12" i="8"/>
  <c r="H8" i="8"/>
  <c r="J46" i="8"/>
  <c r="J42" i="8"/>
  <c r="J38" i="8"/>
  <c r="J34" i="8"/>
  <c r="J30" i="8"/>
  <c r="J26" i="8"/>
  <c r="J22" i="8"/>
  <c r="J18" i="8"/>
  <c r="J14" i="8"/>
  <c r="J10" i="8"/>
  <c r="H37" i="8"/>
  <c r="H25" i="8"/>
  <c r="H17" i="8"/>
  <c r="J44" i="8"/>
  <c r="J24" i="8"/>
  <c r="J12" i="8"/>
  <c r="H40" i="8"/>
  <c r="H32" i="8"/>
  <c r="H24" i="8"/>
  <c r="G8" i="8"/>
  <c r="H46" i="8"/>
  <c r="H42" i="8"/>
  <c r="H38" i="8"/>
  <c r="H34" i="8"/>
  <c r="H30" i="8"/>
  <c r="H26" i="8"/>
  <c r="H22" i="8"/>
  <c r="H18" i="8"/>
  <c r="H14" i="8"/>
  <c r="H10" i="8"/>
  <c r="H41" i="8"/>
  <c r="H9" i="8"/>
  <c r="J40" i="8"/>
  <c r="C9" i="8"/>
  <c r="H36" i="8"/>
  <c r="H20" i="8"/>
  <c r="F9" i="8"/>
  <c r="J45" i="8"/>
  <c r="J41" i="8"/>
  <c r="J37" i="8"/>
  <c r="J33" i="8"/>
  <c r="J29" i="8"/>
  <c r="J25" i="8"/>
  <c r="J21" i="8"/>
  <c r="J17" i="8"/>
  <c r="J13" i="8"/>
  <c r="S5" i="7"/>
  <c r="B3" i="7"/>
  <c r="D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F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F38" i="16" l="1"/>
  <c r="F30" i="16"/>
  <c r="F22" i="16"/>
  <c r="F13" i="16"/>
  <c r="F9" i="16"/>
  <c r="F5" i="16"/>
  <c r="F33" i="16"/>
  <c r="F41" i="16"/>
  <c r="F35" i="16"/>
  <c r="F27" i="16"/>
  <c r="F19" i="16"/>
  <c r="F16" i="16"/>
  <c r="F32" i="16"/>
  <c r="F24" i="16"/>
  <c r="F12" i="16"/>
  <c r="F8" i="16"/>
  <c r="F4" i="16"/>
  <c r="F40" i="16"/>
  <c r="F37" i="16"/>
  <c r="F29" i="16"/>
  <c r="F21" i="16"/>
  <c r="F34" i="16"/>
  <c r="F26" i="16"/>
  <c r="F18" i="16"/>
  <c r="F15" i="16"/>
  <c r="F11" i="16"/>
  <c r="F7" i="16"/>
  <c r="F3" i="16"/>
  <c r="F17" i="16"/>
  <c r="F31" i="16"/>
  <c r="F23" i="16"/>
  <c r="F42" i="16"/>
  <c r="F39" i="16"/>
  <c r="F36" i="16"/>
  <c r="F28" i="16"/>
  <c r="F20" i="16"/>
  <c r="F14" i="16"/>
  <c r="F10" i="16"/>
  <c r="F6" i="16"/>
  <c r="F25" i="16"/>
  <c r="EK13" i="1"/>
  <c r="EK19" i="1" s="1"/>
  <c r="F37" i="10"/>
  <c r="F34" i="10"/>
  <c r="F24" i="10"/>
  <c r="F21" i="10"/>
  <c r="F4" i="10"/>
  <c r="F38" i="10"/>
  <c r="F31" i="10"/>
  <c r="F28" i="10"/>
  <c r="F9" i="10"/>
  <c r="F26" i="10"/>
  <c r="F5" i="10"/>
  <c r="F11" i="10"/>
  <c r="F41" i="10"/>
  <c r="F32" i="10"/>
  <c r="F22" i="10"/>
  <c r="F19" i="10"/>
  <c r="F15" i="10"/>
  <c r="F12" i="10"/>
  <c r="F7" i="10"/>
  <c r="F20" i="10"/>
  <c r="F10" i="10"/>
  <c r="F35" i="10"/>
  <c r="F25" i="10"/>
  <c r="F16" i="10"/>
  <c r="F42" i="10"/>
  <c r="F39" i="10"/>
  <c r="F29" i="10"/>
  <c r="F36" i="10"/>
  <c r="F33" i="10"/>
  <c r="F13" i="10"/>
  <c r="F8" i="10"/>
  <c r="F18" i="10"/>
  <c r="F14" i="10"/>
  <c r="F30" i="10"/>
  <c r="F23" i="10"/>
  <c r="F17" i="10"/>
  <c r="F6" i="10"/>
  <c r="F3" i="10"/>
  <c r="I3" i="10" s="1"/>
  <c r="F40" i="10"/>
  <c r="F27" i="10"/>
  <c r="C37" i="7"/>
  <c r="C42" i="7" s="1"/>
  <c r="C47" i="7" s="1"/>
  <c r="F4" i="5"/>
  <c r="I4" i="5" s="1"/>
  <c r="F12" i="5"/>
  <c r="I12" i="5" s="1"/>
  <c r="F20" i="5"/>
  <c r="I20" i="5" s="1"/>
  <c r="F36" i="5"/>
  <c r="I36" i="5" s="1"/>
  <c r="F5" i="5"/>
  <c r="I5" i="5" s="1"/>
  <c r="F13" i="5"/>
  <c r="I13" i="5" s="1"/>
  <c r="F21" i="5"/>
  <c r="I21" i="5" s="1"/>
  <c r="F29" i="5"/>
  <c r="I29" i="5" s="1"/>
  <c r="F37" i="5"/>
  <c r="I37" i="5" s="1"/>
  <c r="F32" i="5"/>
  <c r="I32" i="5" s="1"/>
  <c r="F6" i="5"/>
  <c r="I6" i="5" s="1"/>
  <c r="F14" i="5"/>
  <c r="I14" i="5" s="1"/>
  <c r="F22" i="5"/>
  <c r="I22" i="5" s="1"/>
  <c r="F30" i="5"/>
  <c r="I30" i="5" s="1"/>
  <c r="F38" i="5"/>
  <c r="I38" i="5" s="1"/>
  <c r="F42" i="5"/>
  <c r="I42" i="5" s="1"/>
  <c r="F7" i="5"/>
  <c r="I7" i="5" s="1"/>
  <c r="F15" i="5"/>
  <c r="I15" i="5" s="1"/>
  <c r="F23" i="5"/>
  <c r="I23" i="5" s="1"/>
  <c r="F31" i="5"/>
  <c r="I31" i="5" s="1"/>
  <c r="F39" i="5"/>
  <c r="I39" i="5" s="1"/>
  <c r="F16" i="5"/>
  <c r="I16" i="5" s="1"/>
  <c r="F40" i="5"/>
  <c r="I40" i="5" s="1"/>
  <c r="F8" i="5"/>
  <c r="I8" i="5" s="1"/>
  <c r="F24" i="5"/>
  <c r="I24" i="5" s="1"/>
  <c r="F9" i="5"/>
  <c r="I9" i="5" s="1"/>
  <c r="F17" i="5"/>
  <c r="I17" i="5" s="1"/>
  <c r="F25" i="5"/>
  <c r="I25" i="5" s="1"/>
  <c r="F33" i="5"/>
  <c r="I33" i="5" s="1"/>
  <c r="F41" i="5"/>
  <c r="I41" i="5" s="1"/>
  <c r="F18" i="5"/>
  <c r="I18" i="5" s="1"/>
  <c r="F26" i="5"/>
  <c r="I26" i="5" s="1"/>
  <c r="F34" i="5"/>
  <c r="I34" i="5" s="1"/>
  <c r="F10" i="5"/>
  <c r="I10" i="5" s="1"/>
  <c r="F11" i="5"/>
  <c r="I11" i="5" s="1"/>
  <c r="F19" i="5"/>
  <c r="I19" i="5" s="1"/>
  <c r="F27" i="5"/>
  <c r="I27" i="5" s="1"/>
  <c r="F35" i="5"/>
  <c r="I35" i="5" s="1"/>
  <c r="F3" i="5"/>
  <c r="I3" i="5" s="1"/>
  <c r="F28" i="5"/>
  <c r="I28" i="5" s="1"/>
  <c r="L15" i="7"/>
  <c r="J13" i="7" s="1"/>
  <c r="N12" i="7" s="1"/>
  <c r="O12" i="7" s="1"/>
  <c r="I29" i="7"/>
  <c r="I34" i="7" s="1"/>
  <c r="C61" i="7"/>
  <c r="C62" i="7" s="1"/>
  <c r="C3" i="7"/>
  <c r="C13" i="7" s="1"/>
  <c r="C13" i="14" l="1"/>
  <c r="C14" i="14" s="1"/>
  <c r="C51" i="7"/>
  <c r="I41" i="16"/>
  <c r="M41" i="16"/>
  <c r="M6" i="16"/>
  <c r="I6" i="16"/>
  <c r="M23" i="16"/>
  <c r="I23" i="16"/>
  <c r="M26" i="16"/>
  <c r="I26" i="16"/>
  <c r="M12" i="16"/>
  <c r="I12" i="16"/>
  <c r="M33" i="16"/>
  <c r="I33" i="16"/>
  <c r="M10" i="16"/>
  <c r="I10" i="16"/>
  <c r="M31" i="16"/>
  <c r="I31" i="16"/>
  <c r="M34" i="16"/>
  <c r="I34" i="16"/>
  <c r="M24" i="16"/>
  <c r="I24" i="16"/>
  <c r="I5" i="16"/>
  <c r="M5" i="16"/>
  <c r="M42" i="16"/>
  <c r="I42" i="16"/>
  <c r="M14" i="16"/>
  <c r="I14" i="16"/>
  <c r="M17" i="16"/>
  <c r="I17" i="16"/>
  <c r="M21" i="16"/>
  <c r="I21" i="16"/>
  <c r="M32" i="16"/>
  <c r="I32" i="16"/>
  <c r="I9" i="16"/>
  <c r="M9" i="16"/>
  <c r="M25" i="16"/>
  <c r="I25" i="16"/>
  <c r="M20" i="16"/>
  <c r="I20" i="16"/>
  <c r="I3" i="16"/>
  <c r="M3" i="16"/>
  <c r="M29" i="16"/>
  <c r="I29" i="16"/>
  <c r="M16" i="16"/>
  <c r="I16" i="16"/>
  <c r="I13" i="16"/>
  <c r="M13" i="16"/>
  <c r="M18" i="16"/>
  <c r="I18" i="16"/>
  <c r="M28" i="16"/>
  <c r="I28" i="16"/>
  <c r="I7" i="16"/>
  <c r="M7" i="16"/>
  <c r="M37" i="16"/>
  <c r="I37" i="16"/>
  <c r="I19" i="16"/>
  <c r="M19" i="16"/>
  <c r="I22" i="16"/>
  <c r="M22" i="16"/>
  <c r="M8" i="16"/>
  <c r="I8" i="16"/>
  <c r="M36" i="16"/>
  <c r="I36" i="16"/>
  <c r="I11" i="16"/>
  <c r="M11" i="16"/>
  <c r="M40" i="16"/>
  <c r="I40" i="16"/>
  <c r="I27" i="16"/>
  <c r="M27" i="16"/>
  <c r="I30" i="16"/>
  <c r="M30" i="16"/>
  <c r="M39" i="16"/>
  <c r="I39" i="16"/>
  <c r="M15" i="16"/>
  <c r="I15" i="16"/>
  <c r="M4" i="16"/>
  <c r="I4" i="16"/>
  <c r="I35" i="16"/>
  <c r="M35" i="16"/>
  <c r="M38" i="16"/>
  <c r="I38" i="16"/>
  <c r="C14" i="7"/>
  <c r="I40" i="10"/>
  <c r="M40" i="10"/>
  <c r="I8" i="10"/>
  <c r="M8" i="10"/>
  <c r="I25" i="10"/>
  <c r="M25" i="10"/>
  <c r="I22" i="10"/>
  <c r="M22" i="10"/>
  <c r="M31" i="10"/>
  <c r="I31" i="10"/>
  <c r="M3" i="10"/>
  <c r="M13" i="10"/>
  <c r="I13" i="10"/>
  <c r="M35" i="10"/>
  <c r="I35" i="10"/>
  <c r="I32" i="10"/>
  <c r="M32" i="10"/>
  <c r="I38" i="10"/>
  <c r="M38" i="10"/>
  <c r="I6" i="10"/>
  <c r="M6" i="10"/>
  <c r="M33" i="10"/>
  <c r="I33" i="10"/>
  <c r="I4" i="10"/>
  <c r="M4" i="10"/>
  <c r="M17" i="10"/>
  <c r="I17" i="10"/>
  <c r="I36" i="10"/>
  <c r="M36" i="10"/>
  <c r="I20" i="10"/>
  <c r="M20" i="10"/>
  <c r="M11" i="10"/>
  <c r="I11" i="10"/>
  <c r="M21" i="10"/>
  <c r="I21" i="10"/>
  <c r="M41" i="10"/>
  <c r="I41" i="10"/>
  <c r="M23" i="10"/>
  <c r="I23" i="10"/>
  <c r="M29" i="10"/>
  <c r="I29" i="10"/>
  <c r="M7" i="10"/>
  <c r="I7" i="10"/>
  <c r="M5" i="10"/>
  <c r="I5" i="10"/>
  <c r="I24" i="10"/>
  <c r="M24" i="10"/>
  <c r="I10" i="10"/>
  <c r="M10" i="10"/>
  <c r="I30" i="10"/>
  <c r="M30" i="10"/>
  <c r="M39" i="10"/>
  <c r="I39" i="10"/>
  <c r="I12" i="10"/>
  <c r="M12" i="10"/>
  <c r="I26" i="10"/>
  <c r="M26" i="10"/>
  <c r="I34" i="10"/>
  <c r="M34" i="10"/>
  <c r="I14" i="10"/>
  <c r="M14" i="10"/>
  <c r="I42" i="10"/>
  <c r="M42" i="10"/>
  <c r="M15" i="10"/>
  <c r="I15" i="10"/>
  <c r="M9" i="10"/>
  <c r="I9" i="10"/>
  <c r="M37" i="10"/>
  <c r="I37" i="10"/>
  <c r="M27" i="10"/>
  <c r="I27" i="10"/>
  <c r="I18" i="10"/>
  <c r="M18" i="10"/>
  <c r="I16" i="10"/>
  <c r="M16" i="10"/>
  <c r="M19" i="10"/>
  <c r="I19" i="10"/>
  <c r="I28" i="10"/>
  <c r="M28" i="10"/>
  <c r="I13" i="7"/>
  <c r="I30" i="7"/>
  <c r="I35" i="7" s="1"/>
  <c r="BX25" i="1" s="1"/>
  <c r="L30" i="7"/>
  <c r="L35" i="7" s="1"/>
  <c r="CL25" i="1" s="1"/>
  <c r="N30" i="7"/>
  <c r="N35" i="7" s="1"/>
  <c r="CZ25" i="1" s="1"/>
  <c r="K30" i="7"/>
  <c r="K35" i="7" s="1"/>
  <c r="CE25" i="1" s="1"/>
  <c r="M30" i="7"/>
  <c r="M35" i="7" s="1"/>
  <c r="CS25" i="1" s="1"/>
  <c r="J30" i="7"/>
  <c r="J35" i="7" s="1"/>
  <c r="CA25" i="1" s="1"/>
  <c r="N31" i="7"/>
  <c r="N36" i="7" s="1"/>
  <c r="CZ27" i="1" s="1"/>
  <c r="L31" i="7"/>
  <c r="L36" i="7" s="1"/>
  <c r="CL27" i="1" s="1"/>
  <c r="K31" i="7"/>
  <c r="K36" i="7" s="1"/>
  <c r="CE27" i="1" s="1"/>
  <c r="M31" i="7"/>
  <c r="M36" i="7" s="1"/>
  <c r="CS27" i="1" s="1"/>
  <c r="K29" i="7"/>
  <c r="K34" i="7" s="1"/>
  <c r="CE23" i="1" s="1"/>
  <c r="J31" i="7"/>
  <c r="J36" i="7" s="1"/>
  <c r="CA27" i="1" s="1"/>
  <c r="L29" i="7"/>
  <c r="L34" i="7" s="1"/>
  <c r="CL23" i="1" s="1"/>
  <c r="I31" i="7"/>
  <c r="I36" i="7" s="1"/>
  <c r="BX27" i="1" s="1"/>
  <c r="BX23" i="1"/>
  <c r="J29" i="7"/>
  <c r="J34" i="7" s="1"/>
  <c r="CA23" i="1" s="1"/>
  <c r="N29" i="7"/>
  <c r="N34" i="7" s="1"/>
  <c r="CZ23" i="1" s="1"/>
  <c r="M29" i="7"/>
  <c r="M34" i="7" s="1"/>
  <c r="CS23" i="1" s="1"/>
  <c r="K17" i="7"/>
  <c r="K16" i="7"/>
  <c r="C23" i="14" l="1"/>
  <c r="P9" i="9"/>
  <c r="P10" i="9" s="1"/>
  <c r="I9" i="9"/>
  <c r="I10" i="9" s="1"/>
  <c r="F14" i="9" s="1"/>
  <c r="K13" i="7"/>
  <c r="J38" i="7" s="1"/>
  <c r="C33" i="7" s="1"/>
  <c r="C21" i="7" s="1"/>
  <c r="C22" i="7" s="1"/>
  <c r="M3" i="5"/>
  <c r="F15" i="9" l="1"/>
  <c r="E21" i="7"/>
  <c r="E33" i="7"/>
  <c r="F33" i="7" s="1"/>
  <c r="C36" i="7" s="1"/>
  <c r="C34" i="7"/>
  <c r="CZ18" i="1"/>
  <c r="K38" i="7"/>
  <c r="C58" i="11" l="1"/>
  <c r="C59" i="11" s="1"/>
  <c r="C60" i="11" s="1"/>
  <c r="F21" i="7"/>
  <c r="G21" i="7"/>
  <c r="C24" i="7" s="1"/>
  <c r="C58" i="7"/>
  <c r="M4" i="5"/>
  <c r="E58" i="11" l="1"/>
  <c r="F58" i="11" s="1"/>
  <c r="E58" i="7"/>
  <c r="F58" i="7" s="1"/>
  <c r="C59" i="7"/>
  <c r="M5" i="5"/>
  <c r="AB37" i="16" l="1"/>
  <c r="AB20" i="16"/>
  <c r="AB8" i="16"/>
  <c r="P25" i="16"/>
  <c r="P18" i="16"/>
  <c r="P14" i="16"/>
  <c r="D35" i="16"/>
  <c r="D25" i="16"/>
  <c r="D12" i="16"/>
  <c r="AB39" i="16"/>
  <c r="AB22" i="16"/>
  <c r="AB16" i="16"/>
  <c r="AB11" i="16"/>
  <c r="P41" i="16"/>
  <c r="P39" i="16"/>
  <c r="P37" i="16"/>
  <c r="P35" i="16"/>
  <c r="P33" i="16"/>
  <c r="P31" i="16"/>
  <c r="P29" i="16"/>
  <c r="P27" i="16"/>
  <c r="P20" i="16"/>
  <c r="D39" i="16"/>
  <c r="D9" i="16"/>
  <c r="AB32" i="16"/>
  <c r="AB28" i="16"/>
  <c r="AB3" i="16"/>
  <c r="P22" i="16"/>
  <c r="D41" i="16"/>
  <c r="D14" i="16"/>
  <c r="D4" i="16"/>
  <c r="D19" i="16"/>
  <c r="AB41" i="16"/>
  <c r="AB30" i="16"/>
  <c r="AB26" i="16"/>
  <c r="AB13" i="16"/>
  <c r="AB36" i="16"/>
  <c r="AB34" i="16"/>
  <c r="AB24" i="16"/>
  <c r="AB19" i="16"/>
  <c r="AB9" i="16"/>
  <c r="AB7" i="16"/>
  <c r="AB5" i="16"/>
  <c r="P24" i="16"/>
  <c r="P9" i="16"/>
  <c r="P7" i="16"/>
  <c r="P5" i="16"/>
  <c r="P3" i="16"/>
  <c r="D16" i="16"/>
  <c r="D11" i="16"/>
  <c r="D6" i="16"/>
  <c r="D20" i="16"/>
  <c r="AB35" i="16"/>
  <c r="AB14" i="16"/>
  <c r="P10" i="16"/>
  <c r="P16" i="16"/>
  <c r="D33" i="16"/>
  <c r="D17" i="16"/>
  <c r="AB38" i="16"/>
  <c r="AB17" i="16"/>
  <c r="AB15" i="16"/>
  <c r="P26" i="16"/>
  <c r="P17" i="16"/>
  <c r="P15" i="16"/>
  <c r="P13" i="16"/>
  <c r="P11" i="16"/>
  <c r="D38" i="16"/>
  <c r="D36" i="16"/>
  <c r="D34" i="16"/>
  <c r="D32" i="16"/>
  <c r="D30" i="16"/>
  <c r="D28" i="16"/>
  <c r="D26" i="16"/>
  <c r="D24" i="16"/>
  <c r="D22" i="16"/>
  <c r="D18" i="16"/>
  <c r="D8" i="16"/>
  <c r="P6" i="16"/>
  <c r="D15" i="16"/>
  <c r="D5" i="16"/>
  <c r="P12" i="16"/>
  <c r="D27" i="16"/>
  <c r="D7" i="16"/>
  <c r="AB42" i="16"/>
  <c r="AB40" i="16"/>
  <c r="AB27" i="16"/>
  <c r="AB21" i="16"/>
  <c r="P42" i="16"/>
  <c r="P40" i="16"/>
  <c r="P38" i="16"/>
  <c r="P36" i="16"/>
  <c r="P34" i="16"/>
  <c r="P32" i="16"/>
  <c r="P30" i="16"/>
  <c r="P28" i="16"/>
  <c r="P19" i="16"/>
  <c r="D40" i="16"/>
  <c r="D13" i="16"/>
  <c r="AB33" i="16"/>
  <c r="P8" i="16"/>
  <c r="D31" i="16"/>
  <c r="D21" i="16"/>
  <c r="AB31" i="16"/>
  <c r="AB29" i="16"/>
  <c r="AB25" i="16"/>
  <c r="AB23" i="16"/>
  <c r="AB12" i="16"/>
  <c r="AB10" i="16"/>
  <c r="AB4" i="16"/>
  <c r="P21" i="16"/>
  <c r="D42" i="16"/>
  <c r="D10" i="16"/>
  <c r="D3" i="16"/>
  <c r="AB18" i="16"/>
  <c r="AB6" i="16"/>
  <c r="P23" i="16"/>
  <c r="P4" i="16"/>
  <c r="D37" i="16"/>
  <c r="D29" i="16"/>
  <c r="D23" i="16"/>
  <c r="E7" i="5"/>
  <c r="D7" i="5" s="1"/>
  <c r="E42" i="10"/>
  <c r="D42" i="10" s="1"/>
  <c r="E35" i="10"/>
  <c r="D35" i="10" s="1"/>
  <c r="E30" i="10"/>
  <c r="D30" i="10" s="1"/>
  <c r="E21" i="10"/>
  <c r="D21" i="10" s="1"/>
  <c r="E14" i="10"/>
  <c r="D14" i="10" s="1"/>
  <c r="E28" i="10"/>
  <c r="D28" i="10" s="1"/>
  <c r="E37" i="10"/>
  <c r="D37" i="10" s="1"/>
  <c r="E32" i="10"/>
  <c r="D32" i="10" s="1"/>
  <c r="E23" i="10"/>
  <c r="D23" i="10" s="1"/>
  <c r="E16" i="10"/>
  <c r="D16" i="10" s="1"/>
  <c r="E9" i="10"/>
  <c r="D9" i="10" s="1"/>
  <c r="E4" i="10"/>
  <c r="D4" i="10" s="1"/>
  <c r="E38" i="10"/>
  <c r="D38" i="10" s="1"/>
  <c r="E40" i="10"/>
  <c r="D40" i="10" s="1"/>
  <c r="E39" i="10"/>
  <c r="D39" i="10" s="1"/>
  <c r="E25" i="10"/>
  <c r="D25" i="10" s="1"/>
  <c r="E18" i="10"/>
  <c r="D18" i="10" s="1"/>
  <c r="E6" i="10"/>
  <c r="D6" i="10" s="1"/>
  <c r="E31" i="10"/>
  <c r="D31" i="10" s="1"/>
  <c r="E15" i="10"/>
  <c r="D15" i="10" s="1"/>
  <c r="E19" i="10"/>
  <c r="D19" i="10" s="1"/>
  <c r="E34" i="10"/>
  <c r="D34" i="10" s="1"/>
  <c r="E27" i="10"/>
  <c r="D27" i="10" s="1"/>
  <c r="E20" i="10"/>
  <c r="D20" i="10" s="1"/>
  <c r="E11" i="10"/>
  <c r="D11" i="10" s="1"/>
  <c r="E3" i="10"/>
  <c r="D3" i="10" s="1"/>
  <c r="J3" i="10" s="1"/>
  <c r="C4" i="10" s="1"/>
  <c r="E12" i="10"/>
  <c r="D12" i="10" s="1"/>
  <c r="E41" i="10"/>
  <c r="D41" i="10" s="1"/>
  <c r="E36" i="10"/>
  <c r="D36" i="10" s="1"/>
  <c r="E29" i="10"/>
  <c r="D29" i="10" s="1"/>
  <c r="E22" i="10"/>
  <c r="D22" i="10" s="1"/>
  <c r="E13" i="10"/>
  <c r="D13" i="10" s="1"/>
  <c r="E8" i="10"/>
  <c r="D8" i="10" s="1"/>
  <c r="E24" i="10"/>
  <c r="D24" i="10" s="1"/>
  <c r="E7" i="10"/>
  <c r="D7" i="10" s="1"/>
  <c r="E33" i="10"/>
  <c r="D33" i="10" s="1"/>
  <c r="E26" i="10"/>
  <c r="D26" i="10" s="1"/>
  <c r="E17" i="10"/>
  <c r="D17" i="10" s="1"/>
  <c r="E10" i="10"/>
  <c r="D10" i="10" s="1"/>
  <c r="E5" i="10"/>
  <c r="D5" i="10" s="1"/>
  <c r="E34" i="5"/>
  <c r="D34" i="5" s="1"/>
  <c r="E31" i="5"/>
  <c r="D31" i="5" s="1"/>
  <c r="E26" i="5"/>
  <c r="D26" i="5" s="1"/>
  <c r="E16" i="5"/>
  <c r="D16" i="5" s="1"/>
  <c r="E39" i="5"/>
  <c r="D39" i="5" s="1"/>
  <c r="E11" i="5"/>
  <c r="D11" i="5" s="1"/>
  <c r="E30" i="5"/>
  <c r="D30" i="5" s="1"/>
  <c r="E14" i="5"/>
  <c r="D14" i="5" s="1"/>
  <c r="E25" i="5"/>
  <c r="D25" i="5" s="1"/>
  <c r="E37" i="5"/>
  <c r="D37" i="5" s="1"/>
  <c r="E42" i="5"/>
  <c r="D42" i="5" s="1"/>
  <c r="E28" i="5"/>
  <c r="D28" i="5" s="1"/>
  <c r="E5" i="5"/>
  <c r="D5" i="5" s="1"/>
  <c r="E18" i="5"/>
  <c r="D18" i="5" s="1"/>
  <c r="E35" i="5"/>
  <c r="D35" i="5" s="1"/>
  <c r="E27" i="5"/>
  <c r="D27" i="5" s="1"/>
  <c r="E19" i="5"/>
  <c r="D19" i="5" s="1"/>
  <c r="E24" i="5"/>
  <c r="D24" i="5" s="1"/>
  <c r="E17" i="5"/>
  <c r="D17" i="5" s="1"/>
  <c r="E38" i="5"/>
  <c r="D38" i="5" s="1"/>
  <c r="E22" i="5"/>
  <c r="D22" i="5" s="1"/>
  <c r="E13" i="5"/>
  <c r="D13" i="5" s="1"/>
  <c r="E10" i="5"/>
  <c r="D10" i="5" s="1"/>
  <c r="E4" i="5"/>
  <c r="D4" i="5" s="1"/>
  <c r="E9" i="5"/>
  <c r="D9" i="5" s="1"/>
  <c r="E23" i="5"/>
  <c r="D23" i="5" s="1"/>
  <c r="E3" i="5"/>
  <c r="D3" i="5" s="1"/>
  <c r="K3" i="5" s="1"/>
  <c r="L3" i="5" s="1"/>
  <c r="N3" i="5" s="1"/>
  <c r="E8" i="5"/>
  <c r="D8" i="5" s="1"/>
  <c r="E33" i="5"/>
  <c r="D33" i="5" s="1"/>
  <c r="E6" i="5"/>
  <c r="D6" i="5" s="1"/>
  <c r="E41" i="5"/>
  <c r="D41" i="5" s="1"/>
  <c r="E36" i="5"/>
  <c r="D36" i="5" s="1"/>
  <c r="E29" i="5"/>
  <c r="D29" i="5" s="1"/>
  <c r="C60" i="7"/>
  <c r="E32" i="5"/>
  <c r="D32" i="5" s="1"/>
  <c r="E20" i="5"/>
  <c r="D20" i="5" s="1"/>
  <c r="E21" i="5"/>
  <c r="D21" i="5" s="1"/>
  <c r="E12" i="5"/>
  <c r="D12" i="5" s="1"/>
  <c r="E40" i="5"/>
  <c r="D40" i="5" s="1"/>
  <c r="E15" i="5"/>
  <c r="D15" i="5" s="1"/>
  <c r="J4" i="10" l="1"/>
  <c r="V3" i="16"/>
  <c r="O4" i="16" s="1"/>
  <c r="W3" i="16"/>
  <c r="X3" i="16" s="1"/>
  <c r="Z3" i="16" s="1"/>
  <c r="AH3" i="16"/>
  <c r="AA4" i="16" s="1"/>
  <c r="AH4" i="16" s="1"/>
  <c r="AA5" i="16" s="1"/>
  <c r="AH5" i="16" s="1"/>
  <c r="AA6" i="16" s="1"/>
  <c r="AH6" i="16" s="1"/>
  <c r="AA7" i="16" s="1"/>
  <c r="AI3" i="16"/>
  <c r="AJ3" i="16" s="1"/>
  <c r="AL3" i="16" s="1"/>
  <c r="J3" i="16"/>
  <c r="K3" i="16"/>
  <c r="L3" i="16" s="1"/>
  <c r="N3" i="16" s="1"/>
  <c r="K3" i="10"/>
  <c r="L3" i="10" s="1"/>
  <c r="N3" i="10" s="1"/>
  <c r="K4" i="10"/>
  <c r="L4" i="10" s="1"/>
  <c r="N4" i="10" s="1"/>
  <c r="J3" i="5"/>
  <c r="C4" i="5" s="1"/>
  <c r="K4" i="5" s="1"/>
  <c r="L4" i="5" s="1"/>
  <c r="N4" i="5" s="1"/>
  <c r="M6" i="5"/>
  <c r="C4" i="16" l="1"/>
  <c r="K4" i="16" s="1"/>
  <c r="L4" i="16" s="1"/>
  <c r="N4" i="16" s="1"/>
  <c r="AM3" i="16"/>
  <c r="AI7" i="16"/>
  <c r="AJ7" i="16" s="1"/>
  <c r="AL7" i="16" s="1"/>
  <c r="AH7" i="16"/>
  <c r="AA8" i="16" s="1"/>
  <c r="AI5" i="16"/>
  <c r="AJ5" i="16" s="1"/>
  <c r="AL5" i="16" s="1"/>
  <c r="AI6" i="16"/>
  <c r="AJ6" i="16" s="1"/>
  <c r="AL6" i="16" s="1"/>
  <c r="V4" i="16"/>
  <c r="O5" i="16" s="1"/>
  <c r="W4" i="16"/>
  <c r="X4" i="16" s="1"/>
  <c r="Z4" i="16" s="1"/>
  <c r="AI4" i="16"/>
  <c r="AJ4" i="16" s="1"/>
  <c r="AL4" i="16" s="1"/>
  <c r="C5" i="10"/>
  <c r="J4" i="5"/>
  <c r="J4" i="16" l="1"/>
  <c r="C5" i="16" s="1"/>
  <c r="AH8" i="16"/>
  <c r="AA9" i="16" s="1"/>
  <c r="AI8" i="16"/>
  <c r="AJ8" i="16" s="1"/>
  <c r="AL8" i="16" s="1"/>
  <c r="W5" i="16"/>
  <c r="X5" i="16" s="1"/>
  <c r="Z5" i="16" s="1"/>
  <c r="V5" i="16"/>
  <c r="O6" i="16" s="1"/>
  <c r="K5" i="10"/>
  <c r="L5" i="10" s="1"/>
  <c r="N5" i="10" s="1"/>
  <c r="J5" i="10"/>
  <c r="C6" i="10" s="1"/>
  <c r="C5" i="5"/>
  <c r="K5" i="5" s="1"/>
  <c r="L5" i="5" s="1"/>
  <c r="N5" i="5" s="1"/>
  <c r="M7" i="5"/>
  <c r="K5" i="16" l="1"/>
  <c r="L5" i="16" s="1"/>
  <c r="N5" i="16" s="1"/>
  <c r="J5" i="16"/>
  <c r="C6" i="16" s="1"/>
  <c r="AM4" i="16"/>
  <c r="AH9" i="16"/>
  <c r="AA10" i="16" s="1"/>
  <c r="AI9" i="16"/>
  <c r="AJ9" i="16" s="1"/>
  <c r="AL9" i="16" s="1"/>
  <c r="W6" i="16"/>
  <c r="X6" i="16" s="1"/>
  <c r="Z6" i="16" s="1"/>
  <c r="V6" i="16"/>
  <c r="O7" i="16" s="1"/>
  <c r="K6" i="10"/>
  <c r="L6" i="10" s="1"/>
  <c r="N6" i="10" s="1"/>
  <c r="J6" i="10"/>
  <c r="C7" i="10" s="1"/>
  <c r="J5" i="5"/>
  <c r="C6" i="5" s="1"/>
  <c r="J6" i="5" s="1"/>
  <c r="C7" i="5" s="1"/>
  <c r="J7" i="5" s="1"/>
  <c r="C8" i="5" s="1"/>
  <c r="J8" i="5" s="1"/>
  <c r="AM5" i="16" l="1"/>
  <c r="J6" i="16"/>
  <c r="AM6" i="16" s="1"/>
  <c r="K6" i="16"/>
  <c r="L6" i="16" s="1"/>
  <c r="N6" i="16" s="1"/>
  <c r="W7" i="16"/>
  <c r="X7" i="16" s="1"/>
  <c r="Z7" i="16" s="1"/>
  <c r="V7" i="16"/>
  <c r="O8" i="16" s="1"/>
  <c r="AH10" i="16"/>
  <c r="AA11" i="16" s="1"/>
  <c r="AI10" i="16"/>
  <c r="AJ10" i="16" s="1"/>
  <c r="AL10" i="16" s="1"/>
  <c r="K7" i="10"/>
  <c r="L7" i="10" s="1"/>
  <c r="N7" i="10" s="1"/>
  <c r="J7" i="10"/>
  <c r="C8" i="10" s="1"/>
  <c r="K8" i="5"/>
  <c r="L8" i="5" s="1"/>
  <c r="K7" i="5"/>
  <c r="L7" i="5" s="1"/>
  <c r="N7" i="5" s="1"/>
  <c r="K6" i="5"/>
  <c r="L6" i="5" s="1"/>
  <c r="N6" i="5" s="1"/>
  <c r="M8" i="5"/>
  <c r="C9" i="5"/>
  <c r="J9" i="5" s="1"/>
  <c r="C7" i="16" l="1"/>
  <c r="W8" i="16"/>
  <c r="X8" i="16" s="1"/>
  <c r="Z8" i="16" s="1"/>
  <c r="V8" i="16"/>
  <c r="O9" i="16" s="1"/>
  <c r="AH11" i="16"/>
  <c r="AA12" i="16" s="1"/>
  <c r="AI11" i="16"/>
  <c r="AJ11" i="16" s="1"/>
  <c r="AL11" i="16" s="1"/>
  <c r="K8" i="10"/>
  <c r="L8" i="10" s="1"/>
  <c r="N8" i="10" s="1"/>
  <c r="J8" i="10"/>
  <c r="C9" i="10" s="1"/>
  <c r="N8" i="5"/>
  <c r="K9" i="5"/>
  <c r="L9" i="5" s="1"/>
  <c r="J7" i="16" l="1"/>
  <c r="K7" i="16"/>
  <c r="L7" i="16" s="1"/>
  <c r="N7" i="16" s="1"/>
  <c r="AH12" i="16"/>
  <c r="AA13" i="16" s="1"/>
  <c r="AI12" i="16"/>
  <c r="AJ12" i="16" s="1"/>
  <c r="AL12" i="16" s="1"/>
  <c r="W9" i="16"/>
  <c r="X9" i="16" s="1"/>
  <c r="Z9" i="16" s="1"/>
  <c r="V9" i="16"/>
  <c r="O10" i="16" s="1"/>
  <c r="K9" i="10"/>
  <c r="L9" i="10" s="1"/>
  <c r="N9" i="10" s="1"/>
  <c r="J9" i="10"/>
  <c r="C10" i="10" s="1"/>
  <c r="M9" i="5"/>
  <c r="N9" i="5" s="1"/>
  <c r="C10" i="5"/>
  <c r="J10" i="5" s="1"/>
  <c r="C8" i="16" l="1"/>
  <c r="AM7" i="16"/>
  <c r="W10" i="16"/>
  <c r="X10" i="16" s="1"/>
  <c r="Z10" i="16" s="1"/>
  <c r="V10" i="16"/>
  <c r="O11" i="16" s="1"/>
  <c r="AH13" i="16"/>
  <c r="AA14" i="16" s="1"/>
  <c r="AI13" i="16"/>
  <c r="AJ13" i="16" s="1"/>
  <c r="AL13" i="16" s="1"/>
  <c r="K10" i="10"/>
  <c r="L10" i="10" s="1"/>
  <c r="N10" i="10" s="1"/>
  <c r="J10" i="10"/>
  <c r="C11" i="10" s="1"/>
  <c r="K10" i="5"/>
  <c r="L10" i="5" s="1"/>
  <c r="K8" i="16" l="1"/>
  <c r="L8" i="16" s="1"/>
  <c r="N8" i="16" s="1"/>
  <c r="J8" i="16"/>
  <c r="W11" i="16"/>
  <c r="X11" i="16" s="1"/>
  <c r="Z11" i="16" s="1"/>
  <c r="V11" i="16"/>
  <c r="O12" i="16" s="1"/>
  <c r="AH14" i="16"/>
  <c r="AA15" i="16" s="1"/>
  <c r="AI14" i="16"/>
  <c r="AJ14" i="16" s="1"/>
  <c r="AL14" i="16" s="1"/>
  <c r="J11" i="10"/>
  <c r="C12" i="10" s="1"/>
  <c r="K11" i="10"/>
  <c r="L11" i="10" s="1"/>
  <c r="N11" i="10" s="1"/>
  <c r="M10" i="5"/>
  <c r="N10" i="5" s="1"/>
  <c r="C11" i="5"/>
  <c r="J11" i="5" s="1"/>
  <c r="C9" i="16" l="1"/>
  <c r="AM8" i="16"/>
  <c r="W12" i="16"/>
  <c r="X12" i="16" s="1"/>
  <c r="Z12" i="16" s="1"/>
  <c r="V12" i="16"/>
  <c r="O13" i="16" s="1"/>
  <c r="AH15" i="16"/>
  <c r="AA16" i="16" s="1"/>
  <c r="AI15" i="16"/>
  <c r="AJ15" i="16" s="1"/>
  <c r="AL15" i="16" s="1"/>
  <c r="K12" i="10"/>
  <c r="L12" i="10" s="1"/>
  <c r="N12" i="10" s="1"/>
  <c r="J12" i="10"/>
  <c r="C13" i="10" s="1"/>
  <c r="K11" i="5"/>
  <c r="L11" i="5" s="1"/>
  <c r="K9" i="16" l="1"/>
  <c r="L9" i="16" s="1"/>
  <c r="N9" i="16" s="1"/>
  <c r="J9" i="16"/>
  <c r="AH16" i="16"/>
  <c r="AA17" i="16" s="1"/>
  <c r="AI16" i="16"/>
  <c r="AJ16" i="16" s="1"/>
  <c r="AL16" i="16" s="1"/>
  <c r="W13" i="16"/>
  <c r="X13" i="16" s="1"/>
  <c r="Z13" i="16" s="1"/>
  <c r="V13" i="16"/>
  <c r="O14" i="16" s="1"/>
  <c r="K13" i="10"/>
  <c r="L13" i="10" s="1"/>
  <c r="N13" i="10" s="1"/>
  <c r="J13" i="10"/>
  <c r="C14" i="10" s="1"/>
  <c r="M11" i="5"/>
  <c r="N11" i="5" s="1"/>
  <c r="C12" i="5"/>
  <c r="J12" i="5" s="1"/>
  <c r="C10" i="16" l="1"/>
  <c r="AM9" i="16"/>
  <c r="W14" i="16"/>
  <c r="X14" i="16" s="1"/>
  <c r="Z14" i="16" s="1"/>
  <c r="V14" i="16"/>
  <c r="O15" i="16" s="1"/>
  <c r="AH17" i="16"/>
  <c r="AA18" i="16" s="1"/>
  <c r="AI17" i="16"/>
  <c r="AJ17" i="16" s="1"/>
  <c r="AL17" i="16" s="1"/>
  <c r="K14" i="10"/>
  <c r="L14" i="10" s="1"/>
  <c r="N14" i="10" s="1"/>
  <c r="J14" i="10"/>
  <c r="C15" i="10" s="1"/>
  <c r="K12" i="5"/>
  <c r="L12" i="5" s="1"/>
  <c r="K10" i="16" l="1"/>
  <c r="L10" i="16" s="1"/>
  <c r="N10" i="16" s="1"/>
  <c r="J10" i="16"/>
  <c r="AH18" i="16"/>
  <c r="AA19" i="16" s="1"/>
  <c r="AI18" i="16"/>
  <c r="AJ18" i="16" s="1"/>
  <c r="AL18" i="16" s="1"/>
  <c r="W15" i="16"/>
  <c r="X15" i="16" s="1"/>
  <c r="Z15" i="16" s="1"/>
  <c r="V15" i="16"/>
  <c r="O16" i="16" s="1"/>
  <c r="J15" i="10"/>
  <c r="C16" i="10" s="1"/>
  <c r="K15" i="10"/>
  <c r="L15" i="10" s="1"/>
  <c r="N15" i="10" s="1"/>
  <c r="M12" i="5"/>
  <c r="N12" i="5" s="1"/>
  <c r="C13" i="5"/>
  <c r="J13" i="5" s="1"/>
  <c r="C11" i="16" l="1"/>
  <c r="AM10" i="16"/>
  <c r="AH19" i="16"/>
  <c r="AA20" i="16" s="1"/>
  <c r="AI19" i="16"/>
  <c r="AJ19" i="16" s="1"/>
  <c r="AL19" i="16" s="1"/>
  <c r="W16" i="16"/>
  <c r="X16" i="16" s="1"/>
  <c r="Z16" i="16" s="1"/>
  <c r="V16" i="16"/>
  <c r="O17" i="16" s="1"/>
  <c r="J16" i="10"/>
  <c r="C17" i="10" s="1"/>
  <c r="J17" i="10" s="1"/>
  <c r="K16" i="10"/>
  <c r="L16" i="10" s="1"/>
  <c r="N16" i="10" s="1"/>
  <c r="K13" i="5"/>
  <c r="L13" i="5" s="1"/>
  <c r="K11" i="16" l="1"/>
  <c r="L11" i="16" s="1"/>
  <c r="N11" i="16" s="1"/>
  <c r="J11" i="16"/>
  <c r="W17" i="16"/>
  <c r="X17" i="16" s="1"/>
  <c r="Z17" i="16" s="1"/>
  <c r="V17" i="16"/>
  <c r="O18" i="16" s="1"/>
  <c r="AH20" i="16"/>
  <c r="AA21" i="16" s="1"/>
  <c r="AI20" i="16"/>
  <c r="AJ20" i="16" s="1"/>
  <c r="AL20" i="16" s="1"/>
  <c r="K17" i="10"/>
  <c r="L17" i="10" s="1"/>
  <c r="N17" i="10" s="1"/>
  <c r="C18" i="10"/>
  <c r="M13" i="5"/>
  <c r="N13" i="5" s="1"/>
  <c r="C14" i="5"/>
  <c r="J14" i="5" s="1"/>
  <c r="C12" i="16" l="1"/>
  <c r="AM11" i="16"/>
  <c r="AH21" i="16"/>
  <c r="AA22" i="16" s="1"/>
  <c r="AI21" i="16"/>
  <c r="AJ21" i="16" s="1"/>
  <c r="AL21" i="16" s="1"/>
  <c r="W18" i="16"/>
  <c r="X18" i="16" s="1"/>
  <c r="Z18" i="16" s="1"/>
  <c r="V18" i="16"/>
  <c r="O19" i="16" s="1"/>
  <c r="J18" i="10"/>
  <c r="C19" i="10" s="1"/>
  <c r="K18" i="10"/>
  <c r="L18" i="10" s="1"/>
  <c r="N18" i="10" s="1"/>
  <c r="K14" i="5"/>
  <c r="L14" i="5" s="1"/>
  <c r="K12" i="16" l="1"/>
  <c r="L12" i="16" s="1"/>
  <c r="N12" i="16" s="1"/>
  <c r="J12" i="16"/>
  <c r="W19" i="16"/>
  <c r="X19" i="16" s="1"/>
  <c r="Z19" i="16" s="1"/>
  <c r="V19" i="16"/>
  <c r="O20" i="16" s="1"/>
  <c r="AH22" i="16"/>
  <c r="AA23" i="16" s="1"/>
  <c r="AI22" i="16"/>
  <c r="AJ22" i="16" s="1"/>
  <c r="AL22" i="16" s="1"/>
  <c r="K19" i="10"/>
  <c r="L19" i="10" s="1"/>
  <c r="N19" i="10" s="1"/>
  <c r="J19" i="10"/>
  <c r="M14" i="5"/>
  <c r="N14" i="5" s="1"/>
  <c r="C15" i="5"/>
  <c r="J15" i="5" s="1"/>
  <c r="AM12" i="16" l="1"/>
  <c r="C13" i="16"/>
  <c r="AH23" i="16"/>
  <c r="AA24" i="16" s="1"/>
  <c r="AI23" i="16"/>
  <c r="AJ23" i="16" s="1"/>
  <c r="AL23" i="16" s="1"/>
  <c r="W20" i="16"/>
  <c r="X20" i="16" s="1"/>
  <c r="Z20" i="16" s="1"/>
  <c r="V20" i="16"/>
  <c r="O21" i="16" s="1"/>
  <c r="C20" i="10"/>
  <c r="K20" i="10" s="1"/>
  <c r="L20" i="10" s="1"/>
  <c r="N20" i="10" s="1"/>
  <c r="K15" i="5"/>
  <c r="L15" i="5" s="1"/>
  <c r="K13" i="16" l="1"/>
  <c r="L13" i="16" s="1"/>
  <c r="N13" i="16" s="1"/>
  <c r="J13" i="16"/>
  <c r="AH24" i="16"/>
  <c r="AA25" i="16" s="1"/>
  <c r="AI24" i="16"/>
  <c r="AJ24" i="16" s="1"/>
  <c r="AL24" i="16" s="1"/>
  <c r="V21" i="16"/>
  <c r="O22" i="16" s="1"/>
  <c r="W21" i="16"/>
  <c r="X21" i="16" s="1"/>
  <c r="Z21" i="16" s="1"/>
  <c r="J20" i="10"/>
  <c r="C21" i="10" s="1"/>
  <c r="K21" i="10" s="1"/>
  <c r="L21" i="10" s="1"/>
  <c r="N21" i="10" s="1"/>
  <c r="M15" i="5"/>
  <c r="N15" i="5" s="1"/>
  <c r="C16" i="5"/>
  <c r="J16" i="5" s="1"/>
  <c r="C14" i="16" l="1"/>
  <c r="AM13" i="16"/>
  <c r="J21" i="10"/>
  <c r="C22" i="10" s="1"/>
  <c r="J22" i="10" s="1"/>
  <c r="W22" i="16"/>
  <c r="X22" i="16" s="1"/>
  <c r="Z22" i="16" s="1"/>
  <c r="V22" i="16"/>
  <c r="O23" i="16" s="1"/>
  <c r="AH25" i="16"/>
  <c r="AA26" i="16" s="1"/>
  <c r="AI25" i="16"/>
  <c r="AJ25" i="16" s="1"/>
  <c r="AL25" i="16" s="1"/>
  <c r="K16" i="5"/>
  <c r="L16" i="5" s="1"/>
  <c r="J14" i="16" l="1"/>
  <c r="K14" i="16"/>
  <c r="L14" i="16" s="1"/>
  <c r="N14" i="16" s="1"/>
  <c r="K22" i="10"/>
  <c r="L22" i="10" s="1"/>
  <c r="N22" i="10" s="1"/>
  <c r="AH26" i="16"/>
  <c r="AA27" i="16" s="1"/>
  <c r="AI26" i="16"/>
  <c r="AJ26" i="16" s="1"/>
  <c r="AL26" i="16" s="1"/>
  <c r="V23" i="16"/>
  <c r="O24" i="16" s="1"/>
  <c r="W23" i="16"/>
  <c r="X23" i="16" s="1"/>
  <c r="Z23" i="16" s="1"/>
  <c r="C23" i="10"/>
  <c r="J23" i="10" s="1"/>
  <c r="C24" i="10" s="1"/>
  <c r="M16" i="5"/>
  <c r="N16" i="5" s="1"/>
  <c r="C17" i="5"/>
  <c r="J17" i="5" s="1"/>
  <c r="AM14" i="16" l="1"/>
  <c r="C15" i="16"/>
  <c r="AH27" i="16"/>
  <c r="AA28" i="16" s="1"/>
  <c r="AI27" i="16"/>
  <c r="AJ27" i="16" s="1"/>
  <c r="AL27" i="16" s="1"/>
  <c r="W24" i="16"/>
  <c r="X24" i="16" s="1"/>
  <c r="Z24" i="16" s="1"/>
  <c r="V24" i="16"/>
  <c r="O25" i="16" s="1"/>
  <c r="K23" i="10"/>
  <c r="L23" i="10" s="1"/>
  <c r="N23" i="10" s="1"/>
  <c r="J24" i="10"/>
  <c r="C25" i="10" s="1"/>
  <c r="K24" i="10"/>
  <c r="L24" i="10" s="1"/>
  <c r="N24" i="10" s="1"/>
  <c r="K17" i="5"/>
  <c r="L17" i="5" s="1"/>
  <c r="K15" i="16" l="1"/>
  <c r="L15" i="16" s="1"/>
  <c r="N15" i="16" s="1"/>
  <c r="J15" i="16"/>
  <c r="V25" i="16"/>
  <c r="O26" i="16" s="1"/>
  <c r="W25" i="16"/>
  <c r="X25" i="16" s="1"/>
  <c r="Z25" i="16" s="1"/>
  <c r="AH28" i="16"/>
  <c r="AA29" i="16" s="1"/>
  <c r="AI28" i="16"/>
  <c r="AJ28" i="16" s="1"/>
  <c r="AL28" i="16" s="1"/>
  <c r="J25" i="10"/>
  <c r="C26" i="10" s="1"/>
  <c r="K25" i="10"/>
  <c r="L25" i="10" s="1"/>
  <c r="N25" i="10" s="1"/>
  <c r="M17" i="5"/>
  <c r="N17" i="5" s="1"/>
  <c r="C18" i="5"/>
  <c r="J18" i="5" s="1"/>
  <c r="C16" i="16" l="1"/>
  <c r="AM15" i="16"/>
  <c r="AH29" i="16"/>
  <c r="AA30" i="16" s="1"/>
  <c r="AI29" i="16"/>
  <c r="AJ29" i="16" s="1"/>
  <c r="AL29" i="16" s="1"/>
  <c r="W26" i="16"/>
  <c r="X26" i="16" s="1"/>
  <c r="Z26" i="16" s="1"/>
  <c r="V26" i="16"/>
  <c r="O27" i="16" s="1"/>
  <c r="J26" i="10"/>
  <c r="C27" i="10" s="1"/>
  <c r="K26" i="10"/>
  <c r="L26" i="10" s="1"/>
  <c r="N26" i="10" s="1"/>
  <c r="K18" i="5"/>
  <c r="L18" i="5" s="1"/>
  <c r="K16" i="16" l="1"/>
  <c r="L16" i="16" s="1"/>
  <c r="N16" i="16" s="1"/>
  <c r="J16" i="16"/>
  <c r="V27" i="16"/>
  <c r="O28" i="16" s="1"/>
  <c r="W27" i="16"/>
  <c r="X27" i="16" s="1"/>
  <c r="Z27" i="16" s="1"/>
  <c r="AH30" i="16"/>
  <c r="AA31" i="16" s="1"/>
  <c r="AI30" i="16"/>
  <c r="AJ30" i="16" s="1"/>
  <c r="AL30" i="16" s="1"/>
  <c r="K27" i="10"/>
  <c r="L27" i="10" s="1"/>
  <c r="N27" i="10" s="1"/>
  <c r="J27" i="10"/>
  <c r="M18" i="5"/>
  <c r="N18" i="5" s="1"/>
  <c r="C19" i="5"/>
  <c r="J19" i="5" s="1"/>
  <c r="AM16" i="16" l="1"/>
  <c r="C17" i="16"/>
  <c r="W28" i="16"/>
  <c r="X28" i="16" s="1"/>
  <c r="Z28" i="16" s="1"/>
  <c r="V28" i="16"/>
  <c r="O29" i="16" s="1"/>
  <c r="AH31" i="16"/>
  <c r="AA32" i="16" s="1"/>
  <c r="AI31" i="16"/>
  <c r="AJ31" i="16" s="1"/>
  <c r="AL31" i="16" s="1"/>
  <c r="C28" i="10"/>
  <c r="J28" i="10" s="1"/>
  <c r="C29" i="10" s="1"/>
  <c r="K19" i="5"/>
  <c r="L19" i="5" s="1"/>
  <c r="K17" i="16" l="1"/>
  <c r="L17" i="16" s="1"/>
  <c r="N17" i="16" s="1"/>
  <c r="J17" i="16"/>
  <c r="AH32" i="16"/>
  <c r="AA33" i="16" s="1"/>
  <c r="AI32" i="16"/>
  <c r="AJ32" i="16" s="1"/>
  <c r="AL32" i="16" s="1"/>
  <c r="W29" i="16"/>
  <c r="X29" i="16" s="1"/>
  <c r="Z29" i="16" s="1"/>
  <c r="V29" i="16"/>
  <c r="O30" i="16" s="1"/>
  <c r="K28" i="10"/>
  <c r="L28" i="10" s="1"/>
  <c r="N28" i="10" s="1"/>
  <c r="K29" i="10"/>
  <c r="L29" i="10" s="1"/>
  <c r="N29" i="10" s="1"/>
  <c r="J29" i="10"/>
  <c r="C30" i="10" s="1"/>
  <c r="M19" i="5"/>
  <c r="N19" i="5" s="1"/>
  <c r="C20" i="5"/>
  <c r="J20" i="5" s="1"/>
  <c r="AM17" i="16" l="1"/>
  <c r="C18" i="16"/>
  <c r="W30" i="16"/>
  <c r="X30" i="16" s="1"/>
  <c r="Z30" i="16" s="1"/>
  <c r="V30" i="16"/>
  <c r="O31" i="16" s="1"/>
  <c r="AH33" i="16"/>
  <c r="AA34" i="16" s="1"/>
  <c r="AI33" i="16"/>
  <c r="AJ33" i="16" s="1"/>
  <c r="AL33" i="16" s="1"/>
  <c r="K30" i="10"/>
  <c r="L30" i="10" s="1"/>
  <c r="N30" i="10" s="1"/>
  <c r="J30" i="10"/>
  <c r="C31" i="10" s="1"/>
  <c r="K20" i="5"/>
  <c r="L20" i="5" s="1"/>
  <c r="J18" i="16" l="1"/>
  <c r="K18" i="16"/>
  <c r="L18" i="16" s="1"/>
  <c r="N18" i="16" s="1"/>
  <c r="W31" i="16"/>
  <c r="X31" i="16" s="1"/>
  <c r="Z31" i="16" s="1"/>
  <c r="V31" i="16"/>
  <c r="O32" i="16" s="1"/>
  <c r="AH34" i="16"/>
  <c r="AA35" i="16" s="1"/>
  <c r="AI34" i="16"/>
  <c r="AJ34" i="16" s="1"/>
  <c r="AL34" i="16" s="1"/>
  <c r="J31" i="10"/>
  <c r="K31" i="10"/>
  <c r="L31" i="10" s="1"/>
  <c r="N31" i="10" s="1"/>
  <c r="M20" i="5"/>
  <c r="N20" i="5" s="1"/>
  <c r="C21" i="5"/>
  <c r="J21" i="5" s="1"/>
  <c r="C19" i="16" l="1"/>
  <c r="AM18" i="16"/>
  <c r="W32" i="16"/>
  <c r="X32" i="16" s="1"/>
  <c r="Z32" i="16" s="1"/>
  <c r="V32" i="16"/>
  <c r="O33" i="16" s="1"/>
  <c r="AH35" i="16"/>
  <c r="AA36" i="16" s="1"/>
  <c r="AI35" i="16"/>
  <c r="AJ35" i="16" s="1"/>
  <c r="AL35" i="16" s="1"/>
  <c r="C32" i="10"/>
  <c r="J32" i="10" s="1"/>
  <c r="C33" i="10" s="1"/>
  <c r="K21" i="5"/>
  <c r="L21" i="5" s="1"/>
  <c r="K19" i="16" l="1"/>
  <c r="L19" i="16" s="1"/>
  <c r="N19" i="16" s="1"/>
  <c r="J19" i="16"/>
  <c r="AH36" i="16"/>
  <c r="AA37" i="16" s="1"/>
  <c r="AI36" i="16"/>
  <c r="AJ36" i="16" s="1"/>
  <c r="AL36" i="16" s="1"/>
  <c r="W33" i="16"/>
  <c r="X33" i="16" s="1"/>
  <c r="Z33" i="16" s="1"/>
  <c r="V33" i="16"/>
  <c r="O34" i="16" s="1"/>
  <c r="K32" i="10"/>
  <c r="L32" i="10" s="1"/>
  <c r="N32" i="10" s="1"/>
  <c r="J33" i="10"/>
  <c r="K33" i="10"/>
  <c r="L33" i="10" s="1"/>
  <c r="N33" i="10" s="1"/>
  <c r="M21" i="5"/>
  <c r="N21" i="5" s="1"/>
  <c r="C22" i="5"/>
  <c r="J22" i="5" s="1"/>
  <c r="C20" i="16" l="1"/>
  <c r="AM19" i="16"/>
  <c r="W34" i="16"/>
  <c r="X34" i="16" s="1"/>
  <c r="Z34" i="16" s="1"/>
  <c r="V34" i="16"/>
  <c r="O35" i="16" s="1"/>
  <c r="AH37" i="16"/>
  <c r="AA38" i="16" s="1"/>
  <c r="AI37" i="16"/>
  <c r="AJ37" i="16" s="1"/>
  <c r="AL37" i="16" s="1"/>
  <c r="C34" i="10"/>
  <c r="K34" i="10" s="1"/>
  <c r="L34" i="10" s="1"/>
  <c r="N34" i="10" s="1"/>
  <c r="K22" i="5"/>
  <c r="L22" i="5" s="1"/>
  <c r="K20" i="16" l="1"/>
  <c r="L20" i="16" s="1"/>
  <c r="N20" i="16" s="1"/>
  <c r="J20" i="16"/>
  <c r="AH38" i="16"/>
  <c r="AA39" i="16" s="1"/>
  <c r="AI38" i="16"/>
  <c r="AJ38" i="16" s="1"/>
  <c r="AL38" i="16" s="1"/>
  <c r="V35" i="16"/>
  <c r="O36" i="16" s="1"/>
  <c r="W35" i="16"/>
  <c r="X35" i="16" s="1"/>
  <c r="Z35" i="16" s="1"/>
  <c r="J34" i="10"/>
  <c r="C35" i="10" s="1"/>
  <c r="K35" i="10" s="1"/>
  <c r="L35" i="10" s="1"/>
  <c r="N35" i="10" s="1"/>
  <c r="M22" i="5"/>
  <c r="N22" i="5" s="1"/>
  <c r="C23" i="5"/>
  <c r="J23" i="5" s="1"/>
  <c r="C21" i="16" l="1"/>
  <c r="AM20" i="16"/>
  <c r="W36" i="16"/>
  <c r="X36" i="16" s="1"/>
  <c r="Z36" i="16" s="1"/>
  <c r="V36" i="16"/>
  <c r="O37" i="16" s="1"/>
  <c r="AH39" i="16"/>
  <c r="AA40" i="16" s="1"/>
  <c r="AI39" i="16"/>
  <c r="AJ39" i="16" s="1"/>
  <c r="AL39" i="16" s="1"/>
  <c r="J35" i="10"/>
  <c r="C36" i="10" s="1"/>
  <c r="K36" i="10" s="1"/>
  <c r="L36" i="10" s="1"/>
  <c r="N36" i="10" s="1"/>
  <c r="K23" i="5"/>
  <c r="L23" i="5" s="1"/>
  <c r="K21" i="16" l="1"/>
  <c r="L21" i="16" s="1"/>
  <c r="N21" i="16" s="1"/>
  <c r="J21" i="16"/>
  <c r="W37" i="16"/>
  <c r="X37" i="16" s="1"/>
  <c r="Z37" i="16" s="1"/>
  <c r="V37" i="16"/>
  <c r="O38" i="16" s="1"/>
  <c r="AH40" i="16"/>
  <c r="AA41" i="16" s="1"/>
  <c r="AI40" i="16"/>
  <c r="AJ40" i="16" s="1"/>
  <c r="AL40" i="16" s="1"/>
  <c r="J36" i="10"/>
  <c r="M23" i="5"/>
  <c r="N23" i="5" s="1"/>
  <c r="C24" i="5"/>
  <c r="J24" i="5" s="1"/>
  <c r="AM21" i="16" l="1"/>
  <c r="C22" i="16"/>
  <c r="AH41" i="16"/>
  <c r="AA42" i="16" s="1"/>
  <c r="AI41" i="16"/>
  <c r="AJ41" i="16" s="1"/>
  <c r="AL41" i="16" s="1"/>
  <c r="W38" i="16"/>
  <c r="X38" i="16" s="1"/>
  <c r="Z38" i="16" s="1"/>
  <c r="V38" i="16"/>
  <c r="O39" i="16" s="1"/>
  <c r="C37" i="10"/>
  <c r="J37" i="10" s="1"/>
  <c r="C38" i="10" s="1"/>
  <c r="K38" i="10" s="1"/>
  <c r="L38" i="10" s="1"/>
  <c r="N38" i="10" s="1"/>
  <c r="C50" i="11"/>
  <c r="K24" i="5"/>
  <c r="L24" i="5" s="1"/>
  <c r="J22" i="16" l="1"/>
  <c r="K22" i="16"/>
  <c r="L22" i="16" s="1"/>
  <c r="N22" i="16" s="1"/>
  <c r="W39" i="16"/>
  <c r="X39" i="16" s="1"/>
  <c r="Z39" i="16" s="1"/>
  <c r="V39" i="16"/>
  <c r="O40" i="16" s="1"/>
  <c r="AH42" i="16"/>
  <c r="AI42" i="16"/>
  <c r="AJ42" i="16" s="1"/>
  <c r="AL42" i="16" s="1"/>
  <c r="J38" i="10"/>
  <c r="C39" i="10" s="1"/>
  <c r="K39" i="10" s="1"/>
  <c r="L39" i="10" s="1"/>
  <c r="N39" i="10" s="1"/>
  <c r="K37" i="10"/>
  <c r="L37" i="10" s="1"/>
  <c r="N37" i="10" s="1"/>
  <c r="EK22" i="1"/>
  <c r="EK25" i="1"/>
  <c r="M24" i="5"/>
  <c r="N24" i="5" s="1"/>
  <c r="C25" i="5"/>
  <c r="J25" i="5" s="1"/>
  <c r="C23" i="16" l="1"/>
  <c r="AM22" i="16"/>
  <c r="W40" i="16"/>
  <c r="X40" i="16" s="1"/>
  <c r="Z40" i="16" s="1"/>
  <c r="V40" i="16"/>
  <c r="O41" i="16" s="1"/>
  <c r="J39" i="10"/>
  <c r="C40" i="10" s="1"/>
  <c r="K40" i="10" s="1"/>
  <c r="L40" i="10" s="1"/>
  <c r="N40" i="10" s="1"/>
  <c r="I11" i="9"/>
  <c r="G14" i="9" s="1"/>
  <c r="P11" i="9"/>
  <c r="G15" i="9" s="1"/>
  <c r="FV17" i="1"/>
  <c r="FT18" i="1"/>
  <c r="FU17" i="1"/>
  <c r="C56" i="11"/>
  <c r="C63" i="11" s="1"/>
  <c r="C53" i="11"/>
  <c r="C54" i="11" s="1"/>
  <c r="K25" i="5"/>
  <c r="L25" i="5" s="1"/>
  <c r="K23" i="16" l="1"/>
  <c r="L23" i="16" s="1"/>
  <c r="N23" i="16" s="1"/>
  <c r="J23" i="16"/>
  <c r="W41" i="16"/>
  <c r="X41" i="16" s="1"/>
  <c r="Z41" i="16" s="1"/>
  <c r="V41" i="16"/>
  <c r="O42" i="16" s="1"/>
  <c r="J2" i="9"/>
  <c r="DI29" i="1" s="1"/>
  <c r="J40" i="10"/>
  <c r="C41" i="10" s="1"/>
  <c r="J41" i="10" s="1"/>
  <c r="C42" i="10" s="1"/>
  <c r="M25" i="5"/>
  <c r="N25" i="5" s="1"/>
  <c r="C26" i="5"/>
  <c r="J26" i="5" s="1"/>
  <c r="C24" i="16" l="1"/>
  <c r="AM23" i="16"/>
  <c r="W42" i="16"/>
  <c r="X42" i="16" s="1"/>
  <c r="Z42" i="16" s="1"/>
  <c r="V42" i="16"/>
  <c r="K41" i="10"/>
  <c r="L41" i="10" s="1"/>
  <c r="N41" i="10" s="1"/>
  <c r="K42" i="10"/>
  <c r="L42" i="10" s="1"/>
  <c r="N42" i="10" s="1"/>
  <c r="J42" i="10"/>
  <c r="K26" i="5"/>
  <c r="L26" i="5" s="1"/>
  <c r="J24" i="16" l="1"/>
  <c r="K24" i="16"/>
  <c r="L24" i="16" s="1"/>
  <c r="N24" i="16" s="1"/>
  <c r="M26" i="5"/>
  <c r="N26" i="5" s="1"/>
  <c r="C27" i="5"/>
  <c r="J27" i="5" s="1"/>
  <c r="C25" i="16" l="1"/>
  <c r="AM24" i="16"/>
  <c r="K27" i="5"/>
  <c r="L27" i="5" s="1"/>
  <c r="J25" i="16" l="1"/>
  <c r="K25" i="16"/>
  <c r="L25" i="16" s="1"/>
  <c r="N25" i="16" s="1"/>
  <c r="M27" i="5"/>
  <c r="N27" i="5" s="1"/>
  <c r="C28" i="5"/>
  <c r="J28" i="5" s="1"/>
  <c r="C26" i="16" l="1"/>
  <c r="AM25" i="16"/>
  <c r="K28" i="5"/>
  <c r="L28" i="5" s="1"/>
  <c r="J26" i="16" l="1"/>
  <c r="K26" i="16"/>
  <c r="L26" i="16" s="1"/>
  <c r="N26" i="16" s="1"/>
  <c r="M28" i="5"/>
  <c r="N28" i="5" s="1"/>
  <c r="C29" i="5"/>
  <c r="J29" i="5" s="1"/>
  <c r="AM26" i="16" l="1"/>
  <c r="C27" i="16"/>
  <c r="K29" i="5"/>
  <c r="L29" i="5" s="1"/>
  <c r="J27" i="16" l="1"/>
  <c r="K27" i="16"/>
  <c r="L27" i="16" s="1"/>
  <c r="N27" i="16" s="1"/>
  <c r="M29" i="5"/>
  <c r="N29" i="5" s="1"/>
  <c r="C30" i="5"/>
  <c r="J30" i="5" s="1"/>
  <c r="AM27" i="16" l="1"/>
  <c r="C28" i="16"/>
  <c r="K30" i="5"/>
  <c r="L30" i="5" s="1"/>
  <c r="K28" i="16" l="1"/>
  <c r="L28" i="16" s="1"/>
  <c r="N28" i="16" s="1"/>
  <c r="J28" i="16"/>
  <c r="M30" i="5"/>
  <c r="N30" i="5" s="1"/>
  <c r="C31" i="5"/>
  <c r="J31" i="5" s="1"/>
  <c r="AM28" i="16" l="1"/>
  <c r="C29" i="16"/>
  <c r="K31" i="5"/>
  <c r="L31" i="5" s="1"/>
  <c r="K29" i="16" l="1"/>
  <c r="L29" i="16" s="1"/>
  <c r="N29" i="16" s="1"/>
  <c r="J29" i="16"/>
  <c r="M31" i="5"/>
  <c r="N31" i="5" s="1"/>
  <c r="C32" i="5"/>
  <c r="J32" i="5" s="1"/>
  <c r="C30" i="16" l="1"/>
  <c r="AM29" i="16"/>
  <c r="K32" i="5"/>
  <c r="L32" i="5" s="1"/>
  <c r="K30" i="16" l="1"/>
  <c r="L30" i="16" s="1"/>
  <c r="N30" i="16" s="1"/>
  <c r="J30" i="16"/>
  <c r="M32" i="5"/>
  <c r="N32" i="5" s="1"/>
  <c r="C33" i="5"/>
  <c r="J33" i="5" s="1"/>
  <c r="C31" i="16" l="1"/>
  <c r="AM30" i="16"/>
  <c r="K33" i="5"/>
  <c r="L33" i="5" s="1"/>
  <c r="J31" i="16" l="1"/>
  <c r="K31" i="16"/>
  <c r="L31" i="16" s="1"/>
  <c r="N31" i="16" s="1"/>
  <c r="M33" i="5"/>
  <c r="N33" i="5" s="1"/>
  <c r="C34" i="5"/>
  <c r="J34" i="5" s="1"/>
  <c r="C32" i="16" l="1"/>
  <c r="AM31" i="16"/>
  <c r="K34" i="5"/>
  <c r="L34" i="5" s="1"/>
  <c r="K32" i="16" l="1"/>
  <c r="L32" i="16" s="1"/>
  <c r="N32" i="16" s="1"/>
  <c r="J32" i="16"/>
  <c r="M34" i="5"/>
  <c r="N34" i="5" s="1"/>
  <c r="C35" i="5"/>
  <c r="J35" i="5" s="1"/>
  <c r="C33" i="16" l="1"/>
  <c r="AM32" i="16"/>
  <c r="K35" i="5"/>
  <c r="L35" i="5" s="1"/>
  <c r="J33" i="16" l="1"/>
  <c r="K33" i="16"/>
  <c r="L33" i="16" s="1"/>
  <c r="N33" i="16" s="1"/>
  <c r="M35" i="5"/>
  <c r="N35" i="5" s="1"/>
  <c r="C36" i="5"/>
  <c r="J36" i="5" s="1"/>
  <c r="C50" i="7" s="1"/>
  <c r="AM33" i="16" l="1"/>
  <c r="C34" i="16"/>
  <c r="C56" i="7"/>
  <c r="DS25" i="1"/>
  <c r="K36" i="5"/>
  <c r="L36" i="5" s="1"/>
  <c r="J34" i="16" l="1"/>
  <c r="K34" i="16"/>
  <c r="L34" i="16" s="1"/>
  <c r="N34" i="16" s="1"/>
  <c r="M36" i="5"/>
  <c r="N36" i="5" s="1"/>
  <c r="C37" i="5"/>
  <c r="J37" i="5" s="1"/>
  <c r="AM34" i="16" l="1"/>
  <c r="C35" i="16"/>
  <c r="K37" i="5"/>
  <c r="L37" i="5" s="1"/>
  <c r="K35" i="16" l="1"/>
  <c r="L35" i="16" s="1"/>
  <c r="N35" i="16" s="1"/>
  <c r="J35" i="16"/>
  <c r="M37" i="5"/>
  <c r="N37" i="5" s="1"/>
  <c r="C38" i="5"/>
  <c r="J38" i="5" s="1"/>
  <c r="AM35" i="16" l="1"/>
  <c r="C22" i="14" s="1"/>
  <c r="C36" i="16"/>
  <c r="K38" i="5"/>
  <c r="L38" i="5" s="1"/>
  <c r="C25" i="14" l="1"/>
  <c r="C28" i="14"/>
  <c r="J36" i="16"/>
  <c r="K36" i="16"/>
  <c r="L36" i="16" s="1"/>
  <c r="N36" i="16" s="1"/>
  <c r="M38" i="5"/>
  <c r="N38" i="5" s="1"/>
  <c r="C39" i="5"/>
  <c r="J39" i="5" s="1"/>
  <c r="C21" i="17" l="1"/>
  <c r="C26" i="14"/>
  <c r="C37" i="16"/>
  <c r="AM36" i="16"/>
  <c r="K39" i="5"/>
  <c r="L39" i="5" s="1"/>
  <c r="K37" i="16" l="1"/>
  <c r="L37" i="16" s="1"/>
  <c r="N37" i="16" s="1"/>
  <c r="J37" i="16"/>
  <c r="M39" i="5"/>
  <c r="N39" i="5" s="1"/>
  <c r="C40" i="5"/>
  <c r="J40" i="5" s="1"/>
  <c r="AM37" i="16" l="1"/>
  <c r="C38" i="16"/>
  <c r="K40" i="5"/>
  <c r="L40" i="5" s="1"/>
  <c r="K38" i="16" l="1"/>
  <c r="L38" i="16" s="1"/>
  <c r="N38" i="16" s="1"/>
  <c r="J38" i="16"/>
  <c r="M40" i="5"/>
  <c r="N40" i="5" s="1"/>
  <c r="C41" i="5"/>
  <c r="J41" i="5" s="1"/>
  <c r="C39" i="16" l="1"/>
  <c r="AM38" i="16"/>
  <c r="K41" i="5"/>
  <c r="L41" i="5" s="1"/>
  <c r="K39" i="16" l="1"/>
  <c r="L39" i="16" s="1"/>
  <c r="N39" i="16" s="1"/>
  <c r="J39" i="16"/>
  <c r="M41" i="5"/>
  <c r="N41" i="5" s="1"/>
  <c r="C42" i="5"/>
  <c r="J42" i="5" s="1"/>
  <c r="C40" i="16" l="1"/>
  <c r="AM39" i="16"/>
  <c r="K42" i="5"/>
  <c r="L42" i="5" s="1"/>
  <c r="J40" i="16" l="1"/>
  <c r="K40" i="16"/>
  <c r="L40" i="16" s="1"/>
  <c r="N40" i="16" s="1"/>
  <c r="C63" i="7"/>
  <c r="C53" i="7"/>
  <c r="C54" i="7" s="1"/>
  <c r="M42" i="5"/>
  <c r="N42" i="5" s="1"/>
  <c r="C41" i="16" l="1"/>
  <c r="AM40" i="16"/>
  <c r="DS22" i="1"/>
  <c r="J41" i="16" l="1"/>
  <c r="K41" i="16"/>
  <c r="L41" i="16" s="1"/>
  <c r="N41" i="16" s="1"/>
  <c r="EV14" i="1"/>
  <c r="EV13" i="1"/>
  <c r="C42" i="16" l="1"/>
  <c r="AM41" i="16"/>
  <c r="K42" i="16" l="1"/>
  <c r="L42" i="16" s="1"/>
  <c r="N42" i="16" s="1"/>
  <c r="J42" i="16"/>
  <c r="AM42" i="16" s="1"/>
</calcChain>
</file>

<file path=xl/sharedStrings.xml><?xml version="1.0" encoding="utf-8"?>
<sst xmlns="http://schemas.openxmlformats.org/spreadsheetml/2006/main" count="738" uniqueCount="129">
  <si>
    <t>CNU</t>
  </si>
  <si>
    <t>Edad</t>
  </si>
  <si>
    <t>Hombre</t>
  </si>
  <si>
    <t>Mujer</t>
  </si>
  <si>
    <t>Plazos</t>
  </si>
  <si>
    <t>A</t>
  </si>
  <si>
    <t>B</t>
  </si>
  <si>
    <t>C</t>
  </si>
  <si>
    <t>D</t>
  </si>
  <si>
    <t>E</t>
  </si>
  <si>
    <t>Fondo</t>
  </si>
  <si>
    <t>SALDO</t>
  </si>
  <si>
    <t>FLUJO</t>
  </si>
  <si>
    <t>Meses</t>
  </si>
  <si>
    <t>Mensual</t>
  </si>
  <si>
    <t>Rentabilidad</t>
  </si>
  <si>
    <t>Pensión</t>
  </si>
  <si>
    <t>Saldo al Final 
del Periodo</t>
  </si>
  <si>
    <t>Rentabilidad 
Mensual</t>
  </si>
  <si>
    <t>Rentabilidad 
del año</t>
  </si>
  <si>
    <t>Edad de pensión</t>
  </si>
  <si>
    <t>Género</t>
  </si>
  <si>
    <t>Monto de pensión objetivo</t>
  </si>
  <si>
    <t>Saldo de pensión necesario</t>
  </si>
  <si>
    <t>Perfil</t>
  </si>
  <si>
    <t>Sin Perfil</t>
  </si>
  <si>
    <t>A-B</t>
  </si>
  <si>
    <t>D-E</t>
  </si>
  <si>
    <t>Desde</t>
  </si>
  <si>
    <t>Hasta</t>
  </si>
  <si>
    <t>Edad actual</t>
  </si>
  <si>
    <t>Años que faltan</t>
  </si>
  <si>
    <t>CCIO</t>
  </si>
  <si>
    <t>APV A</t>
  </si>
  <si>
    <t>APV B</t>
  </si>
  <si>
    <t>Depositos convenidos</t>
  </si>
  <si>
    <t>Cuenta dos</t>
  </si>
  <si>
    <t>Total saldos</t>
  </si>
  <si>
    <t>Flujo mensual</t>
  </si>
  <si>
    <t>Saldos actuales</t>
  </si>
  <si>
    <t>Total flujos</t>
  </si>
  <si>
    <t>Tope</t>
  </si>
  <si>
    <t>UF</t>
  </si>
  <si>
    <t>Cotización Maxima</t>
  </si>
  <si>
    <t>Cotización mensual</t>
  </si>
  <si>
    <t>Factor</t>
  </si>
  <si>
    <t>Plazo</t>
  </si>
  <si>
    <t>Saldo actual</t>
  </si>
  <si>
    <t>Aportes del año</t>
  </si>
  <si>
    <t>variación del saldo</t>
  </si>
  <si>
    <t>Proyecciones</t>
  </si>
  <si>
    <t>Saldo total proyectado</t>
  </si>
  <si>
    <t>Tasa reemplazo</t>
  </si>
  <si>
    <t>Diferencia</t>
  </si>
  <si>
    <t>Tasa</t>
  </si>
  <si>
    <t>Ahorro</t>
  </si>
  <si>
    <t>Saldo</t>
  </si>
  <si>
    <t>Años</t>
  </si>
  <si>
    <t>Años/meses</t>
  </si>
  <si>
    <t>Aporte requerido</t>
  </si>
  <si>
    <t>Activo</t>
  </si>
  <si>
    <t>Moderado</t>
  </si>
  <si>
    <t>Conservador</t>
  </si>
  <si>
    <t>Cotizacion Obligatoria</t>
  </si>
  <si>
    <t xml:space="preserve">APV </t>
  </si>
  <si>
    <t>Deposito convenido</t>
  </si>
  <si>
    <t>Total Aporte mensual</t>
  </si>
  <si>
    <t>Año</t>
  </si>
  <si>
    <t>Numero</t>
  </si>
  <si>
    <t>Promedio</t>
  </si>
  <si>
    <t>Promedio de cotizaciones</t>
  </si>
  <si>
    <t>Ingresado</t>
  </si>
  <si>
    <t>Sobre o igual edad legal</t>
  </si>
  <si>
    <t>Seleccionado para calcular requisito</t>
  </si>
  <si>
    <t>posicion de busqueda tabla</t>
  </si>
  <si>
    <t>lo que le falta</t>
  </si>
  <si>
    <t>lo que necesita</t>
  </si>
  <si>
    <t>su CNU</t>
  </si>
  <si>
    <t>Porción de mejora de pensión por aportes voluntarios futuros.</t>
  </si>
  <si>
    <t>hombre</t>
  </si>
  <si>
    <t>mujer</t>
  </si>
  <si>
    <t>Masculino (1)</t>
  </si>
  <si>
    <t>Femenino (2)</t>
  </si>
  <si>
    <t>ene-mar</t>
  </si>
  <si>
    <t>abr-jun</t>
  </si>
  <si>
    <t>jul-sept</t>
  </si>
  <si>
    <t>oct-dic</t>
  </si>
  <si>
    <t>T1</t>
  </si>
  <si>
    <t>T2</t>
  </si>
  <si>
    <t>T3</t>
  </si>
  <si>
    <t>T4</t>
  </si>
  <si>
    <t>Trimestre</t>
  </si>
  <si>
    <t>Mujer 60 años</t>
  </si>
  <si>
    <t>Hombre 65 años</t>
  </si>
  <si>
    <t>Pensón Mujer</t>
  </si>
  <si>
    <t>Pensión Hombre</t>
  </si>
  <si>
    <t>Depto. Trámite de Pensiones</t>
  </si>
  <si>
    <t>Proceso de Negocio: Trámitación Análisis.</t>
  </si>
  <si>
    <t>Id. Usuario: CLUENGO</t>
  </si>
  <si>
    <t>CÁLCULO DE SERIES CNU</t>
  </si>
  <si>
    <t>Fecha: 07-10-2024  -  11:07:18</t>
  </si>
  <si>
    <t>(1) Causante Hombre con Beneficiarios</t>
  </si>
  <si>
    <t>(2) Causante Mujer con Beneficiarios</t>
  </si>
  <si>
    <t>CAPITALES NECESARIOS UNITARIOS</t>
  </si>
  <si>
    <t>TABLA RESULTADO TU NÚMERO</t>
  </si>
  <si>
    <t>Utilizando Tabla RV-2020</t>
  </si>
  <si>
    <t>CNU x 12</t>
  </si>
  <si>
    <t>Fecha: 15-04-2024  -  11:55:02</t>
  </si>
  <si>
    <t>Var Pensión</t>
  </si>
  <si>
    <t>4,41% v/s 4,14%</t>
  </si>
  <si>
    <t>Analisís de Pensión</t>
  </si>
  <si>
    <t>NO</t>
  </si>
  <si>
    <t>ACTIVO</t>
  </si>
  <si>
    <t>MODERADO</t>
  </si>
  <si>
    <t>CONSERVADOR</t>
  </si>
  <si>
    <t>OBLIGATORIA</t>
  </si>
  <si>
    <t>APV</t>
  </si>
  <si>
    <t>DC</t>
  </si>
  <si>
    <t>TOTAL</t>
  </si>
  <si>
    <t>Fondo para cuenta obligatoria</t>
  </si>
  <si>
    <t>Fondo para ahorro previsional voluntario</t>
  </si>
  <si>
    <t>Fondo para depositos convenidos</t>
  </si>
  <si>
    <t>A.</t>
  </si>
  <si>
    <t>B.</t>
  </si>
  <si>
    <t>Id. Usuario: LZUNIGA</t>
  </si>
  <si>
    <t>Fecha: 09-01-2025  -  16:53:37</t>
  </si>
  <si>
    <t>Porción de pensión CON saldos actuales y aportes obligatorios futuros.</t>
  </si>
  <si>
    <t>Fecha: 09-04-2025  -  17:07:49</t>
  </si>
  <si>
    <t>Fecha: 07-10-2025  -  14:50:45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</si>
</sst>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42" formatCode="_ &quot;$&quot;* #,##0_ ;_ &quot;$&quot;* \-#,##0_ ;_ &quot;$&quot;* &quot;-&quot;_ ;_ @_ "/>
    <numFmt numFmtId="41" formatCode="_ * #,##0_ ;_ * \-#,##0_ ;_ * &quot;-&quot;_ ;_ @_ "/>
    <numFmt numFmtId="164" formatCode="_-&quot;$&quot;\ * #,##0_-;\-&quot;$&quot;\ * #,##0_-;_-&quot;$&quot;\ * &quot;-&quot;_-;_-@_-"/>
    <numFmt numFmtId="165" formatCode="0.0000"/>
    <numFmt numFmtId="166" formatCode="_ * #,##0.0_ ;_ * \-#,##0.0_ ;_ * &quot;-&quot;_ ;_ @_ "/>
    <numFmt numFmtId="167" formatCode="0.0"/>
    <numFmt numFmtId="168" formatCode="#,##0.00&quot;00&quot;"/>
    <numFmt numFmtId="169" formatCode="#,##0.00&quot;0&quot;"/>
    <numFmt numFmtId="170" formatCode="0.000"/>
  </numFmts>
  <fonts count="31" x14ac:knownFonts="1">
    <font>
      <sz val="11"/>
      <color theme="1"/>
      <name val="Calibri"/>
      <family val="2"/>
      <scheme val="minor"/>
    </font>
    <font>
      <sz val="11"/>
      <color theme="1"/>
      <name val="Calibri"/>
      <family val="2"/>
      <scheme val="minor"/>
    </font>
    <font>
      <b/>
      <sz val="11"/>
      <color theme="1"/>
      <name val="Barlow"/>
    </font>
    <font>
      <sz val="11"/>
      <color theme="1"/>
      <name val="Barlow"/>
    </font>
    <font>
      <sz val="11"/>
      <color theme="0"/>
      <name val="Calibri"/>
      <family val="2"/>
      <scheme val="minor"/>
    </font>
    <font>
      <sz val="8"/>
      <name val="Calibri"/>
      <family val="2"/>
      <scheme val="minor"/>
    </font>
    <font>
      <sz val="11"/>
      <color theme="0"/>
      <name val="Barlow"/>
    </font>
    <font>
      <sz val="11"/>
      <color rgb="FF002060"/>
      <name val="Barlow"/>
    </font>
    <font>
      <sz val="11"/>
      <color rgb="FF002060"/>
      <name val="Calibri"/>
      <family val="2"/>
      <scheme val="minor"/>
    </font>
    <font>
      <b/>
      <sz val="11"/>
      <color theme="1"/>
      <name val="Calibri"/>
      <family val="2"/>
      <scheme val="minor"/>
    </font>
    <font>
      <b/>
      <sz val="9"/>
      <color rgb="FFC00000"/>
      <name val="Barlow"/>
    </font>
    <font>
      <sz val="9"/>
      <color rgb="FFC00000"/>
      <name val="Calibri"/>
      <family val="2"/>
      <scheme val="minor"/>
    </font>
    <font>
      <sz val="9"/>
      <color theme="1"/>
      <name val="Calibri"/>
      <family val="2"/>
      <scheme val="minor"/>
    </font>
    <font>
      <sz val="16"/>
      <color theme="0"/>
      <name val="Barlow"/>
    </font>
    <font>
      <sz val="16"/>
      <color theme="0"/>
      <name val="Calibri"/>
      <family val="2"/>
      <scheme val="minor"/>
    </font>
    <font>
      <sz val="14"/>
      <color rgb="FF00B0F0"/>
      <name val="Barlow"/>
    </font>
    <font>
      <sz val="14"/>
      <color rgb="FF00B0F0"/>
      <name val="Calibri"/>
      <family val="2"/>
      <scheme val="minor"/>
    </font>
    <font>
      <sz val="10"/>
      <color indexed="8"/>
      <name val="Arial"/>
      <family val="2"/>
    </font>
    <font>
      <b/>
      <sz val="10"/>
      <color indexed="8"/>
      <name val="Arial"/>
      <family val="2"/>
    </font>
    <font>
      <b/>
      <u/>
      <sz val="12"/>
      <color indexed="8"/>
      <name val="Arial"/>
      <family val="2"/>
    </font>
    <font>
      <sz val="8"/>
      <color indexed="8"/>
      <name val="Arial"/>
      <family val="2"/>
    </font>
    <font>
      <b/>
      <sz val="9"/>
      <color indexed="8"/>
      <name val="Arial"/>
      <family val="2"/>
    </font>
    <font>
      <sz val="9"/>
      <color indexed="8"/>
      <name val="Arial"/>
      <family val="2"/>
    </font>
    <font>
      <sz val="11"/>
      <color rgb="FFC00000"/>
      <name val="Calibri"/>
      <family val="2"/>
      <scheme val="minor"/>
    </font>
    <font>
      <b/>
      <sz val="11"/>
      <color rgb="FF00B0F0"/>
      <name val="Barlow"/>
    </font>
    <font>
      <sz val="10"/>
      <color indexed="8"/>
      <name val="Arial"/>
      <family val="2"/>
    </font>
    <font>
      <b/>
      <sz val="10"/>
      <color indexed="8"/>
      <name val="Arial"/>
      <family val="2"/>
    </font>
    <font>
      <b/>
      <u/>
      <sz val="12"/>
      <color indexed="8"/>
      <name val="Arial"/>
      <family val="2"/>
    </font>
    <font>
      <sz val="8"/>
      <color indexed="8"/>
      <name val="Arial"/>
      <family val="2"/>
    </font>
    <font>
      <b/>
      <sz val="9"/>
      <color indexed="8"/>
      <name val="Arial"/>
      <family val="2"/>
    </font>
    <font>
      <sz val="9"/>
      <color indexed="8"/>
      <name val="Arial"/>
      <family val="2"/>
    </font>
  </fonts>
  <fills count="12">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E9ED33"/>
        <bgColor indexed="64"/>
      </patternFill>
    </fill>
    <fill>
      <patternFill patternType="solid">
        <fgColor rgb="FFE3E829"/>
        <bgColor indexed="64"/>
      </patternFill>
    </fill>
    <fill>
      <patternFill patternType="solid">
        <fgColor rgb="FF0033A0"/>
        <bgColor indexed="64"/>
      </patternFill>
    </fill>
    <fill>
      <patternFill patternType="solid">
        <fgColor rgb="FF002060"/>
        <bgColor indexed="64"/>
      </patternFill>
    </fill>
    <fill>
      <patternFill patternType="solid">
        <fgColor rgb="FF92D050"/>
        <bgColor indexed="64"/>
      </patternFill>
    </fill>
    <fill>
      <patternFill patternType="solid">
        <fgColor theme="0" tint="-0.34998626667073579"/>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34998626667073579"/>
      </left>
      <right/>
      <top/>
      <bottom/>
      <diagonal/>
    </border>
    <border>
      <left style="medium">
        <color theme="0" tint="-0.499984740745262"/>
      </left>
      <right/>
      <top/>
      <bottom/>
      <diagonal/>
    </border>
    <border>
      <left/>
      <right style="medium">
        <color theme="0" tint="-0.34998626667073579"/>
      </right>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style="medium">
        <color theme="0" tint="-0.499984740745262"/>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41"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0" fontId="17" fillId="0" borderId="0">
      <alignment vertical="top"/>
    </xf>
    <xf numFmtId="0" fontId="25" fillId="0" borderId="0">
      <alignment vertical="top"/>
    </xf>
  </cellStyleXfs>
  <cellXfs count="145">
    <xf numFmtId="0" fontId="0" fillId="0" borderId="0" xfId="0"/>
    <xf numFmtId="0" fontId="3" fillId="0" borderId="0" xfId="0" applyFont="1"/>
    <xf numFmtId="0" fontId="0" fillId="2" borderId="0" xfId="0" applyFill="1"/>
    <xf numFmtId="166" fontId="0" fillId="2" borderId="0" xfId="1" applyNumberFormat="1" applyFont="1" applyFill="1"/>
    <xf numFmtId="42" fontId="0" fillId="2" borderId="0" xfId="2" applyFont="1" applyFill="1"/>
    <xf numFmtId="165" fontId="0" fillId="2" borderId="0" xfId="0" applyNumberFormat="1" applyFill="1"/>
    <xf numFmtId="0" fontId="0" fillId="2" borderId="0" xfId="0" applyFill="1" applyAlignment="1">
      <alignment horizontal="center" vertical="center"/>
    </xf>
    <xf numFmtId="42" fontId="0" fillId="2" borderId="0" xfId="0" applyNumberFormat="1" applyFill="1"/>
    <xf numFmtId="10" fontId="0" fillId="2" borderId="0" xfId="3" applyNumberFormat="1" applyFont="1" applyFill="1"/>
    <xf numFmtId="10" fontId="0" fillId="2" borderId="0" xfId="0" applyNumberFormat="1" applyFill="1"/>
    <xf numFmtId="8" fontId="0" fillId="2" borderId="0" xfId="0" applyNumberFormat="1" applyFill="1"/>
    <xf numFmtId="0" fontId="0" fillId="2" borderId="0" xfId="0" applyFill="1" applyAlignment="1">
      <alignment horizontal="center" vertical="center" wrapText="1"/>
    </xf>
    <xf numFmtId="0" fontId="0" fillId="2" borderId="0" xfId="0" applyFill="1" applyAlignment="1">
      <alignment vertical="center" wrapText="1"/>
    </xf>
    <xf numFmtId="1" fontId="0" fillId="2" borderId="0" xfId="0" applyNumberFormat="1" applyFill="1"/>
    <xf numFmtId="164" fontId="0" fillId="2" borderId="0" xfId="4" applyFont="1" applyFill="1" applyBorder="1"/>
    <xf numFmtId="6" fontId="0" fillId="2" borderId="0" xfId="0" applyNumberFormat="1" applyFill="1"/>
    <xf numFmtId="4" fontId="0" fillId="2" borderId="0" xfId="0" applyNumberFormat="1" applyFill="1"/>
    <xf numFmtId="42" fontId="0" fillId="2" borderId="0" xfId="0" applyNumberFormat="1" applyFill="1" applyAlignment="1">
      <alignment horizontal="center" vertical="center" wrapText="1"/>
    </xf>
    <xf numFmtId="41" fontId="0" fillId="4" borderId="0" xfId="1" applyFont="1" applyFill="1"/>
    <xf numFmtId="17" fontId="0" fillId="0" borderId="0" xfId="0" applyNumberFormat="1"/>
    <xf numFmtId="9" fontId="0" fillId="0" borderId="0" xfId="0" applyNumberFormat="1"/>
    <xf numFmtId="167" fontId="0" fillId="0" borderId="0" xfId="0" applyNumberFormat="1"/>
    <xf numFmtId="14" fontId="0" fillId="0" borderId="0" xfId="0" applyNumberFormat="1"/>
    <xf numFmtId="4" fontId="0" fillId="0" borderId="0" xfId="0" applyNumberFormat="1"/>
    <xf numFmtId="42" fontId="0" fillId="0" borderId="0" xfId="0" applyNumberFormat="1"/>
    <xf numFmtId="0" fontId="0" fillId="4" borderId="0" xfId="0" applyFill="1"/>
    <xf numFmtId="0" fontId="6" fillId="0" borderId="0" xfId="0" applyFont="1"/>
    <xf numFmtId="42" fontId="6" fillId="0" borderId="0" xfId="0" applyNumberFormat="1" applyFont="1"/>
    <xf numFmtId="42" fontId="3" fillId="0" borderId="0" xfId="0" applyNumberFormat="1" applyFont="1"/>
    <xf numFmtId="0" fontId="0" fillId="0" borderId="8" xfId="0" applyBorder="1"/>
    <xf numFmtId="0" fontId="0" fillId="0" borderId="9" xfId="0" applyBorder="1"/>
    <xf numFmtId="0" fontId="0" fillId="4" borderId="9" xfId="0" applyFill="1" applyBorder="1"/>
    <xf numFmtId="0" fontId="0" fillId="0" borderId="10" xfId="0" applyBorder="1"/>
    <xf numFmtId="0" fontId="0" fillId="0" borderId="15" xfId="0" applyBorder="1"/>
    <xf numFmtId="42" fontId="0" fillId="0" borderId="0" xfId="2" applyFont="1" applyBorder="1"/>
    <xf numFmtId="42" fontId="0" fillId="4" borderId="0" xfId="2" applyFont="1" applyFill="1" applyBorder="1"/>
    <xf numFmtId="0" fontId="0" fillId="0" borderId="20" xfId="0" applyBorder="1"/>
    <xf numFmtId="0" fontId="0" fillId="0" borderId="11" xfId="0" applyBorder="1"/>
    <xf numFmtId="0" fontId="0" fillId="0" borderId="12" xfId="0" applyBorder="1"/>
    <xf numFmtId="42" fontId="0" fillId="0" borderId="12" xfId="0" applyNumberFormat="1" applyBorder="1"/>
    <xf numFmtId="0" fontId="0" fillId="0" borderId="13" xfId="0" applyBorder="1"/>
    <xf numFmtId="0" fontId="6" fillId="7" borderId="0" xfId="0" applyFont="1" applyFill="1"/>
    <xf numFmtId="0" fontId="3" fillId="7" borderId="0" xfId="0" applyFont="1" applyFill="1"/>
    <xf numFmtId="0" fontId="3" fillId="8" borderId="0" xfId="0" applyFont="1" applyFill="1"/>
    <xf numFmtId="0" fontId="0" fillId="2" borderId="21" xfId="0" applyFill="1" applyBorder="1"/>
    <xf numFmtId="10" fontId="0" fillId="2" borderId="21" xfId="0" applyNumberFormat="1" applyFill="1" applyBorder="1"/>
    <xf numFmtId="42" fontId="0" fillId="2" borderId="21" xfId="2" applyFont="1" applyFill="1" applyBorder="1"/>
    <xf numFmtId="0" fontId="4" fillId="9" borderId="21" xfId="0" applyFont="1" applyFill="1" applyBorder="1" applyAlignment="1">
      <alignment horizontal="center" vertical="center"/>
    </xf>
    <xf numFmtId="0" fontId="17" fillId="0" borderId="0" xfId="6">
      <alignment vertical="top"/>
    </xf>
    <xf numFmtId="0" fontId="21" fillId="0" borderId="0" xfId="6" applyFont="1" applyAlignment="1">
      <alignment horizontal="right" vertical="top" wrapText="1" readingOrder="1"/>
    </xf>
    <xf numFmtId="3" fontId="22" fillId="0" borderId="0" xfId="6" applyNumberFormat="1" applyFont="1" applyAlignment="1">
      <alignment horizontal="right" vertical="top"/>
    </xf>
    <xf numFmtId="42" fontId="0" fillId="2" borderId="21" xfId="0" applyNumberFormat="1" applyFill="1" applyBorder="1"/>
    <xf numFmtId="170" fontId="0" fillId="2" borderId="21" xfId="0" applyNumberFormat="1" applyFill="1" applyBorder="1"/>
    <xf numFmtId="0" fontId="0" fillId="2" borderId="21" xfId="0" applyFill="1" applyBorder="1" applyAlignment="1">
      <alignment horizontal="center" vertical="center"/>
    </xf>
    <xf numFmtId="0" fontId="0" fillId="10" borderId="0" xfId="0" applyFill="1" applyAlignment="1">
      <alignment horizontal="center" vertical="center" wrapText="1"/>
    </xf>
    <xf numFmtId="0" fontId="23" fillId="10" borderId="0" xfId="0" applyFont="1" applyFill="1" applyAlignment="1">
      <alignment horizontal="center" vertical="center" wrapText="1"/>
    </xf>
    <xf numFmtId="0" fontId="4" fillId="9" borderId="0" xfId="0" applyFont="1" applyFill="1"/>
    <xf numFmtId="0" fontId="7" fillId="0" borderId="0" xfId="0" applyFont="1"/>
    <xf numFmtId="0" fontId="24" fillId="0" borderId="0" xfId="0" applyFont="1"/>
    <xf numFmtId="0" fontId="0" fillId="0" borderId="0" xfId="0" applyAlignment="1">
      <alignment vertical="top"/>
    </xf>
    <xf numFmtId="0" fontId="21" fillId="0" borderId="0" xfId="0" applyFont="1" applyAlignment="1">
      <alignment horizontal="right" vertical="top" wrapText="1" readingOrder="1"/>
    </xf>
    <xf numFmtId="3" fontId="22" fillId="0" borderId="0" xfId="0" applyNumberFormat="1" applyFont="1" applyAlignment="1">
      <alignment horizontal="right" vertical="top"/>
    </xf>
    <xf numFmtId="0" fontId="25" fillId="0" borderId="0" xfId="7">
      <alignment vertical="top"/>
    </xf>
    <xf numFmtId="0" fontId="29" fillId="0" borderId="0" xfId="7" applyFont="1" applyAlignment="1">
      <alignment horizontal="right" vertical="top" wrapText="1" readingOrder="1"/>
    </xf>
    <xf numFmtId="3" fontId="30" fillId="0" borderId="0" xfId="7" applyNumberFormat="1" applyFont="1" applyAlignment="1">
      <alignment horizontal="right" vertical="top"/>
    </xf>
    <xf numFmtId="168" fontId="25" fillId="0" borderId="0" xfId="7" applyNumberFormat="1">
      <alignment vertical="top"/>
    </xf>
    <xf numFmtId="0" fontId="13" fillId="8" borderId="0" xfId="0" applyFont="1" applyFill="1" applyAlignment="1" applyProtection="1">
      <alignment horizontal="right" vertical="center"/>
      <protection locked="0"/>
    </xf>
    <xf numFmtId="0" fontId="14" fillId="0" borderId="0" xfId="0" applyFont="1" applyAlignment="1" applyProtection="1">
      <alignment horizontal="right" vertical="center"/>
      <protection locked="0"/>
    </xf>
    <xf numFmtId="17" fontId="15" fillId="8" borderId="0" xfId="0" applyNumberFormat="1" applyFont="1" applyFill="1" applyProtection="1">
      <protection locked="0"/>
    </xf>
    <xf numFmtId="0" fontId="16" fillId="0" borderId="0" xfId="0" applyFont="1" applyProtection="1">
      <protection locked="0"/>
    </xf>
    <xf numFmtId="42" fontId="2" fillId="0" borderId="2" xfId="0" applyNumberFormat="1"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42" fontId="2" fillId="0" borderId="2" xfId="0" applyNumberFormat="1"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2"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3" fillId="0" borderId="1" xfId="0" applyFont="1" applyBorder="1" applyAlignment="1">
      <alignment horizontal="center" vertical="center"/>
    </xf>
    <xf numFmtId="0" fontId="0" fillId="0" borderId="1" xfId="0" applyBorder="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2" fillId="0" borderId="2" xfId="0" applyFont="1" applyBorder="1" applyAlignment="1" applyProtection="1">
      <alignment horizontal="center" vertical="center"/>
      <protection locked="0"/>
    </xf>
    <xf numFmtId="0" fontId="2" fillId="0" borderId="2" xfId="0" applyFont="1" applyBorder="1" applyAlignment="1">
      <alignment horizontal="center" vertical="center"/>
    </xf>
    <xf numFmtId="0" fontId="6" fillId="3" borderId="1" xfId="0" applyFont="1" applyFill="1" applyBorder="1" applyAlignment="1">
      <alignment horizontal="center" vertical="center"/>
    </xf>
    <xf numFmtId="0" fontId="4" fillId="3" borderId="1" xfId="0" applyFont="1" applyFill="1" applyBorder="1" applyAlignment="1">
      <alignment horizontal="center" vertical="center"/>
    </xf>
    <xf numFmtId="42" fontId="2" fillId="0" borderId="2" xfId="2" applyFont="1" applyBorder="1" applyAlignment="1" applyProtection="1">
      <alignment horizontal="center" vertical="center"/>
      <protection locked="0"/>
    </xf>
    <xf numFmtId="42" fontId="2" fillId="0" borderId="3" xfId="2" applyFont="1" applyBorder="1" applyAlignment="1" applyProtection="1">
      <alignment horizontal="center" vertical="center"/>
      <protection locked="0"/>
    </xf>
    <xf numFmtId="42" fontId="2" fillId="0" borderId="4" xfId="2" applyFont="1" applyBorder="1" applyAlignment="1" applyProtection="1">
      <alignment horizontal="center" vertical="center"/>
      <protection locked="0"/>
    </xf>
    <xf numFmtId="42" fontId="2" fillId="0" borderId="5" xfId="2" applyFont="1" applyBorder="1" applyAlignment="1" applyProtection="1">
      <alignment horizontal="center" vertical="center"/>
      <protection locked="0"/>
    </xf>
    <xf numFmtId="42" fontId="2" fillId="0" borderId="6" xfId="2" applyFont="1" applyBorder="1" applyAlignment="1" applyProtection="1">
      <alignment horizontal="center" vertical="center"/>
      <protection locked="0"/>
    </xf>
    <xf numFmtId="42" fontId="2" fillId="0" borderId="7" xfId="2" applyFont="1" applyBorder="1" applyAlignment="1" applyProtection="1">
      <alignment horizontal="center" vertical="center"/>
      <protection locked="0"/>
    </xf>
    <xf numFmtId="0" fontId="2" fillId="11" borderId="17" xfId="0" applyFont="1" applyFill="1" applyBorder="1" applyAlignment="1">
      <alignment horizontal="center" vertical="center"/>
    </xf>
    <xf numFmtId="0" fontId="9" fillId="11" borderId="18" xfId="0" applyFont="1" applyFill="1" applyBorder="1" applyAlignment="1">
      <alignment horizontal="center" vertical="center"/>
    </xf>
    <xf numFmtId="0" fontId="9" fillId="11" borderId="19" xfId="0" applyFont="1" applyFill="1" applyBorder="1" applyAlignment="1">
      <alignment horizontal="center" vertical="center"/>
    </xf>
    <xf numFmtId="42" fontId="10" fillId="5" borderId="8" xfId="0" applyNumberFormat="1" applyFont="1" applyFill="1" applyBorder="1" applyAlignment="1">
      <alignment horizontal="center" vertical="center"/>
    </xf>
    <xf numFmtId="0" fontId="10" fillId="5" borderId="9" xfId="0" applyFont="1" applyFill="1" applyBorder="1" applyAlignment="1">
      <alignment horizontal="center" vertical="center"/>
    </xf>
    <xf numFmtId="0" fontId="11" fillId="5" borderId="9" xfId="0" applyFont="1" applyFill="1" applyBorder="1"/>
    <xf numFmtId="0" fontId="12" fillId="5" borderId="9" xfId="0" applyFont="1" applyFill="1" applyBorder="1"/>
    <xf numFmtId="0" fontId="12" fillId="5" borderId="10" xfId="0" applyFont="1" applyFill="1" applyBorder="1"/>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11" fillId="5" borderId="12" xfId="0" applyFont="1" applyFill="1" applyBorder="1"/>
    <xf numFmtId="0" fontId="12" fillId="5" borderId="12" xfId="0" applyFont="1" applyFill="1" applyBorder="1"/>
    <xf numFmtId="0" fontId="12" fillId="5" borderId="13" xfId="0" applyFont="1" applyFill="1" applyBorder="1"/>
    <xf numFmtId="42" fontId="2" fillId="0" borderId="14" xfId="0" applyNumberFormat="1" applyFont="1" applyBorder="1" applyAlignment="1">
      <alignment horizontal="center" vertical="center"/>
    </xf>
    <xf numFmtId="0" fontId="2" fillId="0" borderId="0" xfId="0" applyFont="1" applyAlignment="1">
      <alignment horizontal="center" vertical="center"/>
    </xf>
    <xf numFmtId="0" fontId="2" fillId="0" borderId="16" xfId="0" applyFont="1" applyBorder="1" applyAlignment="1">
      <alignment horizontal="center" vertical="center"/>
    </xf>
    <xf numFmtId="0" fontId="2" fillId="6" borderId="0" xfId="0" applyFont="1" applyFill="1" applyAlignment="1" applyProtection="1">
      <alignment horizontal="center" vertical="center"/>
      <protection locked="0"/>
    </xf>
    <xf numFmtId="0" fontId="9" fillId="6" borderId="0" xfId="0" applyFont="1" applyFill="1" applyAlignment="1" applyProtection="1">
      <alignment horizontal="center" vertical="center"/>
      <protection locked="0"/>
    </xf>
    <xf numFmtId="10" fontId="7" fillId="0" borderId="0" xfId="3" applyNumberFormat="1" applyFont="1" applyAlignment="1"/>
    <xf numFmtId="10" fontId="8" fillId="0" borderId="0" xfId="0" applyNumberFormat="1" applyFont="1"/>
    <xf numFmtId="169" fontId="22" fillId="0" borderId="0" xfId="0" applyNumberFormat="1" applyFont="1" applyAlignment="1">
      <alignment horizontal="right" vertical="top"/>
    </xf>
    <xf numFmtId="168" fontId="22" fillId="0" borderId="0" xfId="0" applyNumberFormat="1" applyFont="1" applyAlignment="1">
      <alignment horizontal="right" vertical="top"/>
    </xf>
    <xf numFmtId="0" fontId="20" fillId="0" borderId="0" xfId="0" applyFont="1" applyAlignment="1">
      <alignment horizontal="left" vertical="top"/>
    </xf>
    <xf numFmtId="0" fontId="21" fillId="0" borderId="0" xfId="0" applyFont="1" applyAlignment="1">
      <alignment horizontal="left" vertical="top" wrapText="1" readingOrder="1"/>
    </xf>
    <xf numFmtId="0" fontId="22" fillId="0" borderId="0" xfId="0" applyFont="1" applyAlignment="1">
      <alignment horizontal="left" vertical="top" wrapText="1" readingOrder="1"/>
    </xf>
    <xf numFmtId="0" fontId="21" fillId="0" borderId="0" xfId="0" applyFont="1" applyAlignment="1">
      <alignment horizontal="right" vertical="top" wrapText="1" readingOrder="1"/>
    </xf>
    <xf numFmtId="0" fontId="18" fillId="0" borderId="0" xfId="0" applyFont="1" applyAlignment="1">
      <alignment horizontal="left" vertical="top" wrapText="1" readingOrder="1"/>
    </xf>
    <xf numFmtId="0" fontId="0" fillId="0" borderId="0" xfId="0" applyAlignment="1">
      <alignment horizontal="left" vertical="top" wrapText="1" readingOrder="1"/>
    </xf>
    <xf numFmtId="0" fontId="19" fillId="0" borderId="0" xfId="0" applyFont="1" applyAlignment="1">
      <alignment horizontal="center" vertical="top" wrapText="1" readingOrder="1"/>
    </xf>
    <xf numFmtId="169" fontId="30" fillId="0" borderId="0" xfId="7" applyNumberFormat="1" applyFont="1" applyAlignment="1">
      <alignment horizontal="right" vertical="top"/>
    </xf>
    <xf numFmtId="168" fontId="30" fillId="0" borderId="0" xfId="7" applyNumberFormat="1" applyFont="1" applyAlignment="1">
      <alignment horizontal="right" vertical="top"/>
    </xf>
    <xf numFmtId="0" fontId="30" fillId="0" borderId="0" xfId="7" applyFont="1" applyAlignment="1">
      <alignment horizontal="left" vertical="top" wrapText="1" readingOrder="1"/>
    </xf>
    <xf numFmtId="0" fontId="29" fillId="0" borderId="0" xfId="7" applyFont="1" applyAlignment="1">
      <alignment horizontal="right" vertical="top" wrapText="1" readingOrder="1"/>
    </xf>
    <xf numFmtId="0" fontId="26" fillId="0" borderId="0" xfId="7" applyFont="1" applyAlignment="1">
      <alignment horizontal="left" vertical="top" wrapText="1" readingOrder="1"/>
    </xf>
    <xf numFmtId="0" fontId="25" fillId="0" borderId="0" xfId="7" applyAlignment="1">
      <alignment horizontal="left" vertical="top" wrapText="1" readingOrder="1"/>
    </xf>
    <xf numFmtId="0" fontId="27" fillId="0" borderId="0" xfId="7" applyFont="1" applyAlignment="1">
      <alignment horizontal="center" vertical="top" wrapText="1" readingOrder="1"/>
    </xf>
    <xf numFmtId="0" fontId="28" fillId="0" borderId="0" xfId="7" applyFont="1" applyAlignment="1">
      <alignment horizontal="left" vertical="top"/>
    </xf>
    <xf numFmtId="0" fontId="29" fillId="0" borderId="0" xfId="7" applyFont="1" applyAlignment="1">
      <alignment horizontal="left" vertical="top" wrapText="1" readingOrder="1"/>
    </xf>
    <xf numFmtId="169" fontId="22" fillId="0" borderId="0" xfId="6" applyNumberFormat="1" applyFont="1" applyAlignment="1">
      <alignment horizontal="right" vertical="top"/>
    </xf>
    <xf numFmtId="168" fontId="22" fillId="0" borderId="0" xfId="6" applyNumberFormat="1" applyFont="1" applyAlignment="1">
      <alignment horizontal="right" vertical="top"/>
    </xf>
    <xf numFmtId="169" fontId="22" fillId="4" borderId="0" xfId="6" applyNumberFormat="1" applyFont="1" applyFill="1" applyAlignment="1">
      <alignment horizontal="right" vertical="top"/>
    </xf>
    <xf numFmtId="168" fontId="22" fillId="4" borderId="0" xfId="6" applyNumberFormat="1" applyFont="1" applyFill="1" applyAlignment="1">
      <alignment horizontal="right" vertical="top"/>
    </xf>
    <xf numFmtId="0" fontId="22" fillId="0" borderId="0" xfId="6" applyFont="1" applyAlignment="1">
      <alignment horizontal="left" vertical="top" wrapText="1" readingOrder="1"/>
    </xf>
    <xf numFmtId="0" fontId="21" fillId="0" borderId="0" xfId="6" applyFont="1" applyAlignment="1">
      <alignment horizontal="right" vertical="top" wrapText="1" readingOrder="1"/>
    </xf>
    <xf numFmtId="0" fontId="18" fillId="0" borderId="0" xfId="6" applyFont="1" applyAlignment="1">
      <alignment horizontal="left" vertical="top" wrapText="1" readingOrder="1"/>
    </xf>
    <xf numFmtId="0" fontId="17" fillId="0" borderId="0" xfId="6" applyAlignment="1">
      <alignment horizontal="left" vertical="top" wrapText="1" readingOrder="1"/>
    </xf>
    <xf numFmtId="0" fontId="19" fillId="0" borderId="0" xfId="6" applyFont="1" applyAlignment="1">
      <alignment horizontal="center" vertical="top" wrapText="1" readingOrder="1"/>
    </xf>
    <xf numFmtId="0" fontId="20" fillId="0" borderId="0" xfId="6" applyFont="1" applyAlignment="1">
      <alignment horizontal="left" vertical="top"/>
    </xf>
    <xf numFmtId="0" fontId="21" fillId="0" borderId="0" xfId="6" applyFont="1" applyAlignment="1">
      <alignment horizontal="left" vertical="top" wrapText="1" readingOrder="1"/>
    </xf>
  </cellXfs>
  <cellStyles count="8">
    <cellStyle name="Millares [0]" xfId="1" builtinId="6"/>
    <cellStyle name="Millares [0] 2" xfId="5" xr:uid="{4B06AFC4-15FC-48E2-A035-9E8FB70B43B6}"/>
    <cellStyle name="Moneda [0]" xfId="2" builtinId="7"/>
    <cellStyle name="Moneda [0] 2" xfId="4" xr:uid="{28AC514A-EC53-49D7-A5FA-1576FD0DB473}"/>
    <cellStyle name="Normal" xfId="0" builtinId="0"/>
    <cellStyle name="Normal 2" xfId="6" xr:uid="{60296DB8-5E6B-4B49-8F4C-6E88F47D9321}"/>
    <cellStyle name="Normal 3" xfId="7" xr:uid="{62577CD1-BF5A-4EAB-B733-32882C0C78F7}"/>
    <cellStyle name="Porcentaje" xfId="3" builtinId="5"/>
  </cellStyles>
  <dxfs count="0"/>
  <tableStyles count="0" defaultTableStyle="TableStyleMedium2" defaultPivotStyle="PivotStyleLight16"/>
  <colors>
    <mruColors>
      <color rgb="FFE9ED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7" Type="http://schemas.openxmlformats.org/officeDocument/2006/relationships/image" Target="../media/image5.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7" Type="http://schemas.openxmlformats.org/officeDocument/2006/relationships/image" Target="../media/image5.png"/><Relationship Id="rId2" Type="http://schemas.microsoft.com/office/2011/relationships/chartColorStyle" Target="colors10.xml"/><Relationship Id="rId1" Type="http://schemas.microsoft.com/office/2011/relationships/chartStyle" Target="style10.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7" Type="http://schemas.openxmlformats.org/officeDocument/2006/relationships/image" Target="../media/image5.png"/><Relationship Id="rId2" Type="http://schemas.microsoft.com/office/2011/relationships/chartColorStyle" Target="colors11.xml"/><Relationship Id="rId1" Type="http://schemas.microsoft.com/office/2011/relationships/chartStyle" Target="style1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tile tx="0" ty="0" sx="100000" sy="100000" flip="none" algn="tl"/>
            </a:blipFill>
            <a:ln>
              <a:noFill/>
            </a:ln>
            <a:effectLst/>
          </c:spPr>
          <c:invertIfNegative val="0"/>
          <c:pictureOptions>
            <c:pictureFormat val="stackScale"/>
          </c:pictureOptions>
          <c:dPt>
            <c:idx val="0"/>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1-EEE2-460A-8C4B-D7FFA637B356}"/>
              </c:ext>
            </c:extLst>
          </c:dPt>
          <c:dPt>
            <c:idx val="1"/>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3-EEE2-460A-8C4B-D7FFA637B356}"/>
              </c:ext>
            </c:extLst>
          </c:dPt>
          <c:cat>
            <c:strRef>
              <c:f>'Motor I'!$R$4:$S$4</c:f>
              <c:strCache>
                <c:ptCount val="2"/>
                <c:pt idx="0">
                  <c:v>Mujer</c:v>
                </c:pt>
                <c:pt idx="1">
                  <c:v>Hombre</c:v>
                </c:pt>
              </c:strCache>
            </c:strRef>
          </c:cat>
          <c:val>
            <c:numRef>
              <c:f>'Motor I'!$R$5:$S$5</c:f>
              <c:numCache>
                <c:formatCode>_ * #,##0.0_ ;_ * \-#,##0.0_ ;_ * "-"_ ;_ @_ </c:formatCode>
                <c:ptCount val="2"/>
                <c:pt idx="0">
                  <c:v>1</c:v>
                </c:pt>
                <c:pt idx="1">
                  <c:v>0</c:v>
                </c:pt>
              </c:numCache>
            </c:numRef>
          </c:val>
          <c:extLst>
            <c:ext xmlns:c16="http://schemas.microsoft.com/office/drawing/2014/chart" uri="{C3380CC4-5D6E-409C-BE32-E72D297353CC}">
              <c16:uniqueId val="{00000004-EEE2-460A-8C4B-D7FFA637B356}"/>
            </c:ext>
          </c:extLst>
        </c:ser>
        <c:ser>
          <c:idx val="1"/>
          <c:order val="1"/>
          <c:spPr>
            <a:blipFill>
              <a:blip xmlns:r="http://schemas.openxmlformats.org/officeDocument/2006/relationships" r:embed="rId3"/>
              <a:tile tx="0" ty="0" sx="100000" sy="100000" flip="none" algn="tl"/>
            </a:blip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6-EEE2-460A-8C4B-D7FFA637B356}"/>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8-EEE2-460A-8C4B-D7FFA637B356}"/>
              </c:ext>
            </c:extLst>
          </c:dPt>
          <c:cat>
            <c:strRef>
              <c:f>'Motor I'!$R$4:$S$4</c:f>
              <c:strCache>
                <c:ptCount val="2"/>
                <c:pt idx="0">
                  <c:v>Mujer</c:v>
                </c:pt>
                <c:pt idx="1">
                  <c:v>Hombre</c:v>
                </c:pt>
              </c:strCache>
            </c:strRef>
          </c:cat>
          <c:val>
            <c:numRef>
              <c:f>'Motor I'!$R$6:$S$6</c:f>
              <c:numCache>
                <c:formatCode>_ * #,##0.0_ ;_ * \-#,##0.0_ ;_ * "-"_ ;_ @_ </c:formatCode>
                <c:ptCount val="2"/>
                <c:pt idx="0">
                  <c:v>1</c:v>
                </c:pt>
                <c:pt idx="1">
                  <c:v>1</c:v>
                </c:pt>
              </c:numCache>
            </c:numRef>
          </c:val>
          <c:extLst>
            <c:ext xmlns:c16="http://schemas.microsoft.com/office/drawing/2014/chart" uri="{C3380CC4-5D6E-409C-BE32-E72D297353CC}">
              <c16:uniqueId val="{00000009-EEE2-460A-8C4B-D7FFA637B356}"/>
            </c:ext>
          </c:extLst>
        </c:ser>
        <c:dLbls>
          <c:showLegendKey val="0"/>
          <c:showVal val="0"/>
          <c:showCatName val="0"/>
          <c:showSerName val="0"/>
          <c:showPercent val="0"/>
          <c:showBubbleSize val="0"/>
        </c:dLbls>
        <c:gapWidth val="0"/>
        <c:overlap val="100"/>
        <c:axId val="452323343"/>
        <c:axId val="275988879"/>
      </c:barChart>
      <c:catAx>
        <c:axId val="452323343"/>
        <c:scaling>
          <c:orientation val="minMax"/>
        </c:scaling>
        <c:delete val="1"/>
        <c:axPos val="b"/>
        <c:numFmt formatCode="General" sourceLinked="1"/>
        <c:majorTickMark val="none"/>
        <c:minorTickMark val="none"/>
        <c:tickLblPos val="nextTo"/>
        <c:crossAx val="275988879"/>
        <c:crosses val="autoZero"/>
        <c:auto val="1"/>
        <c:lblAlgn val="ctr"/>
        <c:lblOffset val="100"/>
        <c:noMultiLvlLbl val="0"/>
      </c:catAx>
      <c:valAx>
        <c:axId val="275988879"/>
        <c:scaling>
          <c:orientation val="minMax"/>
        </c:scaling>
        <c:delete val="1"/>
        <c:axPos val="l"/>
        <c:numFmt formatCode="_ * #,##0.0_ ;_ * \-#,##0.0_ ;_ * &quot;-&quot;_ ;_ @_ " sourceLinked="1"/>
        <c:majorTickMark val="none"/>
        <c:minorTickMark val="none"/>
        <c:tickLblPos val="nextTo"/>
        <c:crossAx val="4523233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Barlow" panose="00000500000000000000" pitchFamily="2" charset="0"/>
                <a:ea typeface="+mn-ea"/>
                <a:cs typeface="+mn-cs"/>
              </a:defRPr>
            </a:pPr>
            <a:r>
              <a:rPr lang="es-CL" b="1">
                <a:solidFill>
                  <a:srgbClr val="002060"/>
                </a:solidFill>
              </a:rPr>
              <a:t>Estimación de Pensión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Barlow" panose="00000500000000000000" pitchFamily="2" charset="0"/>
              <a:ea typeface="+mn-ea"/>
              <a:cs typeface="+mn-cs"/>
            </a:defRPr>
          </a:pPr>
          <a:endParaRPr lang="es-CL"/>
        </a:p>
      </c:txPr>
    </c:title>
    <c:autoTitleDeleted val="0"/>
    <c:plotArea>
      <c:layout/>
      <c:barChart>
        <c:barDir val="col"/>
        <c:grouping val="stacked"/>
        <c:varyColors val="0"/>
        <c:ser>
          <c:idx val="0"/>
          <c:order val="0"/>
          <c:tx>
            <c:strRef>
              <c:f>Portada!$EU$13</c:f>
              <c:strCache>
                <c:ptCount val="1"/>
                <c:pt idx="0">
                  <c:v>Porción de mejora de pensión por aportes voluntarios futuros.</c:v>
                </c:pt>
              </c:strCache>
            </c:strRef>
          </c:tx>
          <c:spPr>
            <a:solidFill>
              <a:srgbClr val="E9ED33"/>
            </a:solidFill>
            <a:ln>
              <a:noFill/>
            </a:ln>
            <a:effectLst/>
          </c:spPr>
          <c:invertIfNegative val="0"/>
          <c:dLbls>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Barlow" panose="00000500000000000000" pitchFamily="2" charset="0"/>
                      <a:ea typeface="+mn-ea"/>
                      <a:cs typeface="+mn-cs"/>
                    </a:defRPr>
                  </a:pPr>
                  <a:endParaRPr lang="es-CL"/>
                </a:p>
              </c:txPr>
              <c:showLegendKey val="0"/>
              <c:showVal val="1"/>
              <c:showCatName val="0"/>
              <c:showSerName val="0"/>
              <c:showPercent val="0"/>
              <c:showBubbleSize val="0"/>
              <c:extLst>
                <c:ext xmlns:c16="http://schemas.microsoft.com/office/drawing/2014/chart" uri="{C3380CC4-5D6E-409C-BE32-E72D297353CC}">
                  <c16:uniqueId val="{00000003-BB5C-4C0E-A8AC-948F362F9779}"/>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Barlow" panose="00000500000000000000"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Portada!$EV$13</c:f>
              <c:numCache>
                <c:formatCode>_("$"* #,##0_);_("$"* \(#,##0\);_("$"* "-"_);_(@_)</c:formatCode>
                <c:ptCount val="1"/>
                <c:pt idx="0">
                  <c:v>#N/A</c:v>
                </c:pt>
              </c:numCache>
            </c:numRef>
          </c:val>
          <c:extLst>
            <c:ext xmlns:c16="http://schemas.microsoft.com/office/drawing/2014/chart" uri="{C3380CC4-5D6E-409C-BE32-E72D297353CC}">
              <c16:uniqueId val="{00000000-BB5C-4C0E-A8AC-948F362F9779}"/>
            </c:ext>
          </c:extLst>
        </c:ser>
        <c:ser>
          <c:idx val="1"/>
          <c:order val="1"/>
          <c:tx>
            <c:strRef>
              <c:f>Portada!$EU$14</c:f>
              <c:strCache>
                <c:ptCount val="1"/>
                <c:pt idx="0">
                  <c:v>Porción de pensión CON saldos actuales y aportes obligatorios futuros.</c:v>
                </c:pt>
              </c:strCache>
            </c:strRef>
          </c:tx>
          <c:spPr>
            <a:solidFill>
              <a:srgbClr val="002060"/>
            </a:solidFill>
            <a:ln>
              <a:noFill/>
            </a:ln>
            <a:effectLst/>
          </c:spPr>
          <c:invertIfNegative val="0"/>
          <c:dLbls>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Barlow" panose="00000500000000000000" pitchFamily="2" charset="0"/>
                      <a:ea typeface="+mn-ea"/>
                      <a:cs typeface="+mn-cs"/>
                    </a:defRPr>
                  </a:pPr>
                  <a:endParaRPr lang="es-CL"/>
                </a:p>
              </c:txPr>
              <c:showLegendKey val="0"/>
              <c:showVal val="1"/>
              <c:showCatName val="0"/>
              <c:showSerName val="0"/>
              <c:showPercent val="0"/>
              <c:showBubbleSize val="0"/>
              <c:extLst>
                <c:ext xmlns:c16="http://schemas.microsoft.com/office/drawing/2014/chart" uri="{C3380CC4-5D6E-409C-BE32-E72D297353CC}">
                  <c16:uniqueId val="{00000002-BB5C-4C0E-A8AC-948F362F9779}"/>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Barlow" panose="00000500000000000000"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Portada!$EV$14</c:f>
              <c:numCache>
                <c:formatCode>_("$"* #,##0_);_("$"* \(#,##0\);_("$"* "-"_);_(@_)</c:formatCode>
                <c:ptCount val="1"/>
                <c:pt idx="0">
                  <c:v>#N/A</c:v>
                </c:pt>
              </c:numCache>
            </c:numRef>
          </c:val>
          <c:extLst>
            <c:ext xmlns:c16="http://schemas.microsoft.com/office/drawing/2014/chart" uri="{C3380CC4-5D6E-409C-BE32-E72D297353CC}">
              <c16:uniqueId val="{00000001-BB5C-4C0E-A8AC-948F362F9779}"/>
            </c:ext>
          </c:extLst>
        </c:ser>
        <c:dLbls>
          <c:showLegendKey val="0"/>
          <c:showVal val="0"/>
          <c:showCatName val="0"/>
          <c:showSerName val="0"/>
          <c:showPercent val="0"/>
          <c:showBubbleSize val="0"/>
        </c:dLbls>
        <c:gapWidth val="150"/>
        <c:overlap val="100"/>
        <c:axId val="679356688"/>
        <c:axId val="679354288"/>
      </c:barChart>
      <c:catAx>
        <c:axId val="679356688"/>
        <c:scaling>
          <c:orientation val="minMax"/>
        </c:scaling>
        <c:delete val="1"/>
        <c:axPos val="b"/>
        <c:numFmt formatCode="General" sourceLinked="1"/>
        <c:majorTickMark val="none"/>
        <c:minorTickMark val="none"/>
        <c:tickLblPos val="nextTo"/>
        <c:crossAx val="679354288"/>
        <c:crosses val="autoZero"/>
        <c:auto val="1"/>
        <c:lblAlgn val="ctr"/>
        <c:lblOffset val="100"/>
        <c:noMultiLvlLbl val="0"/>
      </c:catAx>
      <c:valAx>
        <c:axId val="679354288"/>
        <c:scaling>
          <c:orientation val="minMax"/>
        </c:scaling>
        <c:delete val="1"/>
        <c:axPos val="l"/>
        <c:numFmt formatCode="_(&quot;$&quot;* #,##0_);_(&quot;$&quot;* \(#,##0\);_(&quot;$&quot;* &quot;-&quot;_);_(@_)" sourceLinked="1"/>
        <c:majorTickMark val="none"/>
        <c:minorTickMark val="none"/>
        <c:tickLblPos val="nextTo"/>
        <c:crossAx val="679356688"/>
        <c:crosses val="autoZero"/>
        <c:crossBetween val="between"/>
      </c:valAx>
      <c:spPr>
        <a:noFill/>
        <a:ln>
          <a:noFill/>
        </a:ln>
        <a:effectLst/>
      </c:spPr>
    </c:plotArea>
    <c:legend>
      <c:legendPos val="b"/>
      <c:layout>
        <c:manualLayout>
          <c:xMode val="edge"/>
          <c:yMode val="edge"/>
          <c:x val="1.6814766891742366E-2"/>
          <c:y val="0.82819070051625709"/>
          <c:w val="0.97448728422700248"/>
          <c:h val="0.1445984054130395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rlow" panose="00000500000000000000" pitchFamily="2" charset="0"/>
              <a:ea typeface="+mn-ea"/>
              <a:cs typeface="+mn-cs"/>
            </a:defRPr>
          </a:pPr>
          <a:endParaRPr lang="es-CL"/>
        </a:p>
      </c:txPr>
    </c:legend>
    <c:plotVisOnly val="1"/>
    <c:dispBlanksAs val="gap"/>
    <c:showDLblsOverMax val="0"/>
  </c:chart>
  <c:spPr>
    <a:noFill/>
    <a:ln w="9525" cap="flat" cmpd="sng" algn="ctr">
      <a:solidFill>
        <a:schemeClr val="bg1">
          <a:lumMod val="50000"/>
        </a:schemeClr>
      </a:solidFill>
      <a:round/>
    </a:ln>
    <a:effectLst/>
  </c:spPr>
  <c:txPr>
    <a:bodyPr/>
    <a:lstStyle/>
    <a:p>
      <a:pPr>
        <a:defRPr>
          <a:latin typeface="Barlow" panose="00000500000000000000" pitchFamily="2" charset="0"/>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Barlow" panose="00000500000000000000" pitchFamily="2" charset="0"/>
                <a:ea typeface="+mn-ea"/>
                <a:cs typeface="+mn-cs"/>
              </a:defRPr>
            </a:pPr>
            <a:r>
              <a:rPr lang="es-CL" b="1">
                <a:solidFill>
                  <a:srgbClr val="002060"/>
                </a:solidFill>
              </a:rPr>
              <a:t>Estimación de Pensión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Barlow" panose="00000500000000000000" pitchFamily="2" charset="0"/>
              <a:ea typeface="+mn-ea"/>
              <a:cs typeface="+mn-cs"/>
            </a:defRPr>
          </a:pPr>
          <a:endParaRPr lang="es-CL"/>
        </a:p>
      </c:txPr>
    </c:title>
    <c:autoTitleDeleted val="0"/>
    <c:plotArea>
      <c:layout/>
      <c:barChart>
        <c:barDir val="col"/>
        <c:grouping val="stacked"/>
        <c:varyColors val="0"/>
        <c:ser>
          <c:idx val="0"/>
          <c:order val="0"/>
          <c:tx>
            <c:v>Pensión</c:v>
          </c:tx>
          <c:spPr>
            <a:solidFill>
              <a:srgbClr val="E9ED33"/>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Barlow" panose="00000500000000000000" pitchFamily="2" charset="0"/>
                      <a:ea typeface="+mn-ea"/>
                      <a:cs typeface="+mn-cs"/>
                    </a:defRPr>
                  </a:pPr>
                  <a:endParaRPr lang="es-CL"/>
                </a:p>
              </c:txPr>
              <c:showLegendKey val="0"/>
              <c:showVal val="1"/>
              <c:showCatName val="0"/>
              <c:showSerName val="0"/>
              <c:showPercent val="0"/>
              <c:showBubbleSize val="0"/>
              <c:extLst>
                <c:ext xmlns:c16="http://schemas.microsoft.com/office/drawing/2014/chart" uri="{C3380CC4-5D6E-409C-BE32-E72D297353CC}">
                  <c16:uniqueId val="{00000000-BE7C-4635-B0B6-C2D6404DB4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rlow" panose="00000500000000000000" pitchFamily="2" charset="0"/>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'Paso 2B solicitado por cliente'!$C$21</c:f>
              <c:numCache>
                <c:formatCode>_("$"* #,##0_);_("$"* \(#,##0\);_("$"* "-"_);_(@_)</c:formatCode>
                <c:ptCount val="1"/>
                <c:pt idx="0">
                  <c:v>#N/A</c:v>
                </c:pt>
              </c:numCache>
            </c:numRef>
          </c:val>
          <c:extLst>
            <c:ext xmlns:c16="http://schemas.microsoft.com/office/drawing/2014/chart" uri="{C3380CC4-5D6E-409C-BE32-E72D297353CC}">
              <c16:uniqueId val="{00000001-BE7C-4635-B0B6-C2D6404DB472}"/>
            </c:ext>
          </c:extLst>
        </c:ser>
        <c:dLbls>
          <c:showLegendKey val="0"/>
          <c:showVal val="0"/>
          <c:showCatName val="0"/>
          <c:showSerName val="0"/>
          <c:showPercent val="0"/>
          <c:showBubbleSize val="0"/>
        </c:dLbls>
        <c:gapWidth val="150"/>
        <c:overlap val="100"/>
        <c:axId val="679356688"/>
        <c:axId val="679354288"/>
      </c:barChart>
      <c:catAx>
        <c:axId val="679356688"/>
        <c:scaling>
          <c:orientation val="minMax"/>
        </c:scaling>
        <c:delete val="1"/>
        <c:axPos val="b"/>
        <c:numFmt formatCode="General" sourceLinked="1"/>
        <c:majorTickMark val="none"/>
        <c:minorTickMark val="none"/>
        <c:tickLblPos val="nextTo"/>
        <c:crossAx val="679354288"/>
        <c:crosses val="autoZero"/>
        <c:auto val="1"/>
        <c:lblAlgn val="ctr"/>
        <c:lblOffset val="100"/>
        <c:noMultiLvlLbl val="0"/>
      </c:catAx>
      <c:valAx>
        <c:axId val="679354288"/>
        <c:scaling>
          <c:orientation val="minMax"/>
        </c:scaling>
        <c:delete val="1"/>
        <c:axPos val="l"/>
        <c:numFmt formatCode="_(&quot;$&quot;* #,##0_);_(&quot;$&quot;* \(#,##0\);_(&quot;$&quot;* &quot;-&quot;_);_(@_)" sourceLinked="1"/>
        <c:majorTickMark val="none"/>
        <c:minorTickMark val="none"/>
        <c:tickLblPos val="nextTo"/>
        <c:crossAx val="679356688"/>
        <c:crosses val="autoZero"/>
        <c:crossBetween val="between"/>
      </c:valAx>
      <c:spPr>
        <a:noFill/>
        <a:ln>
          <a:noFill/>
        </a:ln>
        <a:effectLst/>
      </c:spPr>
    </c:plotArea>
    <c:legend>
      <c:legendPos val="b"/>
      <c:layout>
        <c:manualLayout>
          <c:xMode val="edge"/>
          <c:yMode val="edge"/>
          <c:x val="1.6814766891742366E-2"/>
          <c:y val="0.82819070051625709"/>
          <c:w val="0.97448728422700248"/>
          <c:h val="0.1445984054130395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Barlow" panose="00000500000000000000" pitchFamily="2" charset="0"/>
              <a:ea typeface="+mn-ea"/>
              <a:cs typeface="+mn-cs"/>
            </a:defRPr>
          </a:pPr>
          <a:endParaRPr lang="es-CL"/>
        </a:p>
      </c:txPr>
    </c:legend>
    <c:plotVisOnly val="1"/>
    <c:dispBlanksAs val="gap"/>
    <c:showDLblsOverMax val="0"/>
  </c:chart>
  <c:spPr>
    <a:noFill/>
    <a:ln w="9525" cap="flat" cmpd="sng" algn="ctr">
      <a:solidFill>
        <a:schemeClr val="bg1">
          <a:lumMod val="50000"/>
        </a:schemeClr>
      </a:solidFill>
      <a:round/>
    </a:ln>
    <a:effectLst/>
  </c:spPr>
  <c:txPr>
    <a:bodyPr/>
    <a:lstStyle/>
    <a:p>
      <a:pPr>
        <a:defRPr>
          <a:latin typeface="Barlow" panose="00000500000000000000" pitchFamily="2" charset="0"/>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Pensión Mujer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'1.CNU'!$X$2</c:f>
              <c:strCache>
                <c:ptCount val="1"/>
                <c:pt idx="0">
                  <c:v>Pensión</c:v>
                </c:pt>
              </c:strCache>
            </c:strRef>
          </c:tx>
          <c:spPr>
            <a:solidFill>
              <a:srgbClr val="E9ED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'1.CNU'!$W$3:$W$6</c:f>
              <c:strCache>
                <c:ptCount val="4"/>
                <c:pt idx="0">
                  <c:v>T1</c:v>
                </c:pt>
                <c:pt idx="1">
                  <c:v>T2</c:v>
                </c:pt>
                <c:pt idx="2">
                  <c:v>T3</c:v>
                </c:pt>
                <c:pt idx="3">
                  <c:v>T4</c:v>
                </c:pt>
              </c:strCache>
            </c:strRef>
          </c:cat>
          <c:val>
            <c:numRef>
              <c:f>'1.CNU'!$X$3:$X$6</c:f>
              <c:numCache>
                <c:formatCode>_("$"* #,##0_);_("$"* \(#,##0\);_("$"* "-"_);_(@_)</c:formatCode>
                <c:ptCount val="4"/>
                <c:pt idx="0">
                  <c:v>486646.42217550415</c:v>
                </c:pt>
                <c:pt idx="1">
                  <c:v>486646.42217550415</c:v>
                </c:pt>
                <c:pt idx="2">
                  <c:v>486646.42217550415</c:v>
                </c:pt>
                <c:pt idx="3">
                  <c:v>470703.41918963706</c:v>
                </c:pt>
              </c:numCache>
            </c:numRef>
          </c:val>
          <c:extLst>
            <c:ext xmlns:c16="http://schemas.microsoft.com/office/drawing/2014/chart" uri="{C3380CC4-5D6E-409C-BE32-E72D297353CC}">
              <c16:uniqueId val="{00000000-63FA-4A38-A148-39AA02CC778C}"/>
            </c:ext>
          </c:extLst>
        </c:ser>
        <c:dLbls>
          <c:showLegendKey val="0"/>
          <c:showVal val="0"/>
          <c:showCatName val="0"/>
          <c:showSerName val="0"/>
          <c:showPercent val="0"/>
          <c:showBubbleSize val="0"/>
        </c:dLbls>
        <c:gapWidth val="219"/>
        <c:overlap val="-27"/>
        <c:axId val="96000383"/>
        <c:axId val="95999903"/>
      </c:barChart>
      <c:catAx>
        <c:axId val="960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999903"/>
        <c:crosses val="autoZero"/>
        <c:auto val="1"/>
        <c:lblAlgn val="ctr"/>
        <c:lblOffset val="100"/>
        <c:noMultiLvlLbl val="0"/>
      </c:catAx>
      <c:valAx>
        <c:axId val="959999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000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Pensión Hombre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'1.CNU'!$X$2</c:f>
              <c:strCache>
                <c:ptCount val="1"/>
                <c:pt idx="0">
                  <c:v>Pensión</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'1.CNU'!$W$9:$W$12</c:f>
              <c:strCache>
                <c:ptCount val="4"/>
                <c:pt idx="0">
                  <c:v>T1</c:v>
                </c:pt>
                <c:pt idx="1">
                  <c:v>T2</c:v>
                </c:pt>
                <c:pt idx="2">
                  <c:v>T3</c:v>
                </c:pt>
                <c:pt idx="3">
                  <c:v>T4</c:v>
                </c:pt>
              </c:strCache>
            </c:strRef>
          </c:cat>
          <c:val>
            <c:numRef>
              <c:f>'1.CNU'!$X$9:$X$12</c:f>
              <c:numCache>
                <c:formatCode>_("$"* #,##0_);_("$"* \(#,##0\);_("$"* "-"_);_(@_)</c:formatCode>
                <c:ptCount val="4"/>
                <c:pt idx="0">
                  <c:v>546878.41799011244</c:v>
                </c:pt>
                <c:pt idx="1">
                  <c:v>546878.41799011244</c:v>
                </c:pt>
                <c:pt idx="2">
                  <c:v>546878.41799011244</c:v>
                </c:pt>
                <c:pt idx="3">
                  <c:v>531123.85808370507</c:v>
                </c:pt>
              </c:numCache>
            </c:numRef>
          </c:val>
          <c:extLst>
            <c:ext xmlns:c16="http://schemas.microsoft.com/office/drawing/2014/chart" uri="{C3380CC4-5D6E-409C-BE32-E72D297353CC}">
              <c16:uniqueId val="{00000000-8212-4221-871F-2B866418A940}"/>
            </c:ext>
          </c:extLst>
        </c:ser>
        <c:dLbls>
          <c:showLegendKey val="0"/>
          <c:showVal val="0"/>
          <c:showCatName val="0"/>
          <c:showSerName val="0"/>
          <c:showPercent val="0"/>
          <c:showBubbleSize val="0"/>
        </c:dLbls>
        <c:gapWidth val="219"/>
        <c:overlap val="-27"/>
        <c:axId val="96000383"/>
        <c:axId val="95999903"/>
      </c:barChart>
      <c:catAx>
        <c:axId val="960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999903"/>
        <c:crosses val="autoZero"/>
        <c:auto val="1"/>
        <c:lblAlgn val="ctr"/>
        <c:lblOffset val="100"/>
        <c:noMultiLvlLbl val="0"/>
      </c:catAx>
      <c:valAx>
        <c:axId val="959999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000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Pensión Mujer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'3,54 v2'!$X$2</c:f>
              <c:strCache>
                <c:ptCount val="1"/>
                <c:pt idx="0">
                  <c:v>Pensión</c:v>
                </c:pt>
              </c:strCache>
            </c:strRef>
          </c:tx>
          <c:spPr>
            <a:solidFill>
              <a:srgbClr val="E9ED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'3,54 v2'!$W$3:$W$6</c:f>
              <c:strCache>
                <c:ptCount val="4"/>
                <c:pt idx="0">
                  <c:v>T1</c:v>
                </c:pt>
                <c:pt idx="1">
                  <c:v>T2</c:v>
                </c:pt>
                <c:pt idx="2">
                  <c:v>T3</c:v>
                </c:pt>
                <c:pt idx="3">
                  <c:v>T4</c:v>
                </c:pt>
              </c:strCache>
            </c:strRef>
          </c:cat>
          <c:val>
            <c:numRef>
              <c:f>'3,54 v2'!$X$3:$X$6</c:f>
              <c:numCache>
                <c:formatCode>_("$"* #,##0_);_("$"* \(#,##0\);_("$"* "-"_);_(@_)</c:formatCode>
                <c:ptCount val="4"/>
                <c:pt idx="0">
                  <c:v>486646.42217550415</c:v>
                </c:pt>
                <c:pt idx="1">
                  <c:v>486646.42217550415</c:v>
                </c:pt>
                <c:pt idx="2">
                  <c:v>486646.42217550415</c:v>
                </c:pt>
                <c:pt idx="3">
                  <c:v>470703.41918963706</c:v>
                </c:pt>
              </c:numCache>
            </c:numRef>
          </c:val>
          <c:extLst>
            <c:ext xmlns:c16="http://schemas.microsoft.com/office/drawing/2014/chart" uri="{C3380CC4-5D6E-409C-BE32-E72D297353CC}">
              <c16:uniqueId val="{00000000-E26A-44F0-AC72-CB40A42099C4}"/>
            </c:ext>
          </c:extLst>
        </c:ser>
        <c:dLbls>
          <c:showLegendKey val="0"/>
          <c:showVal val="0"/>
          <c:showCatName val="0"/>
          <c:showSerName val="0"/>
          <c:showPercent val="0"/>
          <c:showBubbleSize val="0"/>
        </c:dLbls>
        <c:gapWidth val="219"/>
        <c:overlap val="-27"/>
        <c:axId val="96000383"/>
        <c:axId val="95999903"/>
      </c:barChart>
      <c:catAx>
        <c:axId val="960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999903"/>
        <c:crosses val="autoZero"/>
        <c:auto val="1"/>
        <c:lblAlgn val="ctr"/>
        <c:lblOffset val="100"/>
        <c:noMultiLvlLbl val="0"/>
      </c:catAx>
      <c:valAx>
        <c:axId val="959999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000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Pensión Hombre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'3,54 v2'!$X$2</c:f>
              <c:strCache>
                <c:ptCount val="1"/>
                <c:pt idx="0">
                  <c:v>Pensión</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'3,54 v2'!$W$9:$W$12</c:f>
              <c:strCache>
                <c:ptCount val="4"/>
                <c:pt idx="0">
                  <c:v>T1</c:v>
                </c:pt>
                <c:pt idx="1">
                  <c:v>T2</c:v>
                </c:pt>
                <c:pt idx="2">
                  <c:v>T3</c:v>
                </c:pt>
                <c:pt idx="3">
                  <c:v>T4</c:v>
                </c:pt>
              </c:strCache>
            </c:strRef>
          </c:cat>
          <c:val>
            <c:numRef>
              <c:f>'3,54 v2'!$X$9:$X$12</c:f>
              <c:numCache>
                <c:formatCode>_("$"* #,##0_);_("$"* \(#,##0\);_("$"* "-"_);_(@_)</c:formatCode>
                <c:ptCount val="4"/>
                <c:pt idx="0">
                  <c:v>546878.41799011244</c:v>
                </c:pt>
                <c:pt idx="1">
                  <c:v>546878.41799011244</c:v>
                </c:pt>
                <c:pt idx="2">
                  <c:v>546878.41799011244</c:v>
                </c:pt>
                <c:pt idx="3">
                  <c:v>531123.85808370507</c:v>
                </c:pt>
              </c:numCache>
            </c:numRef>
          </c:val>
          <c:extLst>
            <c:ext xmlns:c16="http://schemas.microsoft.com/office/drawing/2014/chart" uri="{C3380CC4-5D6E-409C-BE32-E72D297353CC}">
              <c16:uniqueId val="{00000000-0A09-4D3D-9F00-0E1749349A7B}"/>
            </c:ext>
          </c:extLst>
        </c:ser>
        <c:dLbls>
          <c:showLegendKey val="0"/>
          <c:showVal val="0"/>
          <c:showCatName val="0"/>
          <c:showSerName val="0"/>
          <c:showPercent val="0"/>
          <c:showBubbleSize val="0"/>
        </c:dLbls>
        <c:gapWidth val="219"/>
        <c:overlap val="-27"/>
        <c:axId val="96000383"/>
        <c:axId val="95999903"/>
      </c:barChart>
      <c:catAx>
        <c:axId val="960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999903"/>
        <c:crosses val="autoZero"/>
        <c:auto val="1"/>
        <c:lblAlgn val="ctr"/>
        <c:lblOffset val="100"/>
        <c:noMultiLvlLbl val="0"/>
      </c:catAx>
      <c:valAx>
        <c:axId val="959999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000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Pensión Mujer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'1.CNU'!$X$2</c:f>
              <c:strCache>
                <c:ptCount val="1"/>
                <c:pt idx="0">
                  <c:v>Pensión</c:v>
                </c:pt>
              </c:strCache>
            </c:strRef>
          </c:tx>
          <c:spPr>
            <a:solidFill>
              <a:srgbClr val="E9ED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'1.CNU'!$W$3:$W$6</c:f>
              <c:strCache>
                <c:ptCount val="4"/>
                <c:pt idx="0">
                  <c:v>T1</c:v>
                </c:pt>
                <c:pt idx="1">
                  <c:v>T2</c:v>
                </c:pt>
                <c:pt idx="2">
                  <c:v>T3</c:v>
                </c:pt>
                <c:pt idx="3">
                  <c:v>T4</c:v>
                </c:pt>
              </c:strCache>
            </c:strRef>
          </c:cat>
          <c:val>
            <c:numRef>
              <c:f>'1.CNU'!$X$3:$X$6</c:f>
              <c:numCache>
                <c:formatCode>_("$"* #,##0_);_("$"* \(#,##0\);_("$"* "-"_);_(@_)</c:formatCode>
                <c:ptCount val="4"/>
                <c:pt idx="0">
                  <c:v>486646.42217550415</c:v>
                </c:pt>
                <c:pt idx="1">
                  <c:v>486646.42217550415</c:v>
                </c:pt>
                <c:pt idx="2">
                  <c:v>486646.42217550415</c:v>
                </c:pt>
                <c:pt idx="3">
                  <c:v>470703.41918963706</c:v>
                </c:pt>
              </c:numCache>
            </c:numRef>
          </c:val>
          <c:extLst>
            <c:ext xmlns:c16="http://schemas.microsoft.com/office/drawing/2014/chart" uri="{C3380CC4-5D6E-409C-BE32-E72D297353CC}">
              <c16:uniqueId val="{00000000-F59F-4D0D-B046-8402E06AA1F6}"/>
            </c:ext>
          </c:extLst>
        </c:ser>
        <c:dLbls>
          <c:showLegendKey val="0"/>
          <c:showVal val="0"/>
          <c:showCatName val="0"/>
          <c:showSerName val="0"/>
          <c:showPercent val="0"/>
          <c:showBubbleSize val="0"/>
        </c:dLbls>
        <c:gapWidth val="219"/>
        <c:overlap val="-27"/>
        <c:axId val="96000383"/>
        <c:axId val="95999903"/>
      </c:barChart>
      <c:catAx>
        <c:axId val="960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999903"/>
        <c:crosses val="autoZero"/>
        <c:auto val="1"/>
        <c:lblAlgn val="ctr"/>
        <c:lblOffset val="100"/>
        <c:noMultiLvlLbl val="0"/>
      </c:catAx>
      <c:valAx>
        <c:axId val="959999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000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s-C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Pensión Hombre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'1.CNU'!$X$2</c:f>
              <c:strCache>
                <c:ptCount val="1"/>
                <c:pt idx="0">
                  <c:v>Pensión</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'1.CNU'!$W$9:$W$12</c:f>
              <c:strCache>
                <c:ptCount val="4"/>
                <c:pt idx="0">
                  <c:v>T1</c:v>
                </c:pt>
                <c:pt idx="1">
                  <c:v>T2</c:v>
                </c:pt>
                <c:pt idx="2">
                  <c:v>T3</c:v>
                </c:pt>
                <c:pt idx="3">
                  <c:v>T4</c:v>
                </c:pt>
              </c:strCache>
            </c:strRef>
          </c:cat>
          <c:val>
            <c:numRef>
              <c:f>'1.CNU'!$X$9:$X$12</c:f>
              <c:numCache>
                <c:formatCode>_("$"* #,##0_);_("$"* \(#,##0\);_("$"* "-"_);_(@_)</c:formatCode>
                <c:ptCount val="4"/>
                <c:pt idx="0">
                  <c:v>546878.41799011244</c:v>
                </c:pt>
                <c:pt idx="1">
                  <c:v>546878.41799011244</c:v>
                </c:pt>
                <c:pt idx="2">
                  <c:v>546878.41799011244</c:v>
                </c:pt>
                <c:pt idx="3">
                  <c:v>531123.85808370507</c:v>
                </c:pt>
              </c:numCache>
            </c:numRef>
          </c:val>
          <c:extLst>
            <c:ext xmlns:c16="http://schemas.microsoft.com/office/drawing/2014/chart" uri="{C3380CC4-5D6E-409C-BE32-E72D297353CC}">
              <c16:uniqueId val="{00000000-6228-4A89-BECC-501324E0E5ED}"/>
            </c:ext>
          </c:extLst>
        </c:ser>
        <c:dLbls>
          <c:showLegendKey val="0"/>
          <c:showVal val="0"/>
          <c:showCatName val="0"/>
          <c:showSerName val="0"/>
          <c:showPercent val="0"/>
          <c:showBubbleSize val="0"/>
        </c:dLbls>
        <c:gapWidth val="219"/>
        <c:overlap val="-27"/>
        <c:axId val="96000383"/>
        <c:axId val="95999903"/>
      </c:barChart>
      <c:catAx>
        <c:axId val="960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5999903"/>
        <c:crosses val="autoZero"/>
        <c:auto val="1"/>
        <c:lblAlgn val="ctr"/>
        <c:lblOffset val="100"/>
        <c:noMultiLvlLbl val="0"/>
      </c:catAx>
      <c:valAx>
        <c:axId val="959999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6000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s-C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tile tx="0" ty="0" sx="100000" sy="100000" flip="none" algn="tl"/>
            </a:blipFill>
            <a:ln>
              <a:noFill/>
            </a:ln>
            <a:effectLst/>
          </c:spPr>
          <c:invertIfNegative val="0"/>
          <c:pictureOptions>
            <c:pictureFormat val="stackScale"/>
          </c:pictureOptions>
          <c:dPt>
            <c:idx val="0"/>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5-4606-42CE-9E0E-831670EEDEC9}"/>
              </c:ext>
            </c:extLst>
          </c:dPt>
          <c:dPt>
            <c:idx val="1"/>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4606-42CE-9E0E-831670EEDEC9}"/>
              </c:ext>
            </c:extLst>
          </c:dPt>
          <c:cat>
            <c:strRef>
              <c:f>'Motor I'!$R$4:$S$4</c:f>
              <c:strCache>
                <c:ptCount val="2"/>
                <c:pt idx="0">
                  <c:v>Mujer</c:v>
                </c:pt>
                <c:pt idx="1">
                  <c:v>Hombre</c:v>
                </c:pt>
              </c:strCache>
            </c:strRef>
          </c:cat>
          <c:val>
            <c:numRef>
              <c:f>'Motor I'!$R$5:$S$5</c:f>
              <c:numCache>
                <c:formatCode>_ * #,##0.0_ ;_ * \-#,##0.0_ ;_ * "-"_ ;_ @_ </c:formatCode>
                <c:ptCount val="2"/>
                <c:pt idx="0">
                  <c:v>1</c:v>
                </c:pt>
                <c:pt idx="1">
                  <c:v>0</c:v>
                </c:pt>
              </c:numCache>
            </c:numRef>
          </c:val>
          <c:extLst>
            <c:ext xmlns:c16="http://schemas.microsoft.com/office/drawing/2014/chart" uri="{C3380CC4-5D6E-409C-BE32-E72D297353CC}">
              <c16:uniqueId val="{00000000-4606-42CE-9E0E-831670EEDEC9}"/>
            </c:ext>
          </c:extLst>
        </c:ser>
        <c:ser>
          <c:idx val="1"/>
          <c:order val="1"/>
          <c:spPr>
            <a:blipFill>
              <a:blip xmlns:r="http://schemas.openxmlformats.org/officeDocument/2006/relationships" r:embed="rId3"/>
              <a:tile tx="0" ty="0" sx="100000" sy="100000" flip="none" algn="tl"/>
            </a:blip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3-4606-42CE-9E0E-831670EEDEC9}"/>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4-4606-42CE-9E0E-831670EEDEC9}"/>
              </c:ext>
            </c:extLst>
          </c:dPt>
          <c:cat>
            <c:strRef>
              <c:f>'Motor I'!$R$4:$S$4</c:f>
              <c:strCache>
                <c:ptCount val="2"/>
                <c:pt idx="0">
                  <c:v>Mujer</c:v>
                </c:pt>
                <c:pt idx="1">
                  <c:v>Hombre</c:v>
                </c:pt>
              </c:strCache>
            </c:strRef>
          </c:cat>
          <c:val>
            <c:numRef>
              <c:f>'Motor I'!$R$6:$S$6</c:f>
              <c:numCache>
                <c:formatCode>_ * #,##0.0_ ;_ * \-#,##0.0_ ;_ * "-"_ ;_ @_ </c:formatCode>
                <c:ptCount val="2"/>
                <c:pt idx="0">
                  <c:v>1</c:v>
                </c:pt>
                <c:pt idx="1">
                  <c:v>1</c:v>
                </c:pt>
              </c:numCache>
            </c:numRef>
          </c:val>
          <c:extLst>
            <c:ext xmlns:c16="http://schemas.microsoft.com/office/drawing/2014/chart" uri="{C3380CC4-5D6E-409C-BE32-E72D297353CC}">
              <c16:uniqueId val="{00000001-4606-42CE-9E0E-831670EEDEC9}"/>
            </c:ext>
          </c:extLst>
        </c:ser>
        <c:dLbls>
          <c:showLegendKey val="0"/>
          <c:showVal val="0"/>
          <c:showCatName val="0"/>
          <c:showSerName val="0"/>
          <c:showPercent val="0"/>
          <c:showBubbleSize val="0"/>
        </c:dLbls>
        <c:gapWidth val="0"/>
        <c:overlap val="100"/>
        <c:axId val="452323343"/>
        <c:axId val="275988879"/>
      </c:barChart>
      <c:catAx>
        <c:axId val="452323343"/>
        <c:scaling>
          <c:orientation val="minMax"/>
        </c:scaling>
        <c:delete val="1"/>
        <c:axPos val="b"/>
        <c:numFmt formatCode="General" sourceLinked="1"/>
        <c:majorTickMark val="none"/>
        <c:minorTickMark val="none"/>
        <c:tickLblPos val="nextTo"/>
        <c:crossAx val="275988879"/>
        <c:crosses val="autoZero"/>
        <c:auto val="1"/>
        <c:lblAlgn val="ctr"/>
        <c:lblOffset val="100"/>
        <c:noMultiLvlLbl val="0"/>
      </c:catAx>
      <c:valAx>
        <c:axId val="275988879"/>
        <c:scaling>
          <c:orientation val="minMax"/>
        </c:scaling>
        <c:delete val="1"/>
        <c:axPos val="l"/>
        <c:numFmt formatCode="_ * #,##0.0_ ;_ * \-#,##0.0_ ;_ * &quot;-&quot;_ ;_ @_ " sourceLinked="1"/>
        <c:majorTickMark val="none"/>
        <c:minorTickMark val="none"/>
        <c:tickLblPos val="nextTo"/>
        <c:crossAx val="452323343"/>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tile tx="0" ty="0" sx="100000" sy="100000" flip="none" algn="tl"/>
            </a:blipFill>
            <a:ln>
              <a:noFill/>
            </a:ln>
            <a:effectLst/>
          </c:spPr>
          <c:invertIfNegative val="0"/>
          <c:pictureOptions>
            <c:pictureFormat val="stackScale"/>
          </c:pictureOptions>
          <c:dPt>
            <c:idx val="0"/>
            <c:invertIfNegative val="0"/>
            <c:bubble3D val="0"/>
            <c:spPr>
              <a:blipFill>
                <a:blip xmlns:r="http://schemas.openxmlformats.org/officeDocument/2006/relationships" r:embed="rId4"/>
                <a:stretch>
                  <a:fillRect/>
                </a:stretch>
              </a:blipFill>
              <a:ln>
                <a:noFill/>
              </a:ln>
              <a:effectLst/>
            </c:spPr>
            <c:pictureOptions>
              <c:pictureFormat val="stackScale"/>
            </c:pictureOptions>
            <c:extLst>
              <c:ext xmlns:c16="http://schemas.microsoft.com/office/drawing/2014/chart" uri="{C3380CC4-5D6E-409C-BE32-E72D297353CC}">
                <c16:uniqueId val="{00000001-0D11-4A0C-A9C7-43F31353401D}"/>
              </c:ext>
            </c:extLst>
          </c:dPt>
          <c:dPt>
            <c:idx val="1"/>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3-0D11-4A0C-A9C7-43F31353401D}"/>
              </c:ext>
            </c:extLst>
          </c:dPt>
          <c:cat>
            <c:strRef>
              <c:f>'Motor II'!$R$4:$S$4</c:f>
              <c:strCache>
                <c:ptCount val="2"/>
                <c:pt idx="0">
                  <c:v>Mujer</c:v>
                </c:pt>
                <c:pt idx="1">
                  <c:v>Hombre</c:v>
                </c:pt>
              </c:strCache>
            </c:strRef>
          </c:cat>
          <c:val>
            <c:numRef>
              <c:f>'Motor II'!$R$5:$S$5</c:f>
              <c:numCache>
                <c:formatCode>_ * #,##0.0_ ;_ * \-#,##0.0_ ;_ * "-"_ ;_ @_ </c:formatCode>
                <c:ptCount val="2"/>
                <c:pt idx="0">
                  <c:v>1</c:v>
                </c:pt>
                <c:pt idx="1">
                  <c:v>0</c:v>
                </c:pt>
              </c:numCache>
            </c:numRef>
          </c:val>
          <c:extLst>
            <c:ext xmlns:c16="http://schemas.microsoft.com/office/drawing/2014/chart" uri="{C3380CC4-5D6E-409C-BE32-E72D297353CC}">
              <c16:uniqueId val="{00000004-0D11-4A0C-A9C7-43F31353401D}"/>
            </c:ext>
          </c:extLst>
        </c:ser>
        <c:ser>
          <c:idx val="1"/>
          <c:order val="1"/>
          <c:spPr>
            <a:blipFill>
              <a:blip xmlns:r="http://schemas.openxmlformats.org/officeDocument/2006/relationships" r:embed="rId3"/>
              <a:tile tx="0" ty="0" sx="100000" sy="100000" flip="none" algn="tl"/>
            </a:blip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6-0D11-4A0C-A9C7-43F31353401D}"/>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8-0D11-4A0C-A9C7-43F31353401D}"/>
              </c:ext>
            </c:extLst>
          </c:dPt>
          <c:cat>
            <c:strRef>
              <c:f>'Motor II'!$R$4:$S$4</c:f>
              <c:strCache>
                <c:ptCount val="2"/>
                <c:pt idx="0">
                  <c:v>Mujer</c:v>
                </c:pt>
                <c:pt idx="1">
                  <c:v>Hombre</c:v>
                </c:pt>
              </c:strCache>
            </c:strRef>
          </c:cat>
          <c:val>
            <c:numRef>
              <c:f>'Motor II'!$R$6:$S$6</c:f>
              <c:numCache>
                <c:formatCode>_ * #,##0.0_ ;_ * \-#,##0.0_ ;_ * "-"_ ;_ @_ </c:formatCode>
                <c:ptCount val="2"/>
                <c:pt idx="0">
                  <c:v>1</c:v>
                </c:pt>
                <c:pt idx="1">
                  <c:v>1</c:v>
                </c:pt>
              </c:numCache>
            </c:numRef>
          </c:val>
          <c:extLst>
            <c:ext xmlns:c16="http://schemas.microsoft.com/office/drawing/2014/chart" uri="{C3380CC4-5D6E-409C-BE32-E72D297353CC}">
              <c16:uniqueId val="{00000009-0D11-4A0C-A9C7-43F31353401D}"/>
            </c:ext>
          </c:extLst>
        </c:ser>
        <c:dLbls>
          <c:showLegendKey val="0"/>
          <c:showVal val="0"/>
          <c:showCatName val="0"/>
          <c:showSerName val="0"/>
          <c:showPercent val="0"/>
          <c:showBubbleSize val="0"/>
        </c:dLbls>
        <c:gapWidth val="0"/>
        <c:overlap val="100"/>
        <c:axId val="452323343"/>
        <c:axId val="275988879"/>
      </c:barChart>
      <c:catAx>
        <c:axId val="452323343"/>
        <c:scaling>
          <c:orientation val="minMax"/>
        </c:scaling>
        <c:delete val="1"/>
        <c:axPos val="b"/>
        <c:numFmt formatCode="General" sourceLinked="1"/>
        <c:majorTickMark val="none"/>
        <c:minorTickMark val="none"/>
        <c:tickLblPos val="nextTo"/>
        <c:crossAx val="275988879"/>
        <c:crosses val="autoZero"/>
        <c:auto val="1"/>
        <c:lblAlgn val="ctr"/>
        <c:lblOffset val="100"/>
        <c:noMultiLvlLbl val="0"/>
      </c:catAx>
      <c:valAx>
        <c:axId val="275988879"/>
        <c:scaling>
          <c:orientation val="minMax"/>
        </c:scaling>
        <c:delete val="1"/>
        <c:axPos val="l"/>
        <c:numFmt formatCode="_ * #,##0.0_ ;_ * \-#,##0.0_ ;_ * &quot;-&quot;_ ;_ @_ " sourceLinked="1"/>
        <c:majorTickMark val="none"/>
        <c:minorTickMark val="none"/>
        <c:tickLblPos val="nextTo"/>
        <c:crossAx val="452323343"/>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40</xdr:col>
      <xdr:colOff>89648</xdr:colOff>
      <xdr:row>1</xdr:row>
      <xdr:rowOff>89647</xdr:rowOff>
    </xdr:from>
    <xdr:to>
      <xdr:col>69</xdr:col>
      <xdr:colOff>56029</xdr:colOff>
      <xdr:row>8</xdr:row>
      <xdr:rowOff>1</xdr:rowOff>
    </xdr:to>
    <xdr:grpSp>
      <xdr:nvGrpSpPr>
        <xdr:cNvPr id="15" name="Grupo 14">
          <a:extLst>
            <a:ext uri="{FF2B5EF4-FFF2-40B4-BE49-F238E27FC236}">
              <a16:creationId xmlns:a16="http://schemas.microsoft.com/office/drawing/2014/main" id="{E79A95C3-4DBF-727D-03D3-139D711AAEFD}"/>
            </a:ext>
          </a:extLst>
        </xdr:cNvPr>
        <xdr:cNvGrpSpPr/>
      </xdr:nvGrpSpPr>
      <xdr:grpSpPr>
        <a:xfrm>
          <a:off x="7709648" y="316433"/>
          <a:ext cx="5490881" cy="1497854"/>
          <a:chOff x="7149354" y="201705"/>
          <a:chExt cx="5165910" cy="1243854"/>
        </a:xfrm>
      </xdr:grpSpPr>
      <xdr:grpSp>
        <xdr:nvGrpSpPr>
          <xdr:cNvPr id="8" name="Grupo 7">
            <a:extLst>
              <a:ext uri="{FF2B5EF4-FFF2-40B4-BE49-F238E27FC236}">
                <a16:creationId xmlns:a16="http://schemas.microsoft.com/office/drawing/2014/main" id="{28CE57E0-4B4F-CBA5-AAFA-7FAAC66319CC}"/>
              </a:ext>
            </a:extLst>
          </xdr:cNvPr>
          <xdr:cNvGrpSpPr/>
        </xdr:nvGrpSpPr>
        <xdr:grpSpPr>
          <a:xfrm>
            <a:off x="7944969" y="246528"/>
            <a:ext cx="4370295" cy="1109383"/>
            <a:chOff x="7732057" y="1636057"/>
            <a:chExt cx="4370295" cy="1109383"/>
          </a:xfrm>
        </xdr:grpSpPr>
        <xdr:sp macro="" textlink="">
          <xdr:nvSpPr>
            <xdr:cNvPr id="6" name="Rectángulo: esquinas superiores, una redondeada y la otra cortada 5">
              <a:extLst>
                <a:ext uri="{FF2B5EF4-FFF2-40B4-BE49-F238E27FC236}">
                  <a16:creationId xmlns:a16="http://schemas.microsoft.com/office/drawing/2014/main" id="{F66763BD-CA7C-8381-BF58-B3AF32DAC71C}"/>
                </a:ext>
              </a:extLst>
            </xdr:cNvPr>
            <xdr:cNvSpPr/>
          </xdr:nvSpPr>
          <xdr:spPr>
            <a:xfrm rot="10800000">
              <a:off x="7732057" y="1636057"/>
              <a:ext cx="4370295" cy="1109383"/>
            </a:xfrm>
            <a:prstGeom prst="snipRoundRect">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7" name="CuadroTexto 6">
              <a:extLst>
                <a:ext uri="{FF2B5EF4-FFF2-40B4-BE49-F238E27FC236}">
                  <a16:creationId xmlns:a16="http://schemas.microsoft.com/office/drawing/2014/main" id="{C6024A72-3209-45F8-8247-0B0990B29701}"/>
                </a:ext>
              </a:extLst>
            </xdr:cNvPr>
            <xdr:cNvSpPr txBox="1"/>
          </xdr:nvSpPr>
          <xdr:spPr>
            <a:xfrm>
              <a:off x="7989794" y="1759324"/>
              <a:ext cx="3944471" cy="874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2800" b="1">
                  <a:solidFill>
                    <a:srgbClr val="002060"/>
                  </a:solidFill>
                  <a:latin typeface="Barlow" panose="00000500000000000000" pitchFamily="2" charset="0"/>
                </a:rPr>
                <a:t>Ahorro para</a:t>
              </a:r>
              <a:r>
                <a:rPr lang="es-CL" sz="2800" b="1" baseline="0">
                  <a:solidFill>
                    <a:srgbClr val="002060"/>
                  </a:solidFill>
                  <a:latin typeface="Barlow" panose="00000500000000000000" pitchFamily="2" charset="0"/>
                </a:rPr>
                <a:t> el Retiro</a:t>
              </a:r>
            </a:p>
            <a:p>
              <a:pPr algn="ctr"/>
              <a:r>
                <a:rPr lang="es-CL" sz="2000" baseline="0">
                  <a:solidFill>
                    <a:srgbClr val="002060"/>
                  </a:solidFill>
                  <a:latin typeface="Barlow" panose="00000500000000000000" pitchFamily="2" charset="0"/>
                </a:rPr>
                <a:t>Estimación de Pensión</a:t>
              </a:r>
              <a:endParaRPr lang="es-CL" sz="2000">
                <a:solidFill>
                  <a:srgbClr val="002060"/>
                </a:solidFill>
                <a:latin typeface="Barlow" panose="00000500000000000000" pitchFamily="2" charset="0"/>
              </a:endParaRPr>
            </a:p>
          </xdr:txBody>
        </xdr:sp>
      </xdr:grpSp>
      <xdr:sp macro="" textlink="">
        <xdr:nvSpPr>
          <xdr:cNvPr id="9" name="CuadroTexto 8">
            <a:extLst>
              <a:ext uri="{FF2B5EF4-FFF2-40B4-BE49-F238E27FC236}">
                <a16:creationId xmlns:a16="http://schemas.microsoft.com/office/drawing/2014/main" id="{62698E4E-65C7-62F3-490E-D9DEB5CADA21}"/>
              </a:ext>
            </a:extLst>
          </xdr:cNvPr>
          <xdr:cNvSpPr txBox="1"/>
        </xdr:nvSpPr>
        <xdr:spPr>
          <a:xfrm>
            <a:off x="7149354" y="201705"/>
            <a:ext cx="672353" cy="124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2060"/>
                </a:solidFill>
                <a:latin typeface="Barlow" panose="00000500000000000000" pitchFamily="2" charset="0"/>
              </a:rPr>
              <a:t>PASO</a:t>
            </a:r>
          </a:p>
          <a:p>
            <a:r>
              <a:rPr lang="es-CL" sz="4800" b="1">
                <a:solidFill>
                  <a:srgbClr val="002060"/>
                </a:solidFill>
                <a:latin typeface="Barlow" panose="00000500000000000000" pitchFamily="2" charset="0"/>
              </a:rPr>
              <a:t> </a:t>
            </a:r>
            <a:r>
              <a:rPr lang="es-CL" sz="6000" b="1">
                <a:solidFill>
                  <a:srgbClr val="002060"/>
                </a:solidFill>
                <a:latin typeface="Barlow" panose="00000500000000000000" pitchFamily="2" charset="0"/>
              </a:rPr>
              <a:t>1</a:t>
            </a:r>
          </a:p>
          <a:p>
            <a:endParaRPr lang="es-CL" sz="1800" b="1">
              <a:solidFill>
                <a:srgbClr val="002060"/>
              </a:solidFill>
              <a:latin typeface="Barlow" panose="00000500000000000000" pitchFamily="2" charset="0"/>
            </a:endParaRPr>
          </a:p>
        </xdr:txBody>
      </xdr:sp>
    </xdr:grpSp>
    <xdr:clientData/>
  </xdr:twoCellAnchor>
  <xdr:twoCellAnchor>
    <xdr:from>
      <xdr:col>39</xdr:col>
      <xdr:colOff>2</xdr:colOff>
      <xdr:row>30</xdr:row>
      <xdr:rowOff>220756</xdr:rowOff>
    </xdr:from>
    <xdr:to>
      <xdr:col>46</xdr:col>
      <xdr:colOff>123267</xdr:colOff>
      <xdr:row>37</xdr:row>
      <xdr:rowOff>104215</xdr:rowOff>
    </xdr:to>
    <xdr:grpSp>
      <xdr:nvGrpSpPr>
        <xdr:cNvPr id="13" name="Grupo 12">
          <a:extLst>
            <a:ext uri="{FF2B5EF4-FFF2-40B4-BE49-F238E27FC236}">
              <a16:creationId xmlns:a16="http://schemas.microsoft.com/office/drawing/2014/main" id="{F3139D9E-C45D-45EF-D487-919BEFF898C2}"/>
            </a:ext>
          </a:extLst>
        </xdr:cNvPr>
        <xdr:cNvGrpSpPr/>
      </xdr:nvGrpSpPr>
      <xdr:grpSpPr>
        <a:xfrm>
          <a:off x="7429502" y="7024327"/>
          <a:ext cx="1456765" cy="1470959"/>
          <a:chOff x="7485529" y="6712324"/>
          <a:chExt cx="1658471" cy="1445558"/>
        </a:xfrm>
      </xdr:grpSpPr>
      <xdr:sp macro="" textlink="">
        <xdr:nvSpPr>
          <xdr:cNvPr id="11" name="Diagrama de flujo: almacenamiento de acceso secuencial 10">
            <a:extLst>
              <a:ext uri="{FF2B5EF4-FFF2-40B4-BE49-F238E27FC236}">
                <a16:creationId xmlns:a16="http://schemas.microsoft.com/office/drawing/2014/main" id="{C39B310A-647C-2C71-56C5-542039DA71B6}"/>
              </a:ext>
            </a:extLst>
          </xdr:cNvPr>
          <xdr:cNvSpPr/>
        </xdr:nvSpPr>
        <xdr:spPr>
          <a:xfrm>
            <a:off x="7485529" y="6712324"/>
            <a:ext cx="1624853" cy="1445558"/>
          </a:xfrm>
          <a:prstGeom prst="flowChartMagneticTape">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12" name="CuadroTexto 11">
            <a:extLst>
              <a:ext uri="{FF2B5EF4-FFF2-40B4-BE49-F238E27FC236}">
                <a16:creationId xmlns:a16="http://schemas.microsoft.com/office/drawing/2014/main" id="{8257AA0B-BFD1-44CA-9721-3BB6E0C95268}"/>
              </a:ext>
            </a:extLst>
          </xdr:cNvPr>
          <xdr:cNvSpPr txBox="1"/>
        </xdr:nvSpPr>
        <xdr:spPr>
          <a:xfrm>
            <a:off x="7530353" y="6993849"/>
            <a:ext cx="1613647" cy="86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baseline="0">
                <a:solidFill>
                  <a:srgbClr val="002060"/>
                </a:solidFill>
                <a:latin typeface="Barlow" panose="00000500000000000000" pitchFamily="2" charset="0"/>
              </a:rPr>
              <a:t>¿Como transmitir la información?</a:t>
            </a:r>
            <a:endParaRPr lang="es-CL" sz="1200" b="1">
              <a:solidFill>
                <a:srgbClr val="002060"/>
              </a:solidFill>
              <a:latin typeface="Barlow" panose="00000500000000000000" pitchFamily="2" charset="0"/>
            </a:endParaRPr>
          </a:p>
        </xdr:txBody>
      </xdr:sp>
    </xdr:grpSp>
    <xdr:clientData/>
  </xdr:twoCellAnchor>
  <xdr:twoCellAnchor>
    <xdr:from>
      <xdr:col>38</xdr:col>
      <xdr:colOff>56031</xdr:colOff>
      <xdr:row>25</xdr:row>
      <xdr:rowOff>1114</xdr:rowOff>
    </xdr:from>
    <xdr:to>
      <xdr:col>74</xdr:col>
      <xdr:colOff>0</xdr:colOff>
      <xdr:row>31</xdr:row>
      <xdr:rowOff>123265</xdr:rowOff>
    </xdr:to>
    <xdr:sp macro="" textlink="">
      <xdr:nvSpPr>
        <xdr:cNvPr id="14" name="CuadroTexto 13">
          <a:extLst>
            <a:ext uri="{FF2B5EF4-FFF2-40B4-BE49-F238E27FC236}">
              <a16:creationId xmlns:a16="http://schemas.microsoft.com/office/drawing/2014/main" id="{FC6CD046-F028-400D-8D82-244DA341F7BB}"/>
            </a:ext>
          </a:extLst>
        </xdr:cNvPr>
        <xdr:cNvSpPr txBox="1"/>
      </xdr:nvSpPr>
      <xdr:spPr>
        <a:xfrm>
          <a:off x="6869207" y="5716114"/>
          <a:ext cx="6398558" cy="1466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050" b="0">
              <a:solidFill>
                <a:srgbClr val="002060"/>
              </a:solidFill>
              <a:latin typeface="Barlow" panose="00000500000000000000" pitchFamily="2" charset="0"/>
            </a:rPr>
            <a:t>(**) Supuesto:  para</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cálculos consideran mujer con cónyuge dos años mayor, hombre con cónyuge dos años menor</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sin otros beneficiarios de pensión. Según Circular Nº 1.905 de laSuperintendencia de Pensiones</a:t>
          </a:r>
          <a:r>
            <a:rPr lang="es-CL" sz="1050" b="0" baseline="0">
              <a:solidFill>
                <a:srgbClr val="002060"/>
              </a:solidFill>
              <a:latin typeface="Barlow" panose="00000500000000000000" pitchFamily="2" charset="0"/>
            </a:rPr>
            <a:t> con tasa de interes tecnico de retiro programado de 3,41% vigente trimestre 4 de 2025.</a:t>
          </a:r>
          <a:endParaRPr lang="es-CL" sz="1050" b="0">
            <a:solidFill>
              <a:srgbClr val="002060"/>
            </a:solidFill>
            <a:latin typeface="Barlow" panose="00000500000000000000" pitchFamily="2" charset="0"/>
          </a:endParaRPr>
        </a:p>
        <a:p>
          <a:endParaRPr lang="es-CL" sz="1050" b="0">
            <a:solidFill>
              <a:srgbClr val="002060"/>
            </a:solidFill>
            <a:latin typeface="Barlow" panose="00000500000000000000" pitchFamily="2" charset="0"/>
          </a:endParaRPr>
        </a:p>
        <a:p>
          <a:r>
            <a:rPr lang="es-CL" sz="1050" b="0">
              <a:solidFill>
                <a:srgbClr val="002060"/>
              </a:solidFill>
              <a:latin typeface="Barlow" panose="00000500000000000000" pitchFamily="2" charset="0"/>
            </a:rPr>
            <a:t>Este cálculo puede variar si el grupo familiar es distinto al indicado en</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los supuestos. Para mayor detalle realice su Estudio de Pensión en</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nuestras sucursales. </a:t>
          </a:r>
        </a:p>
        <a:p>
          <a:r>
            <a:rPr lang="es-CL" sz="1050" b="0">
              <a:solidFill>
                <a:srgbClr val="002060"/>
              </a:solidFill>
              <a:latin typeface="Barlow" panose="00000500000000000000" pitchFamily="2" charset="0"/>
            </a:rPr>
            <a:t>Supuesto promedio</a:t>
          </a:r>
          <a:r>
            <a:rPr lang="es-CL" sz="1050" b="0" baseline="0">
              <a:solidFill>
                <a:srgbClr val="002060"/>
              </a:solidFill>
              <a:latin typeface="Barlow" panose="00000500000000000000" pitchFamily="2" charset="0"/>
            </a:rPr>
            <a:t> de cotizaciones de los ultimos 120 meses para un cotizante tope con UF al 31-12-2024   $ $</a:t>
          </a:r>
          <a:r>
            <a:rPr lang="es-CL" sz="1050" b="0">
              <a:solidFill>
                <a:srgbClr val="002060"/>
              </a:solidFill>
              <a:latin typeface="Barlow" panose="00000500000000000000" pitchFamily="2" charset="0"/>
            </a:rPr>
            <a:t>2.163.704 </a:t>
          </a:r>
          <a:endParaRPr lang="es-CL" sz="1200" b="0">
            <a:solidFill>
              <a:srgbClr val="002060"/>
            </a:solidFill>
            <a:latin typeface="Barlow" panose="00000500000000000000" pitchFamily="2" charset="0"/>
          </a:endParaRPr>
        </a:p>
      </xdr:txBody>
    </xdr:sp>
    <xdr:clientData/>
  </xdr:twoCellAnchor>
  <xdr:twoCellAnchor>
    <xdr:from>
      <xdr:col>76</xdr:col>
      <xdr:colOff>0</xdr:colOff>
      <xdr:row>1</xdr:row>
      <xdr:rowOff>0</xdr:rowOff>
    </xdr:from>
    <xdr:to>
      <xdr:col>109</xdr:col>
      <xdr:colOff>156878</xdr:colOff>
      <xdr:row>7</xdr:row>
      <xdr:rowOff>100854</xdr:rowOff>
    </xdr:to>
    <xdr:grpSp>
      <xdr:nvGrpSpPr>
        <xdr:cNvPr id="16" name="Grupo 15">
          <a:extLst>
            <a:ext uri="{FF2B5EF4-FFF2-40B4-BE49-F238E27FC236}">
              <a16:creationId xmlns:a16="http://schemas.microsoft.com/office/drawing/2014/main" id="{FDD85BF8-B007-49D5-8A62-3F5E1AE51A13}"/>
            </a:ext>
          </a:extLst>
        </xdr:cNvPr>
        <xdr:cNvGrpSpPr/>
      </xdr:nvGrpSpPr>
      <xdr:grpSpPr>
        <a:xfrm>
          <a:off x="14478000" y="226786"/>
          <a:ext cx="6443378" cy="1461568"/>
          <a:chOff x="7149354" y="201705"/>
          <a:chExt cx="6073584" cy="1243854"/>
        </a:xfrm>
      </xdr:grpSpPr>
      <xdr:grpSp>
        <xdr:nvGrpSpPr>
          <xdr:cNvPr id="17" name="Grupo 16">
            <a:extLst>
              <a:ext uri="{FF2B5EF4-FFF2-40B4-BE49-F238E27FC236}">
                <a16:creationId xmlns:a16="http://schemas.microsoft.com/office/drawing/2014/main" id="{0845D5F9-198F-A5D2-AE8E-05E37F6D28DF}"/>
              </a:ext>
            </a:extLst>
          </xdr:cNvPr>
          <xdr:cNvGrpSpPr/>
        </xdr:nvGrpSpPr>
        <xdr:grpSpPr>
          <a:xfrm>
            <a:off x="8435799" y="246524"/>
            <a:ext cx="4787139" cy="1086971"/>
            <a:chOff x="8222887" y="1636053"/>
            <a:chExt cx="4787139" cy="1086971"/>
          </a:xfrm>
        </xdr:grpSpPr>
        <xdr:sp macro="" textlink="">
          <xdr:nvSpPr>
            <xdr:cNvPr id="19" name="Rectángulo: esquinas superiores, una redondeada y la otra cortada 18">
              <a:extLst>
                <a:ext uri="{FF2B5EF4-FFF2-40B4-BE49-F238E27FC236}">
                  <a16:creationId xmlns:a16="http://schemas.microsoft.com/office/drawing/2014/main" id="{839B12DA-1A5A-73F1-79E8-399FF0F5DEDC}"/>
                </a:ext>
              </a:extLst>
            </xdr:cNvPr>
            <xdr:cNvSpPr/>
          </xdr:nvSpPr>
          <xdr:spPr>
            <a:xfrm rot="10800000">
              <a:off x="8222887" y="1636053"/>
              <a:ext cx="4787139" cy="1086971"/>
            </a:xfrm>
            <a:prstGeom prst="snipRoundRect">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900"/>
            </a:p>
          </xdr:txBody>
        </xdr:sp>
        <xdr:sp macro="" textlink="">
          <xdr:nvSpPr>
            <xdr:cNvPr id="20" name="CuadroTexto 19">
              <a:extLst>
                <a:ext uri="{FF2B5EF4-FFF2-40B4-BE49-F238E27FC236}">
                  <a16:creationId xmlns:a16="http://schemas.microsoft.com/office/drawing/2014/main" id="{110CAC96-BDB3-7B58-8A2E-818DE5A743F9}"/>
                </a:ext>
              </a:extLst>
            </xdr:cNvPr>
            <xdr:cNvSpPr txBox="1"/>
          </xdr:nvSpPr>
          <xdr:spPr>
            <a:xfrm>
              <a:off x="8243978" y="1759324"/>
              <a:ext cx="4732434" cy="874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solidFill>
                    <a:srgbClr val="002060"/>
                  </a:solidFill>
                  <a:latin typeface="Barlow" panose="00000500000000000000" pitchFamily="2" charset="0"/>
                </a:rPr>
                <a:t>¿CUÁL ES EL FONDO </a:t>
              </a:r>
              <a:r>
                <a:rPr lang="es-CL" sz="1600" b="1">
                  <a:solidFill>
                    <a:srgbClr val="C00000"/>
                  </a:solidFill>
                  <a:latin typeface="Barlow" panose="00000500000000000000" pitchFamily="2" charset="0"/>
                </a:rPr>
                <a:t>SUGERIDO</a:t>
              </a:r>
              <a:r>
                <a:rPr lang="es-CL" sz="1600" b="1">
                  <a:solidFill>
                    <a:srgbClr val="002060"/>
                  </a:solidFill>
                  <a:latin typeface="Barlow" panose="00000500000000000000" pitchFamily="2" charset="0"/>
                </a:rPr>
                <a:t> DE ACUERDO A SU EDAD Y GÉNERO?</a:t>
              </a:r>
              <a:endParaRPr lang="es-CL" sz="1200">
                <a:solidFill>
                  <a:srgbClr val="002060"/>
                </a:solidFill>
                <a:latin typeface="Barlow" panose="00000500000000000000" pitchFamily="2" charset="0"/>
              </a:endParaRPr>
            </a:p>
          </xdr:txBody>
        </xdr:sp>
      </xdr:grpSp>
      <xdr:sp macro="" textlink="">
        <xdr:nvSpPr>
          <xdr:cNvPr id="18" name="CuadroTexto 17">
            <a:extLst>
              <a:ext uri="{FF2B5EF4-FFF2-40B4-BE49-F238E27FC236}">
                <a16:creationId xmlns:a16="http://schemas.microsoft.com/office/drawing/2014/main" id="{38F1DF70-FD34-821B-1184-0666A6ECE59D}"/>
              </a:ext>
            </a:extLst>
          </xdr:cNvPr>
          <xdr:cNvSpPr txBox="1"/>
        </xdr:nvSpPr>
        <xdr:spPr>
          <a:xfrm>
            <a:off x="7149354" y="201705"/>
            <a:ext cx="1402437" cy="124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2060"/>
                </a:solidFill>
                <a:latin typeface="Barlow" panose="00000500000000000000" pitchFamily="2" charset="0"/>
              </a:rPr>
              <a:t>PASO</a:t>
            </a:r>
          </a:p>
          <a:p>
            <a:r>
              <a:rPr lang="es-CL" sz="6000" b="1">
                <a:solidFill>
                  <a:srgbClr val="002060"/>
                </a:solidFill>
                <a:latin typeface="Barlow" panose="00000500000000000000" pitchFamily="2" charset="0"/>
              </a:rPr>
              <a:t>2.A</a:t>
            </a:r>
          </a:p>
          <a:p>
            <a:endParaRPr lang="es-CL" sz="1800" b="1">
              <a:solidFill>
                <a:srgbClr val="002060"/>
              </a:solidFill>
              <a:latin typeface="Barlow" panose="00000500000000000000" pitchFamily="2" charset="0"/>
            </a:endParaRPr>
          </a:p>
        </xdr:txBody>
      </xdr:sp>
    </xdr:grpSp>
    <xdr:clientData/>
  </xdr:twoCellAnchor>
  <xdr:twoCellAnchor>
    <xdr:from>
      <xdr:col>113</xdr:col>
      <xdr:colOff>0</xdr:colOff>
      <xdr:row>1</xdr:row>
      <xdr:rowOff>0</xdr:rowOff>
    </xdr:from>
    <xdr:to>
      <xdr:col>147</xdr:col>
      <xdr:colOff>134471</xdr:colOff>
      <xdr:row>7</xdr:row>
      <xdr:rowOff>100854</xdr:rowOff>
    </xdr:to>
    <xdr:grpSp>
      <xdr:nvGrpSpPr>
        <xdr:cNvPr id="21" name="Grupo 20">
          <a:extLst>
            <a:ext uri="{FF2B5EF4-FFF2-40B4-BE49-F238E27FC236}">
              <a16:creationId xmlns:a16="http://schemas.microsoft.com/office/drawing/2014/main" id="{413B7B13-4F40-4C90-80B6-F7C8C76D41C4}"/>
            </a:ext>
          </a:extLst>
        </xdr:cNvPr>
        <xdr:cNvGrpSpPr/>
      </xdr:nvGrpSpPr>
      <xdr:grpSpPr>
        <a:xfrm>
          <a:off x="21526500" y="226786"/>
          <a:ext cx="6611471" cy="1461568"/>
          <a:chOff x="7149354" y="201705"/>
          <a:chExt cx="6230471" cy="1243854"/>
        </a:xfrm>
      </xdr:grpSpPr>
      <xdr:grpSp>
        <xdr:nvGrpSpPr>
          <xdr:cNvPr id="22" name="Grupo 21">
            <a:extLst>
              <a:ext uri="{FF2B5EF4-FFF2-40B4-BE49-F238E27FC236}">
                <a16:creationId xmlns:a16="http://schemas.microsoft.com/office/drawing/2014/main" id="{1C1CEFE8-B2E6-F614-AD49-C237D6329FF0}"/>
              </a:ext>
            </a:extLst>
          </xdr:cNvPr>
          <xdr:cNvGrpSpPr/>
        </xdr:nvGrpSpPr>
        <xdr:grpSpPr>
          <a:xfrm>
            <a:off x="7944968" y="246527"/>
            <a:ext cx="5434857" cy="1109383"/>
            <a:chOff x="7732056" y="1636056"/>
            <a:chExt cx="5434857" cy="1109383"/>
          </a:xfrm>
        </xdr:grpSpPr>
        <xdr:sp macro="" textlink="">
          <xdr:nvSpPr>
            <xdr:cNvPr id="24" name="Rectángulo: esquinas superiores, una redondeada y la otra cortada 23">
              <a:extLst>
                <a:ext uri="{FF2B5EF4-FFF2-40B4-BE49-F238E27FC236}">
                  <a16:creationId xmlns:a16="http://schemas.microsoft.com/office/drawing/2014/main" id="{78E4309C-DC42-2A00-5870-1C71F7095B60}"/>
                </a:ext>
              </a:extLst>
            </xdr:cNvPr>
            <xdr:cNvSpPr/>
          </xdr:nvSpPr>
          <xdr:spPr>
            <a:xfrm rot="10800000">
              <a:off x="7732056" y="1636056"/>
              <a:ext cx="5434856" cy="1109383"/>
            </a:xfrm>
            <a:prstGeom prst="snipRoundRect">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25" name="CuadroTexto 24">
              <a:extLst>
                <a:ext uri="{FF2B5EF4-FFF2-40B4-BE49-F238E27FC236}">
                  <a16:creationId xmlns:a16="http://schemas.microsoft.com/office/drawing/2014/main" id="{B5E945EF-9821-C741-C4DA-9FFF15274590}"/>
                </a:ext>
              </a:extLst>
            </xdr:cNvPr>
            <xdr:cNvSpPr txBox="1"/>
          </xdr:nvSpPr>
          <xdr:spPr>
            <a:xfrm>
              <a:off x="7732060" y="1759324"/>
              <a:ext cx="5434853" cy="874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solidFill>
                    <a:srgbClr val="002060"/>
                  </a:solidFill>
                  <a:latin typeface="Barlow" panose="00000500000000000000" pitchFamily="2" charset="0"/>
                  <a:ea typeface="+mn-ea"/>
                  <a:cs typeface="+mn-cs"/>
                </a:rPr>
                <a:t>INFORMACIÓN DE SALDOS Y APORTES</a:t>
              </a:r>
              <a:r>
                <a:rPr lang="es-CL" sz="1600" b="1" baseline="0">
                  <a:solidFill>
                    <a:srgbClr val="002060"/>
                  </a:solidFill>
                  <a:latin typeface="Barlow" panose="00000500000000000000" pitchFamily="2" charset="0"/>
                  <a:ea typeface="+mn-ea"/>
                  <a:cs typeface="+mn-cs"/>
                </a:rPr>
                <a:t> MENSUALES</a:t>
              </a:r>
              <a:endParaRPr lang="es-CL" sz="1600" b="1">
                <a:solidFill>
                  <a:srgbClr val="002060"/>
                </a:solidFill>
                <a:latin typeface="Barlow" panose="00000500000000000000" pitchFamily="2" charset="0"/>
              </a:endParaRPr>
            </a:p>
            <a:p>
              <a:pPr algn="ctr"/>
              <a:r>
                <a:rPr lang="es-CL" sz="1200" b="1">
                  <a:solidFill>
                    <a:srgbClr val="002060"/>
                  </a:solidFill>
                  <a:latin typeface="Barlow" panose="00000500000000000000" pitchFamily="2" charset="0"/>
                </a:rPr>
                <a:t>Ingresa la información</a:t>
              </a:r>
              <a:r>
                <a:rPr lang="es-CL" sz="1200" b="1" baseline="0">
                  <a:solidFill>
                    <a:srgbClr val="002060"/>
                  </a:solidFill>
                  <a:latin typeface="Barlow" panose="00000500000000000000" pitchFamily="2" charset="0"/>
                </a:rPr>
                <a:t> de saldos actuales y aportes mensuales.</a:t>
              </a:r>
              <a:endParaRPr lang="es-CL" sz="2000">
                <a:solidFill>
                  <a:srgbClr val="002060"/>
                </a:solidFill>
                <a:latin typeface="Barlow" panose="00000500000000000000" pitchFamily="2" charset="0"/>
              </a:endParaRPr>
            </a:p>
          </xdr:txBody>
        </xdr:sp>
      </xdr:grpSp>
      <xdr:sp macro="" textlink="">
        <xdr:nvSpPr>
          <xdr:cNvPr id="23" name="CuadroTexto 22">
            <a:extLst>
              <a:ext uri="{FF2B5EF4-FFF2-40B4-BE49-F238E27FC236}">
                <a16:creationId xmlns:a16="http://schemas.microsoft.com/office/drawing/2014/main" id="{695A3029-FC32-E7A0-DFE3-0FC731A15168}"/>
              </a:ext>
            </a:extLst>
          </xdr:cNvPr>
          <xdr:cNvSpPr txBox="1"/>
        </xdr:nvSpPr>
        <xdr:spPr>
          <a:xfrm>
            <a:off x="7149354" y="201705"/>
            <a:ext cx="672353" cy="124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2060"/>
                </a:solidFill>
                <a:latin typeface="Barlow" panose="00000500000000000000" pitchFamily="2" charset="0"/>
              </a:rPr>
              <a:t>PASO</a:t>
            </a:r>
          </a:p>
          <a:p>
            <a:r>
              <a:rPr lang="es-CL" sz="6000" b="1">
                <a:solidFill>
                  <a:srgbClr val="002060"/>
                </a:solidFill>
                <a:latin typeface="Barlow" panose="00000500000000000000" pitchFamily="2" charset="0"/>
              </a:rPr>
              <a:t>3</a:t>
            </a:r>
          </a:p>
          <a:p>
            <a:endParaRPr lang="es-CL" sz="1800" b="1">
              <a:solidFill>
                <a:srgbClr val="002060"/>
              </a:solidFill>
              <a:latin typeface="Barlow" panose="00000500000000000000" pitchFamily="2" charset="0"/>
            </a:endParaRPr>
          </a:p>
        </xdr:txBody>
      </xdr:sp>
    </xdr:grpSp>
    <xdr:clientData/>
  </xdr:twoCellAnchor>
  <xdr:twoCellAnchor>
    <xdr:from>
      <xdr:col>150</xdr:col>
      <xdr:colOff>0</xdr:colOff>
      <xdr:row>1</xdr:row>
      <xdr:rowOff>0</xdr:rowOff>
    </xdr:from>
    <xdr:to>
      <xdr:col>178</xdr:col>
      <xdr:colOff>145675</xdr:colOff>
      <xdr:row>7</xdr:row>
      <xdr:rowOff>100854</xdr:rowOff>
    </xdr:to>
    <xdr:grpSp>
      <xdr:nvGrpSpPr>
        <xdr:cNvPr id="26" name="Grupo 25">
          <a:extLst>
            <a:ext uri="{FF2B5EF4-FFF2-40B4-BE49-F238E27FC236}">
              <a16:creationId xmlns:a16="http://schemas.microsoft.com/office/drawing/2014/main" id="{8397D13E-5CD1-4811-9E52-1C8388E49559}"/>
            </a:ext>
          </a:extLst>
        </xdr:cNvPr>
        <xdr:cNvGrpSpPr/>
      </xdr:nvGrpSpPr>
      <xdr:grpSpPr>
        <a:xfrm>
          <a:off x="28575000" y="226786"/>
          <a:ext cx="5479675" cy="1461568"/>
          <a:chOff x="7149354" y="201705"/>
          <a:chExt cx="5165910" cy="1243854"/>
        </a:xfrm>
      </xdr:grpSpPr>
      <xdr:grpSp>
        <xdr:nvGrpSpPr>
          <xdr:cNvPr id="27" name="Grupo 26">
            <a:extLst>
              <a:ext uri="{FF2B5EF4-FFF2-40B4-BE49-F238E27FC236}">
                <a16:creationId xmlns:a16="http://schemas.microsoft.com/office/drawing/2014/main" id="{CBA446A0-5C8A-04A1-95DA-FE1D726B609D}"/>
              </a:ext>
            </a:extLst>
          </xdr:cNvPr>
          <xdr:cNvGrpSpPr/>
        </xdr:nvGrpSpPr>
        <xdr:grpSpPr>
          <a:xfrm>
            <a:off x="7944969" y="246528"/>
            <a:ext cx="4370295" cy="1109383"/>
            <a:chOff x="7732057" y="1636057"/>
            <a:chExt cx="4370295" cy="1109383"/>
          </a:xfrm>
        </xdr:grpSpPr>
        <xdr:sp macro="" textlink="">
          <xdr:nvSpPr>
            <xdr:cNvPr id="29" name="Rectángulo: esquinas superiores, una redondeada y la otra cortada 28">
              <a:extLst>
                <a:ext uri="{FF2B5EF4-FFF2-40B4-BE49-F238E27FC236}">
                  <a16:creationId xmlns:a16="http://schemas.microsoft.com/office/drawing/2014/main" id="{C0BB9CA2-AD94-5A1C-AF9B-1A27BBA97CDE}"/>
                </a:ext>
              </a:extLst>
            </xdr:cNvPr>
            <xdr:cNvSpPr/>
          </xdr:nvSpPr>
          <xdr:spPr>
            <a:xfrm rot="10800000">
              <a:off x="7732057" y="1636057"/>
              <a:ext cx="4370295" cy="1109383"/>
            </a:xfrm>
            <a:prstGeom prst="snipRoundRect">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30" name="CuadroTexto 29">
              <a:extLst>
                <a:ext uri="{FF2B5EF4-FFF2-40B4-BE49-F238E27FC236}">
                  <a16:creationId xmlns:a16="http://schemas.microsoft.com/office/drawing/2014/main" id="{7FC866BA-8DB0-575B-318E-1073352AFF9F}"/>
                </a:ext>
              </a:extLst>
            </xdr:cNvPr>
            <xdr:cNvSpPr txBox="1"/>
          </xdr:nvSpPr>
          <xdr:spPr>
            <a:xfrm>
              <a:off x="7989794" y="1759324"/>
              <a:ext cx="3944471" cy="874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2800" b="1">
                  <a:solidFill>
                    <a:srgbClr val="002060"/>
                  </a:solidFill>
                  <a:latin typeface="Barlow" panose="00000500000000000000" pitchFamily="2" charset="0"/>
                </a:rPr>
                <a:t>¿CUÁL</a:t>
              </a:r>
              <a:r>
                <a:rPr lang="es-CL" sz="2800" b="1" baseline="0">
                  <a:solidFill>
                    <a:srgbClr val="002060"/>
                  </a:solidFill>
                  <a:latin typeface="Barlow" panose="00000500000000000000" pitchFamily="2" charset="0"/>
                </a:rPr>
                <a:t> ES EL AHORRO PARA EL RETIRO?</a:t>
              </a:r>
            </a:p>
          </xdr:txBody>
        </xdr:sp>
      </xdr:grpSp>
      <xdr:sp macro="" textlink="">
        <xdr:nvSpPr>
          <xdr:cNvPr id="28" name="CuadroTexto 27">
            <a:extLst>
              <a:ext uri="{FF2B5EF4-FFF2-40B4-BE49-F238E27FC236}">
                <a16:creationId xmlns:a16="http://schemas.microsoft.com/office/drawing/2014/main" id="{1E7FDDDD-818C-9267-253E-C166E77577CD}"/>
              </a:ext>
            </a:extLst>
          </xdr:cNvPr>
          <xdr:cNvSpPr txBox="1"/>
        </xdr:nvSpPr>
        <xdr:spPr>
          <a:xfrm>
            <a:off x="7149354" y="201705"/>
            <a:ext cx="672353" cy="124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2060"/>
                </a:solidFill>
                <a:latin typeface="Barlow" panose="00000500000000000000" pitchFamily="2" charset="0"/>
              </a:rPr>
              <a:t>PASO</a:t>
            </a:r>
          </a:p>
          <a:p>
            <a:r>
              <a:rPr lang="es-CL" sz="4800" b="1">
                <a:solidFill>
                  <a:srgbClr val="002060"/>
                </a:solidFill>
                <a:latin typeface="Barlow" panose="00000500000000000000" pitchFamily="2" charset="0"/>
              </a:rPr>
              <a:t>4</a:t>
            </a:r>
            <a:endParaRPr lang="es-CL" sz="6000" b="1">
              <a:solidFill>
                <a:srgbClr val="002060"/>
              </a:solidFill>
              <a:latin typeface="Barlow" panose="00000500000000000000" pitchFamily="2" charset="0"/>
            </a:endParaRPr>
          </a:p>
          <a:p>
            <a:endParaRPr lang="es-CL" sz="1800" b="1">
              <a:solidFill>
                <a:srgbClr val="002060"/>
              </a:solidFill>
              <a:latin typeface="Barlow" panose="00000500000000000000" pitchFamily="2" charset="0"/>
            </a:endParaRPr>
          </a:p>
        </xdr:txBody>
      </xdr:sp>
    </xdr:grpSp>
    <xdr:clientData/>
  </xdr:twoCellAnchor>
  <xdr:twoCellAnchor>
    <xdr:from>
      <xdr:col>46</xdr:col>
      <xdr:colOff>112058</xdr:colOff>
      <xdr:row>30</xdr:row>
      <xdr:rowOff>149038</xdr:rowOff>
    </xdr:from>
    <xdr:to>
      <xdr:col>74</xdr:col>
      <xdr:colOff>0</xdr:colOff>
      <xdr:row>37</xdr:row>
      <xdr:rowOff>220756</xdr:rowOff>
    </xdr:to>
    <xdr:sp macro="" textlink="">
      <xdr:nvSpPr>
        <xdr:cNvPr id="31" name="CuadroTexto 30">
          <a:extLst>
            <a:ext uri="{FF2B5EF4-FFF2-40B4-BE49-F238E27FC236}">
              <a16:creationId xmlns:a16="http://schemas.microsoft.com/office/drawing/2014/main" id="{1446BE95-34E7-4299-B791-DD6C879A8082}"/>
            </a:ext>
          </a:extLst>
        </xdr:cNvPr>
        <xdr:cNvSpPr txBox="1"/>
      </xdr:nvSpPr>
      <xdr:spPr>
        <a:xfrm>
          <a:off x="8979833" y="7121338"/>
          <a:ext cx="5067300" cy="1671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050" b="1">
              <a:solidFill>
                <a:sysClr val="windowText" lastClr="000000"/>
              </a:solidFill>
              <a:latin typeface="Barlow" panose="00000500000000000000" pitchFamily="2" charset="0"/>
            </a:rPr>
            <a:t>¿Porque tengo que ingresar estos datos?</a:t>
          </a:r>
        </a:p>
        <a:p>
          <a:endParaRPr lang="es-CL" sz="1050" b="1">
            <a:solidFill>
              <a:sysClr val="windowText" lastClr="000000"/>
            </a:solidFill>
            <a:latin typeface="Barlow" panose="00000500000000000000" pitchFamily="2" charset="0"/>
          </a:endParaRPr>
        </a:p>
        <a:p>
          <a:r>
            <a:rPr lang="es-CL" sz="1100" b="1">
              <a:solidFill>
                <a:srgbClr val="00B0F0"/>
              </a:solidFill>
              <a:latin typeface="Barlow" panose="00000500000000000000" pitchFamily="2" charset="0"/>
            </a:rPr>
            <a:t>A.</a:t>
          </a:r>
          <a:r>
            <a:rPr lang="es-CL" sz="1050" b="0">
              <a:solidFill>
                <a:srgbClr val="002060"/>
              </a:solidFill>
              <a:latin typeface="Barlow" panose="00000500000000000000" pitchFamily="2" charset="0"/>
            </a:rPr>
            <a:t>La</a:t>
          </a:r>
          <a:r>
            <a:rPr lang="es-CL" sz="1050" b="0" baseline="0">
              <a:solidFill>
                <a:srgbClr val="002060"/>
              </a:solidFill>
              <a:latin typeface="Barlow" panose="00000500000000000000" pitchFamily="2" charset="0"/>
            </a:rPr>
            <a:t> seleccion de genero corresponde a que el calculo de pension distingue si es mujer u hombre, por lo tanto los factores cambian.</a:t>
          </a:r>
          <a:endParaRPr lang="es-CL" sz="1050" b="0">
            <a:solidFill>
              <a:srgbClr val="002060"/>
            </a:solidFill>
            <a:latin typeface="Barlow" panose="00000500000000000000" pitchFamily="2" charset="0"/>
          </a:endParaRPr>
        </a:p>
        <a:p>
          <a:r>
            <a:rPr lang="es-CL" sz="1100" b="1">
              <a:solidFill>
                <a:srgbClr val="00B0F0"/>
              </a:solidFill>
              <a:latin typeface="Barlow" panose="00000500000000000000" pitchFamily="2" charset="0"/>
              <a:ea typeface="+mn-ea"/>
              <a:cs typeface="+mn-cs"/>
            </a:rPr>
            <a:t>B.</a:t>
          </a:r>
          <a:r>
            <a:rPr lang="es-CL" sz="1050" b="0">
              <a:solidFill>
                <a:srgbClr val="002060"/>
              </a:solidFill>
              <a:latin typeface="Barlow" panose="00000500000000000000" pitchFamily="2" charset="0"/>
              <a:ea typeface="+mn-ea"/>
              <a:cs typeface="+mn-cs"/>
            </a:rPr>
            <a:t>La edad actual permite</a:t>
          </a:r>
          <a:r>
            <a:rPr lang="es-CL" sz="1050" b="0" baseline="0">
              <a:solidFill>
                <a:srgbClr val="002060"/>
              </a:solidFill>
              <a:latin typeface="Barlow" panose="00000500000000000000" pitchFamily="2" charset="0"/>
              <a:ea typeface="+mn-ea"/>
              <a:cs typeface="+mn-cs"/>
            </a:rPr>
            <a:t> calcular cuantos años faltan para la pensión.</a:t>
          </a:r>
          <a:endParaRPr lang="es-CL" sz="1050" b="0">
            <a:solidFill>
              <a:srgbClr val="002060"/>
            </a:solidFill>
            <a:latin typeface="Barlow" panose="00000500000000000000" pitchFamily="2" charset="0"/>
          </a:endParaRPr>
        </a:p>
        <a:p>
          <a:r>
            <a:rPr lang="es-CL" sz="1100" b="1">
              <a:solidFill>
                <a:srgbClr val="00B0F0"/>
              </a:solidFill>
              <a:latin typeface="Barlow" panose="00000500000000000000" pitchFamily="2" charset="0"/>
              <a:ea typeface="+mn-ea"/>
              <a:cs typeface="+mn-cs"/>
            </a:rPr>
            <a:t>C. </a:t>
          </a:r>
          <a:r>
            <a:rPr lang="es-CL" sz="1050" b="0">
              <a:solidFill>
                <a:srgbClr val="002060"/>
              </a:solidFill>
              <a:latin typeface="Barlow" panose="00000500000000000000" pitchFamily="2" charset="0"/>
            </a:rPr>
            <a:t>La renta por cual cotiza permite proyectar los aportes a la cuenta obligatoria.</a:t>
          </a:r>
          <a:r>
            <a:rPr lang="es-CL" sz="1050" b="0" baseline="0">
              <a:solidFill>
                <a:srgbClr val="002060"/>
              </a:solidFill>
              <a:latin typeface="Barlow" panose="00000500000000000000" pitchFamily="2" charset="0"/>
            </a:rPr>
            <a:t>.</a:t>
          </a:r>
        </a:p>
        <a:p>
          <a:r>
            <a:rPr lang="es-CL" sz="1100" b="1">
              <a:solidFill>
                <a:srgbClr val="00B0F0"/>
              </a:solidFill>
              <a:effectLst/>
              <a:latin typeface="+mn-lt"/>
              <a:ea typeface="+mn-ea"/>
              <a:cs typeface="+mn-cs"/>
            </a:rPr>
            <a:t>D. </a:t>
          </a:r>
          <a:r>
            <a:rPr lang="es-CL" sz="1050" b="0" baseline="0">
              <a:solidFill>
                <a:srgbClr val="002060"/>
              </a:solidFill>
              <a:latin typeface="Barlow" panose="00000500000000000000" pitchFamily="2" charset="0"/>
              <a:ea typeface="+mn-ea"/>
              <a:cs typeface="+mn-cs"/>
            </a:rPr>
            <a:t>. La edad de pension estimada, es un objetivo de pension que permite fijar la edad para calcular cuantos años faltan para alcanzar la pensión objetivo.</a:t>
          </a:r>
        </a:p>
        <a:p>
          <a:r>
            <a:rPr lang="es-CL" sz="1100" b="1">
              <a:solidFill>
                <a:srgbClr val="00B0F0"/>
              </a:solidFill>
              <a:effectLst/>
              <a:latin typeface="+mn-lt"/>
              <a:ea typeface="+mn-ea"/>
              <a:cs typeface="+mn-cs"/>
            </a:rPr>
            <a:t>E. </a:t>
          </a:r>
          <a:r>
            <a:rPr lang="es-CL" sz="1050" b="0" baseline="0">
              <a:solidFill>
                <a:srgbClr val="002060"/>
              </a:solidFill>
              <a:effectLst/>
              <a:latin typeface="Barlow" panose="00000500000000000000" pitchFamily="2" charset="0"/>
              <a:ea typeface="+mn-ea"/>
              <a:cs typeface="+mn-cs"/>
            </a:rPr>
            <a:t>Permite conocer si cumple con requisitos de pension anticipada.</a:t>
          </a:r>
          <a:endParaRPr lang="es-CL" sz="1050" b="0" baseline="0">
            <a:solidFill>
              <a:srgbClr val="002060"/>
            </a:solidFill>
            <a:latin typeface="Barlow" panose="00000500000000000000" pitchFamily="2" charset="0"/>
            <a:ea typeface="+mn-ea"/>
            <a:cs typeface="+mn-cs"/>
          </a:endParaRPr>
        </a:p>
      </xdr:txBody>
    </xdr:sp>
    <xdr:clientData/>
  </xdr:twoCellAnchor>
  <xdr:twoCellAnchor>
    <xdr:from>
      <xdr:col>39</xdr:col>
      <xdr:colOff>0</xdr:colOff>
      <xdr:row>7</xdr:row>
      <xdr:rowOff>190499</xdr:rowOff>
    </xdr:from>
    <xdr:to>
      <xdr:col>74</xdr:col>
      <xdr:colOff>0</xdr:colOff>
      <xdr:row>16</xdr:row>
      <xdr:rowOff>78441</xdr:rowOff>
    </xdr:to>
    <xdr:sp macro="" textlink="">
      <xdr:nvSpPr>
        <xdr:cNvPr id="32" name="CuadroTexto 31">
          <a:extLst>
            <a:ext uri="{FF2B5EF4-FFF2-40B4-BE49-F238E27FC236}">
              <a16:creationId xmlns:a16="http://schemas.microsoft.com/office/drawing/2014/main" id="{369B68CD-CC92-4588-9311-CF00E2663433}"/>
            </a:ext>
          </a:extLst>
        </xdr:cNvPr>
        <xdr:cNvSpPr txBox="1"/>
      </xdr:nvSpPr>
      <xdr:spPr>
        <a:xfrm>
          <a:off x="6813176" y="1523999"/>
          <a:ext cx="6275295" cy="160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B0F0"/>
              </a:solidFill>
              <a:latin typeface="Barlow" panose="00000500000000000000" pitchFamily="2" charset="0"/>
              <a:ea typeface="+mn-ea"/>
              <a:cs typeface="+mn-cs"/>
            </a:rPr>
            <a:t>Pasos</a:t>
          </a:r>
        </a:p>
        <a:p>
          <a:endParaRPr lang="es-CL" sz="1050" b="1">
            <a:solidFill>
              <a:sysClr val="windowText" lastClr="000000"/>
            </a:solidFill>
            <a:latin typeface="Barlow" panose="00000500000000000000" pitchFamily="2" charset="0"/>
          </a:endParaRPr>
        </a:p>
        <a:p>
          <a:r>
            <a:rPr lang="es-CL" sz="1100" b="1">
              <a:solidFill>
                <a:srgbClr val="00B0F0"/>
              </a:solidFill>
              <a:latin typeface="Barlow" panose="00000500000000000000" pitchFamily="2" charset="0"/>
            </a:rPr>
            <a:t>A.</a:t>
          </a:r>
          <a:r>
            <a:rPr lang="es-CL" sz="1100" b="1" baseline="0">
              <a:solidFill>
                <a:srgbClr val="00B0F0"/>
              </a:solidFill>
              <a:latin typeface="Barlow" panose="00000500000000000000" pitchFamily="2" charset="0"/>
            </a:rPr>
            <a:t> </a:t>
          </a:r>
          <a:r>
            <a:rPr lang="es-CL" sz="1050" b="0">
              <a:solidFill>
                <a:srgbClr val="002060"/>
              </a:solidFill>
              <a:latin typeface="Barlow" panose="00000500000000000000" pitchFamily="2" charset="0"/>
            </a:rPr>
            <a:t>Selecciona el género.</a:t>
          </a:r>
        </a:p>
        <a:p>
          <a:r>
            <a:rPr lang="es-CL" sz="1050" b="1">
              <a:solidFill>
                <a:srgbClr val="002060"/>
              </a:solidFill>
              <a:latin typeface="Barlow" panose="00000500000000000000" pitchFamily="2" charset="0"/>
            </a:rPr>
            <a:t>Ingresa:</a:t>
          </a:r>
        </a:p>
        <a:p>
          <a:r>
            <a:rPr lang="es-CL" sz="1100" b="1">
              <a:solidFill>
                <a:srgbClr val="00B0F0"/>
              </a:solidFill>
              <a:latin typeface="Barlow" panose="00000500000000000000" pitchFamily="2" charset="0"/>
              <a:ea typeface="+mn-ea"/>
              <a:cs typeface="+mn-cs"/>
            </a:rPr>
            <a:t>B. </a:t>
          </a:r>
          <a:r>
            <a:rPr lang="es-CL" sz="1050" b="0">
              <a:solidFill>
                <a:srgbClr val="002060"/>
              </a:solidFill>
              <a:latin typeface="Barlow" panose="00000500000000000000" pitchFamily="2" charset="0"/>
              <a:ea typeface="+mn-ea"/>
              <a:cs typeface="+mn-cs"/>
            </a:rPr>
            <a:t>L</a:t>
          </a:r>
          <a:r>
            <a:rPr lang="es-CL" sz="1050" b="0">
              <a:solidFill>
                <a:srgbClr val="002060"/>
              </a:solidFill>
              <a:latin typeface="Barlow" panose="00000500000000000000" pitchFamily="2" charset="0"/>
            </a:rPr>
            <a:t>a edad actual</a:t>
          </a:r>
        </a:p>
        <a:p>
          <a:r>
            <a:rPr lang="es-CL" sz="1100" b="1">
              <a:solidFill>
                <a:srgbClr val="00B0F0"/>
              </a:solidFill>
              <a:latin typeface="Barlow" panose="00000500000000000000" pitchFamily="2" charset="0"/>
              <a:ea typeface="+mn-ea"/>
              <a:cs typeface="+mn-cs"/>
            </a:rPr>
            <a:t>C.</a:t>
          </a:r>
          <a:r>
            <a:rPr lang="es-CL" sz="1100" b="1" baseline="0">
              <a:solidFill>
                <a:srgbClr val="00B0F0"/>
              </a:solidFill>
              <a:latin typeface="Barlow" panose="00000500000000000000" pitchFamily="2" charset="0"/>
              <a:ea typeface="+mn-ea"/>
              <a:cs typeface="+mn-cs"/>
            </a:rPr>
            <a:t> </a:t>
          </a:r>
          <a:r>
            <a:rPr lang="es-CL" sz="1050" b="0" baseline="0">
              <a:solidFill>
                <a:srgbClr val="002060"/>
              </a:solidFill>
              <a:latin typeface="Barlow" panose="00000500000000000000" pitchFamily="2" charset="0"/>
              <a:ea typeface="+mn-ea"/>
              <a:cs typeface="+mn-cs"/>
            </a:rPr>
            <a:t>R</a:t>
          </a:r>
          <a:r>
            <a:rPr lang="es-CL" sz="1050" b="0">
              <a:solidFill>
                <a:srgbClr val="002060"/>
              </a:solidFill>
              <a:latin typeface="Barlow" panose="00000500000000000000" pitchFamily="2" charset="0"/>
            </a:rPr>
            <a:t>enta por la cual cotiza.</a:t>
          </a:r>
        </a:p>
        <a:p>
          <a:r>
            <a:rPr lang="es-CL" sz="1100" b="1">
              <a:solidFill>
                <a:srgbClr val="00B0F0"/>
              </a:solidFill>
              <a:latin typeface="Barlow" panose="00000500000000000000" pitchFamily="2" charset="0"/>
              <a:ea typeface="+mn-ea"/>
              <a:cs typeface="+mn-cs"/>
            </a:rPr>
            <a:t>D. </a:t>
          </a:r>
          <a:r>
            <a:rPr lang="es-CL" sz="1050" b="0">
              <a:solidFill>
                <a:srgbClr val="002060"/>
              </a:solidFill>
              <a:latin typeface="Barlow" panose="00000500000000000000" pitchFamily="2" charset="0"/>
              <a:ea typeface="+mn-ea"/>
              <a:cs typeface="+mn-cs"/>
            </a:rPr>
            <a:t>E</a:t>
          </a:r>
          <a:r>
            <a:rPr lang="es-CL" sz="1050" b="0" baseline="0">
              <a:solidFill>
                <a:srgbClr val="002060"/>
              </a:solidFill>
              <a:latin typeface="Barlow" panose="00000500000000000000" pitchFamily="2" charset="0"/>
            </a:rPr>
            <a:t>dad de pensión que el cliente estima iniciar el tramite de pensión.</a:t>
          </a:r>
        </a:p>
        <a:p>
          <a:r>
            <a:rPr lang="es-CL" sz="1100" b="1">
              <a:solidFill>
                <a:srgbClr val="00B0F0"/>
              </a:solidFill>
              <a:latin typeface="Barlow" panose="00000500000000000000" pitchFamily="2" charset="0"/>
              <a:ea typeface="+mn-ea"/>
              <a:cs typeface="+mn-cs"/>
            </a:rPr>
            <a:t>E. </a:t>
          </a:r>
          <a:r>
            <a:rPr lang="es-CL" sz="1050" b="0" baseline="0">
              <a:solidFill>
                <a:srgbClr val="002060"/>
              </a:solidFill>
              <a:latin typeface="Barlow" panose="00000500000000000000" pitchFamily="2" charset="0"/>
              <a:ea typeface="+mn-ea"/>
              <a:cs typeface="+mn-cs"/>
            </a:rPr>
            <a:t>Supuesto de promedio de cotizaciones de los ultimos 120 meses.</a:t>
          </a:r>
          <a:endParaRPr lang="es-CL" sz="1200" b="0">
            <a:solidFill>
              <a:srgbClr val="002060"/>
            </a:solidFill>
            <a:latin typeface="Barlow" panose="00000500000000000000" pitchFamily="2" charset="0"/>
          </a:endParaRPr>
        </a:p>
      </xdr:txBody>
    </xdr:sp>
    <xdr:clientData/>
  </xdr:twoCellAnchor>
  <xdr:twoCellAnchor>
    <xdr:from>
      <xdr:col>39</xdr:col>
      <xdr:colOff>56030</xdr:colOff>
      <xdr:row>17</xdr:row>
      <xdr:rowOff>33620</xdr:rowOff>
    </xdr:from>
    <xdr:to>
      <xdr:col>48</xdr:col>
      <xdr:colOff>112059</xdr:colOff>
      <xdr:row>18</xdr:row>
      <xdr:rowOff>156884</xdr:rowOff>
    </xdr:to>
    <xdr:sp macro="" textlink="">
      <xdr:nvSpPr>
        <xdr:cNvPr id="35" name="Rectángulo: esquinas redondeadas 34">
          <a:extLst>
            <a:ext uri="{FF2B5EF4-FFF2-40B4-BE49-F238E27FC236}">
              <a16:creationId xmlns:a16="http://schemas.microsoft.com/office/drawing/2014/main" id="{CB6B335F-FA70-2E2F-5B98-9A5326E61471}"/>
            </a:ext>
          </a:extLst>
        </xdr:cNvPr>
        <xdr:cNvSpPr/>
      </xdr:nvSpPr>
      <xdr:spPr>
        <a:xfrm>
          <a:off x="7048501" y="3888444"/>
          <a:ext cx="1669676" cy="358587"/>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900" b="1">
              <a:solidFill>
                <a:srgbClr val="E9ED33"/>
              </a:solidFill>
              <a:latin typeface="Barlow" panose="00000500000000000000" pitchFamily="2" charset="0"/>
            </a:rPr>
            <a:t>A. </a:t>
          </a:r>
          <a:r>
            <a:rPr lang="es-CL" sz="900">
              <a:latin typeface="Barlow" panose="00000500000000000000" pitchFamily="2" charset="0"/>
            </a:rPr>
            <a:t>Género</a:t>
          </a:r>
        </a:p>
      </xdr:txBody>
    </xdr:sp>
    <xdr:clientData/>
  </xdr:twoCellAnchor>
  <xdr:twoCellAnchor>
    <xdr:from>
      <xdr:col>56</xdr:col>
      <xdr:colOff>67235</xdr:colOff>
      <xdr:row>17</xdr:row>
      <xdr:rowOff>22415</xdr:rowOff>
    </xdr:from>
    <xdr:to>
      <xdr:col>65</xdr:col>
      <xdr:colOff>123264</xdr:colOff>
      <xdr:row>18</xdr:row>
      <xdr:rowOff>145679</xdr:rowOff>
    </xdr:to>
    <xdr:sp macro="" textlink="">
      <xdr:nvSpPr>
        <xdr:cNvPr id="38" name="Rectángulo: esquinas redondeadas 37">
          <a:extLst>
            <a:ext uri="{FF2B5EF4-FFF2-40B4-BE49-F238E27FC236}">
              <a16:creationId xmlns:a16="http://schemas.microsoft.com/office/drawing/2014/main" id="{76495208-C8E7-4583-B0D5-6F69B56E2BCC}"/>
            </a:ext>
          </a:extLst>
        </xdr:cNvPr>
        <xdr:cNvSpPr/>
      </xdr:nvSpPr>
      <xdr:spPr>
        <a:xfrm>
          <a:off x="10031850" y="3937085"/>
          <a:ext cx="1657485" cy="353539"/>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1100" b="1">
              <a:solidFill>
                <a:srgbClr val="E9ED33"/>
              </a:solidFill>
              <a:effectLst/>
              <a:latin typeface="+mn-lt"/>
              <a:ea typeface="+mn-ea"/>
              <a:cs typeface="+mn-cs"/>
            </a:rPr>
            <a:t>B. </a:t>
          </a:r>
          <a:r>
            <a:rPr lang="es-CL" sz="900">
              <a:latin typeface="Barlow" panose="00000500000000000000" pitchFamily="2" charset="0"/>
            </a:rPr>
            <a:t>Edad Actual (años).</a:t>
          </a:r>
        </a:p>
      </xdr:txBody>
    </xdr:sp>
    <xdr:clientData/>
  </xdr:twoCellAnchor>
  <xdr:twoCellAnchor>
    <xdr:from>
      <xdr:col>56</xdr:col>
      <xdr:colOff>67234</xdr:colOff>
      <xdr:row>21</xdr:row>
      <xdr:rowOff>22414</xdr:rowOff>
    </xdr:from>
    <xdr:to>
      <xdr:col>65</xdr:col>
      <xdr:colOff>134470</xdr:colOff>
      <xdr:row>22</xdr:row>
      <xdr:rowOff>145678</xdr:rowOff>
    </xdr:to>
    <xdr:sp macro="" textlink="">
      <xdr:nvSpPr>
        <xdr:cNvPr id="39" name="Rectángulo: esquinas redondeadas 38">
          <a:extLst>
            <a:ext uri="{FF2B5EF4-FFF2-40B4-BE49-F238E27FC236}">
              <a16:creationId xmlns:a16="http://schemas.microsoft.com/office/drawing/2014/main" id="{092B025F-20BB-48E5-A36C-9C9A767335FC}"/>
            </a:ext>
          </a:extLst>
        </xdr:cNvPr>
        <xdr:cNvSpPr/>
      </xdr:nvSpPr>
      <xdr:spPr>
        <a:xfrm>
          <a:off x="10107705" y="4728885"/>
          <a:ext cx="1680883" cy="34738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1100" b="1">
              <a:solidFill>
                <a:srgbClr val="E9ED33"/>
              </a:solidFill>
              <a:effectLst/>
              <a:latin typeface="+mn-lt"/>
              <a:ea typeface="+mn-ea"/>
              <a:cs typeface="+mn-cs"/>
            </a:rPr>
            <a:t>D. </a:t>
          </a:r>
          <a:r>
            <a:rPr lang="es-CL" sz="900">
              <a:latin typeface="Barlow" panose="00000500000000000000" pitchFamily="2" charset="0"/>
            </a:rPr>
            <a:t>Edad de Pensión estimada</a:t>
          </a:r>
        </a:p>
      </xdr:txBody>
    </xdr:sp>
    <xdr:clientData/>
  </xdr:twoCellAnchor>
  <xdr:twoCellAnchor>
    <xdr:from>
      <xdr:col>56</xdr:col>
      <xdr:colOff>67236</xdr:colOff>
      <xdr:row>19</xdr:row>
      <xdr:rowOff>22414</xdr:rowOff>
    </xdr:from>
    <xdr:to>
      <xdr:col>65</xdr:col>
      <xdr:colOff>123265</xdr:colOff>
      <xdr:row>20</xdr:row>
      <xdr:rowOff>145678</xdr:rowOff>
    </xdr:to>
    <xdr:sp macro="" textlink="">
      <xdr:nvSpPr>
        <xdr:cNvPr id="41" name="Rectángulo: esquinas redondeadas 40">
          <a:extLst>
            <a:ext uri="{FF2B5EF4-FFF2-40B4-BE49-F238E27FC236}">
              <a16:creationId xmlns:a16="http://schemas.microsoft.com/office/drawing/2014/main" id="{2D81FD20-1780-44AD-AC2C-97C60B4E40EE}"/>
            </a:ext>
          </a:extLst>
        </xdr:cNvPr>
        <xdr:cNvSpPr/>
      </xdr:nvSpPr>
      <xdr:spPr>
        <a:xfrm>
          <a:off x="9928412" y="3641914"/>
          <a:ext cx="1669677" cy="313764"/>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1100" b="1">
              <a:solidFill>
                <a:srgbClr val="E9ED33"/>
              </a:solidFill>
              <a:effectLst/>
              <a:latin typeface="+mn-lt"/>
              <a:ea typeface="+mn-ea"/>
              <a:cs typeface="+mn-cs"/>
            </a:rPr>
            <a:t>C. </a:t>
          </a:r>
          <a:r>
            <a:rPr lang="es-CL" sz="900">
              <a:latin typeface="Barlow" panose="00000500000000000000" pitchFamily="2" charset="0"/>
            </a:rPr>
            <a:t>Renta</a:t>
          </a:r>
          <a:r>
            <a:rPr lang="es-CL" sz="900" baseline="0">
              <a:latin typeface="Barlow" panose="00000500000000000000" pitchFamily="2" charset="0"/>
            </a:rPr>
            <a:t> por la cual cotiza</a:t>
          </a:r>
          <a:endParaRPr lang="es-CL" sz="900">
            <a:latin typeface="Barlow" panose="00000500000000000000" pitchFamily="2" charset="0"/>
          </a:endParaRPr>
        </a:p>
      </xdr:txBody>
    </xdr:sp>
    <xdr:clientData/>
  </xdr:twoCellAnchor>
  <xdr:twoCellAnchor>
    <xdr:from>
      <xdr:col>75</xdr:col>
      <xdr:colOff>1</xdr:colOff>
      <xdr:row>8</xdr:row>
      <xdr:rowOff>1</xdr:rowOff>
    </xdr:from>
    <xdr:to>
      <xdr:col>110</xdr:col>
      <xdr:colOff>78441</xdr:colOff>
      <xdr:row>16</xdr:row>
      <xdr:rowOff>134472</xdr:rowOff>
    </xdr:to>
    <xdr:sp macro="" textlink="">
      <xdr:nvSpPr>
        <xdr:cNvPr id="44" name="CuadroTexto 43">
          <a:extLst>
            <a:ext uri="{FF2B5EF4-FFF2-40B4-BE49-F238E27FC236}">
              <a16:creationId xmlns:a16="http://schemas.microsoft.com/office/drawing/2014/main" id="{02F3D418-2831-4B51-B81F-4FC66930B958}"/>
            </a:ext>
          </a:extLst>
        </xdr:cNvPr>
        <xdr:cNvSpPr txBox="1"/>
      </xdr:nvSpPr>
      <xdr:spPr>
        <a:xfrm>
          <a:off x="13447060" y="1792942"/>
          <a:ext cx="6353734" cy="1927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B0F0"/>
              </a:solidFill>
              <a:latin typeface="Barlow" panose="00000500000000000000" pitchFamily="2" charset="0"/>
              <a:ea typeface="+mn-ea"/>
              <a:cs typeface="+mn-cs"/>
            </a:rPr>
            <a:t>Pasos</a:t>
          </a:r>
        </a:p>
        <a:p>
          <a:endParaRPr lang="es-CL" sz="1050" b="1">
            <a:solidFill>
              <a:sysClr val="windowText" lastClr="000000"/>
            </a:solidFill>
            <a:latin typeface="Barlow" panose="00000500000000000000" pitchFamily="2" charset="0"/>
          </a:endParaRPr>
        </a:p>
        <a:p>
          <a:r>
            <a:rPr lang="es-CL" sz="1050" b="1">
              <a:solidFill>
                <a:srgbClr val="00B0F0"/>
              </a:solidFill>
              <a:latin typeface="Barlow" panose="00000500000000000000" pitchFamily="2" charset="0"/>
              <a:ea typeface="+mn-ea"/>
              <a:cs typeface="+mn-cs"/>
            </a:rPr>
            <a:t>Perfil de riesgo</a:t>
          </a:r>
        </a:p>
        <a:p>
          <a:r>
            <a:rPr lang="es-CL" sz="1050" b="0">
              <a:solidFill>
                <a:srgbClr val="002060"/>
              </a:solidFill>
              <a:latin typeface="Barlow" panose="00000500000000000000" pitchFamily="2" charset="0"/>
              <a:ea typeface="+mn-ea"/>
              <a:cs typeface="+mn-cs"/>
            </a:rPr>
            <a:t>Para acutalizar su perfil, debe seguir los siguientes pasos:</a:t>
          </a:r>
        </a:p>
        <a:p>
          <a:endParaRPr lang="es-CL" sz="1050" b="0">
            <a:solidFill>
              <a:srgbClr val="002060"/>
            </a:solidFill>
            <a:latin typeface="Barlow" panose="00000500000000000000" pitchFamily="2" charset="0"/>
            <a:ea typeface="+mn-ea"/>
            <a:cs typeface="+mn-cs"/>
          </a:endParaRPr>
        </a:p>
        <a:p>
          <a:r>
            <a:rPr lang="es-CL" sz="1050" b="1">
              <a:solidFill>
                <a:srgbClr val="00B0F0"/>
              </a:solidFill>
              <a:latin typeface="Barlow" panose="00000500000000000000" pitchFamily="2" charset="0"/>
              <a:ea typeface="+mn-ea"/>
              <a:cs typeface="+mn-cs"/>
            </a:rPr>
            <a:t>1. </a:t>
          </a:r>
          <a:r>
            <a:rPr lang="es-CL" sz="1050" b="0">
              <a:solidFill>
                <a:srgbClr val="002060"/>
              </a:solidFill>
              <a:latin typeface="Barlow" panose="00000500000000000000" pitchFamily="2" charset="0"/>
              <a:ea typeface="+mn-ea"/>
              <a:cs typeface="+mn-cs"/>
            </a:rPr>
            <a:t>Ingresar con su usuario y contraseña a afpcapital.cl</a:t>
          </a:r>
        </a:p>
        <a:p>
          <a:r>
            <a:rPr lang="es-CL" sz="1050" b="1">
              <a:solidFill>
                <a:srgbClr val="00B0F0"/>
              </a:solidFill>
              <a:latin typeface="Barlow" panose="00000500000000000000" pitchFamily="2" charset="0"/>
              <a:ea typeface="+mn-ea"/>
              <a:cs typeface="+mn-cs"/>
            </a:rPr>
            <a:t>2.</a:t>
          </a:r>
          <a:r>
            <a:rPr lang="es-CL" sz="1050" b="0">
              <a:solidFill>
                <a:srgbClr val="002060"/>
              </a:solidFill>
              <a:latin typeface="Barlow" panose="00000500000000000000" pitchFamily="2" charset="0"/>
              <a:ea typeface="+mn-ea"/>
              <a:cs typeface="+mn-cs"/>
            </a:rPr>
            <a:t>Opción "Asesoría"</a:t>
          </a:r>
          <a:r>
            <a:rPr lang="es-CL" sz="1050" b="0" baseline="0">
              <a:solidFill>
                <a:srgbClr val="002060"/>
              </a:solidFill>
              <a:latin typeface="Barlow" panose="00000500000000000000" pitchFamily="2" charset="0"/>
              <a:ea typeface="+mn-ea"/>
              <a:cs typeface="+mn-cs"/>
            </a:rPr>
            <a:t> y luego opción "Perfil de riesgo".</a:t>
          </a:r>
          <a:endParaRPr lang="es-CL" sz="1050" b="0">
            <a:solidFill>
              <a:srgbClr val="002060"/>
            </a:solidFill>
            <a:latin typeface="Barlow" panose="00000500000000000000" pitchFamily="2" charset="0"/>
            <a:ea typeface="+mn-ea"/>
            <a:cs typeface="+mn-cs"/>
          </a:endParaRPr>
        </a:p>
        <a:p>
          <a:r>
            <a:rPr lang="es-CL" sz="1050" b="1">
              <a:solidFill>
                <a:srgbClr val="00B0F0"/>
              </a:solidFill>
              <a:latin typeface="Barlow" panose="00000500000000000000" pitchFamily="2" charset="0"/>
              <a:ea typeface="+mn-ea"/>
              <a:cs typeface="+mn-cs"/>
            </a:rPr>
            <a:t>3. </a:t>
          </a:r>
          <a:r>
            <a:rPr lang="es-CL" sz="1050" b="0">
              <a:solidFill>
                <a:srgbClr val="002060"/>
              </a:solidFill>
              <a:latin typeface="Barlow" panose="00000500000000000000" pitchFamily="2" charset="0"/>
              <a:ea typeface="+mn-ea"/>
              <a:cs typeface="+mn-cs"/>
            </a:rPr>
            <a:t>Hacer clic el botón “Actualizar</a:t>
          </a:r>
          <a:r>
            <a:rPr lang="es-CL" sz="1050" b="0" baseline="0">
              <a:solidFill>
                <a:srgbClr val="002060"/>
              </a:solidFill>
              <a:latin typeface="Barlow" panose="00000500000000000000" pitchFamily="2" charset="0"/>
              <a:ea typeface="+mn-ea"/>
              <a:cs typeface="+mn-cs"/>
            </a:rPr>
            <a:t> Perfil</a:t>
          </a:r>
          <a:r>
            <a:rPr lang="es-CL" sz="1050" b="0">
              <a:solidFill>
                <a:srgbClr val="002060"/>
              </a:solidFill>
              <a:latin typeface="Barlow" panose="00000500000000000000" pitchFamily="2" charset="0"/>
              <a:ea typeface="+mn-ea"/>
              <a:cs typeface="+mn-cs"/>
            </a:rPr>
            <a:t>” y responder las preguntas del cuestionario</a:t>
          </a:r>
        </a:p>
        <a:p>
          <a:endParaRPr lang="es-CL" sz="1050" b="0">
            <a:solidFill>
              <a:srgbClr val="002060"/>
            </a:solidFill>
            <a:latin typeface="Barlow" panose="00000500000000000000" pitchFamily="2" charset="0"/>
            <a:ea typeface="+mn-ea"/>
            <a:cs typeface="+mn-cs"/>
          </a:endParaRPr>
        </a:p>
        <a:p>
          <a:r>
            <a:rPr lang="es-CL" sz="1100" b="1">
              <a:solidFill>
                <a:srgbClr val="00B0F0"/>
              </a:solidFill>
              <a:latin typeface="Barlow" panose="00000500000000000000" pitchFamily="2" charset="0"/>
            </a:rPr>
            <a:t>A.</a:t>
          </a:r>
          <a:r>
            <a:rPr lang="es-CL" sz="1100" b="1" baseline="0">
              <a:solidFill>
                <a:srgbClr val="00B0F0"/>
              </a:solidFill>
              <a:latin typeface="Barlow" panose="00000500000000000000" pitchFamily="2" charset="0"/>
            </a:rPr>
            <a:t> </a:t>
          </a:r>
          <a:r>
            <a:rPr lang="es-CL" sz="1050" b="0">
              <a:solidFill>
                <a:srgbClr val="002060"/>
              </a:solidFill>
              <a:latin typeface="Barlow" panose="00000500000000000000" pitchFamily="2" charset="0"/>
            </a:rPr>
            <a:t>Selecciona el </a:t>
          </a:r>
          <a:r>
            <a:rPr lang="es-CL" sz="1050" b="0">
              <a:solidFill>
                <a:srgbClr val="00B0F0"/>
              </a:solidFill>
              <a:latin typeface="Barlow" panose="00000500000000000000" pitchFamily="2" charset="0"/>
            </a:rPr>
            <a:t>perfil del cliente</a:t>
          </a:r>
          <a:r>
            <a:rPr lang="es-CL" sz="1050" b="0">
              <a:solidFill>
                <a:srgbClr val="002060"/>
              </a:solidFill>
              <a:latin typeface="Barlow" panose="00000500000000000000" pitchFamily="2" charset="0"/>
            </a:rPr>
            <a:t>,</a:t>
          </a:r>
          <a:r>
            <a:rPr lang="es-CL" sz="1050" b="0" baseline="0">
              <a:solidFill>
                <a:srgbClr val="002060"/>
              </a:solidFill>
              <a:latin typeface="Barlow" panose="00000500000000000000" pitchFamily="2" charset="0"/>
            </a:rPr>
            <a:t> si no tiene debes seleccinar </a:t>
          </a:r>
          <a:r>
            <a:rPr lang="es-CL" sz="1050" b="1" baseline="0">
              <a:solidFill>
                <a:srgbClr val="00B0F0"/>
              </a:solidFill>
              <a:latin typeface="Barlow" panose="00000500000000000000" pitchFamily="2" charset="0"/>
            </a:rPr>
            <a:t>"sin perfil"</a:t>
          </a:r>
          <a:r>
            <a:rPr lang="es-CL" sz="1050" b="0" baseline="0">
              <a:solidFill>
                <a:srgbClr val="002060"/>
              </a:solidFill>
              <a:latin typeface="Barlow" panose="00000500000000000000" pitchFamily="2" charset="0"/>
              <a:ea typeface="+mn-ea"/>
              <a:cs typeface="+mn-cs"/>
            </a:rPr>
            <a:t>:</a:t>
          </a:r>
        </a:p>
      </xdr:txBody>
    </xdr:sp>
    <xdr:clientData/>
  </xdr:twoCellAnchor>
  <xdr:twoCellAnchor>
    <xdr:from>
      <xdr:col>40</xdr:col>
      <xdr:colOff>33621</xdr:colOff>
      <xdr:row>18</xdr:row>
      <xdr:rowOff>44823</xdr:rowOff>
    </xdr:from>
    <xdr:to>
      <xdr:col>56</xdr:col>
      <xdr:colOff>22413</xdr:colOff>
      <xdr:row>25</xdr:row>
      <xdr:rowOff>112058</xdr:rowOff>
    </xdr:to>
    <xdr:graphicFrame macro="">
      <xdr:nvGraphicFramePr>
        <xdr:cNvPr id="45" name="Gráfico 44">
          <a:extLst>
            <a:ext uri="{FF2B5EF4-FFF2-40B4-BE49-F238E27FC236}">
              <a16:creationId xmlns:a16="http://schemas.microsoft.com/office/drawing/2014/main" id="{E16180FF-635F-4CBC-BFD4-DEDB312E5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112</xdr:col>
      <xdr:colOff>11206</xdr:colOff>
      <xdr:row>7</xdr:row>
      <xdr:rowOff>44823</xdr:rowOff>
    </xdr:from>
    <xdr:to>
      <xdr:col>147</xdr:col>
      <xdr:colOff>163286</xdr:colOff>
      <xdr:row>10</xdr:row>
      <xdr:rowOff>149679</xdr:rowOff>
    </xdr:to>
    <xdr:sp macro="" textlink="">
      <xdr:nvSpPr>
        <xdr:cNvPr id="48" name="CuadroTexto 47">
          <a:extLst>
            <a:ext uri="{FF2B5EF4-FFF2-40B4-BE49-F238E27FC236}">
              <a16:creationId xmlns:a16="http://schemas.microsoft.com/office/drawing/2014/main" id="{0AFCFBE6-4085-43BC-8BB7-773FECC2CF76}"/>
            </a:ext>
          </a:extLst>
        </xdr:cNvPr>
        <xdr:cNvSpPr txBox="1"/>
      </xdr:nvSpPr>
      <xdr:spPr>
        <a:xfrm>
          <a:off x="19823206" y="1664073"/>
          <a:ext cx="6343330" cy="798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B0F0"/>
              </a:solidFill>
              <a:latin typeface="Barlow" panose="00000500000000000000" pitchFamily="2" charset="0"/>
              <a:ea typeface="+mn-ea"/>
              <a:cs typeface="+mn-cs"/>
            </a:rPr>
            <a:t>Pasos</a:t>
          </a:r>
        </a:p>
        <a:p>
          <a:endParaRPr lang="es-CL" sz="1050" b="0">
            <a:solidFill>
              <a:srgbClr val="002060"/>
            </a:solidFill>
            <a:latin typeface="Barlow" panose="00000500000000000000" pitchFamily="2" charset="0"/>
            <a:ea typeface="+mn-ea"/>
            <a:cs typeface="+mn-cs"/>
          </a:endParaRPr>
        </a:p>
        <a:p>
          <a:r>
            <a:rPr lang="es-CL" sz="1050" b="0">
              <a:solidFill>
                <a:srgbClr val="002060"/>
              </a:solidFill>
              <a:latin typeface="Barlow" panose="00000500000000000000" pitchFamily="2" charset="0"/>
              <a:ea typeface="+mn-ea"/>
              <a:cs typeface="+mn-cs"/>
            </a:rPr>
            <a:t>Ingresa el saldo actual y aportes mensuales, </a:t>
          </a:r>
          <a:r>
            <a:rPr lang="es-CL" sz="1050" b="1" u="sng">
              <a:solidFill>
                <a:srgbClr val="002060"/>
              </a:solidFill>
              <a:latin typeface="Barlow" panose="00000500000000000000" pitchFamily="2" charset="0"/>
              <a:ea typeface="+mn-ea"/>
              <a:cs typeface="+mn-cs"/>
            </a:rPr>
            <a:t>en el caso del aporte obligatorio se</a:t>
          </a:r>
          <a:r>
            <a:rPr lang="es-CL" sz="1050" b="1" u="sng" baseline="0">
              <a:solidFill>
                <a:srgbClr val="002060"/>
              </a:solidFill>
              <a:latin typeface="Barlow" panose="00000500000000000000" pitchFamily="2" charset="0"/>
              <a:ea typeface="+mn-ea"/>
              <a:cs typeface="+mn-cs"/>
            </a:rPr>
            <a:t> calcula </a:t>
          </a:r>
          <a:r>
            <a:rPr lang="es-CL" sz="1050" b="1" u="sng">
              <a:solidFill>
                <a:srgbClr val="002060"/>
              </a:solidFill>
              <a:latin typeface="Barlow" panose="00000500000000000000" pitchFamily="2" charset="0"/>
              <a:ea typeface="+mn-ea"/>
              <a:cs typeface="+mn-cs"/>
            </a:rPr>
            <a:t>automáticamente</a:t>
          </a:r>
          <a:r>
            <a:rPr lang="es-CL" sz="1050" b="0" u="none">
              <a:solidFill>
                <a:srgbClr val="002060"/>
              </a:solidFill>
              <a:latin typeface="Barlow" panose="00000500000000000000" pitchFamily="2" charset="0"/>
              <a:ea typeface="+mn-ea"/>
              <a:cs typeface="+mn-cs"/>
            </a:rPr>
            <a:t>:</a:t>
          </a:r>
          <a:endParaRPr lang="es-CL" sz="1050" b="0">
            <a:solidFill>
              <a:srgbClr val="002060"/>
            </a:solidFill>
            <a:latin typeface="Barlow" panose="00000500000000000000" pitchFamily="2" charset="0"/>
            <a:ea typeface="+mn-ea"/>
            <a:cs typeface="+mn-cs"/>
          </a:endParaRPr>
        </a:p>
        <a:p>
          <a:endParaRPr lang="es-CL" sz="1050" b="0">
            <a:solidFill>
              <a:srgbClr val="002060"/>
            </a:solidFill>
            <a:latin typeface="Barlow" panose="00000500000000000000" pitchFamily="2" charset="0"/>
            <a:ea typeface="+mn-ea"/>
            <a:cs typeface="+mn-cs"/>
          </a:endParaRPr>
        </a:p>
      </xdr:txBody>
    </xdr:sp>
    <xdr:clientData/>
  </xdr:twoCellAnchor>
  <xdr:twoCellAnchor>
    <xdr:from>
      <xdr:col>75</xdr:col>
      <xdr:colOff>17930</xdr:colOff>
      <xdr:row>30</xdr:row>
      <xdr:rowOff>216273</xdr:rowOff>
    </xdr:from>
    <xdr:to>
      <xdr:col>82</xdr:col>
      <xdr:colOff>141195</xdr:colOff>
      <xdr:row>37</xdr:row>
      <xdr:rowOff>99732</xdr:rowOff>
    </xdr:to>
    <xdr:grpSp>
      <xdr:nvGrpSpPr>
        <xdr:cNvPr id="50" name="Grupo 49">
          <a:extLst>
            <a:ext uri="{FF2B5EF4-FFF2-40B4-BE49-F238E27FC236}">
              <a16:creationId xmlns:a16="http://schemas.microsoft.com/office/drawing/2014/main" id="{EDE8BCF0-9D6B-4A87-B899-C8A79F755085}"/>
            </a:ext>
          </a:extLst>
        </xdr:cNvPr>
        <xdr:cNvGrpSpPr/>
      </xdr:nvGrpSpPr>
      <xdr:grpSpPr>
        <a:xfrm>
          <a:off x="14305430" y="7019844"/>
          <a:ext cx="1456765" cy="1470959"/>
          <a:chOff x="7485529" y="6712324"/>
          <a:chExt cx="1658471" cy="1445558"/>
        </a:xfrm>
      </xdr:grpSpPr>
      <xdr:sp macro="" textlink="">
        <xdr:nvSpPr>
          <xdr:cNvPr id="51" name="Diagrama de flujo: almacenamiento de acceso secuencial 50">
            <a:extLst>
              <a:ext uri="{FF2B5EF4-FFF2-40B4-BE49-F238E27FC236}">
                <a16:creationId xmlns:a16="http://schemas.microsoft.com/office/drawing/2014/main" id="{9C2625BF-6AB7-6492-B367-5C6D820FDA5E}"/>
              </a:ext>
            </a:extLst>
          </xdr:cNvPr>
          <xdr:cNvSpPr/>
        </xdr:nvSpPr>
        <xdr:spPr>
          <a:xfrm>
            <a:off x="7485529" y="6712324"/>
            <a:ext cx="1624853" cy="1445558"/>
          </a:xfrm>
          <a:prstGeom prst="flowChartMagneticTape">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52" name="CuadroTexto 51">
            <a:extLst>
              <a:ext uri="{FF2B5EF4-FFF2-40B4-BE49-F238E27FC236}">
                <a16:creationId xmlns:a16="http://schemas.microsoft.com/office/drawing/2014/main" id="{65CFAA7A-C033-4C78-B950-2A62860617D6}"/>
              </a:ext>
            </a:extLst>
          </xdr:cNvPr>
          <xdr:cNvSpPr txBox="1"/>
        </xdr:nvSpPr>
        <xdr:spPr>
          <a:xfrm>
            <a:off x="7530353" y="6993849"/>
            <a:ext cx="1613647" cy="86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baseline="0">
                <a:solidFill>
                  <a:srgbClr val="002060"/>
                </a:solidFill>
                <a:latin typeface="Barlow" panose="00000500000000000000" pitchFamily="2" charset="0"/>
              </a:rPr>
              <a:t>¿Como transmitir la información?</a:t>
            </a:r>
            <a:endParaRPr lang="es-CL" sz="1200" b="1">
              <a:solidFill>
                <a:srgbClr val="002060"/>
              </a:solidFill>
              <a:latin typeface="Barlow" panose="00000500000000000000" pitchFamily="2" charset="0"/>
            </a:endParaRPr>
          </a:p>
        </xdr:txBody>
      </xdr:sp>
    </xdr:grpSp>
    <xdr:clientData/>
  </xdr:twoCellAnchor>
  <xdr:twoCellAnchor>
    <xdr:from>
      <xdr:col>75</xdr:col>
      <xdr:colOff>11205</xdr:colOff>
      <xdr:row>17</xdr:row>
      <xdr:rowOff>44824</xdr:rowOff>
    </xdr:from>
    <xdr:to>
      <xdr:col>84</xdr:col>
      <xdr:colOff>67235</xdr:colOff>
      <xdr:row>18</xdr:row>
      <xdr:rowOff>168088</xdr:rowOff>
    </xdr:to>
    <xdr:sp macro="" textlink="">
      <xdr:nvSpPr>
        <xdr:cNvPr id="54" name="Rectángulo: esquinas redondeadas 53">
          <a:extLst>
            <a:ext uri="{FF2B5EF4-FFF2-40B4-BE49-F238E27FC236}">
              <a16:creationId xmlns:a16="http://schemas.microsoft.com/office/drawing/2014/main" id="{EE2E37E8-5B29-4D20-96E3-68BA9C8D5C0D}"/>
            </a:ext>
          </a:extLst>
        </xdr:cNvPr>
        <xdr:cNvSpPr/>
      </xdr:nvSpPr>
      <xdr:spPr>
        <a:xfrm>
          <a:off x="13458264" y="3854824"/>
          <a:ext cx="1669677" cy="34738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900" b="1">
              <a:solidFill>
                <a:srgbClr val="E9ED33"/>
              </a:solidFill>
              <a:latin typeface="Barlow" panose="00000500000000000000" pitchFamily="2" charset="0"/>
            </a:rPr>
            <a:t>A. </a:t>
          </a:r>
          <a:r>
            <a:rPr lang="es-CL" sz="900">
              <a:latin typeface="Barlow" panose="00000500000000000000" pitchFamily="2" charset="0"/>
            </a:rPr>
            <a:t>Perfil</a:t>
          </a:r>
          <a:r>
            <a:rPr lang="es-CL" sz="900" baseline="0">
              <a:latin typeface="Barlow" panose="00000500000000000000" pitchFamily="2" charset="0"/>
            </a:rPr>
            <a:t> de Riesgo</a:t>
          </a:r>
          <a:endParaRPr lang="es-CL" sz="900">
            <a:latin typeface="Barlow" panose="00000500000000000000" pitchFamily="2" charset="0"/>
          </a:endParaRPr>
        </a:p>
      </xdr:txBody>
    </xdr:sp>
    <xdr:clientData/>
  </xdr:twoCellAnchor>
  <xdr:twoCellAnchor>
    <xdr:from>
      <xdr:col>93</xdr:col>
      <xdr:colOff>0</xdr:colOff>
      <xdr:row>17</xdr:row>
      <xdr:rowOff>44823</xdr:rowOff>
    </xdr:from>
    <xdr:to>
      <xdr:col>102</xdr:col>
      <xdr:colOff>56030</xdr:colOff>
      <xdr:row>18</xdr:row>
      <xdr:rowOff>168087</xdr:rowOff>
    </xdr:to>
    <xdr:sp macro="" textlink="">
      <xdr:nvSpPr>
        <xdr:cNvPr id="3" name="Rectángulo: esquinas redondeadas 2">
          <a:extLst>
            <a:ext uri="{FF2B5EF4-FFF2-40B4-BE49-F238E27FC236}">
              <a16:creationId xmlns:a16="http://schemas.microsoft.com/office/drawing/2014/main" id="{B901BD21-A039-4429-BB0A-B77793822BD6}"/>
            </a:ext>
          </a:extLst>
        </xdr:cNvPr>
        <xdr:cNvSpPr/>
      </xdr:nvSpPr>
      <xdr:spPr>
        <a:xfrm>
          <a:off x="16674353" y="3854823"/>
          <a:ext cx="1669677" cy="34738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s-CL" sz="900" b="1">
              <a:solidFill>
                <a:srgbClr val="E9ED33"/>
              </a:solidFill>
              <a:latin typeface="Barlow" panose="00000500000000000000" pitchFamily="2" charset="0"/>
            </a:rPr>
            <a:t>B. </a:t>
          </a:r>
          <a:r>
            <a:rPr lang="es-CL" sz="900">
              <a:latin typeface="Barlow" panose="00000500000000000000" pitchFamily="2" charset="0"/>
            </a:rPr>
            <a:t>Fondo</a:t>
          </a:r>
        </a:p>
      </xdr:txBody>
    </xdr:sp>
    <xdr:clientData/>
  </xdr:twoCellAnchor>
  <xdr:twoCellAnchor>
    <xdr:from>
      <xdr:col>112</xdr:col>
      <xdr:colOff>10646</xdr:colOff>
      <xdr:row>12</xdr:row>
      <xdr:rowOff>44824</xdr:rowOff>
    </xdr:from>
    <xdr:to>
      <xdr:col>121</xdr:col>
      <xdr:colOff>145677</xdr:colOff>
      <xdr:row>13</xdr:row>
      <xdr:rowOff>168088</xdr:rowOff>
    </xdr:to>
    <xdr:sp macro="" textlink="">
      <xdr:nvSpPr>
        <xdr:cNvPr id="4" name="Rectángulo: esquinas redondeadas 3">
          <a:extLst>
            <a:ext uri="{FF2B5EF4-FFF2-40B4-BE49-F238E27FC236}">
              <a16:creationId xmlns:a16="http://schemas.microsoft.com/office/drawing/2014/main" id="{86E88006-73D9-463A-A8DF-A13932C831EA}"/>
            </a:ext>
          </a:extLst>
        </xdr:cNvPr>
        <xdr:cNvSpPr/>
      </xdr:nvSpPr>
      <xdr:spPr>
        <a:xfrm>
          <a:off x="20091587" y="2734236"/>
          <a:ext cx="1748678" cy="347381"/>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solidFill>
                <a:srgbClr val="E9ED33"/>
              </a:solidFill>
              <a:effectLst/>
              <a:latin typeface="+mn-lt"/>
              <a:ea typeface="+mn-ea"/>
              <a:cs typeface="+mn-cs"/>
            </a:rPr>
            <a:t>A. </a:t>
          </a:r>
          <a:r>
            <a:rPr lang="es-CL" sz="900" b="0">
              <a:solidFill>
                <a:schemeClr val="lt1"/>
              </a:solidFill>
              <a:latin typeface="Barlow" panose="00000500000000000000" pitchFamily="2" charset="0"/>
            </a:rPr>
            <a:t>C</a:t>
          </a:r>
          <a:r>
            <a:rPr lang="es-CL" sz="900">
              <a:latin typeface="Barlow" panose="00000500000000000000" pitchFamily="2" charset="0"/>
            </a:rPr>
            <a:t>uenta</a:t>
          </a:r>
          <a:r>
            <a:rPr lang="es-CL" sz="900" baseline="0">
              <a:latin typeface="Barlow" panose="00000500000000000000" pitchFamily="2" charset="0"/>
            </a:rPr>
            <a:t> Obligatoria</a:t>
          </a:r>
          <a:endParaRPr lang="es-CL" sz="900">
            <a:latin typeface="Barlow" panose="00000500000000000000" pitchFamily="2" charset="0"/>
          </a:endParaRPr>
        </a:p>
      </xdr:txBody>
    </xdr:sp>
    <xdr:clientData/>
  </xdr:twoCellAnchor>
  <xdr:twoCellAnchor>
    <xdr:from>
      <xdr:col>82</xdr:col>
      <xdr:colOff>150718</xdr:colOff>
      <xdr:row>30</xdr:row>
      <xdr:rowOff>33618</xdr:rowOff>
    </xdr:from>
    <xdr:to>
      <xdr:col>110</xdr:col>
      <xdr:colOff>150718</xdr:colOff>
      <xdr:row>38</xdr:row>
      <xdr:rowOff>560</xdr:rowOff>
    </xdr:to>
    <xdr:sp macro="" textlink="">
      <xdr:nvSpPr>
        <xdr:cNvPr id="34" name="CuadroTexto 33">
          <a:extLst>
            <a:ext uri="{FF2B5EF4-FFF2-40B4-BE49-F238E27FC236}">
              <a16:creationId xmlns:a16="http://schemas.microsoft.com/office/drawing/2014/main" id="{1561F1C3-59B7-4C1B-A03F-F9B206D1C8DD}"/>
            </a:ext>
          </a:extLst>
        </xdr:cNvPr>
        <xdr:cNvSpPr txBox="1"/>
      </xdr:nvSpPr>
      <xdr:spPr>
        <a:xfrm>
          <a:off x="14852836" y="6757147"/>
          <a:ext cx="5020235" cy="1759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050" b="1">
              <a:solidFill>
                <a:sysClr val="windowText" lastClr="000000"/>
              </a:solidFill>
              <a:latin typeface="Barlow" panose="00000500000000000000" pitchFamily="2" charset="0"/>
            </a:rPr>
            <a:t>La importancia</a:t>
          </a:r>
          <a:r>
            <a:rPr lang="es-CL" sz="1050" b="1" baseline="0">
              <a:solidFill>
                <a:sysClr val="windowText" lastClr="000000"/>
              </a:solidFill>
              <a:latin typeface="Barlow" panose="00000500000000000000" pitchFamily="2" charset="0"/>
            </a:rPr>
            <a:t> del perfil</a:t>
          </a:r>
          <a:endParaRPr lang="es-CL" sz="1050" b="1">
            <a:solidFill>
              <a:sysClr val="windowText" lastClr="000000"/>
            </a:solidFill>
            <a:latin typeface="Barlow" panose="00000500000000000000" pitchFamily="2" charset="0"/>
          </a:endParaRPr>
        </a:p>
        <a:p>
          <a:endParaRPr lang="es-CL" sz="1050" b="1">
            <a:solidFill>
              <a:sysClr val="windowText" lastClr="000000"/>
            </a:solidFill>
            <a:latin typeface="Barlow" panose="00000500000000000000" pitchFamily="2" charset="0"/>
          </a:endParaRPr>
        </a:p>
        <a:p>
          <a:r>
            <a:rPr lang="es-CL" sz="1100" b="1">
              <a:solidFill>
                <a:srgbClr val="00B0F0"/>
              </a:solidFill>
              <a:latin typeface="Barlow" panose="00000500000000000000" pitchFamily="2" charset="0"/>
              <a:ea typeface="+mn-ea"/>
              <a:cs typeface="+mn-cs"/>
            </a:rPr>
            <a:t>A.</a:t>
          </a:r>
          <a:r>
            <a:rPr lang="es-CL" sz="1050" b="0" baseline="0">
              <a:solidFill>
                <a:srgbClr val="002060"/>
              </a:solidFill>
              <a:latin typeface="Barlow" panose="00000500000000000000" pitchFamily="2" charset="0"/>
              <a:ea typeface="+mn-ea"/>
              <a:cs typeface="+mn-cs"/>
            </a:rPr>
            <a:t>Selección de perfil de riesgo.</a:t>
          </a:r>
        </a:p>
        <a:p>
          <a:r>
            <a:rPr lang="es-CL" sz="1100" b="1">
              <a:solidFill>
                <a:srgbClr val="00B0F0"/>
              </a:solidFill>
              <a:latin typeface="Barlow" panose="00000500000000000000" pitchFamily="2" charset="0"/>
              <a:ea typeface="+mn-ea"/>
              <a:cs typeface="+mn-cs"/>
            </a:rPr>
            <a:t>B.</a:t>
          </a:r>
          <a:r>
            <a:rPr lang="es-CL" sz="1050" b="0" baseline="0">
              <a:solidFill>
                <a:srgbClr val="002060"/>
              </a:solidFill>
              <a:latin typeface="Barlow" panose="00000500000000000000" pitchFamily="2" charset="0"/>
              <a:ea typeface="+mn-ea"/>
              <a:cs typeface="+mn-cs"/>
            </a:rPr>
            <a:t> Automáticamente se asignará el fondo.</a:t>
          </a:r>
        </a:p>
        <a:p>
          <a:endParaRPr lang="es-CL" sz="1050" b="0" baseline="0">
            <a:solidFill>
              <a:srgbClr val="002060"/>
            </a:solidFill>
            <a:latin typeface="Barlow" panose="00000500000000000000" pitchFamily="2" charset="0"/>
            <a:ea typeface="+mn-ea"/>
            <a:cs typeface="+mn-cs"/>
          </a:endParaRPr>
        </a:p>
        <a:p>
          <a:r>
            <a:rPr lang="es-CL" sz="1050" b="0" baseline="0">
              <a:solidFill>
                <a:srgbClr val="002060"/>
              </a:solidFill>
              <a:latin typeface="Barlow" panose="00000500000000000000" pitchFamily="2" charset="0"/>
              <a:ea typeface="+mn-ea"/>
              <a:cs typeface="+mn-cs"/>
            </a:rPr>
            <a:t>Mientras más cerca estés de la edad legal de jubilación (60 años en las mujeres y 65 años en los hombres), los ahorros previsionales tendrán menos tiempo para recuperar ganancias en caso de que hayan experimentado fluctuaciones en la rentabilidad, de forma contraria en edades tempranas de ahorro tienes más tiempo para recuperar las variaciones de mercado.</a:t>
          </a:r>
        </a:p>
      </xdr:txBody>
    </xdr:sp>
    <xdr:clientData/>
  </xdr:twoCellAnchor>
  <xdr:twoCellAnchor>
    <xdr:from>
      <xdr:col>112</xdr:col>
      <xdr:colOff>0</xdr:colOff>
      <xdr:row>30</xdr:row>
      <xdr:rowOff>215713</xdr:rowOff>
    </xdr:from>
    <xdr:to>
      <xdr:col>119</xdr:col>
      <xdr:colOff>161365</xdr:colOff>
      <xdr:row>37</xdr:row>
      <xdr:rowOff>99172</xdr:rowOff>
    </xdr:to>
    <xdr:grpSp>
      <xdr:nvGrpSpPr>
        <xdr:cNvPr id="56" name="Grupo 55">
          <a:extLst>
            <a:ext uri="{FF2B5EF4-FFF2-40B4-BE49-F238E27FC236}">
              <a16:creationId xmlns:a16="http://schemas.microsoft.com/office/drawing/2014/main" id="{E5A5EC22-898C-4949-B1FA-C47DAD3F9596}"/>
            </a:ext>
          </a:extLst>
        </xdr:cNvPr>
        <xdr:cNvGrpSpPr/>
      </xdr:nvGrpSpPr>
      <xdr:grpSpPr>
        <a:xfrm>
          <a:off x="21336000" y="7019284"/>
          <a:ext cx="1494865" cy="1470959"/>
          <a:chOff x="7485529" y="6712324"/>
          <a:chExt cx="1658471" cy="1445558"/>
        </a:xfrm>
      </xdr:grpSpPr>
      <xdr:sp macro="" textlink="">
        <xdr:nvSpPr>
          <xdr:cNvPr id="57" name="Diagrama de flujo: almacenamiento de acceso secuencial 56">
            <a:extLst>
              <a:ext uri="{FF2B5EF4-FFF2-40B4-BE49-F238E27FC236}">
                <a16:creationId xmlns:a16="http://schemas.microsoft.com/office/drawing/2014/main" id="{34AD54D0-FE10-B54F-B427-4F472A5AA732}"/>
              </a:ext>
            </a:extLst>
          </xdr:cNvPr>
          <xdr:cNvSpPr/>
        </xdr:nvSpPr>
        <xdr:spPr>
          <a:xfrm>
            <a:off x="7485529" y="6712324"/>
            <a:ext cx="1624853" cy="1445558"/>
          </a:xfrm>
          <a:prstGeom prst="flowChartMagneticTape">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sp macro="" textlink="">
        <xdr:nvSpPr>
          <xdr:cNvPr id="58" name="CuadroTexto 57">
            <a:extLst>
              <a:ext uri="{FF2B5EF4-FFF2-40B4-BE49-F238E27FC236}">
                <a16:creationId xmlns:a16="http://schemas.microsoft.com/office/drawing/2014/main" id="{999E181E-D28A-5AA9-FE44-16E1876A8B8E}"/>
              </a:ext>
            </a:extLst>
          </xdr:cNvPr>
          <xdr:cNvSpPr txBox="1"/>
        </xdr:nvSpPr>
        <xdr:spPr>
          <a:xfrm>
            <a:off x="7530353" y="6993849"/>
            <a:ext cx="1613647" cy="86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200" b="1" baseline="0">
                <a:solidFill>
                  <a:srgbClr val="002060"/>
                </a:solidFill>
                <a:latin typeface="Barlow" panose="00000500000000000000" pitchFamily="2" charset="0"/>
              </a:rPr>
              <a:t>¿Como transmitir la información?</a:t>
            </a:r>
            <a:endParaRPr lang="es-CL" sz="1200" b="1">
              <a:solidFill>
                <a:srgbClr val="002060"/>
              </a:solidFill>
              <a:latin typeface="Barlow" panose="00000500000000000000" pitchFamily="2" charset="0"/>
            </a:endParaRPr>
          </a:p>
        </xdr:txBody>
      </xdr:sp>
    </xdr:grpSp>
    <xdr:clientData/>
  </xdr:twoCellAnchor>
  <xdr:twoCellAnchor>
    <xdr:from>
      <xdr:col>119</xdr:col>
      <xdr:colOff>170889</xdr:colOff>
      <xdr:row>30</xdr:row>
      <xdr:rowOff>56031</xdr:rowOff>
    </xdr:from>
    <xdr:to>
      <xdr:col>148</xdr:col>
      <xdr:colOff>78442</xdr:colOff>
      <xdr:row>38</xdr:row>
      <xdr:rowOff>78442</xdr:rowOff>
    </xdr:to>
    <xdr:sp macro="" textlink="">
      <xdr:nvSpPr>
        <xdr:cNvPr id="59" name="CuadroTexto 58">
          <a:extLst>
            <a:ext uri="{FF2B5EF4-FFF2-40B4-BE49-F238E27FC236}">
              <a16:creationId xmlns:a16="http://schemas.microsoft.com/office/drawing/2014/main" id="{1FAC9589-CB2E-4E23-A4B7-4C62A1906C80}"/>
            </a:ext>
          </a:extLst>
        </xdr:cNvPr>
        <xdr:cNvSpPr txBox="1"/>
      </xdr:nvSpPr>
      <xdr:spPr>
        <a:xfrm>
          <a:off x="21506889" y="6779560"/>
          <a:ext cx="5107082" cy="1815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050" b="1">
              <a:solidFill>
                <a:sysClr val="windowText" lastClr="000000"/>
              </a:solidFill>
              <a:latin typeface="Barlow" panose="00000500000000000000" pitchFamily="2" charset="0"/>
            </a:rPr>
            <a:t>La importancia</a:t>
          </a:r>
          <a:r>
            <a:rPr lang="es-CL" sz="1050" b="1" baseline="0">
              <a:solidFill>
                <a:sysClr val="windowText" lastClr="000000"/>
              </a:solidFill>
              <a:latin typeface="Barlow" panose="00000500000000000000" pitchFamily="2" charset="0"/>
            </a:rPr>
            <a:t> de cotizar por sobre la cotización obligatoria</a:t>
          </a:r>
        </a:p>
        <a:p>
          <a:r>
            <a:rPr lang="es-CL" sz="1050" b="1">
              <a:solidFill>
                <a:srgbClr val="0070C0"/>
              </a:solidFill>
              <a:latin typeface="Barlow" panose="00000500000000000000" pitchFamily="2" charset="0"/>
              <a:ea typeface="+mn-ea"/>
              <a:cs typeface="+mn-cs"/>
            </a:rPr>
            <a:t>Complementa tu futura pensión</a:t>
          </a:r>
        </a:p>
        <a:p>
          <a:endParaRPr lang="es-CL" sz="1050" b="0" baseline="0">
            <a:solidFill>
              <a:srgbClr val="002060"/>
            </a:solidFill>
            <a:latin typeface="Barlow" panose="00000500000000000000" pitchFamily="2" charset="0"/>
            <a:ea typeface="+mn-ea"/>
            <a:cs typeface="+mn-cs"/>
          </a:endParaRPr>
        </a:p>
        <a:p>
          <a:r>
            <a:rPr lang="es-CL" sz="1050" b="1" baseline="0">
              <a:solidFill>
                <a:srgbClr val="00B0F0"/>
              </a:solidFill>
              <a:latin typeface="Barlow" panose="00000500000000000000" pitchFamily="2" charset="0"/>
              <a:ea typeface="+mn-ea"/>
              <a:cs typeface="+mn-cs"/>
            </a:rPr>
            <a:t>A. </a:t>
          </a:r>
          <a:r>
            <a:rPr lang="es-CL" sz="1050" b="0" baseline="0">
              <a:solidFill>
                <a:srgbClr val="002060"/>
              </a:solidFill>
              <a:latin typeface="Barlow" panose="00000500000000000000" pitchFamily="2" charset="0"/>
              <a:ea typeface="+mn-ea"/>
              <a:cs typeface="+mn-cs"/>
            </a:rPr>
            <a:t>Ingresa los saldos actuales, ellos son los saldos que tiene el cliente en sus cuentas previsionales.</a:t>
          </a:r>
          <a:br>
            <a:rPr lang="es-CL" sz="1050" b="0" baseline="0">
              <a:solidFill>
                <a:srgbClr val="002060"/>
              </a:solidFill>
              <a:latin typeface="Barlow" panose="00000500000000000000" pitchFamily="2" charset="0"/>
              <a:ea typeface="+mn-ea"/>
              <a:cs typeface="+mn-cs"/>
            </a:rPr>
          </a:br>
          <a:r>
            <a:rPr lang="es-CL" sz="1050" b="1" baseline="0">
              <a:solidFill>
                <a:srgbClr val="00B0F0"/>
              </a:solidFill>
              <a:latin typeface="Barlow" panose="00000500000000000000" pitchFamily="2" charset="0"/>
              <a:ea typeface="+mn-ea"/>
              <a:cs typeface="+mn-cs"/>
            </a:rPr>
            <a:t>B.</a:t>
          </a:r>
          <a:r>
            <a:rPr lang="es-CL" sz="1050" b="0" baseline="0">
              <a:solidFill>
                <a:srgbClr val="002060"/>
              </a:solidFill>
              <a:latin typeface="Barlow" panose="00000500000000000000" pitchFamily="2" charset="0"/>
              <a:ea typeface="+mn-ea"/>
              <a:cs typeface="+mn-cs"/>
            </a:rPr>
            <a:t>Si realiza aportes mensuales como APV/Depcon ingresalos, si no, puedes ir evaluando aportes para mejorar y/o anticipar pensión.</a:t>
          </a:r>
        </a:p>
        <a:p>
          <a:endParaRPr lang="es-CL" sz="1050" b="0" baseline="0">
            <a:solidFill>
              <a:srgbClr val="002060"/>
            </a:solidFill>
            <a:latin typeface="Barlow" panose="00000500000000000000" pitchFamily="2" charset="0"/>
            <a:ea typeface="+mn-ea"/>
            <a:cs typeface="+mn-cs"/>
          </a:endParaRPr>
        </a:p>
        <a:p>
          <a:r>
            <a:rPr lang="es-CL" sz="1000" b="0" baseline="0">
              <a:solidFill>
                <a:srgbClr val="002060"/>
              </a:solidFill>
              <a:latin typeface="Barlow" panose="00000500000000000000" pitchFamily="2" charset="0"/>
              <a:ea typeface="+mn-ea"/>
              <a:cs typeface="+mn-cs"/>
            </a:rPr>
            <a:t>Aprovecha los beneficios de ahorrar APV/Depcon, tiene incentivos tributarios y aportes de saldo por parte del estado a tu cuenta de ahorro.</a:t>
          </a:r>
        </a:p>
        <a:p>
          <a:endParaRPr lang="es-CL" sz="1050" b="0" baseline="0">
            <a:solidFill>
              <a:srgbClr val="002060"/>
            </a:solidFill>
            <a:latin typeface="Barlow" panose="00000500000000000000" pitchFamily="2" charset="0"/>
            <a:ea typeface="+mn-ea"/>
            <a:cs typeface="+mn-cs"/>
          </a:endParaRPr>
        </a:p>
        <a:p>
          <a:endParaRPr lang="es-CL" sz="1050" b="0" baseline="0">
            <a:solidFill>
              <a:srgbClr val="002060"/>
            </a:solidFill>
            <a:latin typeface="Barlow" panose="00000500000000000000" pitchFamily="2" charset="0"/>
            <a:ea typeface="+mn-ea"/>
            <a:cs typeface="+mn-cs"/>
          </a:endParaRPr>
        </a:p>
      </xdr:txBody>
    </xdr:sp>
    <xdr:clientData/>
  </xdr:twoCellAnchor>
  <xdr:twoCellAnchor>
    <xdr:from>
      <xdr:col>149</xdr:col>
      <xdr:colOff>0</xdr:colOff>
      <xdr:row>7</xdr:row>
      <xdr:rowOff>228599</xdr:rowOff>
    </xdr:from>
    <xdr:to>
      <xdr:col>184</xdr:col>
      <xdr:colOff>22412</xdr:colOff>
      <xdr:row>12</xdr:row>
      <xdr:rowOff>9524</xdr:rowOff>
    </xdr:to>
    <xdr:sp macro="" textlink="">
      <xdr:nvSpPr>
        <xdr:cNvPr id="69" name="CuadroTexto 68">
          <a:extLst>
            <a:ext uri="{FF2B5EF4-FFF2-40B4-BE49-F238E27FC236}">
              <a16:creationId xmlns:a16="http://schemas.microsoft.com/office/drawing/2014/main" id="{1C5F8B2F-5692-4406-A8BF-726740663A87}"/>
            </a:ext>
          </a:extLst>
        </xdr:cNvPr>
        <xdr:cNvSpPr txBox="1"/>
      </xdr:nvSpPr>
      <xdr:spPr>
        <a:xfrm>
          <a:off x="27003375" y="1828799"/>
          <a:ext cx="635653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B0F0"/>
              </a:solidFill>
              <a:latin typeface="Barlow" panose="00000500000000000000" pitchFamily="2" charset="0"/>
              <a:ea typeface="+mn-ea"/>
              <a:cs typeface="+mn-cs"/>
            </a:rPr>
            <a:t>Plan</a:t>
          </a:r>
          <a:r>
            <a:rPr lang="es-CL" sz="1400" b="1" baseline="0">
              <a:solidFill>
                <a:srgbClr val="00B0F0"/>
              </a:solidFill>
              <a:latin typeface="Barlow" panose="00000500000000000000" pitchFamily="2" charset="0"/>
              <a:ea typeface="+mn-ea"/>
              <a:cs typeface="+mn-cs"/>
            </a:rPr>
            <a:t> de ahorro para el retiro:</a:t>
          </a:r>
          <a:endParaRPr lang="es-CL" sz="1400" b="1">
            <a:solidFill>
              <a:srgbClr val="00B0F0"/>
            </a:solidFill>
            <a:latin typeface="Barlow" panose="00000500000000000000" pitchFamily="2" charset="0"/>
            <a:ea typeface="+mn-ea"/>
            <a:cs typeface="+mn-cs"/>
          </a:endParaRPr>
        </a:p>
        <a:p>
          <a:endParaRPr lang="es-CL" sz="1050" b="0">
            <a:solidFill>
              <a:srgbClr val="002060"/>
            </a:solidFill>
            <a:latin typeface="Barlow" panose="00000500000000000000" pitchFamily="2" charset="0"/>
            <a:ea typeface="+mn-ea"/>
            <a:cs typeface="+mn-cs"/>
          </a:endParaRPr>
        </a:p>
        <a:p>
          <a:endParaRPr lang="es-CL" sz="1050" b="0">
            <a:solidFill>
              <a:srgbClr val="002060"/>
            </a:solidFill>
            <a:latin typeface="Barlow" panose="00000500000000000000" pitchFamily="2" charset="0"/>
            <a:ea typeface="+mn-ea"/>
            <a:cs typeface="+mn-cs"/>
          </a:endParaRPr>
        </a:p>
        <a:p>
          <a:endParaRPr lang="es-CL" sz="1050" b="0">
            <a:solidFill>
              <a:srgbClr val="002060"/>
            </a:solidFill>
            <a:latin typeface="Barlow" panose="00000500000000000000" pitchFamily="2" charset="0"/>
            <a:ea typeface="+mn-ea"/>
            <a:cs typeface="+mn-cs"/>
          </a:endParaRPr>
        </a:p>
      </xdr:txBody>
    </xdr:sp>
    <xdr:clientData/>
  </xdr:twoCellAnchor>
  <xdr:twoCellAnchor>
    <xdr:from>
      <xdr:col>111</xdr:col>
      <xdr:colOff>179293</xdr:colOff>
      <xdr:row>14</xdr:row>
      <xdr:rowOff>33618</xdr:rowOff>
    </xdr:from>
    <xdr:to>
      <xdr:col>121</xdr:col>
      <xdr:colOff>135952</xdr:colOff>
      <xdr:row>15</xdr:row>
      <xdr:rowOff>158700</xdr:rowOff>
    </xdr:to>
    <xdr:sp macro="" textlink="">
      <xdr:nvSpPr>
        <xdr:cNvPr id="5" name="Rectángulo: esquinas redondeadas 4">
          <a:extLst>
            <a:ext uri="{FF2B5EF4-FFF2-40B4-BE49-F238E27FC236}">
              <a16:creationId xmlns:a16="http://schemas.microsoft.com/office/drawing/2014/main" id="{93FF46A5-0F16-4C2D-9224-601CDF41DCD3}"/>
            </a:ext>
          </a:extLst>
        </xdr:cNvPr>
        <xdr:cNvSpPr/>
      </xdr:nvSpPr>
      <xdr:spPr>
        <a:xfrm>
          <a:off x="20267518" y="3234018"/>
          <a:ext cx="1766409" cy="353682"/>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solidFill>
                <a:srgbClr val="E9ED33"/>
              </a:solidFill>
              <a:effectLst/>
              <a:latin typeface="+mn-lt"/>
              <a:ea typeface="+mn-ea"/>
              <a:cs typeface="+mn-cs"/>
            </a:rPr>
            <a:t>A. </a:t>
          </a:r>
          <a:r>
            <a:rPr lang="es-CL" sz="900" b="0">
              <a:solidFill>
                <a:schemeClr val="lt1"/>
              </a:solidFill>
              <a:latin typeface="Barlow" panose="00000500000000000000" pitchFamily="2" charset="0"/>
            </a:rPr>
            <a:t>C</a:t>
          </a:r>
          <a:r>
            <a:rPr lang="es-CL" sz="900">
              <a:latin typeface="Barlow" panose="00000500000000000000" pitchFamily="2" charset="0"/>
            </a:rPr>
            <a:t>uenta</a:t>
          </a:r>
          <a:r>
            <a:rPr lang="es-CL" sz="900" baseline="0">
              <a:latin typeface="Barlow" panose="00000500000000000000" pitchFamily="2" charset="0"/>
            </a:rPr>
            <a:t> Voluntario</a:t>
          </a:r>
          <a:endParaRPr lang="es-CL" sz="900">
            <a:latin typeface="Barlow" panose="00000500000000000000" pitchFamily="2" charset="0"/>
          </a:endParaRPr>
        </a:p>
      </xdr:txBody>
    </xdr:sp>
    <xdr:clientData/>
  </xdr:twoCellAnchor>
  <xdr:twoCellAnchor>
    <xdr:from>
      <xdr:col>111</xdr:col>
      <xdr:colOff>174811</xdr:colOff>
      <xdr:row>16</xdr:row>
      <xdr:rowOff>29135</xdr:rowOff>
    </xdr:from>
    <xdr:to>
      <xdr:col>121</xdr:col>
      <xdr:colOff>131470</xdr:colOff>
      <xdr:row>17</xdr:row>
      <xdr:rowOff>154217</xdr:rowOff>
    </xdr:to>
    <xdr:sp macro="" textlink="">
      <xdr:nvSpPr>
        <xdr:cNvPr id="10" name="Rectángulo: esquinas redondeadas 9">
          <a:extLst>
            <a:ext uri="{FF2B5EF4-FFF2-40B4-BE49-F238E27FC236}">
              <a16:creationId xmlns:a16="http://schemas.microsoft.com/office/drawing/2014/main" id="{E9EF41C8-5696-4386-A0D3-D9ADC2A7E9B1}"/>
            </a:ext>
          </a:extLst>
        </xdr:cNvPr>
        <xdr:cNvSpPr/>
      </xdr:nvSpPr>
      <xdr:spPr>
        <a:xfrm>
          <a:off x="20076458" y="3615017"/>
          <a:ext cx="1749600" cy="34920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solidFill>
                <a:srgbClr val="E9ED33"/>
              </a:solidFill>
              <a:effectLst/>
              <a:latin typeface="+mn-lt"/>
              <a:ea typeface="+mn-ea"/>
              <a:cs typeface="+mn-cs"/>
            </a:rPr>
            <a:t>A. </a:t>
          </a:r>
          <a:r>
            <a:rPr lang="es-CL" sz="900" b="0">
              <a:solidFill>
                <a:schemeClr val="lt1"/>
              </a:solidFill>
              <a:latin typeface="Barlow" panose="00000500000000000000" pitchFamily="2" charset="0"/>
            </a:rPr>
            <a:t>Depositos</a:t>
          </a:r>
          <a:r>
            <a:rPr lang="es-CL" sz="900" b="0" baseline="0">
              <a:solidFill>
                <a:schemeClr val="lt1"/>
              </a:solidFill>
              <a:latin typeface="Barlow" panose="00000500000000000000" pitchFamily="2" charset="0"/>
            </a:rPr>
            <a:t> Convenidos</a:t>
          </a:r>
          <a:endParaRPr lang="es-CL" sz="900">
            <a:latin typeface="Barlow" panose="00000500000000000000" pitchFamily="2" charset="0"/>
          </a:endParaRPr>
        </a:p>
      </xdr:txBody>
    </xdr:sp>
    <xdr:clientData/>
  </xdr:twoCellAnchor>
  <xdr:twoCellAnchor>
    <xdr:from>
      <xdr:col>111</xdr:col>
      <xdr:colOff>179293</xdr:colOff>
      <xdr:row>18</xdr:row>
      <xdr:rowOff>44820</xdr:rowOff>
    </xdr:from>
    <xdr:to>
      <xdr:col>121</xdr:col>
      <xdr:colOff>135952</xdr:colOff>
      <xdr:row>19</xdr:row>
      <xdr:rowOff>169903</xdr:rowOff>
    </xdr:to>
    <xdr:sp macro="" textlink="">
      <xdr:nvSpPr>
        <xdr:cNvPr id="36" name="Rectángulo: esquinas redondeadas 35">
          <a:extLst>
            <a:ext uri="{FF2B5EF4-FFF2-40B4-BE49-F238E27FC236}">
              <a16:creationId xmlns:a16="http://schemas.microsoft.com/office/drawing/2014/main" id="{CF916000-7D93-4455-BE22-EDB2ED88AC21}"/>
            </a:ext>
          </a:extLst>
        </xdr:cNvPr>
        <xdr:cNvSpPr/>
      </xdr:nvSpPr>
      <xdr:spPr>
        <a:xfrm>
          <a:off x="20080940" y="4078938"/>
          <a:ext cx="1749600" cy="3492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0">
              <a:solidFill>
                <a:schemeClr val="lt1"/>
              </a:solidFill>
              <a:latin typeface="Barlow" panose="00000500000000000000" pitchFamily="2" charset="0"/>
            </a:rPr>
            <a:t>Total Saldos</a:t>
          </a:r>
          <a:endParaRPr lang="es-CL" sz="900">
            <a:latin typeface="Barlow" panose="00000500000000000000" pitchFamily="2" charset="0"/>
          </a:endParaRPr>
        </a:p>
      </xdr:txBody>
    </xdr:sp>
    <xdr:clientData/>
  </xdr:twoCellAnchor>
  <xdr:twoCellAnchor>
    <xdr:from>
      <xdr:col>130</xdr:col>
      <xdr:colOff>11205</xdr:colOff>
      <xdr:row>12</xdr:row>
      <xdr:rowOff>56029</xdr:rowOff>
    </xdr:from>
    <xdr:to>
      <xdr:col>139</xdr:col>
      <xdr:colOff>147158</xdr:colOff>
      <xdr:row>13</xdr:row>
      <xdr:rowOff>181112</xdr:rowOff>
    </xdr:to>
    <xdr:sp macro="" textlink="">
      <xdr:nvSpPr>
        <xdr:cNvPr id="42" name="Rectángulo: esquinas redondeadas 41">
          <a:extLst>
            <a:ext uri="{FF2B5EF4-FFF2-40B4-BE49-F238E27FC236}">
              <a16:creationId xmlns:a16="http://schemas.microsoft.com/office/drawing/2014/main" id="{9B2378D0-B152-4A3B-81B4-B57AB510B63A}"/>
            </a:ext>
          </a:extLst>
        </xdr:cNvPr>
        <xdr:cNvSpPr/>
      </xdr:nvSpPr>
      <xdr:spPr>
        <a:xfrm>
          <a:off x="23319440" y="2745441"/>
          <a:ext cx="1749600" cy="349200"/>
        </a:xfrm>
        <a:prstGeom prst="round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0">
              <a:solidFill>
                <a:schemeClr val="lt1"/>
              </a:solidFill>
              <a:latin typeface="Barlow" panose="00000500000000000000" pitchFamily="2" charset="0"/>
            </a:rPr>
            <a:t>C</a:t>
          </a:r>
          <a:r>
            <a:rPr lang="es-CL" sz="900">
              <a:latin typeface="Barlow" panose="00000500000000000000" pitchFamily="2" charset="0"/>
            </a:rPr>
            <a:t>uenta</a:t>
          </a:r>
          <a:r>
            <a:rPr lang="es-CL" sz="900" baseline="0">
              <a:latin typeface="Barlow" panose="00000500000000000000" pitchFamily="2" charset="0"/>
            </a:rPr>
            <a:t> Obligatoria</a:t>
          </a:r>
          <a:endParaRPr lang="es-CL" sz="900">
            <a:latin typeface="Barlow" panose="00000500000000000000" pitchFamily="2" charset="0"/>
          </a:endParaRPr>
        </a:p>
      </xdr:txBody>
    </xdr:sp>
    <xdr:clientData/>
  </xdr:twoCellAnchor>
  <xdr:twoCellAnchor>
    <xdr:from>
      <xdr:col>130</xdr:col>
      <xdr:colOff>559</xdr:colOff>
      <xdr:row>14</xdr:row>
      <xdr:rowOff>33617</xdr:rowOff>
    </xdr:from>
    <xdr:to>
      <xdr:col>139</xdr:col>
      <xdr:colOff>136512</xdr:colOff>
      <xdr:row>15</xdr:row>
      <xdr:rowOff>158699</xdr:rowOff>
    </xdr:to>
    <xdr:sp macro="" textlink="">
      <xdr:nvSpPr>
        <xdr:cNvPr id="43" name="Rectángulo: esquinas redondeadas 42">
          <a:extLst>
            <a:ext uri="{FF2B5EF4-FFF2-40B4-BE49-F238E27FC236}">
              <a16:creationId xmlns:a16="http://schemas.microsoft.com/office/drawing/2014/main" id="{5923C2A1-AE5F-487E-ABC2-092D4C4DC804}"/>
            </a:ext>
          </a:extLst>
        </xdr:cNvPr>
        <xdr:cNvSpPr/>
      </xdr:nvSpPr>
      <xdr:spPr>
        <a:xfrm>
          <a:off x="23308794" y="3171264"/>
          <a:ext cx="1749600" cy="349200"/>
        </a:xfrm>
        <a:prstGeom prst="roundRect">
          <a:avLst/>
        </a:prstGeom>
        <a:solidFill>
          <a:srgbClr val="E9E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1">
              <a:solidFill>
                <a:schemeClr val="tx1"/>
              </a:solidFill>
              <a:latin typeface="Barlow" panose="00000500000000000000" pitchFamily="2" charset="0"/>
            </a:rPr>
            <a:t>B. Cuenta</a:t>
          </a:r>
          <a:r>
            <a:rPr lang="es-CL" sz="900" b="1" baseline="0">
              <a:solidFill>
                <a:schemeClr val="tx1"/>
              </a:solidFill>
              <a:latin typeface="Barlow" panose="00000500000000000000" pitchFamily="2" charset="0"/>
            </a:rPr>
            <a:t> Voluntario</a:t>
          </a:r>
          <a:endParaRPr lang="es-CL" sz="900" b="1">
            <a:solidFill>
              <a:schemeClr val="tx1"/>
            </a:solidFill>
            <a:latin typeface="Barlow" panose="00000500000000000000" pitchFamily="2" charset="0"/>
          </a:endParaRPr>
        </a:p>
      </xdr:txBody>
    </xdr:sp>
    <xdr:clientData/>
  </xdr:twoCellAnchor>
  <xdr:twoCellAnchor>
    <xdr:from>
      <xdr:col>129</xdr:col>
      <xdr:colOff>175371</xdr:colOff>
      <xdr:row>16</xdr:row>
      <xdr:rowOff>40341</xdr:rowOff>
    </xdr:from>
    <xdr:to>
      <xdr:col>139</xdr:col>
      <xdr:colOff>132030</xdr:colOff>
      <xdr:row>17</xdr:row>
      <xdr:rowOff>165423</xdr:rowOff>
    </xdr:to>
    <xdr:sp macro="" textlink="">
      <xdr:nvSpPr>
        <xdr:cNvPr id="49" name="Rectángulo: esquinas redondeadas 48">
          <a:extLst>
            <a:ext uri="{FF2B5EF4-FFF2-40B4-BE49-F238E27FC236}">
              <a16:creationId xmlns:a16="http://schemas.microsoft.com/office/drawing/2014/main" id="{25A2AB56-86E6-41C1-9DF0-9010E051BB26}"/>
            </a:ext>
          </a:extLst>
        </xdr:cNvPr>
        <xdr:cNvSpPr/>
      </xdr:nvSpPr>
      <xdr:spPr>
        <a:xfrm>
          <a:off x="23304312" y="3626223"/>
          <a:ext cx="1749600" cy="349200"/>
        </a:xfrm>
        <a:prstGeom prst="roundRect">
          <a:avLst/>
        </a:prstGeom>
        <a:solidFill>
          <a:srgbClr val="E9E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1">
              <a:solidFill>
                <a:schemeClr val="tx1"/>
              </a:solidFill>
              <a:latin typeface="Barlow" panose="00000500000000000000" pitchFamily="2" charset="0"/>
            </a:rPr>
            <a:t>B. Depositos</a:t>
          </a:r>
          <a:r>
            <a:rPr lang="es-CL" sz="900" b="1" baseline="0">
              <a:solidFill>
                <a:schemeClr val="tx1"/>
              </a:solidFill>
              <a:latin typeface="Barlow" panose="00000500000000000000" pitchFamily="2" charset="0"/>
            </a:rPr>
            <a:t> Convenidos</a:t>
          </a:r>
          <a:endParaRPr lang="es-CL" sz="900" b="1">
            <a:solidFill>
              <a:schemeClr val="tx1"/>
            </a:solidFill>
            <a:latin typeface="Barlow" panose="00000500000000000000" pitchFamily="2" charset="0"/>
          </a:endParaRPr>
        </a:p>
      </xdr:txBody>
    </xdr:sp>
    <xdr:clientData/>
  </xdr:twoCellAnchor>
  <xdr:twoCellAnchor>
    <xdr:from>
      <xdr:col>129</xdr:col>
      <xdr:colOff>179293</xdr:colOff>
      <xdr:row>18</xdr:row>
      <xdr:rowOff>44822</xdr:rowOff>
    </xdr:from>
    <xdr:to>
      <xdr:col>139</xdr:col>
      <xdr:colOff>135952</xdr:colOff>
      <xdr:row>19</xdr:row>
      <xdr:rowOff>169905</xdr:rowOff>
    </xdr:to>
    <xdr:sp macro="" textlink="">
      <xdr:nvSpPr>
        <xdr:cNvPr id="53" name="Rectángulo: esquinas redondeadas 52">
          <a:extLst>
            <a:ext uri="{FF2B5EF4-FFF2-40B4-BE49-F238E27FC236}">
              <a16:creationId xmlns:a16="http://schemas.microsoft.com/office/drawing/2014/main" id="{11F31457-675C-42B9-90E6-316A98B52D4A}"/>
            </a:ext>
          </a:extLst>
        </xdr:cNvPr>
        <xdr:cNvSpPr/>
      </xdr:nvSpPr>
      <xdr:spPr>
        <a:xfrm>
          <a:off x="23308234" y="4078940"/>
          <a:ext cx="1749600" cy="3492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0">
              <a:solidFill>
                <a:schemeClr val="lt1"/>
              </a:solidFill>
              <a:latin typeface="Barlow" panose="00000500000000000000" pitchFamily="2" charset="0"/>
            </a:rPr>
            <a:t>Total Aportes Mensuales</a:t>
          </a:r>
          <a:endParaRPr lang="es-CL" sz="900">
            <a:latin typeface="Barlow" panose="00000500000000000000" pitchFamily="2" charset="0"/>
          </a:endParaRPr>
        </a:p>
      </xdr:txBody>
    </xdr:sp>
    <xdr:clientData/>
  </xdr:twoCellAnchor>
  <xdr:twoCellAnchor>
    <xdr:from>
      <xdr:col>56</xdr:col>
      <xdr:colOff>56029</xdr:colOff>
      <xdr:row>23</xdr:row>
      <xdr:rowOff>0</xdr:rowOff>
    </xdr:from>
    <xdr:to>
      <xdr:col>65</xdr:col>
      <xdr:colOff>123264</xdr:colOff>
      <xdr:row>25</xdr:row>
      <xdr:rowOff>1</xdr:rowOff>
    </xdr:to>
    <xdr:sp macro="" textlink="">
      <xdr:nvSpPr>
        <xdr:cNvPr id="33" name="Rectángulo: esquinas redondeadas 32">
          <a:extLst>
            <a:ext uri="{FF2B5EF4-FFF2-40B4-BE49-F238E27FC236}">
              <a16:creationId xmlns:a16="http://schemas.microsoft.com/office/drawing/2014/main" id="{8423B450-5886-4DED-8C84-A663D2D59328}"/>
            </a:ext>
          </a:extLst>
        </xdr:cNvPr>
        <xdr:cNvSpPr/>
      </xdr:nvSpPr>
      <xdr:spPr>
        <a:xfrm>
          <a:off x="10096500" y="5154706"/>
          <a:ext cx="1680882" cy="44823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solidFill>
                <a:srgbClr val="E9ED33"/>
              </a:solidFill>
              <a:effectLst/>
              <a:latin typeface="+mn-lt"/>
              <a:ea typeface="+mn-ea"/>
              <a:cs typeface="+mn-cs"/>
            </a:rPr>
            <a:t>E. </a:t>
          </a:r>
          <a:r>
            <a:rPr lang="es-CL" sz="900">
              <a:latin typeface="Barlow" panose="00000500000000000000" pitchFamily="2" charset="0"/>
            </a:rPr>
            <a:t>Promedio</a:t>
          </a:r>
          <a:r>
            <a:rPr lang="es-CL" sz="900" baseline="0">
              <a:latin typeface="Barlow" panose="00000500000000000000" pitchFamily="2" charset="0"/>
            </a:rPr>
            <a:t> de cotizaciones 120 meses en pesos x 70%</a:t>
          </a:r>
          <a:endParaRPr lang="es-CL" sz="900">
            <a:latin typeface="Barlow" panose="00000500000000000000" pitchFamily="2" charset="0"/>
          </a:endParaRPr>
        </a:p>
      </xdr:txBody>
    </xdr:sp>
    <xdr:clientData/>
  </xdr:twoCellAnchor>
  <xdr:twoCellAnchor>
    <xdr:from>
      <xdr:col>130</xdr:col>
      <xdr:colOff>11205</xdr:colOff>
      <xdr:row>20</xdr:row>
      <xdr:rowOff>100852</xdr:rowOff>
    </xdr:from>
    <xdr:to>
      <xdr:col>139</xdr:col>
      <xdr:colOff>147158</xdr:colOff>
      <xdr:row>23</xdr:row>
      <xdr:rowOff>144899</xdr:rowOff>
    </xdr:to>
    <xdr:sp macro="" textlink="">
      <xdr:nvSpPr>
        <xdr:cNvPr id="55" name="Rectángulo: esquinas redondeadas 54">
          <a:extLst>
            <a:ext uri="{FF2B5EF4-FFF2-40B4-BE49-F238E27FC236}">
              <a16:creationId xmlns:a16="http://schemas.microsoft.com/office/drawing/2014/main" id="{CCB2E521-CC76-4521-AE22-2017B1B3CE94}"/>
            </a:ext>
          </a:extLst>
        </xdr:cNvPr>
        <xdr:cNvSpPr/>
      </xdr:nvSpPr>
      <xdr:spPr>
        <a:xfrm>
          <a:off x="23319440" y="4583205"/>
          <a:ext cx="1749600" cy="716400"/>
        </a:xfrm>
        <a:prstGeom prst="roundRect">
          <a:avLst/>
        </a:prstGeom>
        <a:solidFill>
          <a:srgbClr val="E9E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1">
              <a:solidFill>
                <a:srgbClr val="002060"/>
              </a:solidFill>
              <a:latin typeface="Barlow" panose="00000500000000000000" pitchFamily="2" charset="0"/>
            </a:rPr>
            <a:t>Pensión Proyectada CON APORTES Ahorro Previsional Voluntario y Depositos</a:t>
          </a:r>
          <a:r>
            <a:rPr lang="es-CL" sz="900" b="1" baseline="0">
              <a:solidFill>
                <a:srgbClr val="002060"/>
              </a:solidFill>
              <a:latin typeface="Barlow" panose="00000500000000000000" pitchFamily="2" charset="0"/>
            </a:rPr>
            <a:t> Convenidos mensuales.</a:t>
          </a:r>
          <a:endParaRPr lang="es-CL" sz="900" b="1">
            <a:solidFill>
              <a:srgbClr val="002060"/>
            </a:solidFill>
            <a:latin typeface="Barlow" panose="00000500000000000000" pitchFamily="2" charset="0"/>
          </a:endParaRPr>
        </a:p>
      </xdr:txBody>
    </xdr:sp>
    <xdr:clientData/>
  </xdr:twoCellAnchor>
  <xdr:twoCellAnchor>
    <xdr:from>
      <xdr:col>111</xdr:col>
      <xdr:colOff>179293</xdr:colOff>
      <xdr:row>23</xdr:row>
      <xdr:rowOff>168087</xdr:rowOff>
    </xdr:from>
    <xdr:to>
      <xdr:col>121</xdr:col>
      <xdr:colOff>135952</xdr:colOff>
      <xdr:row>27</xdr:row>
      <xdr:rowOff>161924</xdr:rowOff>
    </xdr:to>
    <xdr:sp macro="" textlink="">
      <xdr:nvSpPr>
        <xdr:cNvPr id="60" name="Rectángulo: esquinas redondeadas 59">
          <a:extLst>
            <a:ext uri="{FF2B5EF4-FFF2-40B4-BE49-F238E27FC236}">
              <a16:creationId xmlns:a16="http://schemas.microsoft.com/office/drawing/2014/main" id="{C007CA6F-C448-4552-AD79-DD2538488D85}"/>
            </a:ext>
          </a:extLst>
        </xdr:cNvPr>
        <xdr:cNvSpPr/>
      </xdr:nvSpPr>
      <xdr:spPr>
        <a:xfrm>
          <a:off x="20267518" y="5425887"/>
          <a:ext cx="1766409" cy="908237"/>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1">
              <a:solidFill>
                <a:schemeClr val="bg1"/>
              </a:solidFill>
              <a:latin typeface="Barlow" panose="00000500000000000000" pitchFamily="2" charset="0"/>
            </a:rPr>
            <a:t>Total saldos proyectados</a:t>
          </a:r>
          <a:r>
            <a:rPr lang="es-CL" sz="900" b="1" baseline="0">
              <a:solidFill>
                <a:schemeClr val="bg1"/>
              </a:solidFill>
              <a:latin typeface="Barlow" panose="00000500000000000000" pitchFamily="2" charset="0"/>
            </a:rPr>
            <a:t> a edad de pensión considera Saldos Actuales y SOLO aportes obligatorios si corresponde.</a:t>
          </a:r>
          <a:endParaRPr lang="es-CL" sz="900" b="1">
            <a:solidFill>
              <a:schemeClr val="bg1"/>
            </a:solidFill>
            <a:latin typeface="Barlow" panose="00000500000000000000" pitchFamily="2" charset="0"/>
          </a:endParaRPr>
        </a:p>
      </xdr:txBody>
    </xdr:sp>
    <xdr:clientData/>
  </xdr:twoCellAnchor>
  <xdr:twoCellAnchor>
    <xdr:from>
      <xdr:col>130</xdr:col>
      <xdr:colOff>11206</xdr:colOff>
      <xdr:row>23</xdr:row>
      <xdr:rowOff>168089</xdr:rowOff>
    </xdr:from>
    <xdr:to>
      <xdr:col>139</xdr:col>
      <xdr:colOff>147159</xdr:colOff>
      <xdr:row>27</xdr:row>
      <xdr:rowOff>161926</xdr:rowOff>
    </xdr:to>
    <xdr:sp macro="" textlink="">
      <xdr:nvSpPr>
        <xdr:cNvPr id="61" name="Rectángulo: esquinas redondeadas 60">
          <a:extLst>
            <a:ext uri="{FF2B5EF4-FFF2-40B4-BE49-F238E27FC236}">
              <a16:creationId xmlns:a16="http://schemas.microsoft.com/office/drawing/2014/main" id="{D28DA3B9-58F4-4F3A-8B41-56EC50982BD9}"/>
            </a:ext>
          </a:extLst>
        </xdr:cNvPr>
        <xdr:cNvSpPr/>
      </xdr:nvSpPr>
      <xdr:spPr>
        <a:xfrm>
          <a:off x="23537956" y="5425889"/>
          <a:ext cx="1764728" cy="908237"/>
        </a:xfrm>
        <a:prstGeom prst="roundRect">
          <a:avLst/>
        </a:prstGeom>
        <a:solidFill>
          <a:srgbClr val="E9E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1">
              <a:solidFill>
                <a:srgbClr val="002060"/>
              </a:solidFill>
              <a:latin typeface="Barlow" panose="00000500000000000000" pitchFamily="2" charset="0"/>
            </a:rPr>
            <a:t>Total saldos proyectados</a:t>
          </a:r>
          <a:r>
            <a:rPr lang="es-CL" sz="900" b="1" baseline="0">
              <a:solidFill>
                <a:srgbClr val="002060"/>
              </a:solidFill>
              <a:latin typeface="Barlow" panose="00000500000000000000" pitchFamily="2" charset="0"/>
            </a:rPr>
            <a:t> a edad de pensión con TODOS los aportes mensuales.</a:t>
          </a:r>
          <a:endParaRPr lang="es-CL" sz="900" b="1">
            <a:solidFill>
              <a:srgbClr val="002060"/>
            </a:solidFill>
            <a:latin typeface="Barlow" panose="00000500000000000000" pitchFamily="2" charset="0"/>
          </a:endParaRPr>
        </a:p>
      </xdr:txBody>
    </xdr:sp>
    <xdr:clientData/>
  </xdr:twoCellAnchor>
  <xdr:twoCellAnchor>
    <xdr:from>
      <xdr:col>149</xdr:col>
      <xdr:colOff>22411</xdr:colOff>
      <xdr:row>10</xdr:row>
      <xdr:rowOff>11206</xdr:rowOff>
    </xdr:from>
    <xdr:to>
      <xdr:col>183</xdr:col>
      <xdr:colOff>100852</xdr:colOff>
      <xdr:row>25</xdr:row>
      <xdr:rowOff>0</xdr:rowOff>
    </xdr:to>
    <xdr:graphicFrame macro="">
      <xdr:nvGraphicFramePr>
        <xdr:cNvPr id="75" name="Gráfico 74">
          <a:extLst>
            <a:ext uri="{FF2B5EF4-FFF2-40B4-BE49-F238E27FC236}">
              <a16:creationId xmlns:a16="http://schemas.microsoft.com/office/drawing/2014/main" id="{790A01F1-03DC-7C75-7EAE-B72A5035D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149</xdr:col>
      <xdr:colOff>-1</xdr:colOff>
      <xdr:row>25</xdr:row>
      <xdr:rowOff>56027</xdr:rowOff>
    </xdr:from>
    <xdr:to>
      <xdr:col>184</xdr:col>
      <xdr:colOff>134470</xdr:colOff>
      <xdr:row>38</xdr:row>
      <xdr:rowOff>11204</xdr:rowOff>
    </xdr:to>
    <xdr:sp macro="" textlink="">
      <xdr:nvSpPr>
        <xdr:cNvPr id="77" name="CuadroTexto 76">
          <a:extLst>
            <a:ext uri="{FF2B5EF4-FFF2-40B4-BE49-F238E27FC236}">
              <a16:creationId xmlns:a16="http://schemas.microsoft.com/office/drawing/2014/main" id="{FDD8B6E8-5D3B-438E-9462-16725E3A3842}"/>
            </a:ext>
          </a:extLst>
        </xdr:cNvPr>
        <xdr:cNvSpPr txBox="1"/>
      </xdr:nvSpPr>
      <xdr:spPr>
        <a:xfrm>
          <a:off x="26714823" y="5658968"/>
          <a:ext cx="6409765" cy="2868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solidFill>
                <a:schemeClr val="dk1"/>
              </a:solidFill>
              <a:effectLst/>
              <a:latin typeface="+mn-lt"/>
              <a:ea typeface="+mn-ea"/>
              <a:cs typeface="+mn-cs"/>
            </a:rPr>
            <a:t>Disclaimer</a:t>
          </a:r>
          <a:endParaRPr lang="es-CL" sz="105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s-CL" sz="1050" b="0" baseline="0">
            <a:solidFill>
              <a:srgbClr val="002060"/>
            </a:solidFill>
            <a:latin typeface="Barlow" panose="00000500000000000000" pitchFamily="2"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050" b="0" baseline="0">
              <a:solidFill>
                <a:srgbClr val="002060"/>
              </a:solidFill>
              <a:latin typeface="Barlow" panose="00000500000000000000" pitchFamily="2" charset="0"/>
              <a:ea typeface="+mn-ea"/>
              <a:cs typeface="+mn-cs"/>
            </a:rPr>
            <a:t>(*) Recomendamos validar la información, este cálculo puede variar si el grupo familiar es distinto al indicado en los supuestos. Para mayor detalle realice su Estudio de Pensión en nuestras sucursales. </a:t>
          </a:r>
          <a:endParaRPr lang="es-CL" sz="1050" b="0">
            <a:solidFill>
              <a:srgbClr val="002060"/>
            </a:solidFill>
            <a:latin typeface="Barlow" panose="00000500000000000000" pitchFamily="2" charset="0"/>
          </a:endParaRPr>
        </a:p>
        <a:p>
          <a:endParaRPr lang="es-CL" sz="1050" b="0">
            <a:solidFill>
              <a:srgbClr val="002060"/>
            </a:solidFill>
            <a:latin typeface="Barlow" panose="00000500000000000000" pitchFamily="2" charset="0"/>
          </a:endParaRPr>
        </a:p>
        <a:p>
          <a:r>
            <a:rPr lang="es-CL" sz="1050" b="0">
              <a:solidFill>
                <a:srgbClr val="002060"/>
              </a:solidFill>
              <a:latin typeface="Barlow" panose="00000500000000000000" pitchFamily="2" charset="0"/>
            </a:rPr>
            <a:t>(**) Supuesto:  para</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cálculos consideran mujer con cónyuge dos años mayor, hombre con cónyuge dos años menor</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sin otros beneficiarios de pensión. Según Circular Nº 1.905 de laSuperintendencia de Pensiones</a:t>
          </a:r>
          <a:r>
            <a:rPr lang="es-CL" sz="1050" b="0" baseline="0">
              <a:solidFill>
                <a:srgbClr val="002060"/>
              </a:solidFill>
              <a:latin typeface="Barlow" panose="00000500000000000000" pitchFamily="2" charset="0"/>
            </a:rPr>
            <a:t> con tasa de interes tecnico de retiro programado de 3,41% vigente trimestre 4 de 2025.</a:t>
          </a:r>
          <a:endParaRPr lang="es-CL" sz="1050" b="0">
            <a:solidFill>
              <a:srgbClr val="002060"/>
            </a:solidFill>
            <a:latin typeface="Barlow" panose="00000500000000000000" pitchFamily="2" charset="0"/>
          </a:endParaRPr>
        </a:p>
        <a:p>
          <a:endParaRPr lang="es-CL" sz="1050" b="0">
            <a:solidFill>
              <a:srgbClr val="002060"/>
            </a:solidFill>
            <a:latin typeface="Barlow" panose="00000500000000000000" pitchFamily="2" charset="0"/>
          </a:endParaRPr>
        </a:p>
        <a:p>
          <a:r>
            <a:rPr lang="es-CL" sz="1050" b="0" baseline="0">
              <a:solidFill>
                <a:srgbClr val="002060"/>
              </a:solidFill>
              <a:latin typeface="Barlow" panose="00000500000000000000" pitchFamily="2" charset="0"/>
              <a:ea typeface="+mn-ea"/>
              <a:cs typeface="+mn-cs"/>
            </a:rPr>
            <a:t>Supuesto promedio de cotizaciones de los ultimos 120 meses para un cotizante tope con UF al 31-12-2024   $ $2.163.704 </a:t>
          </a:r>
        </a:p>
      </xdr:txBody>
    </xdr:sp>
    <xdr:clientData/>
  </xdr:twoCellAnchor>
  <xdr:twoCellAnchor>
    <xdr:from>
      <xdr:col>112</xdr:col>
      <xdr:colOff>11205</xdr:colOff>
      <xdr:row>10</xdr:row>
      <xdr:rowOff>179294</xdr:rowOff>
    </xdr:from>
    <xdr:to>
      <xdr:col>128</xdr:col>
      <xdr:colOff>168086</xdr:colOff>
      <xdr:row>11</xdr:row>
      <xdr:rowOff>190499</xdr:rowOff>
    </xdr:to>
    <xdr:sp macro="" textlink="">
      <xdr:nvSpPr>
        <xdr:cNvPr id="78" name="Rectángulo 77">
          <a:extLst>
            <a:ext uri="{FF2B5EF4-FFF2-40B4-BE49-F238E27FC236}">
              <a16:creationId xmlns:a16="http://schemas.microsoft.com/office/drawing/2014/main" id="{745A4325-51B7-FDEA-1B13-368CAE26144D}"/>
            </a:ext>
          </a:extLst>
        </xdr:cNvPr>
        <xdr:cNvSpPr/>
      </xdr:nvSpPr>
      <xdr:spPr>
        <a:xfrm>
          <a:off x="20092146" y="2420470"/>
          <a:ext cx="3025587" cy="235323"/>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latin typeface="Barlow" panose="00000500000000000000" pitchFamily="2" charset="0"/>
            </a:rPr>
            <a:t>Saldos Actuales</a:t>
          </a:r>
        </a:p>
      </xdr:txBody>
    </xdr:sp>
    <xdr:clientData/>
  </xdr:twoCellAnchor>
  <xdr:twoCellAnchor>
    <xdr:from>
      <xdr:col>130</xdr:col>
      <xdr:colOff>6723</xdr:colOff>
      <xdr:row>10</xdr:row>
      <xdr:rowOff>174812</xdr:rowOff>
    </xdr:from>
    <xdr:to>
      <xdr:col>146</xdr:col>
      <xdr:colOff>163604</xdr:colOff>
      <xdr:row>11</xdr:row>
      <xdr:rowOff>186017</xdr:rowOff>
    </xdr:to>
    <xdr:sp macro="" textlink="">
      <xdr:nvSpPr>
        <xdr:cNvPr id="80" name="Rectángulo 79">
          <a:extLst>
            <a:ext uri="{FF2B5EF4-FFF2-40B4-BE49-F238E27FC236}">
              <a16:creationId xmlns:a16="http://schemas.microsoft.com/office/drawing/2014/main" id="{CE1E3912-5262-4858-884C-BA23C5FC8499}"/>
            </a:ext>
          </a:extLst>
        </xdr:cNvPr>
        <xdr:cNvSpPr/>
      </xdr:nvSpPr>
      <xdr:spPr>
        <a:xfrm>
          <a:off x="23314958" y="2415988"/>
          <a:ext cx="3025587" cy="235323"/>
        </a:xfrm>
        <a:prstGeom prst="rect">
          <a:avLst/>
        </a:prstGeom>
        <a:solidFill>
          <a:srgbClr val="E9ED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solidFill>
                <a:srgbClr val="002060"/>
              </a:solidFill>
              <a:latin typeface="Barlow" panose="00000500000000000000" pitchFamily="2" charset="0"/>
            </a:rPr>
            <a:t>Aportes Mensuales</a:t>
          </a:r>
        </a:p>
      </xdr:txBody>
    </xdr:sp>
    <xdr:clientData/>
  </xdr:twoCellAnchor>
  <xdr:twoCellAnchor>
    <xdr:from>
      <xdr:col>112</xdr:col>
      <xdr:colOff>6719</xdr:colOff>
      <xdr:row>20</xdr:row>
      <xdr:rowOff>96368</xdr:rowOff>
    </xdr:from>
    <xdr:to>
      <xdr:col>121</xdr:col>
      <xdr:colOff>142672</xdr:colOff>
      <xdr:row>23</xdr:row>
      <xdr:rowOff>140415</xdr:rowOff>
    </xdr:to>
    <xdr:sp macro="" textlink="">
      <xdr:nvSpPr>
        <xdr:cNvPr id="81" name="Rectángulo: esquinas redondeadas 80">
          <a:extLst>
            <a:ext uri="{FF2B5EF4-FFF2-40B4-BE49-F238E27FC236}">
              <a16:creationId xmlns:a16="http://schemas.microsoft.com/office/drawing/2014/main" id="{E3CB0A32-8618-4894-B6DC-C0F8983714C5}"/>
            </a:ext>
          </a:extLst>
        </xdr:cNvPr>
        <xdr:cNvSpPr/>
      </xdr:nvSpPr>
      <xdr:spPr>
        <a:xfrm>
          <a:off x="20087660" y="4578721"/>
          <a:ext cx="1749600" cy="716400"/>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900" b="1">
              <a:solidFill>
                <a:schemeClr val="bg1"/>
              </a:solidFill>
              <a:latin typeface="Barlow" panose="00000500000000000000" pitchFamily="2" charset="0"/>
            </a:rPr>
            <a:t>Pensión Proyectada, considera Saldos</a:t>
          </a:r>
          <a:r>
            <a:rPr lang="es-CL" sz="900" b="1" baseline="0">
              <a:solidFill>
                <a:schemeClr val="bg1"/>
              </a:solidFill>
              <a:latin typeface="Barlow" panose="00000500000000000000" pitchFamily="2" charset="0"/>
            </a:rPr>
            <a:t> Actuales y</a:t>
          </a:r>
          <a:r>
            <a:rPr lang="es-CL" sz="900" b="1">
              <a:solidFill>
                <a:schemeClr val="bg1"/>
              </a:solidFill>
              <a:latin typeface="Barlow" panose="00000500000000000000" pitchFamily="2" charset="0"/>
            </a:rPr>
            <a:t> SOLO aportes obligatorios si corresponde.</a:t>
          </a:r>
        </a:p>
      </xdr:txBody>
    </xdr:sp>
    <xdr:clientData/>
  </xdr:twoCellAnchor>
  <xdr:twoCellAnchor editAs="oneCell">
    <xdr:from>
      <xdr:col>0</xdr:col>
      <xdr:colOff>0</xdr:colOff>
      <xdr:row>26</xdr:row>
      <xdr:rowOff>190497</xdr:rowOff>
    </xdr:from>
    <xdr:to>
      <xdr:col>37</xdr:col>
      <xdr:colOff>1242</xdr:colOff>
      <xdr:row>38</xdr:row>
      <xdr:rowOff>0</xdr:rowOff>
    </xdr:to>
    <xdr:pic>
      <xdr:nvPicPr>
        <xdr:cNvPr id="82" name="Imagen 81">
          <a:extLst>
            <a:ext uri="{FF2B5EF4-FFF2-40B4-BE49-F238E27FC236}">
              <a16:creationId xmlns:a16="http://schemas.microsoft.com/office/drawing/2014/main" id="{508C1E88-153A-4802-AF5B-7A80633AF6C1}"/>
            </a:ext>
          </a:extLst>
        </xdr:cNvPr>
        <xdr:cNvPicPr>
          <a:picLocks noChangeAspect="1"/>
        </xdr:cNvPicPr>
      </xdr:nvPicPr>
      <xdr:blipFill rotWithShape="1">
        <a:blip xmlns:r="http://schemas.openxmlformats.org/officeDocument/2006/relationships" r:embed="rId3"/>
        <a:srcRect r="4644"/>
        <a:stretch/>
      </xdr:blipFill>
      <xdr:spPr>
        <a:xfrm>
          <a:off x="0" y="6134097"/>
          <a:ext cx="6697317" cy="2555514"/>
        </a:xfrm>
        <a:prstGeom prst="rect">
          <a:avLst/>
        </a:prstGeom>
      </xdr:spPr>
    </xdr:pic>
    <xdr:clientData/>
  </xdr:twoCellAnchor>
  <xdr:twoCellAnchor editAs="oneCell">
    <xdr:from>
      <xdr:col>29</xdr:col>
      <xdr:colOff>26690</xdr:colOff>
      <xdr:row>0</xdr:row>
      <xdr:rowOff>19050</xdr:rowOff>
    </xdr:from>
    <xdr:to>
      <xdr:col>37</xdr:col>
      <xdr:colOff>1457</xdr:colOff>
      <xdr:row>2</xdr:row>
      <xdr:rowOff>34089</xdr:rowOff>
    </xdr:to>
    <xdr:pic>
      <xdr:nvPicPr>
        <xdr:cNvPr id="83" name="Imagen 82">
          <a:extLst>
            <a:ext uri="{FF2B5EF4-FFF2-40B4-BE49-F238E27FC236}">
              <a16:creationId xmlns:a16="http://schemas.microsoft.com/office/drawing/2014/main" id="{CE0B7AB6-8DFC-4ECF-BBC6-8DF5ECF3D85B}"/>
            </a:ext>
          </a:extLst>
        </xdr:cNvPr>
        <xdr:cNvPicPr>
          <a:picLocks noChangeAspect="1"/>
        </xdr:cNvPicPr>
      </xdr:nvPicPr>
      <xdr:blipFill>
        <a:blip xmlns:r="http://schemas.openxmlformats.org/officeDocument/2006/relationships" r:embed="rId4"/>
        <a:stretch>
          <a:fillRect/>
        </a:stretch>
      </xdr:blipFill>
      <xdr:spPr>
        <a:xfrm>
          <a:off x="5274965" y="19050"/>
          <a:ext cx="1422567" cy="472239"/>
        </a:xfrm>
        <a:prstGeom prst="rect">
          <a:avLst/>
        </a:prstGeom>
      </xdr:spPr>
    </xdr:pic>
    <xdr:clientData/>
  </xdr:twoCellAnchor>
  <xdr:twoCellAnchor>
    <xdr:from>
      <xdr:col>0</xdr:col>
      <xdr:colOff>19051</xdr:colOff>
      <xdr:row>22</xdr:row>
      <xdr:rowOff>9526</xdr:rowOff>
    </xdr:from>
    <xdr:to>
      <xdr:col>36</xdr:col>
      <xdr:colOff>171451</xdr:colOff>
      <xdr:row>23</xdr:row>
      <xdr:rowOff>190500</xdr:rowOff>
    </xdr:to>
    <xdr:sp macro="" textlink="">
      <xdr:nvSpPr>
        <xdr:cNvPr id="84" name="CuadroTexto 83">
          <a:extLst>
            <a:ext uri="{FF2B5EF4-FFF2-40B4-BE49-F238E27FC236}">
              <a16:creationId xmlns:a16="http://schemas.microsoft.com/office/drawing/2014/main" id="{7127CAFA-A793-47FA-BA03-FD4F206DA47B}"/>
            </a:ext>
          </a:extLst>
        </xdr:cNvPr>
        <xdr:cNvSpPr txBox="1"/>
      </xdr:nvSpPr>
      <xdr:spPr>
        <a:xfrm>
          <a:off x="19051" y="4940114"/>
          <a:ext cx="6606988" cy="405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2800" baseline="0">
              <a:solidFill>
                <a:srgbClr val="FFFFFF"/>
              </a:solidFill>
              <a:latin typeface="Barlow" panose="00000500000000000000" pitchFamily="2" charset="0"/>
            </a:rPr>
            <a:t>Sensibilización de Pensión</a:t>
          </a:r>
        </a:p>
        <a:p>
          <a:pPr algn="r"/>
          <a:endParaRPr lang="es-CL" sz="1100">
            <a:solidFill>
              <a:srgbClr val="00B0F0"/>
            </a:solidFill>
            <a:latin typeface="Barlow" panose="00000500000000000000" pitchFamily="2" charset="0"/>
          </a:endParaRPr>
        </a:p>
      </xdr:txBody>
    </xdr:sp>
    <xdr:clientData/>
  </xdr:twoCellAnchor>
  <xdr:twoCellAnchor>
    <xdr:from>
      <xdr:col>0</xdr:col>
      <xdr:colOff>0</xdr:colOff>
      <xdr:row>0</xdr:row>
      <xdr:rowOff>0</xdr:rowOff>
    </xdr:from>
    <xdr:to>
      <xdr:col>16</xdr:col>
      <xdr:colOff>89646</xdr:colOff>
      <xdr:row>1</xdr:row>
      <xdr:rowOff>100853</xdr:rowOff>
    </xdr:to>
    <xdr:sp macro="" textlink="">
      <xdr:nvSpPr>
        <xdr:cNvPr id="85" name="Rectángulo: esquinas diagonales redondeadas 84">
          <a:extLst>
            <a:ext uri="{FF2B5EF4-FFF2-40B4-BE49-F238E27FC236}">
              <a16:creationId xmlns:a16="http://schemas.microsoft.com/office/drawing/2014/main" id="{90333714-9733-4156-A650-4C7E0ED8D9C7}"/>
            </a:ext>
          </a:extLst>
        </xdr:cNvPr>
        <xdr:cNvSpPr/>
      </xdr:nvSpPr>
      <xdr:spPr>
        <a:xfrm>
          <a:off x="0" y="0"/>
          <a:ext cx="2958352" cy="324971"/>
        </a:xfrm>
        <a:prstGeom prst="round2DiagRect">
          <a:avLst>
            <a:gd name="adj1" fmla="val 11240"/>
            <a:gd name="adj2" fmla="val 50000"/>
          </a:avLst>
        </a:prstGeom>
        <a:solidFill>
          <a:srgbClr val="0033A0"/>
        </a:solidFill>
        <a:ln w="3175">
          <a:solidFill>
            <a:schemeClr val="bg1">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36000" rIns="36000" bIns="36000" rtlCol="0" anchor="ctr" anchorCtr="0"/>
        <a:lstStyle>
          <a:defPPr>
            <a:defRPr lang="es-CL"/>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defRPr/>
          </a:pPr>
          <a:r>
            <a:rPr lang="es-ES" sz="1600" b="0">
              <a:solidFill>
                <a:schemeClr val="bg1"/>
              </a:solidFill>
              <a:latin typeface="Barlow" panose="00000500000000000000" pitchFamily="2" charset="0"/>
              <a:cs typeface="Arial" panose="020B0604020202020204" pitchFamily="34" charset="0"/>
            </a:rPr>
            <a:t>Equipo Asesoría Negocios AFP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19051</xdr:colOff>
      <xdr:row>7</xdr:row>
      <xdr:rowOff>28575</xdr:rowOff>
    </xdr:from>
    <xdr:to>
      <xdr:col>36</xdr:col>
      <xdr:colOff>171451</xdr:colOff>
      <xdr:row>8</xdr:row>
      <xdr:rowOff>133351</xdr:rowOff>
    </xdr:to>
    <xdr:sp macro="" textlink="">
      <xdr:nvSpPr>
        <xdr:cNvPr id="7" name="CuadroTexto 6">
          <a:extLst>
            <a:ext uri="{FF2B5EF4-FFF2-40B4-BE49-F238E27FC236}">
              <a16:creationId xmlns:a16="http://schemas.microsoft.com/office/drawing/2014/main" id="{5830F657-6A9D-4F8B-AC09-E3C868971C49}"/>
            </a:ext>
          </a:extLst>
        </xdr:cNvPr>
        <xdr:cNvSpPr txBox="1"/>
      </xdr:nvSpPr>
      <xdr:spPr>
        <a:xfrm>
          <a:off x="19051" y="1628775"/>
          <a:ext cx="6667500"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B0F0"/>
              </a:solidFill>
              <a:latin typeface="Barlow" panose="00000500000000000000" pitchFamily="2" charset="0"/>
              <a:ea typeface="+mn-ea"/>
              <a:cs typeface="+mn-cs"/>
            </a:rPr>
            <a:t>Selección de fondo por</a:t>
          </a:r>
          <a:r>
            <a:rPr lang="es-CL" sz="1400" b="1" baseline="0">
              <a:solidFill>
                <a:srgbClr val="00B0F0"/>
              </a:solidFill>
              <a:latin typeface="Barlow" panose="00000500000000000000" pitchFamily="2" charset="0"/>
              <a:ea typeface="+mn-ea"/>
              <a:cs typeface="+mn-cs"/>
            </a:rPr>
            <a:t> parte de cliente:</a:t>
          </a:r>
          <a:endParaRPr lang="es-CL" sz="1400" b="1">
            <a:solidFill>
              <a:srgbClr val="00B0F0"/>
            </a:solidFill>
            <a:latin typeface="Barlow" panose="00000500000000000000" pitchFamily="2" charset="0"/>
            <a:ea typeface="+mn-ea"/>
            <a:cs typeface="+mn-cs"/>
          </a:endParaRPr>
        </a:p>
        <a:p>
          <a:endParaRPr lang="es-CL" sz="1050" b="0">
            <a:solidFill>
              <a:srgbClr val="002060"/>
            </a:solidFill>
            <a:latin typeface="Barlow" panose="00000500000000000000" pitchFamily="2" charset="0"/>
            <a:ea typeface="+mn-ea"/>
            <a:cs typeface="+mn-cs"/>
          </a:endParaRPr>
        </a:p>
        <a:p>
          <a:endParaRPr lang="es-CL" sz="1050" b="0">
            <a:solidFill>
              <a:srgbClr val="002060"/>
            </a:solidFill>
            <a:latin typeface="Barlow" panose="00000500000000000000" pitchFamily="2" charset="0"/>
            <a:ea typeface="+mn-ea"/>
            <a:cs typeface="+mn-cs"/>
          </a:endParaRPr>
        </a:p>
        <a:p>
          <a:endParaRPr lang="es-CL" sz="1050" b="0">
            <a:solidFill>
              <a:srgbClr val="002060"/>
            </a:solidFill>
            <a:latin typeface="Barlow" panose="00000500000000000000" pitchFamily="2" charset="0"/>
            <a:ea typeface="+mn-ea"/>
            <a:cs typeface="+mn-cs"/>
          </a:endParaRPr>
        </a:p>
      </xdr:txBody>
    </xdr:sp>
    <xdr:clientData/>
  </xdr:twoCellAnchor>
  <xdr:twoCellAnchor>
    <xdr:from>
      <xdr:col>0</xdr:col>
      <xdr:colOff>57150</xdr:colOff>
      <xdr:row>17</xdr:row>
      <xdr:rowOff>85724</xdr:rowOff>
    </xdr:from>
    <xdr:to>
      <xdr:col>36</xdr:col>
      <xdr:colOff>95250</xdr:colOff>
      <xdr:row>27</xdr:row>
      <xdr:rowOff>76199</xdr:rowOff>
    </xdr:to>
    <xdr:graphicFrame macro="">
      <xdr:nvGraphicFramePr>
        <xdr:cNvPr id="8" name="Gráfico 7">
          <a:extLst>
            <a:ext uri="{FF2B5EF4-FFF2-40B4-BE49-F238E27FC236}">
              <a16:creationId xmlns:a16="http://schemas.microsoft.com/office/drawing/2014/main" id="{51B0B061-E688-41BC-B84B-50E8DE94D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8404</xdr:colOff>
      <xdr:row>27</xdr:row>
      <xdr:rowOff>66674</xdr:rowOff>
    </xdr:from>
    <xdr:to>
      <xdr:col>36</xdr:col>
      <xdr:colOff>171450</xdr:colOff>
      <xdr:row>38</xdr:row>
      <xdr:rowOff>228599</xdr:rowOff>
    </xdr:to>
    <xdr:sp macro="" textlink="">
      <xdr:nvSpPr>
        <xdr:cNvPr id="9" name="CuadroTexto 8">
          <a:extLst>
            <a:ext uri="{FF2B5EF4-FFF2-40B4-BE49-F238E27FC236}">
              <a16:creationId xmlns:a16="http://schemas.microsoft.com/office/drawing/2014/main" id="{0E6FAC6E-9456-421C-97FE-1A76AE012D7F}"/>
            </a:ext>
          </a:extLst>
        </xdr:cNvPr>
        <xdr:cNvSpPr txBox="1"/>
      </xdr:nvSpPr>
      <xdr:spPr>
        <a:xfrm>
          <a:off x="8404" y="6238874"/>
          <a:ext cx="6678146" cy="2676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solidFill>
                <a:schemeClr val="dk1"/>
              </a:solidFill>
              <a:effectLst/>
              <a:latin typeface="+mn-lt"/>
              <a:ea typeface="+mn-ea"/>
              <a:cs typeface="+mn-cs"/>
            </a:rPr>
            <a:t>Disclaimer</a:t>
          </a:r>
          <a:endParaRPr lang="es-CL" sz="1050" b="0">
            <a:solidFill>
              <a:schemeClr val="dk1"/>
            </a:solidFill>
            <a:effectLst/>
            <a:latin typeface="+mn-lt"/>
            <a:ea typeface="+mn-ea"/>
            <a:cs typeface="+mn-cs"/>
          </a:endParaRPr>
        </a:p>
        <a:p>
          <a:endParaRPr lang="es-CL" sz="1050" b="0" baseline="0">
            <a:solidFill>
              <a:srgbClr val="002060"/>
            </a:solidFill>
            <a:latin typeface="Barlow" panose="00000500000000000000" pitchFamily="2"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050" b="0" baseline="0">
              <a:solidFill>
                <a:srgbClr val="002060"/>
              </a:solidFill>
              <a:latin typeface="Barlow" panose="00000500000000000000" pitchFamily="2" charset="0"/>
              <a:ea typeface="+mn-ea"/>
              <a:cs typeface="+mn-cs"/>
            </a:rPr>
            <a:t>(*) Recomendamos validar la información, este cálculo puede variar si el grupo familiar es distinto al indicado en los supuestos. Para mayor detalle realice su Estudio de Pensión en nuestras sucursales. </a:t>
          </a:r>
          <a:endParaRPr lang="es-CL" sz="1050" b="0">
            <a:solidFill>
              <a:srgbClr val="002060"/>
            </a:solidFill>
            <a:latin typeface="Barlow" panose="00000500000000000000" pitchFamily="2" charset="0"/>
          </a:endParaRPr>
        </a:p>
        <a:p>
          <a:endParaRPr lang="es-CL" sz="1050" b="0">
            <a:solidFill>
              <a:srgbClr val="002060"/>
            </a:solidFill>
            <a:latin typeface="Barlow" panose="00000500000000000000" pitchFamily="2" charset="0"/>
          </a:endParaRPr>
        </a:p>
        <a:p>
          <a:r>
            <a:rPr lang="es-CL" sz="1050" b="0">
              <a:solidFill>
                <a:srgbClr val="002060"/>
              </a:solidFill>
              <a:latin typeface="Barlow" panose="00000500000000000000" pitchFamily="2" charset="0"/>
            </a:rPr>
            <a:t>(**) Supuesto:  para</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cálculos consideran mujer con cónyuge dos años mayor, hombre con cónyuge dos años menor</a:t>
          </a:r>
          <a:r>
            <a:rPr lang="es-CL" sz="1050" b="0" baseline="0">
              <a:solidFill>
                <a:srgbClr val="002060"/>
              </a:solidFill>
              <a:latin typeface="Barlow" panose="00000500000000000000" pitchFamily="2" charset="0"/>
            </a:rPr>
            <a:t> </a:t>
          </a:r>
          <a:r>
            <a:rPr lang="es-CL" sz="1050" b="0">
              <a:solidFill>
                <a:srgbClr val="002060"/>
              </a:solidFill>
              <a:latin typeface="Barlow" panose="00000500000000000000" pitchFamily="2" charset="0"/>
            </a:rPr>
            <a:t>sin otros beneficiarios de pensión. Según Circular Nº 1.905 de laSuperintendencia de Pensiones</a:t>
          </a:r>
          <a:r>
            <a:rPr lang="es-CL" sz="1050" b="0" baseline="0">
              <a:solidFill>
                <a:srgbClr val="002060"/>
              </a:solidFill>
              <a:latin typeface="Barlow" panose="00000500000000000000" pitchFamily="2" charset="0"/>
            </a:rPr>
            <a:t> con tasa de interes tecnico de retiro programado de 3,41% vigente trimestre 4 año 2025.</a:t>
          </a:r>
          <a:endParaRPr lang="es-CL" sz="1050" b="0">
            <a:solidFill>
              <a:srgbClr val="002060"/>
            </a:solidFill>
            <a:latin typeface="Barlow" panose="00000500000000000000" pitchFamily="2" charset="0"/>
          </a:endParaRPr>
        </a:p>
        <a:p>
          <a:endParaRPr lang="es-CL" sz="1050" b="0">
            <a:solidFill>
              <a:srgbClr val="002060"/>
            </a:solidFill>
            <a:latin typeface="Barlow" panose="00000500000000000000" pitchFamily="2" charset="0"/>
          </a:endParaRPr>
        </a:p>
        <a:p>
          <a:r>
            <a:rPr lang="es-CL" sz="1050" b="0">
              <a:solidFill>
                <a:srgbClr val="002060"/>
              </a:solidFill>
              <a:latin typeface="Barlow" panose="00000500000000000000" pitchFamily="2" charset="0"/>
              <a:ea typeface="+mn-ea"/>
              <a:cs typeface="+mn-cs"/>
            </a:rPr>
            <a:t>Supuesto promedio de cotizaciones de los ultimos 120 meses para un cotizante tope con UF al 31-12-2024   $ $2.163.704 </a:t>
          </a:r>
        </a:p>
      </xdr:txBody>
    </xdr:sp>
    <xdr:clientData/>
  </xdr:twoCellAnchor>
  <xdr:twoCellAnchor>
    <xdr:from>
      <xdr:col>0</xdr:col>
      <xdr:colOff>0</xdr:colOff>
      <xdr:row>8</xdr:row>
      <xdr:rowOff>123825</xdr:rowOff>
    </xdr:from>
    <xdr:to>
      <xdr:col>37</xdr:col>
      <xdr:colOff>0</xdr:colOff>
      <xdr:row>13</xdr:row>
      <xdr:rowOff>180975</xdr:rowOff>
    </xdr:to>
    <xdr:sp macro="" textlink="">
      <xdr:nvSpPr>
        <xdr:cNvPr id="13" name="CuadroTexto 12">
          <a:extLst>
            <a:ext uri="{FF2B5EF4-FFF2-40B4-BE49-F238E27FC236}">
              <a16:creationId xmlns:a16="http://schemas.microsoft.com/office/drawing/2014/main" id="{DE1405AA-1DB8-4C7C-8D48-C5607034905E}"/>
            </a:ext>
          </a:extLst>
        </xdr:cNvPr>
        <xdr:cNvSpPr txBox="1"/>
      </xdr:nvSpPr>
      <xdr:spPr>
        <a:xfrm>
          <a:off x="0" y="1952625"/>
          <a:ext cx="6696075" cy="120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a:solidFill>
                <a:srgbClr val="00B0F0"/>
              </a:solidFill>
              <a:latin typeface="Barlow" panose="00000500000000000000" pitchFamily="2" charset="0"/>
              <a:ea typeface="+mn-ea"/>
              <a:cs typeface="+mn-cs"/>
            </a:rPr>
            <a:t>A.</a:t>
          </a:r>
          <a:r>
            <a:rPr lang="es-CL" sz="1050" b="0" baseline="0">
              <a:solidFill>
                <a:srgbClr val="002060"/>
              </a:solidFill>
              <a:latin typeface="Barlow" panose="00000500000000000000" pitchFamily="2" charset="0"/>
              <a:ea typeface="+mn-ea"/>
              <a:cs typeface="+mn-cs"/>
            </a:rPr>
            <a:t>Selección de del fondo para cada cuenta.</a:t>
          </a:r>
        </a:p>
        <a:p>
          <a:r>
            <a:rPr lang="es-CL" sz="1100" b="1">
              <a:solidFill>
                <a:srgbClr val="00B0F0"/>
              </a:solidFill>
              <a:latin typeface="Barlow" panose="00000500000000000000" pitchFamily="2" charset="0"/>
              <a:ea typeface="+mn-ea"/>
              <a:cs typeface="+mn-cs"/>
            </a:rPr>
            <a:t>B.</a:t>
          </a:r>
          <a:r>
            <a:rPr lang="es-CL" sz="1050" b="0" baseline="0">
              <a:solidFill>
                <a:srgbClr val="002060"/>
              </a:solidFill>
              <a:latin typeface="Barlow" panose="00000500000000000000" pitchFamily="2" charset="0"/>
              <a:ea typeface="+mn-ea"/>
              <a:cs typeface="+mn-cs"/>
            </a:rPr>
            <a:t> Automáticamente se asignará la rentabilidad al fondo.</a:t>
          </a:r>
        </a:p>
        <a:p>
          <a:endParaRPr lang="es-CL" sz="1050" b="0" baseline="0">
            <a:solidFill>
              <a:srgbClr val="002060"/>
            </a:solidFill>
            <a:latin typeface="Barlow" panose="00000500000000000000" pitchFamily="2" charset="0"/>
            <a:ea typeface="+mn-ea"/>
            <a:cs typeface="+mn-cs"/>
          </a:endParaRPr>
        </a:p>
        <a:p>
          <a:r>
            <a:rPr lang="es-CL" sz="1050" b="1" baseline="0">
              <a:solidFill>
                <a:srgbClr val="C00000"/>
              </a:solidFill>
              <a:latin typeface="Barlow" panose="00000500000000000000" pitchFamily="2" charset="0"/>
              <a:ea typeface="+mn-ea"/>
              <a:cs typeface="+mn-cs"/>
            </a:rPr>
            <a:t>IMPORTANTE:</a:t>
          </a:r>
          <a:r>
            <a:rPr lang="es-CL" sz="1050" b="0" baseline="0">
              <a:solidFill>
                <a:srgbClr val="C00000"/>
              </a:solidFill>
              <a:latin typeface="Barlow" panose="00000500000000000000" pitchFamily="2" charset="0"/>
              <a:ea typeface="+mn-ea"/>
              <a:cs typeface="+mn-cs"/>
            </a:rPr>
            <a:t> </a:t>
          </a:r>
          <a:r>
            <a:rPr lang="es-CL" sz="1050" b="0" baseline="0">
              <a:solidFill>
                <a:srgbClr val="002060"/>
              </a:solidFill>
              <a:latin typeface="Barlow" panose="00000500000000000000" pitchFamily="2" charset="0"/>
              <a:ea typeface="+mn-ea"/>
              <a:cs typeface="+mn-cs"/>
            </a:rPr>
            <a:t>Quienes no pueden optar por el </a:t>
          </a:r>
          <a:r>
            <a:rPr lang="es-CL" sz="1050" b="1" baseline="0">
              <a:solidFill>
                <a:srgbClr val="C00000"/>
              </a:solidFill>
              <a:latin typeface="Barlow" panose="00000500000000000000" pitchFamily="2" charset="0"/>
              <a:ea typeface="+mn-ea"/>
              <a:cs typeface="+mn-cs"/>
            </a:rPr>
            <a:t>Fondo A</a:t>
          </a:r>
          <a:r>
            <a:rPr lang="es-CL" sz="1050" b="0" baseline="0">
              <a:solidFill>
                <a:srgbClr val="002060"/>
              </a:solidFill>
              <a:latin typeface="Barlow" panose="00000500000000000000" pitchFamily="2" charset="0"/>
              <a:ea typeface="+mn-ea"/>
              <a:cs typeface="+mn-cs"/>
            </a:rPr>
            <a:t> en </a:t>
          </a:r>
          <a:r>
            <a:rPr lang="es-CL" sz="1050" b="1" baseline="0">
              <a:solidFill>
                <a:srgbClr val="002060"/>
              </a:solidFill>
              <a:latin typeface="Barlow" panose="00000500000000000000" pitchFamily="2" charset="0"/>
              <a:ea typeface="+mn-ea"/>
              <a:cs typeface="+mn-cs"/>
            </a:rPr>
            <a:t>cuenta obligatoria</a:t>
          </a:r>
          <a:r>
            <a:rPr lang="es-CL" sz="1050" b="0" baseline="0">
              <a:solidFill>
                <a:srgbClr val="002060"/>
              </a:solidFill>
              <a:latin typeface="Barlow" panose="00000500000000000000" pitchFamily="2" charset="0"/>
              <a:ea typeface="+mn-ea"/>
              <a:cs typeface="+mn-cs"/>
            </a:rPr>
            <a:t>:</a:t>
          </a:r>
          <a:br>
            <a:rPr lang="es-CL" sz="1050" b="0" baseline="0">
              <a:solidFill>
                <a:srgbClr val="002060"/>
              </a:solidFill>
              <a:latin typeface="Barlow" panose="00000500000000000000" pitchFamily="2" charset="0"/>
              <a:ea typeface="+mn-ea"/>
              <a:cs typeface="+mn-cs"/>
            </a:rPr>
          </a:br>
          <a:r>
            <a:rPr lang="es-CL" sz="1050" b="1" baseline="0">
              <a:solidFill>
                <a:srgbClr val="002060"/>
              </a:solidFill>
              <a:latin typeface="Barlow" panose="00000500000000000000" pitchFamily="2" charset="0"/>
              <a:ea typeface="+mn-ea"/>
              <a:cs typeface="+mn-cs"/>
            </a:rPr>
            <a:t>Mujer mayor o igual a 51 años.</a:t>
          </a:r>
        </a:p>
        <a:p>
          <a:r>
            <a:rPr lang="es-CL" sz="1050" b="1" baseline="0">
              <a:solidFill>
                <a:srgbClr val="002060"/>
              </a:solidFill>
              <a:latin typeface="Barlow" panose="00000500000000000000" pitchFamily="2" charset="0"/>
              <a:ea typeface="+mn-ea"/>
              <a:cs typeface="+mn-cs"/>
            </a:rPr>
            <a:t>Hombre mayor o igual a 56 años.</a:t>
          </a:r>
        </a:p>
      </xdr:txBody>
    </xdr:sp>
    <xdr:clientData/>
  </xdr:twoCellAnchor>
  <xdr:twoCellAnchor>
    <xdr:from>
      <xdr:col>0</xdr:col>
      <xdr:colOff>38100</xdr:colOff>
      <xdr:row>0</xdr:row>
      <xdr:rowOff>28575</xdr:rowOff>
    </xdr:from>
    <xdr:to>
      <xdr:col>36</xdr:col>
      <xdr:colOff>161925</xdr:colOff>
      <xdr:row>6</xdr:row>
      <xdr:rowOff>139477</xdr:rowOff>
    </xdr:to>
    <xdr:grpSp>
      <xdr:nvGrpSpPr>
        <xdr:cNvPr id="10" name="Grupo 9">
          <a:extLst>
            <a:ext uri="{FF2B5EF4-FFF2-40B4-BE49-F238E27FC236}">
              <a16:creationId xmlns:a16="http://schemas.microsoft.com/office/drawing/2014/main" id="{8E0D9C7F-A6A5-4030-8DF2-569A80FB0909}"/>
            </a:ext>
          </a:extLst>
        </xdr:cNvPr>
        <xdr:cNvGrpSpPr/>
      </xdr:nvGrpSpPr>
      <xdr:grpSpPr>
        <a:xfrm>
          <a:off x="38100" y="28575"/>
          <a:ext cx="6981825" cy="1330102"/>
          <a:chOff x="7149354" y="201705"/>
          <a:chExt cx="6073584" cy="1243854"/>
        </a:xfrm>
      </xdr:grpSpPr>
      <xdr:grpSp>
        <xdr:nvGrpSpPr>
          <xdr:cNvPr id="11" name="Grupo 10">
            <a:extLst>
              <a:ext uri="{FF2B5EF4-FFF2-40B4-BE49-F238E27FC236}">
                <a16:creationId xmlns:a16="http://schemas.microsoft.com/office/drawing/2014/main" id="{6779D7BD-CAAA-3B7F-857B-A61ED0C14953}"/>
              </a:ext>
            </a:extLst>
          </xdr:cNvPr>
          <xdr:cNvGrpSpPr/>
        </xdr:nvGrpSpPr>
        <xdr:grpSpPr>
          <a:xfrm>
            <a:off x="8435799" y="246524"/>
            <a:ext cx="4787139" cy="1086971"/>
            <a:chOff x="8222887" y="1636053"/>
            <a:chExt cx="4787139" cy="1086971"/>
          </a:xfrm>
        </xdr:grpSpPr>
        <xdr:sp macro="" textlink="">
          <xdr:nvSpPr>
            <xdr:cNvPr id="14" name="Rectángulo: esquinas superiores, una redondeada y la otra cortada 13">
              <a:extLst>
                <a:ext uri="{FF2B5EF4-FFF2-40B4-BE49-F238E27FC236}">
                  <a16:creationId xmlns:a16="http://schemas.microsoft.com/office/drawing/2014/main" id="{02DFC0E6-5B52-71CE-2BC1-4C28E88359D0}"/>
                </a:ext>
              </a:extLst>
            </xdr:cNvPr>
            <xdr:cNvSpPr/>
          </xdr:nvSpPr>
          <xdr:spPr>
            <a:xfrm rot="10800000">
              <a:off x="8222887" y="1636053"/>
              <a:ext cx="4787139" cy="1086971"/>
            </a:xfrm>
            <a:prstGeom prst="snipRoundRect">
              <a:avLst/>
            </a:prstGeom>
            <a:solidFill>
              <a:srgbClr val="E9ED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900"/>
            </a:p>
          </xdr:txBody>
        </xdr:sp>
        <xdr:sp macro="" textlink="">
          <xdr:nvSpPr>
            <xdr:cNvPr id="15" name="CuadroTexto 14">
              <a:extLst>
                <a:ext uri="{FF2B5EF4-FFF2-40B4-BE49-F238E27FC236}">
                  <a16:creationId xmlns:a16="http://schemas.microsoft.com/office/drawing/2014/main" id="{A1A18132-86C9-020B-A05B-0219578925EF}"/>
                </a:ext>
              </a:extLst>
            </xdr:cNvPr>
            <xdr:cNvSpPr txBox="1"/>
          </xdr:nvSpPr>
          <xdr:spPr>
            <a:xfrm>
              <a:off x="8243978" y="1759324"/>
              <a:ext cx="4732434" cy="874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L" sz="1600" b="1">
                  <a:solidFill>
                    <a:srgbClr val="002060"/>
                  </a:solidFill>
                  <a:latin typeface="Barlow" panose="00000500000000000000" pitchFamily="2" charset="0"/>
                </a:rPr>
                <a:t>¿CUÁL ES EL FONDO </a:t>
              </a:r>
              <a:r>
                <a:rPr lang="es-CL" sz="1600" b="1">
                  <a:solidFill>
                    <a:srgbClr val="C00000"/>
                  </a:solidFill>
                  <a:latin typeface="Barlow" panose="00000500000000000000" pitchFamily="2" charset="0"/>
                </a:rPr>
                <a:t>SELECCIONADO POR CLIENTE</a:t>
              </a:r>
              <a:r>
                <a:rPr lang="es-CL" sz="1600" b="1">
                  <a:solidFill>
                    <a:srgbClr val="002060"/>
                  </a:solidFill>
                  <a:latin typeface="Barlow" panose="00000500000000000000" pitchFamily="2" charset="0"/>
                </a:rPr>
                <a:t> ?</a:t>
              </a:r>
              <a:endParaRPr lang="es-CL" sz="1200">
                <a:solidFill>
                  <a:srgbClr val="002060"/>
                </a:solidFill>
                <a:latin typeface="Barlow" panose="00000500000000000000" pitchFamily="2" charset="0"/>
              </a:endParaRPr>
            </a:p>
          </xdr:txBody>
        </xdr:sp>
      </xdr:grpSp>
      <xdr:sp macro="" textlink="">
        <xdr:nvSpPr>
          <xdr:cNvPr id="12" name="CuadroTexto 11">
            <a:extLst>
              <a:ext uri="{FF2B5EF4-FFF2-40B4-BE49-F238E27FC236}">
                <a16:creationId xmlns:a16="http://schemas.microsoft.com/office/drawing/2014/main" id="{E16DAF7B-1F48-F158-05AC-7FCD15756C95}"/>
              </a:ext>
            </a:extLst>
          </xdr:cNvPr>
          <xdr:cNvSpPr txBox="1"/>
        </xdr:nvSpPr>
        <xdr:spPr>
          <a:xfrm>
            <a:off x="7149354" y="201705"/>
            <a:ext cx="1402437" cy="124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400" b="1">
                <a:solidFill>
                  <a:srgbClr val="002060"/>
                </a:solidFill>
                <a:latin typeface="Barlow" panose="00000500000000000000" pitchFamily="2" charset="0"/>
              </a:rPr>
              <a:t>PASO</a:t>
            </a:r>
          </a:p>
          <a:p>
            <a:r>
              <a:rPr lang="es-CL" sz="6000" b="1">
                <a:solidFill>
                  <a:srgbClr val="002060"/>
                </a:solidFill>
                <a:latin typeface="Barlow" panose="00000500000000000000" pitchFamily="2" charset="0"/>
              </a:rPr>
              <a:t>2.B</a:t>
            </a:r>
          </a:p>
          <a:p>
            <a:endParaRPr lang="es-CL" sz="1800" b="1">
              <a:solidFill>
                <a:srgbClr val="002060"/>
              </a:solidFill>
              <a:latin typeface="Barlow" panose="00000500000000000000"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180974</xdr:colOff>
      <xdr:row>0</xdr:row>
      <xdr:rowOff>152400</xdr:rowOff>
    </xdr:from>
    <xdr:to>
      <xdr:col>29</xdr:col>
      <xdr:colOff>476249</xdr:colOff>
      <xdr:row>10</xdr:row>
      <xdr:rowOff>157162</xdr:rowOff>
    </xdr:to>
    <xdr:graphicFrame macro="">
      <xdr:nvGraphicFramePr>
        <xdr:cNvPr id="3" name="Gráfico 2">
          <a:extLst>
            <a:ext uri="{FF2B5EF4-FFF2-40B4-BE49-F238E27FC236}">
              <a16:creationId xmlns:a16="http://schemas.microsoft.com/office/drawing/2014/main" id="{495B2549-51DA-3BC5-AC52-C520BC74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190500</xdr:colOff>
      <xdr:row>11</xdr:row>
      <xdr:rowOff>76200</xdr:rowOff>
    </xdr:from>
    <xdr:to>
      <xdr:col>29</xdr:col>
      <xdr:colOff>485775</xdr:colOff>
      <xdr:row>21</xdr:row>
      <xdr:rowOff>80962</xdr:rowOff>
    </xdr:to>
    <xdr:graphicFrame macro="">
      <xdr:nvGraphicFramePr>
        <xdr:cNvPr id="4" name="Gráfico 3">
          <a:extLst>
            <a:ext uri="{FF2B5EF4-FFF2-40B4-BE49-F238E27FC236}">
              <a16:creationId xmlns:a16="http://schemas.microsoft.com/office/drawing/2014/main" id="{4A296547-2B70-4A73-A586-8FDE532CB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180974</xdr:colOff>
      <xdr:row>0</xdr:row>
      <xdr:rowOff>152400</xdr:rowOff>
    </xdr:from>
    <xdr:to>
      <xdr:col>29</xdr:col>
      <xdr:colOff>476249</xdr:colOff>
      <xdr:row>10</xdr:row>
      <xdr:rowOff>157162</xdr:rowOff>
    </xdr:to>
    <xdr:graphicFrame macro="">
      <xdr:nvGraphicFramePr>
        <xdr:cNvPr id="2" name="Gráfico 1">
          <a:extLst>
            <a:ext uri="{FF2B5EF4-FFF2-40B4-BE49-F238E27FC236}">
              <a16:creationId xmlns:a16="http://schemas.microsoft.com/office/drawing/2014/main" id="{CB01EB98-EF5D-4857-BAF0-05BE68F5A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190500</xdr:colOff>
      <xdr:row>11</xdr:row>
      <xdr:rowOff>76200</xdr:rowOff>
    </xdr:from>
    <xdr:to>
      <xdr:col>29</xdr:col>
      <xdr:colOff>485775</xdr:colOff>
      <xdr:row>21</xdr:row>
      <xdr:rowOff>80962</xdr:rowOff>
    </xdr:to>
    <xdr:graphicFrame macro="">
      <xdr:nvGraphicFramePr>
        <xdr:cNvPr id="3" name="Gráfico 2">
          <a:extLst>
            <a:ext uri="{FF2B5EF4-FFF2-40B4-BE49-F238E27FC236}">
              <a16:creationId xmlns:a16="http://schemas.microsoft.com/office/drawing/2014/main" id="{F80A9B4A-97F2-46B6-9312-9AD574F11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24</xdr:col>
      <xdr:colOff>180974</xdr:colOff>
      <xdr:row>0</xdr:row>
      <xdr:rowOff>152400</xdr:rowOff>
    </xdr:from>
    <xdr:to>
      <xdr:col>29</xdr:col>
      <xdr:colOff>476249</xdr:colOff>
      <xdr:row>10</xdr:row>
      <xdr:rowOff>157162</xdr:rowOff>
    </xdr:to>
    <xdr:graphicFrame macro="">
      <xdr:nvGraphicFramePr>
        <xdr:cNvPr id="2" name="Gráfico 1">
          <a:extLst>
            <a:ext uri="{FF2B5EF4-FFF2-40B4-BE49-F238E27FC236}">
              <a16:creationId xmlns:a16="http://schemas.microsoft.com/office/drawing/2014/main" id="{7177AFCF-241B-4043-A7F9-2827A0DA2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190500</xdr:colOff>
      <xdr:row>11</xdr:row>
      <xdr:rowOff>76200</xdr:rowOff>
    </xdr:from>
    <xdr:to>
      <xdr:col>29</xdr:col>
      <xdr:colOff>485775</xdr:colOff>
      <xdr:row>21</xdr:row>
      <xdr:rowOff>80962</xdr:rowOff>
    </xdr:to>
    <xdr:graphicFrame macro="">
      <xdr:nvGraphicFramePr>
        <xdr:cNvPr id="3" name="Gráfico 2">
          <a:extLst>
            <a:ext uri="{FF2B5EF4-FFF2-40B4-BE49-F238E27FC236}">
              <a16:creationId xmlns:a16="http://schemas.microsoft.com/office/drawing/2014/main" id="{11F5D695-59CA-45B2-BC7B-EACEE0FA1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742950</xdr:colOff>
      <xdr:row>6</xdr:row>
      <xdr:rowOff>138112</xdr:rowOff>
    </xdr:from>
    <xdr:to>
      <xdr:col>21</xdr:col>
      <xdr:colOff>342900</xdr:colOff>
      <xdr:row>18</xdr:row>
      <xdr:rowOff>114300</xdr:rowOff>
    </xdr:to>
    <xdr:graphicFrame macro="">
      <xdr:nvGraphicFramePr>
        <xdr:cNvPr id="9" name="Gráfico 8">
          <a:extLst>
            <a:ext uri="{FF2B5EF4-FFF2-40B4-BE49-F238E27FC236}">
              <a16:creationId xmlns:a16="http://schemas.microsoft.com/office/drawing/2014/main" id="{0838291A-DFEE-AD52-9D98-2F45D1249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742950</xdr:colOff>
      <xdr:row>6</xdr:row>
      <xdr:rowOff>138112</xdr:rowOff>
    </xdr:from>
    <xdr:to>
      <xdr:col>21</xdr:col>
      <xdr:colOff>342900</xdr:colOff>
      <xdr:row>18</xdr:row>
      <xdr:rowOff>114300</xdr:rowOff>
    </xdr:to>
    <xdr:graphicFrame macro="">
      <xdr:nvGraphicFramePr>
        <xdr:cNvPr id="2" name="Gráfico 1">
          <a:extLst>
            <a:ext uri="{FF2B5EF4-FFF2-40B4-BE49-F238E27FC236}">
              <a16:creationId xmlns:a16="http://schemas.microsoft.com/office/drawing/2014/main" id="{595CFC7C-6CCF-408F-B7DA-C049464D4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285750</xdr:colOff>
      <xdr:row>6</xdr:row>
      <xdr:rowOff>171450</xdr:rowOff>
    </xdr:from>
    <xdr:to>
      <xdr:col>18</xdr:col>
      <xdr:colOff>226987</xdr:colOff>
      <xdr:row>30</xdr:row>
      <xdr:rowOff>104137</xdr:rowOff>
    </xdr:to>
    <xdr:pic>
      <xdr:nvPicPr>
        <xdr:cNvPr id="3" name="Imagen 2">
          <a:extLst>
            <a:ext uri="{FF2B5EF4-FFF2-40B4-BE49-F238E27FC236}">
              <a16:creationId xmlns:a16="http://schemas.microsoft.com/office/drawing/2014/main" id="{4F04A7B3-AC37-4C9C-B235-F3B341D1E5BB}"/>
            </a:ext>
          </a:extLst>
        </xdr:cNvPr>
        <xdr:cNvPicPr>
          <a:picLocks noChangeAspect="1"/>
        </xdr:cNvPicPr>
      </xdr:nvPicPr>
      <xdr:blipFill>
        <a:blip xmlns:r="http://schemas.openxmlformats.org/officeDocument/2006/relationships" r:embed="rId1"/>
        <a:stretch>
          <a:fillRect/>
        </a:stretch>
      </xdr:blipFill>
      <xdr:spPr>
        <a:xfrm>
          <a:off x="3771900" y="1314450"/>
          <a:ext cx="12904762" cy="45046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ruposurachile-my.sharepoint.com/personal/nparedes_sura_cl/Documents/Documentos/Escritorio%202023/Clientes/Sergio%20Illanes%200601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ruposurachile-my.sharepoint.com/personal/nparedes_sura_cl/Documents/Escritorio/Actualizacion%20mensual/Mensual%202025/reunion%20121023%20Sr.%20Juan%20Contrer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nu2009_2016"/>
      <sheetName val="cnu2004_2009 (2)"/>
      <sheetName val="cnu2016"/>
      <sheetName val="Hoja3"/>
      <sheetName val="Desacomulacion (2)"/>
      <sheetName val="Desacomulacion"/>
      <sheetName val="CNU Series"/>
      <sheetName val="Hoja11"/>
      <sheetName val="Hoja8"/>
      <sheetName val="Tope imp"/>
      <sheetName val="Tabla impuesto escenarios"/>
      <sheetName val="Hoja4"/>
      <sheetName val="Gráfico RP vs RV"/>
      <sheetName val="Hoja6"/>
      <sheetName val="Tabla impuesto"/>
      <sheetName val="Hoja9"/>
      <sheetName val="Hoja10"/>
      <sheetName val="Hoja7"/>
      <sheetName val="Hoja2"/>
      <sheetName val="ELD"/>
      <sheetName val="Hoja1"/>
      <sheetName val="Hoja5"/>
      <sheetName val="TM2009"/>
      <sheetName val="TM2004"/>
      <sheetName val="TM2016"/>
    </sheetNames>
    <sheetDataSet>
      <sheetData sheetId="0" refreshError="1"/>
      <sheetData sheetId="1" refreshError="1"/>
      <sheetData sheetId="2" refreshError="1"/>
      <sheetData sheetId="3" refreshError="1"/>
      <sheetData sheetId="4" refreshError="1"/>
      <sheetData sheetId="5" refreshError="1"/>
      <sheetData sheetId="6">
        <row r="1">
          <cell r="V1" t="str">
            <v>Pensionado</v>
          </cell>
          <cell r="X1">
            <v>2004</v>
          </cell>
        </row>
        <row r="2">
          <cell r="V2" t="str">
            <v>No Pensionado</v>
          </cell>
          <cell r="X2">
            <v>2005</v>
          </cell>
        </row>
        <row r="3">
          <cell r="X3">
            <v>2006</v>
          </cell>
        </row>
        <row r="4">
          <cell r="X4">
            <v>2007</v>
          </cell>
        </row>
        <row r="5">
          <cell r="X5">
            <v>2008</v>
          </cell>
        </row>
        <row r="6">
          <cell r="X6">
            <v>2009</v>
          </cell>
        </row>
        <row r="7">
          <cell r="X7">
            <v>2010</v>
          </cell>
        </row>
        <row r="8">
          <cell r="X8">
            <v>2011</v>
          </cell>
        </row>
        <row r="9">
          <cell r="X9">
            <v>2012</v>
          </cell>
        </row>
        <row r="10">
          <cell r="X10">
            <v>2013</v>
          </cell>
        </row>
        <row r="11">
          <cell r="X11">
            <v>2014</v>
          </cell>
        </row>
        <row r="12">
          <cell r="X12">
            <v>2015</v>
          </cell>
        </row>
        <row r="13">
          <cell r="X13">
            <v>2016</v>
          </cell>
        </row>
        <row r="14">
          <cell r="X14">
            <v>2017</v>
          </cell>
        </row>
        <row r="15">
          <cell r="X15">
            <v>2018</v>
          </cell>
        </row>
      </sheetData>
      <sheetData sheetId="7" refreshError="1"/>
      <sheetData sheetId="8" refreshError="1"/>
      <sheetData sheetId="9" refreshError="1"/>
      <sheetData sheetId="10" refreshError="1"/>
      <sheetData sheetId="11" refreshError="1"/>
      <sheetData sheetId="12" refreshError="1"/>
      <sheetData sheetId="13" refreshError="1"/>
      <sheetData sheetId="14">
        <row r="1">
          <cell r="B1">
            <v>61157</v>
          </cell>
        </row>
      </sheetData>
      <sheetData sheetId="15" refreshError="1"/>
      <sheetData sheetId="16" refreshError="1"/>
      <sheetData sheetId="17" refreshError="1"/>
      <sheetData sheetId="18" refreshError="1"/>
      <sheetData sheetId="19">
        <row r="33">
          <cell r="T33">
            <v>7195472.9987568269</v>
          </cell>
        </row>
      </sheetData>
      <sheetData sheetId="20">
        <row r="12">
          <cell r="F12">
            <v>48925600</v>
          </cell>
        </row>
      </sheetData>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nu2009_2016"/>
      <sheetName val="cnu2004_2009"/>
      <sheetName val="cnu2016"/>
      <sheetName val="Hoja32"/>
      <sheetName val="AFP Tabla de impuesto"/>
      <sheetName val="Vigencia TM"/>
      <sheetName val="recreacion de CNU"/>
      <sheetName val="CNU Series"/>
      <sheetName val="AFP Pension proyectada 070923"/>
      <sheetName val="AFP Recreación aportes 070923"/>
      <sheetName val="AFP Pension proyectada 2026"/>
      <sheetName val="Pension paralela"/>
      <sheetName val="AFP liquidaciones"/>
      <sheetName val="AFP Recreación aportes"/>
      <sheetName val="AFP Pension"/>
      <sheetName val="AFP liquidaciones aportes APVA"/>
      <sheetName val="AFP Recreación aportes A"/>
      <sheetName val="AFP Pension con voluntarios A "/>
      <sheetName val="AFP liquidaciones aportes B"/>
      <sheetName val="AFP Recreación aportes B"/>
      <sheetName val="AFP Pension con voluntarios B"/>
      <sheetName val="Lagunas Previsionales"/>
      <sheetName val="AFP DC"/>
      <sheetName val="AFP retiro APV"/>
      <sheetName val="AFP ELD"/>
      <sheetName val="Sobrevivencia y Herencia"/>
      <sheetName val="MLT  a art. 107"/>
      <sheetName val="Recreación malla"/>
      <sheetName val="Hoja11"/>
      <sheetName val="Hoja9"/>
      <sheetName val="Hoja9 (2)"/>
      <sheetName val="Liquidacion"/>
      <sheetName val="Hoja18"/>
      <sheetName val="Planificacion financiera"/>
      <sheetName val="Proyec. SV"/>
      <sheetName val="Hoja6"/>
      <sheetName val="Dividendos"/>
      <sheetName val="Hoja12"/>
      <sheetName val="Hoja13"/>
      <sheetName val="Hoja10"/>
      <sheetName val="Hoja16"/>
      <sheetName val="Hoja14"/>
      <sheetName val="sueldo y pension"/>
      <sheetName val="Recreación RP vf"/>
      <sheetName val="Gráfico RP vs RV"/>
      <sheetName val="Hoja15"/>
      <sheetName val="Recreación RP"/>
      <sheetName val="Hoja7"/>
      <sheetName val="Tabla impuesto escenarios"/>
      <sheetName val="Inventario rentas"/>
      <sheetName val="ISFUT"/>
      <sheetName val="Recreación RP 2305"/>
      <sheetName val="Recreación RP 2305 (2)"/>
      <sheetName val="calculo de impuesto"/>
      <sheetName val="Desacomulacion"/>
      <sheetName val="Desacomulacion RG"/>
      <sheetName val="Desacomulacion DC"/>
      <sheetName val="Tasas"/>
      <sheetName val="Hoja5"/>
      <sheetName val="Hoja1"/>
      <sheetName val="Hoja3"/>
      <sheetName val="Hoja4"/>
      <sheetName val="Tope imp"/>
      <sheetName val="Hoja2"/>
      <sheetName val="Hoja8"/>
      <sheetName val="Tabla impuesto"/>
      <sheetName val="TM2009"/>
      <sheetName val="TM2004"/>
      <sheetName val="TM2016"/>
    </sheetNames>
    <sheetDataSet>
      <sheetData sheetId="0"/>
      <sheetData sheetId="1"/>
      <sheetData sheetId="2"/>
      <sheetData sheetId="3"/>
      <sheetData sheetId="4"/>
      <sheetData sheetId="5"/>
      <sheetData sheetId="6"/>
      <sheetData sheetId="7">
        <row r="1">
          <cell r="V1" t="str">
            <v>Pensionado</v>
          </cell>
          <cell r="X1">
            <v>2004</v>
          </cell>
        </row>
        <row r="2">
          <cell r="V2" t="str">
            <v>No Pensionado</v>
          </cell>
          <cell r="X2">
            <v>2005</v>
          </cell>
        </row>
        <row r="3">
          <cell r="X3">
            <v>2006</v>
          </cell>
        </row>
        <row r="4">
          <cell r="X4">
            <v>2007</v>
          </cell>
        </row>
        <row r="5">
          <cell r="X5">
            <v>2008</v>
          </cell>
        </row>
        <row r="6">
          <cell r="X6">
            <v>2009</v>
          </cell>
        </row>
        <row r="7">
          <cell r="X7">
            <v>2010</v>
          </cell>
        </row>
        <row r="8">
          <cell r="X8">
            <v>2011</v>
          </cell>
        </row>
        <row r="9">
          <cell r="X9">
            <v>2012</v>
          </cell>
        </row>
        <row r="10">
          <cell r="X10">
            <v>2013</v>
          </cell>
        </row>
        <row r="11">
          <cell r="X11">
            <v>2014</v>
          </cell>
        </row>
        <row r="12">
          <cell r="X12">
            <v>2015</v>
          </cell>
        </row>
        <row r="13">
          <cell r="X13">
            <v>2016</v>
          </cell>
        </row>
        <row r="14">
          <cell r="X14">
            <v>2017</v>
          </cell>
        </row>
        <row r="15">
          <cell r="X15">
            <v>2018</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C641-C50A-4F45-A0CF-2C3B17A8ECBB}">
  <sheetPr codeName="Hoja1"/>
  <dimension ref="A1:GC38"/>
  <sheetViews>
    <sheetView showGridLines="0" tabSelected="1" zoomScale="70" zoomScaleNormal="70" workbookViewId="0">
      <selection activeCell="AX18" sqref="AX18:BD19"/>
    </sheetView>
  </sheetViews>
  <sheetFormatPr baseColWidth="10" defaultColWidth="0" defaultRowHeight="18" customHeight="1" zeroHeight="1" x14ac:dyDescent="0.4"/>
  <cols>
    <col min="1" max="185" width="2.7265625" style="1" customWidth="1"/>
    <col min="186" max="16384" width="2.7265625" style="1" hidden="1"/>
  </cols>
  <sheetData>
    <row r="1" spans="1:183" ht="18" customHeight="1" x14ac:dyDescent="0.4">
      <c r="A1" s="41"/>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row>
    <row r="2" spans="1:183" ht="18" customHeight="1" x14ac:dyDescent="0.4">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row>
    <row r="3" spans="1:183" ht="18" customHeight="1" x14ac:dyDescent="0.4">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row>
    <row r="4" spans="1:183" ht="18" customHeight="1" x14ac:dyDescent="0.4">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row>
    <row r="5" spans="1:183" ht="18" customHeight="1" x14ac:dyDescent="0.4">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row>
    <row r="6" spans="1:183" ht="18" customHeight="1" x14ac:dyDescent="0.4">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row>
    <row r="7" spans="1:183" ht="18" customHeight="1" x14ac:dyDescent="0.4">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row>
    <row r="8" spans="1:183" ht="18" customHeight="1" x14ac:dyDescent="0.4">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row>
    <row r="9" spans="1:183" ht="18" customHeight="1" x14ac:dyDescent="0.4">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row>
    <row r="10" spans="1:183" ht="18" customHeight="1" x14ac:dyDescent="0.4">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row>
    <row r="11" spans="1:183" ht="18" customHeight="1" x14ac:dyDescent="0.4">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row>
    <row r="12" spans="1:183" ht="18" customHeight="1" thickBot="1" x14ac:dyDescent="0.45">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row>
    <row r="13" spans="1:183" ht="18" customHeight="1" x14ac:dyDescent="0.4">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DS13" s="76">
        <v>0</v>
      </c>
      <c r="DT13" s="77"/>
      <c r="DU13" s="77"/>
      <c r="DV13" s="77"/>
      <c r="DW13" s="77"/>
      <c r="DX13" s="77"/>
      <c r="DY13" s="78"/>
      <c r="EK13" s="70">
        <f>+'Motor I'!$C$19</f>
        <v>0</v>
      </c>
      <c r="EL13" s="71"/>
      <c r="EM13" s="71"/>
      <c r="EN13" s="71"/>
      <c r="EO13" s="71"/>
      <c r="EP13" s="71"/>
      <c r="EQ13" s="72"/>
      <c r="EU13" s="26" t="s">
        <v>78</v>
      </c>
      <c r="EV13" s="27" t="e">
        <f>+EK22-DS22</f>
        <v>#N/A</v>
      </c>
    </row>
    <row r="14" spans="1:183" ht="18" customHeight="1" thickBot="1" x14ac:dyDescent="0.45">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DS14" s="79"/>
      <c r="DT14" s="80"/>
      <c r="DU14" s="80"/>
      <c r="DV14" s="80"/>
      <c r="DW14" s="80"/>
      <c r="DX14" s="80"/>
      <c r="DY14" s="81"/>
      <c r="EK14" s="73"/>
      <c r="EL14" s="74"/>
      <c r="EM14" s="74"/>
      <c r="EN14" s="74"/>
      <c r="EO14" s="74"/>
      <c r="EP14" s="74"/>
      <c r="EQ14" s="75"/>
      <c r="EU14" s="26" t="s">
        <v>126</v>
      </c>
      <c r="EV14" s="27" t="e">
        <f>+DS22</f>
        <v>#N/A</v>
      </c>
    </row>
    <row r="15" spans="1:183" ht="18" customHeight="1" thickBot="1" x14ac:dyDescent="0.4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DS15" s="76">
        <v>0</v>
      </c>
      <c r="DT15" s="77"/>
      <c r="DU15" s="77"/>
      <c r="DV15" s="77"/>
      <c r="DW15" s="77"/>
      <c r="DX15" s="77"/>
      <c r="DY15" s="78"/>
      <c r="EK15" s="76">
        <v>40000</v>
      </c>
      <c r="EL15" s="77"/>
      <c r="EM15" s="77"/>
      <c r="EN15" s="77"/>
      <c r="EO15" s="77"/>
      <c r="EP15" s="77"/>
      <c r="EQ15" s="78"/>
    </row>
    <row r="16" spans="1:183" ht="18" customHeight="1" thickBot="1" x14ac:dyDescent="0.45">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DS16" s="79"/>
      <c r="DT16" s="80"/>
      <c r="DU16" s="80"/>
      <c r="DV16" s="80"/>
      <c r="DW16" s="80"/>
      <c r="DX16" s="80"/>
      <c r="DY16" s="81"/>
      <c r="EK16" s="79"/>
      <c r="EL16" s="80"/>
      <c r="EM16" s="80"/>
      <c r="EN16" s="80"/>
      <c r="EO16" s="80"/>
      <c r="EP16" s="80"/>
      <c r="EQ16" s="81"/>
      <c r="FU16" s="96" t="s">
        <v>16</v>
      </c>
      <c r="FV16" s="97"/>
      <c r="FW16" s="97"/>
      <c r="FX16" s="97"/>
      <c r="FY16" s="97"/>
      <c r="FZ16" s="97"/>
      <c r="GA16" s="98"/>
    </row>
    <row r="17" spans="1:183" ht="18" customHeight="1" thickBot="1" x14ac:dyDescent="0.45">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DS17" s="76">
        <v>0</v>
      </c>
      <c r="DT17" s="77"/>
      <c r="DU17" s="77"/>
      <c r="DV17" s="77"/>
      <c r="DW17" s="77"/>
      <c r="DX17" s="77"/>
      <c r="DY17" s="78"/>
      <c r="EK17" s="76">
        <v>0</v>
      </c>
      <c r="EL17" s="77"/>
      <c r="EM17" s="77"/>
      <c r="EN17" s="77"/>
      <c r="EO17" s="77"/>
      <c r="EP17" s="77"/>
      <c r="EQ17" s="78"/>
      <c r="FU17" s="109" t="e">
        <f>+EK22</f>
        <v>#N/A</v>
      </c>
      <c r="FV17" s="110" t="e">
        <f>+EK22</f>
        <v>#N/A</v>
      </c>
      <c r="FW17" s="110"/>
      <c r="FX17" s="110"/>
      <c r="FY17" s="110"/>
      <c r="FZ17" s="110"/>
      <c r="GA17" s="111"/>
    </row>
    <row r="18" spans="1:183" ht="18" customHeight="1" thickBot="1" x14ac:dyDescent="0.45">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X18" s="86" t="s">
        <v>3</v>
      </c>
      <c r="AY18" s="77"/>
      <c r="AZ18" s="77"/>
      <c r="BA18" s="77"/>
      <c r="BB18" s="77"/>
      <c r="BC18" s="77"/>
      <c r="BD18" s="78"/>
      <c r="BO18" s="86">
        <v>0</v>
      </c>
      <c r="BP18" s="77"/>
      <c r="BQ18" s="77"/>
      <c r="BR18" s="77"/>
      <c r="BS18" s="77"/>
      <c r="BT18" s="77"/>
      <c r="BU18" s="78"/>
      <c r="CH18" s="86" t="s">
        <v>61</v>
      </c>
      <c r="CI18" s="77"/>
      <c r="CJ18" s="77"/>
      <c r="CK18" s="77"/>
      <c r="CL18" s="77"/>
      <c r="CM18" s="77"/>
      <c r="CN18" s="78"/>
      <c r="CZ18" s="87" t="e">
        <f>+'Motor I'!K13</f>
        <v>#N/A</v>
      </c>
      <c r="DA18" s="71"/>
      <c r="DB18" s="71"/>
      <c r="DC18" s="71"/>
      <c r="DD18" s="71"/>
      <c r="DE18" s="71"/>
      <c r="DF18" s="72"/>
      <c r="DS18" s="79"/>
      <c r="DT18" s="80"/>
      <c r="DU18" s="80"/>
      <c r="DV18" s="80"/>
      <c r="DW18" s="80"/>
      <c r="DX18" s="80"/>
      <c r="DY18" s="81"/>
      <c r="EK18" s="79"/>
      <c r="EL18" s="80"/>
      <c r="EM18" s="80"/>
      <c r="EN18" s="80"/>
      <c r="EO18" s="80"/>
      <c r="EP18" s="80"/>
      <c r="EQ18" s="81"/>
      <c r="FT18" s="28" t="e">
        <f>+EK22</f>
        <v>#N/A</v>
      </c>
      <c r="FU18" s="73"/>
      <c r="FV18" s="74"/>
      <c r="FW18" s="74"/>
      <c r="FX18" s="74"/>
      <c r="FY18" s="74"/>
      <c r="FZ18" s="74"/>
      <c r="GA18" s="75"/>
    </row>
    <row r="19" spans="1:183" ht="18" customHeight="1" thickBot="1" x14ac:dyDescent="0.45">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X19" s="79"/>
      <c r="AY19" s="80"/>
      <c r="AZ19" s="80"/>
      <c r="BA19" s="80"/>
      <c r="BB19" s="80"/>
      <c r="BC19" s="80"/>
      <c r="BD19" s="81"/>
      <c r="BO19" s="79"/>
      <c r="BP19" s="80"/>
      <c r="BQ19" s="80"/>
      <c r="BR19" s="80"/>
      <c r="BS19" s="80"/>
      <c r="BT19" s="80"/>
      <c r="BU19" s="81"/>
      <c r="CH19" s="79"/>
      <c r="CI19" s="80"/>
      <c r="CJ19" s="80"/>
      <c r="CK19" s="80"/>
      <c r="CL19" s="80"/>
      <c r="CM19" s="80"/>
      <c r="CN19" s="81"/>
      <c r="CZ19" s="73"/>
      <c r="DA19" s="74"/>
      <c r="DB19" s="74"/>
      <c r="DC19" s="74"/>
      <c r="DD19" s="74"/>
      <c r="DE19" s="74"/>
      <c r="DF19" s="75"/>
      <c r="DS19" s="70">
        <f>+DS13+DS15+DS17</f>
        <v>0</v>
      </c>
      <c r="DT19" s="71"/>
      <c r="DU19" s="71"/>
      <c r="DV19" s="71"/>
      <c r="DW19" s="71"/>
      <c r="DX19" s="71"/>
      <c r="DY19" s="72"/>
      <c r="EK19" s="70">
        <f>+EK13+EK15+EK17</f>
        <v>40000</v>
      </c>
      <c r="EL19" s="71"/>
      <c r="EM19" s="71"/>
      <c r="EN19" s="71"/>
      <c r="EO19" s="71"/>
      <c r="EP19" s="71"/>
      <c r="EQ19" s="72"/>
    </row>
    <row r="20" spans="1:183" ht="18" customHeight="1" thickBot="1" x14ac:dyDescent="0.45">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BO20" s="90">
        <v>0</v>
      </c>
      <c r="BP20" s="91"/>
      <c r="BQ20" s="91"/>
      <c r="BR20" s="91"/>
      <c r="BS20" s="91"/>
      <c r="BT20" s="91"/>
      <c r="BU20" s="92"/>
      <c r="DS20" s="73"/>
      <c r="DT20" s="74"/>
      <c r="DU20" s="74"/>
      <c r="DV20" s="74"/>
      <c r="DW20" s="74"/>
      <c r="DX20" s="74"/>
      <c r="DY20" s="75"/>
      <c r="EK20" s="73"/>
      <c r="EL20" s="74"/>
      <c r="EM20" s="74"/>
      <c r="EN20" s="74"/>
      <c r="EO20" s="74"/>
      <c r="EP20" s="74"/>
      <c r="EQ20" s="75"/>
    </row>
    <row r="21" spans="1:183" ht="18" customHeight="1" thickBot="1" x14ac:dyDescent="0.45">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BO21" s="93"/>
      <c r="BP21" s="94"/>
      <c r="BQ21" s="94"/>
      <c r="BR21" s="94"/>
      <c r="BS21" s="94"/>
      <c r="BT21" s="94"/>
      <c r="BU21" s="95"/>
      <c r="BX21" s="88" t="str">
        <f>+'Motor I'!I33</f>
        <v>Desde</v>
      </c>
      <c r="BY21" s="83"/>
      <c r="BZ21" s="83"/>
      <c r="CA21" s="88" t="str">
        <f>+'Motor I'!J33</f>
        <v>Hasta</v>
      </c>
      <c r="CB21" s="83"/>
      <c r="CC21" s="83"/>
      <c r="CE21" s="88" t="str">
        <f>+'Motor I'!K33</f>
        <v>Activo</v>
      </c>
      <c r="CF21" s="89">
        <v>1</v>
      </c>
      <c r="CG21" s="89">
        <v>1</v>
      </c>
      <c r="CH21" s="89">
        <v>1</v>
      </c>
      <c r="CI21" s="89">
        <v>1</v>
      </c>
      <c r="CJ21" s="89">
        <v>1</v>
      </c>
      <c r="CK21" s="89">
        <v>1</v>
      </c>
      <c r="CL21" s="88" t="str">
        <f>+'Motor I'!L33</f>
        <v>Moderado</v>
      </c>
      <c r="CM21" s="89">
        <v>1</v>
      </c>
      <c r="CN21" s="89">
        <v>1</v>
      </c>
      <c r="CO21" s="89">
        <v>1</v>
      </c>
      <c r="CP21" s="89">
        <v>1</v>
      </c>
      <c r="CQ21" s="89">
        <v>1</v>
      </c>
      <c r="CR21" s="89">
        <v>1</v>
      </c>
      <c r="CS21" s="88" t="str">
        <f>+'Motor I'!M33</f>
        <v>Conservador</v>
      </c>
      <c r="CT21" s="89">
        <v>1</v>
      </c>
      <c r="CU21" s="89">
        <v>1</v>
      </c>
      <c r="CV21" s="89">
        <v>1</v>
      </c>
      <c r="CW21" s="89">
        <v>1</v>
      </c>
      <c r="CX21" s="89">
        <v>1</v>
      </c>
      <c r="CY21" s="89">
        <v>1</v>
      </c>
      <c r="CZ21" s="88" t="str">
        <f>+'Motor I'!N33</f>
        <v>Sin Perfil</v>
      </c>
      <c r="DA21" s="89">
        <v>1</v>
      </c>
      <c r="DB21" s="89">
        <v>1</v>
      </c>
      <c r="DC21" s="89">
        <v>1</v>
      </c>
      <c r="DD21" s="89">
        <v>1</v>
      </c>
      <c r="DE21" s="89">
        <v>1</v>
      </c>
      <c r="DF21" s="89">
        <v>1</v>
      </c>
      <c r="EK21"/>
      <c r="EL21"/>
      <c r="EM21"/>
      <c r="EN21"/>
      <c r="EO21"/>
      <c r="EP21"/>
    </row>
    <row r="22" spans="1:183" ht="18" customHeight="1" x14ac:dyDescent="0.4">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BO22" s="86">
        <v>0</v>
      </c>
      <c r="BP22" s="77"/>
      <c r="BQ22" s="77"/>
      <c r="BR22" s="77"/>
      <c r="BS22" s="77"/>
      <c r="BT22" s="77"/>
      <c r="BU22" s="78"/>
      <c r="BX22" s="83"/>
      <c r="BY22" s="83"/>
      <c r="BZ22" s="83"/>
      <c r="CA22" s="83"/>
      <c r="CB22" s="83"/>
      <c r="CC22" s="83"/>
      <c r="CE22" s="89"/>
      <c r="CF22" s="89"/>
      <c r="CG22" s="89"/>
      <c r="CH22" s="89"/>
      <c r="CI22" s="89"/>
      <c r="CJ22" s="89"/>
      <c r="CK22" s="89"/>
      <c r="CL22" s="89"/>
      <c r="CM22" s="89"/>
      <c r="CN22" s="89"/>
      <c r="CO22" s="89"/>
      <c r="CP22" s="89"/>
      <c r="CQ22" s="89"/>
      <c r="CR22" s="89"/>
      <c r="CS22" s="89"/>
      <c r="CT22" s="89"/>
      <c r="CU22" s="89"/>
      <c r="CV22" s="89"/>
      <c r="CW22" s="89"/>
      <c r="CX22" s="89"/>
      <c r="CY22" s="89"/>
      <c r="CZ22" s="89"/>
      <c r="DA22" s="89"/>
      <c r="DB22" s="89"/>
      <c r="DC22" s="89"/>
      <c r="DD22" s="89"/>
      <c r="DE22" s="89"/>
      <c r="DF22" s="89"/>
      <c r="DS22" s="70" t="e">
        <f>+'Motor I'!C50/'Motor I'!C51</f>
        <v>#N/A</v>
      </c>
      <c r="DT22" s="71"/>
      <c r="DU22" s="71"/>
      <c r="DV22" s="71"/>
      <c r="DW22" s="71"/>
      <c r="DX22" s="71"/>
      <c r="DY22" s="72"/>
      <c r="EK22" s="70" t="e">
        <f>+'Motor II'!C50/'Motor II'!C51</f>
        <v>#N/A</v>
      </c>
      <c r="EL22" s="71"/>
      <c r="EM22" s="71"/>
      <c r="EN22" s="71"/>
      <c r="EO22" s="71"/>
      <c r="EP22" s="71"/>
      <c r="EQ22" s="72"/>
    </row>
    <row r="23" spans="1:183" ht="18" customHeight="1" thickBot="1" x14ac:dyDescent="0.45">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BO23" s="79"/>
      <c r="BP23" s="80"/>
      <c r="BQ23" s="80"/>
      <c r="BR23" s="80"/>
      <c r="BS23" s="80"/>
      <c r="BT23" s="80"/>
      <c r="BU23" s="81"/>
      <c r="BX23" s="82">
        <f>+'Motor I'!I34</f>
        <v>25</v>
      </c>
      <c r="BY23" s="83"/>
      <c r="BZ23" s="83"/>
      <c r="CA23" s="82">
        <f>+'Motor I'!J34</f>
        <v>40</v>
      </c>
      <c r="CB23" s="83"/>
      <c r="CC23" s="83"/>
      <c r="CE23" s="84" t="str">
        <f>+'Motor I'!K34</f>
        <v>A</v>
      </c>
      <c r="CF23" s="85"/>
      <c r="CG23" s="85"/>
      <c r="CH23" s="85"/>
      <c r="CI23" s="85"/>
      <c r="CJ23" s="85"/>
      <c r="CK23" s="85"/>
      <c r="CL23" s="84" t="str">
        <f>+'Motor I'!L34</f>
        <v>B</v>
      </c>
      <c r="CM23" s="85"/>
      <c r="CN23" s="85"/>
      <c r="CO23" s="85"/>
      <c r="CP23" s="85"/>
      <c r="CQ23" s="85"/>
      <c r="CR23" s="85"/>
      <c r="CS23" s="84" t="str">
        <f>+'Motor I'!M34</f>
        <v>B</v>
      </c>
      <c r="CT23" s="85"/>
      <c r="CU23" s="85"/>
      <c r="CV23" s="85"/>
      <c r="CW23" s="85"/>
      <c r="CX23" s="85"/>
      <c r="CY23" s="85"/>
      <c r="CZ23" s="84" t="str">
        <f>+'Motor I'!N34</f>
        <v>A-B</v>
      </c>
      <c r="DA23" s="85"/>
      <c r="DB23" s="85"/>
      <c r="DC23" s="85"/>
      <c r="DD23" s="85"/>
      <c r="DE23" s="85"/>
      <c r="DF23" s="85"/>
      <c r="DS23" s="73"/>
      <c r="DT23" s="74"/>
      <c r="DU23" s="74"/>
      <c r="DV23" s="74"/>
      <c r="DW23" s="74"/>
      <c r="DX23" s="74"/>
      <c r="DY23" s="75"/>
      <c r="EK23" s="73"/>
      <c r="EL23" s="74"/>
      <c r="EM23" s="74"/>
      <c r="EN23" s="74"/>
      <c r="EO23" s="74"/>
      <c r="EP23" s="74"/>
      <c r="EQ23" s="75"/>
    </row>
    <row r="24" spans="1:183" ht="18" customHeight="1" thickBot="1" x14ac:dyDescent="0.45">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BO24" s="90">
        <v>0</v>
      </c>
      <c r="BP24" s="91"/>
      <c r="BQ24" s="91"/>
      <c r="BR24" s="91"/>
      <c r="BS24" s="91"/>
      <c r="BT24" s="91"/>
      <c r="BU24" s="92"/>
      <c r="BX24" s="83"/>
      <c r="BY24" s="83"/>
      <c r="BZ24" s="83"/>
      <c r="CA24" s="83"/>
      <c r="CB24" s="83"/>
      <c r="CC24" s="83"/>
      <c r="CE24" s="85"/>
      <c r="CF24" s="85"/>
      <c r="CG24" s="85"/>
      <c r="CH24" s="85"/>
      <c r="CI24" s="85"/>
      <c r="CJ24" s="85"/>
      <c r="CK24" s="85"/>
      <c r="CL24" s="85"/>
      <c r="CM24" s="85"/>
      <c r="CN24" s="85"/>
      <c r="CO24" s="85"/>
      <c r="CP24" s="85"/>
      <c r="CQ24" s="85"/>
      <c r="CR24" s="85"/>
      <c r="CS24" s="85"/>
      <c r="CT24" s="85"/>
      <c r="CU24" s="85"/>
      <c r="CV24" s="85"/>
      <c r="CW24" s="85"/>
      <c r="CX24" s="85"/>
      <c r="CY24" s="85"/>
      <c r="CZ24" s="85"/>
      <c r="DA24" s="85"/>
      <c r="DB24" s="85"/>
      <c r="DC24" s="85"/>
      <c r="DD24" s="85"/>
      <c r="DE24" s="85"/>
      <c r="DF24" s="85"/>
      <c r="EK24"/>
      <c r="EL24"/>
      <c r="EM24"/>
      <c r="EN24"/>
      <c r="EO24"/>
      <c r="EP24"/>
    </row>
    <row r="25" spans="1:183" ht="18" customHeight="1" thickBot="1" x14ac:dyDescent="0.45">
      <c r="A25" s="66" t="s">
        <v>110</v>
      </c>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BO25" s="93"/>
      <c r="BP25" s="94"/>
      <c r="BQ25" s="94"/>
      <c r="BR25" s="94"/>
      <c r="BS25" s="94"/>
      <c r="BT25" s="94"/>
      <c r="BU25" s="95"/>
      <c r="BX25" s="82">
        <f>+'Motor I'!I35</f>
        <v>41</v>
      </c>
      <c r="BY25" s="83"/>
      <c r="BZ25" s="83"/>
      <c r="CA25" s="82">
        <f>+'Motor I'!J35</f>
        <v>50</v>
      </c>
      <c r="CB25" s="83"/>
      <c r="CC25" s="83"/>
      <c r="CE25" s="84" t="str">
        <f>+'Motor I'!K35</f>
        <v>C</v>
      </c>
      <c r="CF25" s="85"/>
      <c r="CG25" s="85"/>
      <c r="CH25" s="85"/>
      <c r="CI25" s="85"/>
      <c r="CJ25" s="85"/>
      <c r="CK25" s="85"/>
      <c r="CL25" s="84" t="str">
        <f>+'Motor I'!L35</f>
        <v>C</v>
      </c>
      <c r="CM25" s="85"/>
      <c r="CN25" s="85"/>
      <c r="CO25" s="85"/>
      <c r="CP25" s="85"/>
      <c r="CQ25" s="85"/>
      <c r="CR25" s="85"/>
      <c r="CS25" s="84" t="str">
        <f>+'Motor I'!M35</f>
        <v>C</v>
      </c>
      <c r="CT25" s="85"/>
      <c r="CU25" s="85"/>
      <c r="CV25" s="85"/>
      <c r="CW25" s="85"/>
      <c r="CX25" s="85"/>
      <c r="CY25" s="85"/>
      <c r="CZ25" s="84" t="str">
        <f>+'Motor I'!N35</f>
        <v>C</v>
      </c>
      <c r="DA25" s="85"/>
      <c r="DB25" s="85"/>
      <c r="DC25" s="85"/>
      <c r="DD25" s="85"/>
      <c r="DE25" s="85"/>
      <c r="DF25" s="85"/>
      <c r="DS25" s="70">
        <f>+'Motor I'!C50</f>
        <v>0</v>
      </c>
      <c r="DT25" s="71"/>
      <c r="DU25" s="71"/>
      <c r="DV25" s="71"/>
      <c r="DW25" s="71"/>
      <c r="DX25" s="71"/>
      <c r="DY25" s="72"/>
      <c r="EK25" s="70">
        <f>+'Motor II'!C50</f>
        <v>0</v>
      </c>
      <c r="EL25" s="71"/>
      <c r="EM25" s="71"/>
      <c r="EN25" s="71"/>
      <c r="EO25" s="71"/>
      <c r="EP25" s="71"/>
      <c r="EQ25" s="72"/>
    </row>
    <row r="26" spans="1:183" ht="18" customHeight="1" thickBot="1" x14ac:dyDescent="0.45">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BX26" s="83">
        <v>1</v>
      </c>
      <c r="BY26" s="83"/>
      <c r="BZ26" s="83"/>
      <c r="CA26" s="83"/>
      <c r="CB26" s="83"/>
      <c r="CC26" s="83"/>
      <c r="CE26" s="85"/>
      <c r="CF26" s="85"/>
      <c r="CG26" s="85"/>
      <c r="CH26" s="85"/>
      <c r="CI26" s="85"/>
      <c r="CJ26" s="85"/>
      <c r="CK26" s="85"/>
      <c r="CL26" s="85"/>
      <c r="CM26" s="85"/>
      <c r="CN26" s="85"/>
      <c r="CO26" s="85"/>
      <c r="CP26" s="85"/>
      <c r="CQ26" s="85"/>
      <c r="CR26" s="85"/>
      <c r="CS26" s="85"/>
      <c r="CT26" s="85"/>
      <c r="CU26" s="85"/>
      <c r="CV26" s="85"/>
      <c r="CW26" s="85"/>
      <c r="CX26" s="85"/>
      <c r="CY26" s="85"/>
      <c r="CZ26" s="85"/>
      <c r="DA26" s="85"/>
      <c r="DB26" s="85"/>
      <c r="DC26" s="85"/>
      <c r="DD26" s="85"/>
      <c r="DE26" s="85"/>
      <c r="DF26" s="85"/>
      <c r="DS26" s="73"/>
      <c r="DT26" s="74"/>
      <c r="DU26" s="74"/>
      <c r="DV26" s="74"/>
      <c r="DW26" s="74"/>
      <c r="DX26" s="74"/>
      <c r="DY26" s="75"/>
      <c r="EK26" s="73"/>
      <c r="EL26" s="74"/>
      <c r="EM26" s="74"/>
      <c r="EN26" s="74"/>
      <c r="EO26" s="74"/>
      <c r="EP26" s="74"/>
      <c r="EQ26" s="75"/>
    </row>
    <row r="27" spans="1:183" ht="18" customHeight="1" x14ac:dyDescent="0.55000000000000004">
      <c r="A27" s="68">
        <v>45931</v>
      </c>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BX27" s="82">
        <f>+'Motor I'!I36</f>
        <v>51</v>
      </c>
      <c r="BY27" s="83"/>
      <c r="BZ27" s="83"/>
      <c r="CA27" s="82">
        <f>+'Motor I'!J36</f>
        <v>60</v>
      </c>
      <c r="CB27" s="83"/>
      <c r="CC27" s="83"/>
      <c r="CE27" s="84" t="str">
        <f>+'Motor I'!K36</f>
        <v>D</v>
      </c>
      <c r="CF27" s="85"/>
      <c r="CG27" s="85"/>
      <c r="CH27" s="85"/>
      <c r="CI27" s="85"/>
      <c r="CJ27" s="85"/>
      <c r="CK27" s="85"/>
      <c r="CL27" s="84" t="str">
        <f>+'Motor I'!L36</f>
        <v>E</v>
      </c>
      <c r="CM27" s="85"/>
      <c r="CN27" s="85"/>
      <c r="CO27" s="85"/>
      <c r="CP27" s="85"/>
      <c r="CQ27" s="85"/>
      <c r="CR27" s="85"/>
      <c r="CS27" s="84" t="str">
        <f>+'Motor I'!M36</f>
        <v>E</v>
      </c>
      <c r="CT27" s="85"/>
      <c r="CU27" s="85"/>
      <c r="CV27" s="85"/>
      <c r="CW27" s="85"/>
      <c r="CX27" s="85"/>
      <c r="CY27" s="85"/>
      <c r="CZ27" s="84" t="str">
        <f>+'Motor I'!N36</f>
        <v>D-E</v>
      </c>
      <c r="DA27" s="85"/>
      <c r="DB27" s="85"/>
      <c r="DC27" s="85"/>
      <c r="DD27" s="85"/>
      <c r="DE27" s="85"/>
      <c r="DF27" s="85"/>
      <c r="EK27"/>
      <c r="EL27"/>
      <c r="EM27"/>
      <c r="EN27"/>
      <c r="EO27"/>
      <c r="EP27"/>
    </row>
    <row r="28" spans="1:183" ht="18" customHeight="1" thickBot="1" x14ac:dyDescent="0.45">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BX28" s="83">
        <v>1</v>
      </c>
      <c r="BY28" s="83">
        <v>1</v>
      </c>
      <c r="BZ28" s="83">
        <v>1</v>
      </c>
      <c r="CA28" s="83">
        <v>1</v>
      </c>
      <c r="CB28" s="83">
        <v>1</v>
      </c>
      <c r="CC28" s="83">
        <v>1</v>
      </c>
      <c r="CE28" s="85">
        <v>1</v>
      </c>
      <c r="CF28" s="85">
        <v>1</v>
      </c>
      <c r="CG28" s="85">
        <v>1</v>
      </c>
      <c r="CH28" s="85">
        <v>1</v>
      </c>
      <c r="CI28" s="85">
        <v>1</v>
      </c>
      <c r="CJ28" s="85">
        <v>1</v>
      </c>
      <c r="CK28" s="85">
        <v>1</v>
      </c>
      <c r="CL28" s="85">
        <v>1</v>
      </c>
      <c r="CM28" s="85">
        <v>1</v>
      </c>
      <c r="CN28" s="85">
        <v>1</v>
      </c>
      <c r="CO28" s="85">
        <v>1</v>
      </c>
      <c r="CP28" s="85">
        <v>1</v>
      </c>
      <c r="CQ28" s="85">
        <v>1</v>
      </c>
      <c r="CR28" s="85">
        <v>1</v>
      </c>
      <c r="CS28" s="85">
        <v>1</v>
      </c>
      <c r="CT28" s="85">
        <v>1</v>
      </c>
      <c r="CU28" s="85">
        <v>1</v>
      </c>
      <c r="CV28" s="85">
        <v>1</v>
      </c>
      <c r="CW28" s="85">
        <v>1</v>
      </c>
      <c r="CX28" s="85">
        <v>1</v>
      </c>
      <c r="CY28" s="85">
        <v>1</v>
      </c>
      <c r="CZ28" s="85">
        <v>1</v>
      </c>
      <c r="DA28" s="85">
        <v>1</v>
      </c>
      <c r="DB28" s="85">
        <v>1</v>
      </c>
      <c r="DC28" s="85">
        <v>1</v>
      </c>
      <c r="DD28" s="85">
        <v>1</v>
      </c>
      <c r="DE28" s="85">
        <v>1</v>
      </c>
      <c r="DF28" s="85">
        <v>1</v>
      </c>
      <c r="EK28"/>
      <c r="EL28"/>
      <c r="EM28"/>
      <c r="EN28"/>
      <c r="EO28"/>
      <c r="EP28"/>
    </row>
    <row r="29" spans="1:183" ht="18" customHeight="1" x14ac:dyDescent="0.4">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DI29" s="99" t="e">
        <f>+'Topes imponibles'!J2</f>
        <v>#N/A</v>
      </c>
      <c r="DJ29" s="100"/>
      <c r="DK29" s="100"/>
      <c r="DL29" s="100"/>
      <c r="DM29" s="100"/>
      <c r="DN29" s="100"/>
      <c r="DO29" s="100"/>
      <c r="DP29" s="101"/>
      <c r="DQ29" s="101"/>
      <c r="DR29" s="101"/>
      <c r="DS29" s="101"/>
      <c r="DT29" s="101"/>
      <c r="DU29" s="101"/>
      <c r="DV29" s="101"/>
      <c r="DW29" s="101"/>
      <c r="DX29" s="101"/>
      <c r="DY29" s="101"/>
      <c r="DZ29" s="102"/>
      <c r="EA29" s="102"/>
      <c r="EB29" s="102"/>
      <c r="EC29" s="102"/>
      <c r="ED29" s="102"/>
      <c r="EE29" s="102"/>
      <c r="EF29" s="102"/>
      <c r="EG29" s="102"/>
      <c r="EH29" s="102"/>
      <c r="EI29" s="102"/>
      <c r="EJ29" s="102"/>
      <c r="EK29" s="102"/>
      <c r="EL29" s="102"/>
      <c r="EM29" s="102"/>
      <c r="EN29" s="102"/>
      <c r="EO29" s="102"/>
      <c r="EP29" s="102"/>
      <c r="EQ29" s="103"/>
    </row>
    <row r="30" spans="1:183" ht="18" customHeight="1" thickBot="1" x14ac:dyDescent="0.45">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DI30" s="104"/>
      <c r="DJ30" s="105"/>
      <c r="DK30" s="105"/>
      <c r="DL30" s="105"/>
      <c r="DM30" s="105"/>
      <c r="DN30" s="105"/>
      <c r="DO30" s="105"/>
      <c r="DP30" s="106"/>
      <c r="DQ30" s="106"/>
      <c r="DR30" s="106"/>
      <c r="DS30" s="106"/>
      <c r="DT30" s="106"/>
      <c r="DU30" s="106"/>
      <c r="DV30" s="106"/>
      <c r="DW30" s="106"/>
      <c r="DX30" s="106"/>
      <c r="DY30" s="106"/>
      <c r="DZ30" s="107"/>
      <c r="EA30" s="107"/>
      <c r="EB30" s="107"/>
      <c r="EC30" s="107"/>
      <c r="ED30" s="107"/>
      <c r="EE30" s="107"/>
      <c r="EF30" s="107"/>
      <c r="EG30" s="107"/>
      <c r="EH30" s="107"/>
      <c r="EI30" s="107"/>
      <c r="EJ30" s="107"/>
      <c r="EK30" s="107"/>
      <c r="EL30" s="107"/>
      <c r="EM30" s="107"/>
      <c r="EN30" s="107"/>
      <c r="EO30" s="107"/>
      <c r="EP30" s="107"/>
      <c r="EQ30" s="108"/>
    </row>
    <row r="31" spans="1:183" ht="18" customHeight="1" x14ac:dyDescent="0.4">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row>
    <row r="32" spans="1:183" ht="18" customHeight="1" x14ac:dyDescent="0.4">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row>
    <row r="33" spans="1:37" ht="18" customHeight="1" x14ac:dyDescent="0.4">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row>
    <row r="34" spans="1:37" ht="18" customHeight="1" x14ac:dyDescent="0.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row>
    <row r="35" spans="1:37" ht="18" customHeight="1" x14ac:dyDescent="0.4">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row>
    <row r="36" spans="1:37" ht="18" customHeight="1" x14ac:dyDescent="0.4">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row>
    <row r="37" spans="1:37" ht="18" customHeight="1" x14ac:dyDescent="0.4">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row>
    <row r="38" spans="1:37" ht="18" customHeight="1" x14ac:dyDescent="0.4">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row>
  </sheetData>
  <sheetProtection algorithmName="SHA-512" hashValue="CMu8mnTFbLvks90zh2aiecYCwGqMIce0GdXAastY51xZRud/+k3f5KI+8SVJA9cTajk8KiWwDdvbVBKhU8bSsg==" saltValue="+tMvadMIYCOI+n4vrGie4w==" spinCount="100000" sheet="1" objects="1" scenarios="1" selectLockedCells="1"/>
  <mergeCells count="48">
    <mergeCell ref="AX18:BD19"/>
    <mergeCell ref="BO18:BU19"/>
    <mergeCell ref="BO20:BU21"/>
    <mergeCell ref="FU16:GA16"/>
    <mergeCell ref="DI29:EQ30"/>
    <mergeCell ref="FU17:GA18"/>
    <mergeCell ref="EK22:EQ23"/>
    <mergeCell ref="EK25:EQ26"/>
    <mergeCell ref="EK17:EQ18"/>
    <mergeCell ref="EK19:EQ20"/>
    <mergeCell ref="BO22:BU23"/>
    <mergeCell ref="BO24:BU25"/>
    <mergeCell ref="BX21:BZ22"/>
    <mergeCell ref="CA21:CC22"/>
    <mergeCell ref="BX23:BZ24"/>
    <mergeCell ref="BX25:BZ26"/>
    <mergeCell ref="CA25:CC26"/>
    <mergeCell ref="BX27:BZ28"/>
    <mergeCell ref="CA23:CC24"/>
    <mergeCell ref="DS13:DY14"/>
    <mergeCell ref="CE23:CK24"/>
    <mergeCell ref="CE25:CK26"/>
    <mergeCell ref="CZ23:DF24"/>
    <mergeCell ref="CZ25:DF26"/>
    <mergeCell ref="CE21:CK22"/>
    <mergeCell ref="CL21:CR22"/>
    <mergeCell ref="CS21:CY22"/>
    <mergeCell ref="CZ21:DF22"/>
    <mergeCell ref="DS15:DY16"/>
    <mergeCell ref="DS17:DY18"/>
    <mergeCell ref="DS19:DY20"/>
    <mergeCell ref="DS22:DY23"/>
    <mergeCell ref="A25:AK26"/>
    <mergeCell ref="A27:AK27"/>
    <mergeCell ref="DS25:DY26"/>
    <mergeCell ref="EK13:EQ14"/>
    <mergeCell ref="EK15:EQ16"/>
    <mergeCell ref="CA27:CC28"/>
    <mergeCell ref="CZ27:DF28"/>
    <mergeCell ref="CE27:CK28"/>
    <mergeCell ref="CL23:CR24"/>
    <mergeCell ref="CL25:CR26"/>
    <mergeCell ref="CL27:CR28"/>
    <mergeCell ref="CS23:CY24"/>
    <mergeCell ref="CS25:CY26"/>
    <mergeCell ref="CS27:CY28"/>
    <mergeCell ref="CH18:CN19"/>
    <mergeCell ref="CZ18:DF19"/>
  </mergeCells>
  <pageMargins left="0.25" right="0.25" top="0.75" bottom="0.75" header="0.3" footer="0.3"/>
  <pageSetup orientation="portrait" r:id="rId1"/>
  <headerFooter>
    <oddFooter>&amp;C_x000D_&amp;1#&amp;"Calibri"&amp;10&amp;K000000 Uso Interno</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AC6C53C9-2C92-4F54-987B-DAE7A1309EF5}">
          <x14:formula1>
            <xm:f>'Motor I'!$B$4:$B$5</xm:f>
          </x14:formula1>
          <xm:sqref>AX18</xm:sqref>
        </x14:dataValidation>
        <x14:dataValidation type="list" allowBlank="1" showInputMessage="1" showErrorMessage="1" xr:uid="{0CB5BC45-4E88-4E6A-BC38-8A18CDFAEFA4}">
          <x14:formula1>
            <xm:f>'Motor I'!$N$13:$N$16</xm:f>
          </x14:formula1>
          <xm:sqref>CH18:CN19</xm:sqref>
        </x14:dataValidation>
        <x14:dataValidation type="whole" operator="lessThan" allowBlank="1" showInputMessage="1" showErrorMessage="1" errorTitle="Promedio de cotizaciones" error="Recuerda que este valor no puede exeder el promedio de topes imponibles de los ultimos 10 años." xr:uid="{BBCF6F7A-F722-4DA6-80C0-9FFFC8649FE5}">
          <x14:formula1>
            <xm:f>+'Topes imponibles'!$F$7</xm:f>
          </x14:formula1>
          <xm:sqref>BO24:BU25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A9C89-107E-404B-B9E3-B29D2CD43AE6}">
  <sheetPr codeName="Hoja7"/>
  <dimension ref="A1:AK39"/>
  <sheetViews>
    <sheetView showGridLines="0" zoomScaleNormal="100" workbookViewId="0">
      <selection activeCell="Q15" sqref="Q15:R15"/>
    </sheetView>
  </sheetViews>
  <sheetFormatPr baseColWidth="10" defaultColWidth="0" defaultRowHeight="16" zeroHeight="1" x14ac:dyDescent="0.4"/>
  <cols>
    <col min="1" max="37" width="2.7265625" style="1" customWidth="1"/>
    <col min="38" max="16384" width="2.7265625" hidden="1"/>
  </cols>
  <sheetData>
    <row r="1" spans="2:22" x14ac:dyDescent="0.4"/>
    <row r="2" spans="2:22" x14ac:dyDescent="0.4"/>
    <row r="3" spans="2:22" x14ac:dyDescent="0.4"/>
    <row r="4" spans="2:22" x14ac:dyDescent="0.4"/>
    <row r="5" spans="2:22" x14ac:dyDescent="0.4"/>
    <row r="6" spans="2:22" x14ac:dyDescent="0.4"/>
    <row r="7" spans="2:22" x14ac:dyDescent="0.4"/>
    <row r="8" spans="2:22" x14ac:dyDescent="0.4"/>
    <row r="9" spans="2:22" x14ac:dyDescent="0.4"/>
    <row r="10" spans="2:22" x14ac:dyDescent="0.4"/>
    <row r="11" spans="2:22" x14ac:dyDescent="0.4"/>
    <row r="12" spans="2:22" x14ac:dyDescent="0.4"/>
    <row r="13" spans="2:22" x14ac:dyDescent="0.4"/>
    <row r="14" spans="2:22" x14ac:dyDescent="0.4"/>
    <row r="15" spans="2:22" x14ac:dyDescent="0.4">
      <c r="B15" s="58" t="s">
        <v>122</v>
      </c>
      <c r="C15" s="57" t="s">
        <v>119</v>
      </c>
      <c r="D15" s="57"/>
      <c r="E15" s="57"/>
      <c r="F15" s="57"/>
      <c r="G15" s="57"/>
      <c r="H15" s="57"/>
      <c r="I15" s="57"/>
      <c r="J15" s="57"/>
      <c r="K15" s="57"/>
      <c r="L15" s="57"/>
      <c r="M15" s="57"/>
      <c r="N15" s="57"/>
      <c r="O15" s="57"/>
      <c r="P15" s="57"/>
      <c r="Q15" s="112" t="s">
        <v>7</v>
      </c>
      <c r="R15" s="113"/>
      <c r="S15" s="114">
        <f>+VLOOKUP(Q15,'Motor III'!$L$41:$M$45,2,FALSE)</f>
        <v>3.3799999999999997E-2</v>
      </c>
      <c r="T15" s="115"/>
      <c r="U15" s="115"/>
      <c r="V15" s="58" t="s">
        <v>123</v>
      </c>
    </row>
    <row r="16" spans="2:22" x14ac:dyDescent="0.4">
      <c r="B16" s="58" t="s">
        <v>122</v>
      </c>
      <c r="C16" s="57" t="s">
        <v>120</v>
      </c>
      <c r="D16" s="57"/>
      <c r="E16" s="57"/>
      <c r="F16" s="57"/>
      <c r="G16" s="57"/>
      <c r="H16" s="57"/>
      <c r="I16" s="57"/>
      <c r="J16" s="57"/>
      <c r="K16" s="57"/>
      <c r="L16" s="57"/>
      <c r="M16" s="57"/>
      <c r="N16" s="57"/>
      <c r="O16" s="57"/>
      <c r="P16" s="57"/>
      <c r="Q16" s="112" t="s">
        <v>7</v>
      </c>
      <c r="R16" s="113"/>
      <c r="S16" s="114">
        <f>+VLOOKUP(Q16,'Motor III'!$L$41:$M$45,2,FALSE)</f>
        <v>3.3799999999999997E-2</v>
      </c>
      <c r="T16" s="115"/>
      <c r="U16" s="115"/>
      <c r="V16" s="58" t="s">
        <v>123</v>
      </c>
    </row>
    <row r="17" spans="2:22" x14ac:dyDescent="0.4">
      <c r="B17" s="58" t="s">
        <v>122</v>
      </c>
      <c r="C17" s="57" t="s">
        <v>121</v>
      </c>
      <c r="D17" s="57"/>
      <c r="E17" s="57"/>
      <c r="F17" s="57"/>
      <c r="G17" s="57"/>
      <c r="H17" s="57"/>
      <c r="I17" s="57"/>
      <c r="J17" s="57"/>
      <c r="K17" s="57"/>
      <c r="L17" s="57"/>
      <c r="M17" s="57"/>
      <c r="N17" s="57"/>
      <c r="O17" s="57"/>
      <c r="P17" s="57"/>
      <c r="Q17" s="112" t="s">
        <v>7</v>
      </c>
      <c r="R17" s="113"/>
      <c r="S17" s="114">
        <f>+VLOOKUP(Q17,'Motor III'!$L$41:$M$45,2,FALSE)</f>
        <v>3.3799999999999997E-2</v>
      </c>
      <c r="T17" s="115"/>
      <c r="U17" s="115"/>
      <c r="V17" s="58" t="s">
        <v>123</v>
      </c>
    </row>
    <row r="18" spans="2:22" x14ac:dyDescent="0.4"/>
    <row r="19" spans="2:22" x14ac:dyDescent="0.4"/>
    <row r="20" spans="2:22" x14ac:dyDescent="0.4"/>
    <row r="21" spans="2:22" x14ac:dyDescent="0.4">
      <c r="C21" s="28" t="e">
        <f>+'Motor III'!$C$25</f>
        <v>#N/A</v>
      </c>
    </row>
    <row r="22" spans="2:22" x14ac:dyDescent="0.4"/>
    <row r="23" spans="2:22" x14ac:dyDescent="0.4"/>
    <row r="24" spans="2:22" x14ac:dyDescent="0.4"/>
    <row r="25" spans="2:22" x14ac:dyDescent="0.4"/>
    <row r="26" spans="2:22" x14ac:dyDescent="0.4"/>
    <row r="27" spans="2:22" x14ac:dyDescent="0.4"/>
    <row r="28" spans="2:22" x14ac:dyDescent="0.4"/>
    <row r="29" spans="2:22" x14ac:dyDescent="0.4"/>
    <row r="30" spans="2:22" x14ac:dyDescent="0.4"/>
    <row r="31" spans="2:22" x14ac:dyDescent="0.4"/>
    <row r="32" spans="2:22" x14ac:dyDescent="0.4"/>
    <row r="33" x14ac:dyDescent="0.4"/>
    <row r="34" x14ac:dyDescent="0.4"/>
    <row r="35" x14ac:dyDescent="0.4"/>
    <row r="36" x14ac:dyDescent="0.4"/>
    <row r="37" x14ac:dyDescent="0.4"/>
    <row r="38" x14ac:dyDescent="0.4"/>
    <row r="39" x14ac:dyDescent="0.4"/>
  </sheetData>
  <sheetProtection algorithmName="SHA-512" hashValue="jUpYq9LJvziLHCH4kqX+yUswVIpsskGImCcNBbMq2G0N+v43y2sW7iraNoFxiCfTJ63WCsLfsgcvQPTfCugQRA==" saltValue="bnJQ7FMR3c8P67DyQTCHpg==" spinCount="100000" sheet="1" objects="1" scenarios="1" selectLockedCells="1"/>
  <mergeCells count="6">
    <mergeCell ref="Q15:R15"/>
    <mergeCell ref="Q16:R16"/>
    <mergeCell ref="Q17:R17"/>
    <mergeCell ref="S17:U17"/>
    <mergeCell ref="S15:U15"/>
    <mergeCell ref="S16:U16"/>
  </mergeCells>
  <pageMargins left="0.25" right="0.25"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0E66A0A-ED8F-4355-AAF2-8F3B147860F3}">
          <x14:formula1>
            <xm:f>'Motor III'!$N$35:$N$39</xm:f>
          </x14:formula1>
          <xm:sqref>Q15</xm:sqref>
        </x14:dataValidation>
        <x14:dataValidation type="list" allowBlank="1" showInputMessage="1" showErrorMessage="1" xr:uid="{6B38F173-D20F-4D51-8D6A-8F82378C378C}">
          <x14:formula1>
            <xm:f>'Motor III'!$N$41:$N$45</xm:f>
          </x14:formula1>
          <xm:sqref>Q16:R16 Q17:R17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4E6E2-20E7-4A71-BEAF-0A12A027EBD4}">
  <sheetPr codeName="Hoja3"/>
  <dimension ref="A1:X73"/>
  <sheetViews>
    <sheetView workbookViewId="0">
      <selection activeCell="F74" sqref="F74"/>
    </sheetView>
  </sheetViews>
  <sheetFormatPr baseColWidth="10" defaultColWidth="11.453125" defaultRowHeight="14.5" x14ac:dyDescent="0.35"/>
  <cols>
    <col min="1" max="1" width="11.453125" style="2"/>
    <col min="2" max="2" width="20.26953125" style="2" bestFit="1" customWidth="1"/>
    <col min="3" max="3" width="11.54296875" style="2" bestFit="1" customWidth="1"/>
    <col min="4" max="7" width="11.453125" style="2"/>
    <col min="8" max="8" width="9.26953125" style="2" bestFit="1" customWidth="1"/>
    <col min="9" max="13" width="11.453125" style="2"/>
    <col min="14" max="14" width="14.81640625" style="2" bestFit="1" customWidth="1"/>
    <col min="15" max="16" width="11.453125" style="2"/>
    <col min="17" max="17" width="13.26953125" style="2" bestFit="1" customWidth="1"/>
    <col min="18" max="18" width="15.1796875" style="2" bestFit="1" customWidth="1"/>
    <col min="19" max="19" width="13" style="2" bestFit="1" customWidth="1"/>
    <col min="20" max="20" width="13.26953125" style="2" bestFit="1" customWidth="1"/>
    <col min="21" max="21" width="15.7265625" style="2" bestFit="1" customWidth="1"/>
    <col min="22" max="16384" width="11.453125" style="2"/>
  </cols>
  <sheetData>
    <row r="1" spans="1:24" x14ac:dyDescent="0.35">
      <c r="A1" s="2" t="s">
        <v>0</v>
      </c>
      <c r="H1" s="2" t="s">
        <v>54</v>
      </c>
      <c r="I1" s="9">
        <v>4.1399999999999999E-2</v>
      </c>
      <c r="K1" s="2" t="s">
        <v>54</v>
      </c>
      <c r="L1" s="9">
        <v>4.41E-2</v>
      </c>
    </row>
    <row r="2" spans="1:24" x14ac:dyDescent="0.35">
      <c r="A2" s="2" t="s">
        <v>1</v>
      </c>
      <c r="B2" s="2" t="s">
        <v>2</v>
      </c>
      <c r="C2" s="2" t="s">
        <v>3</v>
      </c>
      <c r="H2" s="2" t="s">
        <v>2</v>
      </c>
      <c r="I2" s="2" t="s">
        <v>3</v>
      </c>
      <c r="K2" s="2" t="s">
        <v>2</v>
      </c>
      <c r="L2" s="2" t="s">
        <v>3</v>
      </c>
      <c r="N2" s="47" t="s">
        <v>91</v>
      </c>
      <c r="O2" s="47" t="s">
        <v>13</v>
      </c>
      <c r="P2" s="47" t="s">
        <v>54</v>
      </c>
      <c r="Q2" s="47" t="s">
        <v>92</v>
      </c>
      <c r="R2" s="47" t="s">
        <v>93</v>
      </c>
      <c r="S2" s="47" t="s">
        <v>56</v>
      </c>
      <c r="T2" s="47" t="s">
        <v>94</v>
      </c>
      <c r="U2" s="47" t="s">
        <v>95</v>
      </c>
      <c r="W2" s="2" t="s">
        <v>3</v>
      </c>
      <c r="X2" s="2" t="s">
        <v>16</v>
      </c>
    </row>
    <row r="3" spans="1:24" x14ac:dyDescent="0.35">
      <c r="A3" s="2">
        <v>20</v>
      </c>
      <c r="B3" s="5">
        <f>+'3,41'!K19</f>
        <v>324.25200000000001</v>
      </c>
      <c r="C3" s="2">
        <f>+'3,41'!M19</f>
        <v>327.16800000000001</v>
      </c>
      <c r="H3" s="5">
        <v>278.29200000000003</v>
      </c>
      <c r="I3" s="5">
        <v>280.44</v>
      </c>
      <c r="K3" s="5">
        <v>258.15600000000001</v>
      </c>
      <c r="L3" s="2">
        <v>263.82</v>
      </c>
      <c r="N3" s="44" t="s">
        <v>87</v>
      </c>
      <c r="O3" s="44" t="s">
        <v>83</v>
      </c>
      <c r="P3" s="45">
        <v>4.41E-2</v>
      </c>
      <c r="Q3" s="44">
        <v>205.488</v>
      </c>
      <c r="R3" s="44">
        <v>182.85599999999999</v>
      </c>
      <c r="S3" s="46">
        <v>100000000</v>
      </c>
      <c r="T3" s="46">
        <f>+S3/Q3</f>
        <v>486646.42217550415</v>
      </c>
      <c r="U3" s="46">
        <f>+S3/R3</f>
        <v>546878.41799011244</v>
      </c>
      <c r="W3" s="2" t="s">
        <v>87</v>
      </c>
      <c r="X3" s="7">
        <f>+T3</f>
        <v>486646.42217550415</v>
      </c>
    </row>
    <row r="4" spans="1:24" x14ac:dyDescent="0.35">
      <c r="A4" s="2">
        <v>21</v>
      </c>
      <c r="B4" s="5">
        <f>+'3,41'!K20</f>
        <v>323.07599999999996</v>
      </c>
      <c r="C4" s="2">
        <f>+'3,41'!M20</f>
        <v>326.06400000000002</v>
      </c>
      <c r="H4" s="5">
        <v>277.56</v>
      </c>
      <c r="I4" s="5">
        <v>279.76799999999997</v>
      </c>
      <c r="K4" s="5">
        <v>257.35200000000003</v>
      </c>
      <c r="L4" s="2">
        <v>263.18400000000003</v>
      </c>
      <c r="N4" s="44" t="s">
        <v>88</v>
      </c>
      <c r="O4" s="44" t="s">
        <v>84</v>
      </c>
      <c r="P4" s="45">
        <v>4.41E-2</v>
      </c>
      <c r="Q4" s="44">
        <v>205.488</v>
      </c>
      <c r="R4" s="44">
        <v>182.85599999999999</v>
      </c>
      <c r="S4" s="46">
        <v>100000000</v>
      </c>
      <c r="T4" s="46">
        <f t="shared" ref="T4:T6" si="0">+S4/Q4</f>
        <v>486646.42217550415</v>
      </c>
      <c r="U4" s="46">
        <f t="shared" ref="U4:U6" si="1">+S4/R4</f>
        <v>546878.41799011244</v>
      </c>
      <c r="W4" s="2" t="s">
        <v>88</v>
      </c>
      <c r="X4" s="7">
        <f t="shared" ref="X4:X6" si="2">+T4</f>
        <v>486646.42217550415</v>
      </c>
    </row>
    <row r="5" spans="1:24" x14ac:dyDescent="0.35">
      <c r="A5" s="2">
        <v>22</v>
      </c>
      <c r="B5" s="5">
        <f>+'3,41'!K21</f>
        <v>321.86400000000003</v>
      </c>
      <c r="C5" s="2">
        <f>+'3,41'!M21</f>
        <v>324.92400000000004</v>
      </c>
      <c r="H5" s="5">
        <v>276.79200000000003</v>
      </c>
      <c r="I5" s="5">
        <v>279.06</v>
      </c>
      <c r="K5" s="5">
        <v>256.512</v>
      </c>
      <c r="L5" s="2">
        <v>262.524</v>
      </c>
      <c r="N5" s="44" t="s">
        <v>89</v>
      </c>
      <c r="O5" s="44" t="s">
        <v>85</v>
      </c>
      <c r="P5" s="45">
        <v>4.41E-2</v>
      </c>
      <c r="Q5" s="44">
        <v>205.488</v>
      </c>
      <c r="R5" s="44">
        <v>182.85599999999999</v>
      </c>
      <c r="S5" s="46">
        <v>100000000</v>
      </c>
      <c r="T5" s="46">
        <f t="shared" si="0"/>
        <v>486646.42217550415</v>
      </c>
      <c r="U5" s="46">
        <f t="shared" si="1"/>
        <v>546878.41799011244</v>
      </c>
      <c r="W5" s="2" t="s">
        <v>89</v>
      </c>
      <c r="X5" s="7">
        <f t="shared" si="2"/>
        <v>486646.42217550415</v>
      </c>
    </row>
    <row r="6" spans="1:24" x14ac:dyDescent="0.35">
      <c r="A6" s="2">
        <v>23</v>
      </c>
      <c r="B6" s="5">
        <f>+'3,41'!K22</f>
        <v>320.60400000000004</v>
      </c>
      <c r="C6" s="2">
        <f>+'3,41'!M22</f>
        <v>323.73599999999999</v>
      </c>
      <c r="H6" s="5">
        <v>276</v>
      </c>
      <c r="I6" s="5">
        <v>278.32799999999997</v>
      </c>
      <c r="K6" s="5">
        <v>255.636</v>
      </c>
      <c r="L6" s="2">
        <v>261.82799999999997</v>
      </c>
      <c r="N6" s="44" t="s">
        <v>90</v>
      </c>
      <c r="O6" s="44" t="s">
        <v>86</v>
      </c>
      <c r="P6" s="45">
        <v>4.1399999999999999E-2</v>
      </c>
      <c r="Q6" s="44">
        <v>212.44799999999998</v>
      </c>
      <c r="R6" s="52">
        <v>188.28</v>
      </c>
      <c r="S6" s="46">
        <v>100000000</v>
      </c>
      <c r="T6" s="46">
        <f t="shared" si="0"/>
        <v>470703.41918963706</v>
      </c>
      <c r="U6" s="46">
        <f t="shared" si="1"/>
        <v>531123.85808370507</v>
      </c>
      <c r="W6" s="2" t="s">
        <v>90</v>
      </c>
      <c r="X6" s="7">
        <f t="shared" si="2"/>
        <v>470703.41918963706</v>
      </c>
    </row>
    <row r="7" spans="1:24" x14ac:dyDescent="0.35">
      <c r="A7" s="2">
        <v>24</v>
      </c>
      <c r="B7" s="5">
        <f>+'3,41'!K23</f>
        <v>319.30799999999999</v>
      </c>
      <c r="C7" s="2">
        <f>+'3,41'!M23</f>
        <v>322.512</v>
      </c>
      <c r="H7" s="5">
        <v>275.17200000000003</v>
      </c>
      <c r="I7" s="5">
        <v>277.56</v>
      </c>
      <c r="K7" s="5">
        <v>254.72400000000002</v>
      </c>
      <c r="L7" s="2">
        <v>261.108</v>
      </c>
    </row>
    <row r="8" spans="1:24" x14ac:dyDescent="0.35">
      <c r="A8" s="2">
        <v>25</v>
      </c>
      <c r="B8" s="5">
        <f>+'3,41'!K24</f>
        <v>317.964</v>
      </c>
      <c r="C8" s="2">
        <f>+'3,41'!M24</f>
        <v>321.24</v>
      </c>
      <c r="H8" s="5">
        <v>274.30799999999999</v>
      </c>
      <c r="I8" s="5">
        <v>276.75599999999997</v>
      </c>
      <c r="K8" s="5">
        <v>253.77599999999998</v>
      </c>
      <c r="L8" s="2">
        <v>260.35200000000003</v>
      </c>
      <c r="N8" s="47" t="s">
        <v>109</v>
      </c>
      <c r="O8" s="47" t="s">
        <v>108</v>
      </c>
      <c r="W8" s="2" t="s">
        <v>2</v>
      </c>
      <c r="X8" s="2" t="s">
        <v>16</v>
      </c>
    </row>
    <row r="9" spans="1:24" x14ac:dyDescent="0.35">
      <c r="A9" s="2">
        <v>26</v>
      </c>
      <c r="B9" s="5">
        <f>+'3,41'!K25</f>
        <v>316.572</v>
      </c>
      <c r="C9" s="2">
        <f>+'3,41'!M25</f>
        <v>319.92</v>
      </c>
      <c r="H9" s="5">
        <v>273.40800000000002</v>
      </c>
      <c r="I9" s="5">
        <v>275.928</v>
      </c>
      <c r="K9" s="5">
        <v>252.792</v>
      </c>
      <c r="L9" s="2">
        <v>259.56</v>
      </c>
      <c r="N9" s="44" t="s">
        <v>3</v>
      </c>
      <c r="O9" s="51">
        <f>+T6-T5</f>
        <v>-15943.00298586709</v>
      </c>
      <c r="W9" s="2" t="s">
        <v>87</v>
      </c>
      <c r="X9" s="7">
        <f>+U3</f>
        <v>546878.41799011244</v>
      </c>
    </row>
    <row r="10" spans="1:24" x14ac:dyDescent="0.35">
      <c r="A10" s="2">
        <v>27</v>
      </c>
      <c r="B10" s="5">
        <f>+'3,41'!K26</f>
        <v>315.12</v>
      </c>
      <c r="C10" s="2">
        <f>+'3,41'!M26</f>
        <v>318.55200000000002</v>
      </c>
      <c r="H10" s="5">
        <v>272.45999999999998</v>
      </c>
      <c r="I10" s="5">
        <v>275.05200000000002</v>
      </c>
      <c r="K10" s="5">
        <v>251.76</v>
      </c>
      <c r="L10" s="2">
        <v>258.73200000000003</v>
      </c>
      <c r="N10" s="44" t="s">
        <v>2</v>
      </c>
      <c r="O10" s="51">
        <f>+U6-U5</f>
        <v>-15754.559906407376</v>
      </c>
      <c r="W10" s="2" t="s">
        <v>88</v>
      </c>
      <c r="X10" s="7">
        <f t="shared" ref="X10:X12" si="3">+U4</f>
        <v>546878.41799011244</v>
      </c>
    </row>
    <row r="11" spans="1:24" x14ac:dyDescent="0.35">
      <c r="A11" s="2">
        <v>28</v>
      </c>
      <c r="B11" s="5">
        <f>+'3,41'!K27</f>
        <v>313.63200000000001</v>
      </c>
      <c r="C11" s="2">
        <f>+'3,41'!M27</f>
        <v>317.13599999999997</v>
      </c>
      <c r="H11" s="5">
        <v>271.488</v>
      </c>
      <c r="I11" s="5">
        <v>274.14</v>
      </c>
      <c r="K11" s="5">
        <v>250.69200000000001</v>
      </c>
      <c r="L11" s="2">
        <v>257.86799999999999</v>
      </c>
      <c r="W11" s="2" t="s">
        <v>89</v>
      </c>
      <c r="X11" s="7">
        <f t="shared" si="3"/>
        <v>546878.41799011244</v>
      </c>
    </row>
    <row r="12" spans="1:24" x14ac:dyDescent="0.35">
      <c r="A12" s="2">
        <v>29</v>
      </c>
      <c r="B12" s="5">
        <f>+'3,41'!K28</f>
        <v>312.096</v>
      </c>
      <c r="C12" s="2">
        <f>+'3,41'!M28</f>
        <v>315.67200000000003</v>
      </c>
      <c r="H12" s="5">
        <v>270.46800000000002</v>
      </c>
      <c r="I12" s="5">
        <v>273.19200000000001</v>
      </c>
      <c r="K12" s="5">
        <v>249.57599999999999</v>
      </c>
      <c r="L12" s="2">
        <v>256.95599999999996</v>
      </c>
      <c r="W12" s="2" t="s">
        <v>90</v>
      </c>
      <c r="X12" s="7">
        <f t="shared" si="3"/>
        <v>531123.85808370507</v>
      </c>
    </row>
    <row r="13" spans="1:24" x14ac:dyDescent="0.35">
      <c r="A13" s="2">
        <v>30</v>
      </c>
      <c r="B13" s="5">
        <f>+'3,41'!K29</f>
        <v>310.5</v>
      </c>
      <c r="C13" s="2">
        <f>+'3,41'!M29</f>
        <v>314.14799999999997</v>
      </c>
      <c r="H13" s="5">
        <v>269.41200000000003</v>
      </c>
      <c r="I13" s="5">
        <v>272.19599999999997</v>
      </c>
      <c r="K13" s="5">
        <v>248.41200000000001</v>
      </c>
      <c r="L13" s="2">
        <v>256.00799999999998</v>
      </c>
    </row>
    <row r="14" spans="1:24" x14ac:dyDescent="0.35">
      <c r="A14" s="2">
        <v>31</v>
      </c>
      <c r="B14" s="5">
        <f>+'3,41'!K30</f>
        <v>308.84399999999999</v>
      </c>
      <c r="C14" s="2">
        <f>+'3,41'!M30</f>
        <v>312.57599999999996</v>
      </c>
      <c r="H14" s="5">
        <v>268.30799999999999</v>
      </c>
      <c r="I14" s="5">
        <v>271.16399999999999</v>
      </c>
      <c r="K14" s="5">
        <v>247.2</v>
      </c>
      <c r="L14" s="2">
        <v>255.024</v>
      </c>
    </row>
    <row r="15" spans="1:24" x14ac:dyDescent="0.35">
      <c r="A15" s="2">
        <v>32</v>
      </c>
      <c r="B15" s="5">
        <f>+'3,41'!K31</f>
        <v>307.12799999999999</v>
      </c>
      <c r="C15" s="2">
        <f>+'3,41'!M31</f>
        <v>310.95599999999996</v>
      </c>
      <c r="H15" s="5">
        <v>267.15600000000001</v>
      </c>
      <c r="I15" s="5">
        <v>270.096</v>
      </c>
      <c r="K15" s="5">
        <v>245.94</v>
      </c>
      <c r="L15" s="2">
        <v>254.00400000000002</v>
      </c>
    </row>
    <row r="16" spans="1:24" x14ac:dyDescent="0.35">
      <c r="A16" s="2">
        <v>33</v>
      </c>
      <c r="B16" s="5">
        <f>+'3,41'!K32</f>
        <v>305.36400000000003</v>
      </c>
      <c r="C16" s="2">
        <f>+'3,41'!M32</f>
        <v>309.27600000000001</v>
      </c>
      <c r="H16" s="5">
        <v>265.95599999999996</v>
      </c>
      <c r="I16" s="5">
        <v>268.96800000000002</v>
      </c>
      <c r="K16" s="5">
        <v>244.62</v>
      </c>
      <c r="L16" s="2">
        <v>252.92400000000001</v>
      </c>
    </row>
    <row r="17" spans="1:12" x14ac:dyDescent="0.35">
      <c r="A17" s="2">
        <v>34</v>
      </c>
      <c r="B17" s="5">
        <f>+'3,41'!K33</f>
        <v>303.54000000000002</v>
      </c>
      <c r="C17" s="2">
        <f>+'3,41'!M33</f>
        <v>307.536</v>
      </c>
      <c r="H17" s="5">
        <v>264.70799999999997</v>
      </c>
      <c r="I17" s="5">
        <v>267.80400000000003</v>
      </c>
      <c r="K17" s="5">
        <v>243.25200000000001</v>
      </c>
      <c r="L17" s="2">
        <v>251.80799999999999</v>
      </c>
    </row>
    <row r="18" spans="1:12" x14ac:dyDescent="0.35">
      <c r="A18" s="2">
        <v>35</v>
      </c>
      <c r="B18" s="5">
        <f>+'3,41'!K34</f>
        <v>301.64400000000001</v>
      </c>
      <c r="C18" s="2">
        <f>+'3,41'!M34</f>
        <v>305.72399999999999</v>
      </c>
      <c r="H18" s="5">
        <v>263.39999999999998</v>
      </c>
      <c r="I18" s="5">
        <v>266.58</v>
      </c>
      <c r="K18" s="5">
        <v>241.82400000000001</v>
      </c>
      <c r="L18" s="2">
        <v>250.64400000000001</v>
      </c>
    </row>
    <row r="19" spans="1:12" x14ac:dyDescent="0.35">
      <c r="A19" s="2">
        <v>36</v>
      </c>
      <c r="B19" s="5">
        <f>+'3,41'!K35</f>
        <v>299.68799999999999</v>
      </c>
      <c r="C19" s="2">
        <f>+'3,41'!M35</f>
        <v>303.86400000000003</v>
      </c>
      <c r="H19" s="5">
        <v>262.04400000000004</v>
      </c>
      <c r="I19" s="5">
        <v>265.30799999999999</v>
      </c>
      <c r="K19" s="5">
        <v>240.33599999999998</v>
      </c>
      <c r="L19" s="2">
        <v>249.42</v>
      </c>
    </row>
    <row r="20" spans="1:12" x14ac:dyDescent="0.35">
      <c r="A20" s="2">
        <v>37</v>
      </c>
      <c r="B20" s="5">
        <f>+'3,41'!K36</f>
        <v>297.66000000000003</v>
      </c>
      <c r="C20" s="2">
        <f>+'3,41'!M36</f>
        <v>301.93200000000002</v>
      </c>
      <c r="H20" s="5">
        <v>260.62799999999999</v>
      </c>
      <c r="I20" s="5">
        <v>263.988</v>
      </c>
      <c r="K20" s="5">
        <v>238.78799999999998</v>
      </c>
      <c r="L20" s="2">
        <v>248.16</v>
      </c>
    </row>
    <row r="21" spans="1:12" x14ac:dyDescent="0.35">
      <c r="A21" s="2">
        <v>38</v>
      </c>
      <c r="B21" s="5">
        <f>+'3,41'!K37</f>
        <v>295.56</v>
      </c>
      <c r="C21" s="2">
        <f>+'3,41'!M37</f>
        <v>299.94</v>
      </c>
      <c r="H21" s="5">
        <v>259.16399999999999</v>
      </c>
      <c r="I21" s="5">
        <v>262.608</v>
      </c>
      <c r="K21" s="5">
        <v>237.16800000000001</v>
      </c>
      <c r="L21" s="2">
        <v>246.84</v>
      </c>
    </row>
    <row r="22" spans="1:12" x14ac:dyDescent="0.35">
      <c r="A22" s="2">
        <v>39</v>
      </c>
      <c r="B22" s="5">
        <f>+'3,41'!K38</f>
        <v>293.38799999999998</v>
      </c>
      <c r="C22" s="2">
        <f>+'3,41'!M38</f>
        <v>297.86400000000003</v>
      </c>
      <c r="H22" s="5">
        <v>257.62799999999999</v>
      </c>
      <c r="I22" s="5">
        <v>261.16800000000001</v>
      </c>
      <c r="K22" s="5">
        <v>235.476</v>
      </c>
      <c r="L22" s="2">
        <v>245.46</v>
      </c>
    </row>
    <row r="23" spans="1:12" x14ac:dyDescent="0.35">
      <c r="A23" s="2">
        <v>40</v>
      </c>
      <c r="B23" s="5">
        <f>+'3,41'!K39</f>
        <v>291.14400000000001</v>
      </c>
      <c r="C23" s="2">
        <f>+'3,41'!M39</f>
        <v>295.72800000000001</v>
      </c>
      <c r="H23" s="5">
        <v>256.03199999999998</v>
      </c>
      <c r="I23" s="5">
        <v>259.68</v>
      </c>
      <c r="K23" s="5">
        <v>233.71200000000002</v>
      </c>
      <c r="L23" s="2">
        <v>244.02</v>
      </c>
    </row>
    <row r="24" spans="1:12" x14ac:dyDescent="0.35">
      <c r="A24" s="2">
        <v>41</v>
      </c>
      <c r="B24" s="5">
        <f>+'3,41'!K40</f>
        <v>288.82799999999997</v>
      </c>
      <c r="C24" s="2">
        <f>+'3,41'!M40</f>
        <v>293.52</v>
      </c>
      <c r="H24" s="5">
        <v>254.364</v>
      </c>
      <c r="I24" s="5">
        <v>258.12</v>
      </c>
      <c r="K24" s="5">
        <v>231.88800000000001</v>
      </c>
      <c r="L24" s="2">
        <v>242.52</v>
      </c>
    </row>
    <row r="25" spans="1:12" x14ac:dyDescent="0.35">
      <c r="A25" s="2">
        <v>42</v>
      </c>
      <c r="B25" s="5">
        <f>+'3,41'!K41</f>
        <v>286.428</v>
      </c>
      <c r="C25" s="2">
        <f>+'3,41'!M41</f>
        <v>291.22800000000001</v>
      </c>
      <c r="H25" s="5">
        <v>252.636</v>
      </c>
      <c r="I25" s="5">
        <v>256.488</v>
      </c>
      <c r="K25" s="5">
        <v>229.98</v>
      </c>
      <c r="L25" s="2">
        <v>240.96</v>
      </c>
    </row>
    <row r="26" spans="1:12" x14ac:dyDescent="0.35">
      <c r="A26" s="2">
        <v>43</v>
      </c>
      <c r="B26" s="5">
        <f>+'3,41'!K42</f>
        <v>283.94400000000002</v>
      </c>
      <c r="C26" s="2">
        <f>+'3,41'!M42</f>
        <v>288.85200000000003</v>
      </c>
      <c r="H26" s="5">
        <v>250.83599999999998</v>
      </c>
      <c r="I26" s="5">
        <v>254.79599999999999</v>
      </c>
      <c r="K26" s="5">
        <v>228</v>
      </c>
      <c r="L26" s="2">
        <v>239.328</v>
      </c>
    </row>
    <row r="27" spans="1:12" x14ac:dyDescent="0.35">
      <c r="A27" s="2">
        <v>44</v>
      </c>
      <c r="B27" s="5">
        <f>+'3,41'!K43</f>
        <v>281.38799999999998</v>
      </c>
      <c r="C27" s="2">
        <f>+'3,41'!M43</f>
        <v>286.404</v>
      </c>
      <c r="H27" s="5">
        <v>248.96400000000003</v>
      </c>
      <c r="I27" s="5">
        <v>253.02</v>
      </c>
      <c r="K27" s="5">
        <v>225.93599999999998</v>
      </c>
      <c r="L27" s="2">
        <v>237.62400000000002</v>
      </c>
    </row>
    <row r="28" spans="1:12" x14ac:dyDescent="0.35">
      <c r="A28" s="2">
        <v>45</v>
      </c>
      <c r="B28" s="5">
        <f>+'3,41'!K44</f>
        <v>278.73599999999999</v>
      </c>
      <c r="C28" s="2">
        <f>+'3,41'!M44</f>
        <v>283.87200000000001</v>
      </c>
      <c r="H28" s="5">
        <v>247.00799999999998</v>
      </c>
      <c r="I28" s="5">
        <v>251.18400000000003</v>
      </c>
      <c r="K28" s="5">
        <v>223.78799999999998</v>
      </c>
      <c r="L28" s="2">
        <v>235.84799999999998</v>
      </c>
    </row>
    <row r="29" spans="1:12" x14ac:dyDescent="0.35">
      <c r="A29" s="2">
        <v>46</v>
      </c>
      <c r="B29" s="5">
        <f>+'3,41'!K45</f>
        <v>276</v>
      </c>
      <c r="C29" s="2">
        <f>+'3,41'!M45</f>
        <v>281.24400000000003</v>
      </c>
      <c r="H29" s="5">
        <v>244.98</v>
      </c>
      <c r="I29" s="5">
        <v>249.26400000000001</v>
      </c>
      <c r="K29" s="5">
        <v>221.54400000000001</v>
      </c>
      <c r="L29" s="2">
        <v>234</v>
      </c>
    </row>
    <row r="30" spans="1:12" x14ac:dyDescent="0.35">
      <c r="A30" s="2">
        <v>47</v>
      </c>
      <c r="B30" s="5">
        <f>+'3,41'!K46</f>
        <v>273.16800000000001</v>
      </c>
      <c r="C30" s="2">
        <f>+'3,41'!M46</f>
        <v>278.53199999999998</v>
      </c>
      <c r="H30" s="5">
        <v>242.85599999999999</v>
      </c>
      <c r="I30" s="5">
        <v>247.27200000000002</v>
      </c>
      <c r="K30" s="5">
        <v>219.20400000000001</v>
      </c>
      <c r="L30" s="2">
        <v>232.06799999999998</v>
      </c>
    </row>
    <row r="31" spans="1:12" x14ac:dyDescent="0.35">
      <c r="A31" s="2">
        <v>48</v>
      </c>
      <c r="B31" s="5">
        <f>+'3,41'!K47</f>
        <v>270.24</v>
      </c>
      <c r="C31" s="2">
        <f>+'3,41'!M47</f>
        <v>275.72399999999999</v>
      </c>
      <c r="H31" s="5">
        <v>240.66</v>
      </c>
      <c r="I31" s="5">
        <v>245.196</v>
      </c>
      <c r="K31" s="5">
        <v>216.78</v>
      </c>
      <c r="L31" s="2">
        <v>230.05200000000002</v>
      </c>
    </row>
    <row r="32" spans="1:12" x14ac:dyDescent="0.35">
      <c r="A32" s="2">
        <v>49</v>
      </c>
      <c r="B32" s="5">
        <f>+'3,41'!K48</f>
        <v>267.21600000000001</v>
      </c>
      <c r="C32" s="2">
        <f>+'3,41'!M48</f>
        <v>272.82</v>
      </c>
      <c r="H32" s="5">
        <v>238.36799999999999</v>
      </c>
      <c r="I32" s="5">
        <v>243.024</v>
      </c>
      <c r="K32" s="5">
        <v>214.24799999999999</v>
      </c>
      <c r="L32" s="2">
        <v>227.96400000000003</v>
      </c>
    </row>
    <row r="33" spans="1:12" x14ac:dyDescent="0.35">
      <c r="A33" s="2">
        <v>50</v>
      </c>
      <c r="B33" s="5">
        <f>+'3,41'!K49</f>
        <v>264.096</v>
      </c>
      <c r="C33" s="2">
        <f>+'3,41'!M49</f>
        <v>269.82</v>
      </c>
      <c r="H33" s="5">
        <v>235.99200000000002</v>
      </c>
      <c r="I33" s="5">
        <v>240.768</v>
      </c>
      <c r="K33" s="5">
        <v>211.63200000000001</v>
      </c>
      <c r="L33" s="2">
        <v>225.768</v>
      </c>
    </row>
    <row r="34" spans="1:12" x14ac:dyDescent="0.35">
      <c r="A34" s="2">
        <v>51</v>
      </c>
      <c r="B34" s="5">
        <f>+'3,41'!K50</f>
        <v>260.88</v>
      </c>
      <c r="C34" s="2">
        <f>+'3,41'!M50</f>
        <v>266.71199999999999</v>
      </c>
      <c r="H34" s="5">
        <v>233.52</v>
      </c>
      <c r="I34" s="5">
        <v>238.416</v>
      </c>
      <c r="K34" s="5">
        <v>208.92</v>
      </c>
      <c r="L34" s="2">
        <v>223.488</v>
      </c>
    </row>
    <row r="35" spans="1:12" x14ac:dyDescent="0.35">
      <c r="A35" s="2">
        <v>52</v>
      </c>
      <c r="B35" s="5">
        <f>+'3,41'!K51</f>
        <v>257.56799999999998</v>
      </c>
      <c r="C35" s="2">
        <f>+'3,41'!M51</f>
        <v>263.49599999999998</v>
      </c>
      <c r="H35" s="5">
        <v>230.96400000000003</v>
      </c>
      <c r="I35" s="5">
        <v>235.96799999999999</v>
      </c>
      <c r="K35" s="5">
        <v>206.1</v>
      </c>
      <c r="L35" s="2">
        <v>221.11199999999999</v>
      </c>
    </row>
    <row r="36" spans="1:12" x14ac:dyDescent="0.35">
      <c r="A36" s="2">
        <v>53</v>
      </c>
      <c r="B36" s="5">
        <f>+'3,41'!K52</f>
        <v>254.136</v>
      </c>
      <c r="C36" s="2">
        <f>+'3,41'!M52</f>
        <v>260.18400000000003</v>
      </c>
      <c r="H36" s="5">
        <v>228.3</v>
      </c>
      <c r="I36" s="5">
        <v>233.42400000000001</v>
      </c>
      <c r="K36" s="5">
        <v>203.16</v>
      </c>
      <c r="L36" s="2">
        <v>218.62799999999999</v>
      </c>
    </row>
    <row r="37" spans="1:12" x14ac:dyDescent="0.35">
      <c r="A37" s="2">
        <v>54</v>
      </c>
      <c r="B37" s="5">
        <f>+'3,41'!K53</f>
        <v>250.59599999999998</v>
      </c>
      <c r="C37" s="2">
        <f>+'3,41'!M53</f>
        <v>256.74</v>
      </c>
      <c r="H37" s="5">
        <v>225.52799999999999</v>
      </c>
      <c r="I37" s="5">
        <v>230.76</v>
      </c>
      <c r="K37" s="5">
        <v>200.11199999999999</v>
      </c>
      <c r="L37" s="2">
        <v>216.03599999999997</v>
      </c>
    </row>
    <row r="38" spans="1:12" x14ac:dyDescent="0.35">
      <c r="A38" s="2">
        <v>55</v>
      </c>
      <c r="B38" s="5">
        <f>+'3,41'!K54</f>
        <v>246.97200000000001</v>
      </c>
      <c r="C38" s="2">
        <f>+'3,41'!M54</f>
        <v>253.18799999999999</v>
      </c>
      <c r="H38" s="5">
        <v>222.66</v>
      </c>
      <c r="I38" s="5">
        <v>227.988</v>
      </c>
      <c r="K38" s="5">
        <v>196.98</v>
      </c>
      <c r="L38" s="2">
        <v>213.31200000000001</v>
      </c>
    </row>
    <row r="39" spans="1:12" x14ac:dyDescent="0.35">
      <c r="A39" s="2">
        <v>56</v>
      </c>
      <c r="B39" s="5">
        <f>+'3,41'!K55</f>
        <v>243.24</v>
      </c>
      <c r="C39" s="2">
        <f>+'3,41'!M55</f>
        <v>249.51599999999999</v>
      </c>
      <c r="H39" s="5">
        <v>219.708</v>
      </c>
      <c r="I39" s="5">
        <v>225.108</v>
      </c>
      <c r="K39" s="5">
        <v>193.76400000000001</v>
      </c>
      <c r="L39" s="2">
        <v>210.49200000000002</v>
      </c>
    </row>
    <row r="40" spans="1:12" x14ac:dyDescent="0.35">
      <c r="A40" s="2">
        <v>57</v>
      </c>
      <c r="B40" s="5">
        <f>+'3,41'!K56</f>
        <v>239.41200000000001</v>
      </c>
      <c r="C40" s="2">
        <f>+'3,41'!M56</f>
        <v>245.73599999999999</v>
      </c>
      <c r="H40" s="5">
        <v>216.66</v>
      </c>
      <c r="I40" s="5">
        <v>222.12</v>
      </c>
      <c r="K40" s="5">
        <v>190.46400000000003</v>
      </c>
      <c r="L40" s="2">
        <v>207.56400000000002</v>
      </c>
    </row>
    <row r="41" spans="1:12" x14ac:dyDescent="0.35">
      <c r="A41" s="2">
        <v>58</v>
      </c>
      <c r="B41" s="5">
        <f>+'3,41'!K57</f>
        <v>235.488</v>
      </c>
      <c r="C41" s="2">
        <f>+'3,41'!M57</f>
        <v>241.82400000000001</v>
      </c>
      <c r="H41" s="5">
        <v>213.51599999999999</v>
      </c>
      <c r="I41" s="5">
        <v>219.024</v>
      </c>
      <c r="K41" s="5">
        <v>187.08</v>
      </c>
      <c r="L41" s="2">
        <v>204.51599999999999</v>
      </c>
    </row>
    <row r="42" spans="1:12" x14ac:dyDescent="0.35">
      <c r="A42" s="2">
        <v>59</v>
      </c>
      <c r="B42" s="5">
        <f>+'3,41'!K58</f>
        <v>231.45599999999999</v>
      </c>
      <c r="C42" s="2">
        <f>+'3,41'!M58</f>
        <v>237.804</v>
      </c>
      <c r="H42" s="5">
        <v>210.26400000000001</v>
      </c>
      <c r="I42" s="5">
        <v>215.79599999999999</v>
      </c>
      <c r="K42" s="5">
        <v>183.58799999999999</v>
      </c>
      <c r="L42" s="2">
        <v>201.34799999999998</v>
      </c>
    </row>
    <row r="43" spans="1:12" x14ac:dyDescent="0.35">
      <c r="A43" s="2">
        <v>60</v>
      </c>
      <c r="B43" s="5">
        <f>+'3,41'!K59</f>
        <v>227.31599999999997</v>
      </c>
      <c r="C43" s="2">
        <f>+'3,41'!M59</f>
        <v>233.64</v>
      </c>
      <c r="H43" s="5">
        <v>206.90400000000002</v>
      </c>
      <c r="I43" s="5">
        <v>212.44799999999998</v>
      </c>
      <c r="K43" s="5">
        <v>180.012</v>
      </c>
      <c r="L43" s="2">
        <v>198.06</v>
      </c>
    </row>
    <row r="44" spans="1:12" x14ac:dyDescent="0.35">
      <c r="A44" s="2">
        <v>61</v>
      </c>
      <c r="B44" s="5">
        <f>+'3,41'!K60</f>
        <v>223.06799999999998</v>
      </c>
      <c r="C44" s="2">
        <f>+'3,41'!M60</f>
        <v>229.36799999999999</v>
      </c>
      <c r="H44" s="5">
        <v>203.42400000000001</v>
      </c>
      <c r="I44" s="5">
        <v>208.98</v>
      </c>
      <c r="K44" s="5">
        <v>176.31599999999997</v>
      </c>
      <c r="L44" s="2">
        <v>194.64</v>
      </c>
    </row>
    <row r="45" spans="1:12" x14ac:dyDescent="0.35">
      <c r="A45" s="2">
        <v>62</v>
      </c>
      <c r="B45" s="5">
        <f>+'3,41'!K61</f>
        <v>218.68799999999999</v>
      </c>
      <c r="C45" s="2">
        <f>+'3,41'!M61</f>
        <v>224.952</v>
      </c>
      <c r="H45" s="5">
        <v>199.83599999999998</v>
      </c>
      <c r="I45" s="5">
        <v>205.38</v>
      </c>
      <c r="K45" s="5">
        <v>172.5</v>
      </c>
      <c r="L45" s="2">
        <v>191.11199999999999</v>
      </c>
    </row>
    <row r="46" spans="1:12" x14ac:dyDescent="0.35">
      <c r="A46" s="2">
        <v>63</v>
      </c>
      <c r="B46" s="5">
        <f>+'3,41'!K62</f>
        <v>214.2</v>
      </c>
      <c r="C46" s="2">
        <f>+'3,41'!M62</f>
        <v>220.428</v>
      </c>
      <c r="H46" s="5">
        <v>196.11599999999999</v>
      </c>
      <c r="I46" s="5">
        <v>201.66</v>
      </c>
      <c r="K46" s="5">
        <v>168.56400000000002</v>
      </c>
      <c r="L46" s="2">
        <v>187.46400000000003</v>
      </c>
    </row>
    <row r="47" spans="1:12" x14ac:dyDescent="0.35">
      <c r="A47" s="2">
        <v>64</v>
      </c>
      <c r="B47" s="5">
        <f>+'3,41'!K63</f>
        <v>209.56799999999998</v>
      </c>
      <c r="C47" s="2">
        <f>+'3,41'!M63</f>
        <v>215.79599999999999</v>
      </c>
      <c r="H47" s="5">
        <v>192.26400000000001</v>
      </c>
      <c r="I47" s="5">
        <v>197.82</v>
      </c>
      <c r="K47" s="5">
        <v>164.48400000000001</v>
      </c>
      <c r="L47" s="2">
        <v>183.72</v>
      </c>
    </row>
    <row r="48" spans="1:12" x14ac:dyDescent="0.35">
      <c r="A48" s="2">
        <v>65</v>
      </c>
      <c r="B48" s="5">
        <f>+'3,41'!K64</f>
        <v>204.828</v>
      </c>
      <c r="C48" s="2">
        <f>+'3,41'!M64</f>
        <v>211.04400000000001</v>
      </c>
      <c r="H48" s="5">
        <v>188.28</v>
      </c>
      <c r="I48" s="5">
        <v>193.87200000000001</v>
      </c>
      <c r="K48" s="5">
        <v>160.27200000000002</v>
      </c>
      <c r="L48" s="2">
        <v>179.88</v>
      </c>
    </row>
    <row r="49" spans="1:12" x14ac:dyDescent="0.35">
      <c r="A49" s="2">
        <v>66</v>
      </c>
      <c r="B49" s="5">
        <f>+'3,41'!K65</f>
        <v>199.96799999999999</v>
      </c>
      <c r="C49" s="2">
        <f>+'3,41'!M65</f>
        <v>206.18400000000003</v>
      </c>
      <c r="H49" s="5">
        <v>184.18799999999999</v>
      </c>
      <c r="I49" s="5">
        <v>189.804</v>
      </c>
      <c r="K49" s="5">
        <v>155.964</v>
      </c>
      <c r="L49" s="2">
        <v>175.92</v>
      </c>
    </row>
    <row r="50" spans="1:12" x14ac:dyDescent="0.35">
      <c r="A50" s="2">
        <v>67</v>
      </c>
      <c r="B50" s="5">
        <f>+'3,41'!K66</f>
        <v>195.024</v>
      </c>
      <c r="C50" s="2">
        <f>+'3,41'!M66</f>
        <v>201.20400000000001</v>
      </c>
      <c r="H50" s="5">
        <v>180</v>
      </c>
      <c r="I50" s="5">
        <v>185.61599999999999</v>
      </c>
      <c r="K50" s="5">
        <v>151.56</v>
      </c>
      <c r="L50" s="2">
        <v>171.864</v>
      </c>
    </row>
    <row r="51" spans="1:12" x14ac:dyDescent="0.35">
      <c r="A51" s="2">
        <v>68</v>
      </c>
      <c r="B51" s="5">
        <f>+'3,41'!K67</f>
        <v>189.99599999999998</v>
      </c>
      <c r="C51" s="2">
        <f>+'3,41'!M67</f>
        <v>196.12799999999999</v>
      </c>
      <c r="H51" s="5">
        <v>175.71599999999998</v>
      </c>
      <c r="I51" s="5">
        <v>181.30799999999999</v>
      </c>
      <c r="K51" s="5">
        <v>147.12</v>
      </c>
      <c r="L51" s="2">
        <v>167.68799999999999</v>
      </c>
    </row>
    <row r="52" spans="1:12" x14ac:dyDescent="0.35">
      <c r="A52" s="2">
        <v>69</v>
      </c>
      <c r="B52" s="5">
        <f>+'3,41'!K68</f>
        <v>184.90799999999999</v>
      </c>
      <c r="C52" s="2">
        <f>+'3,41'!M68</f>
        <v>190.94400000000002</v>
      </c>
      <c r="H52" s="5">
        <v>171.34799999999998</v>
      </c>
      <c r="I52" s="5">
        <v>176.892</v>
      </c>
      <c r="K52" s="5">
        <v>142.64400000000001</v>
      </c>
      <c r="L52" s="2">
        <v>163.416</v>
      </c>
    </row>
    <row r="53" spans="1:12" x14ac:dyDescent="0.35">
      <c r="A53" s="2">
        <v>70</v>
      </c>
      <c r="B53" s="5">
        <f>+'3,41'!K69</f>
        <v>179.74799999999999</v>
      </c>
      <c r="C53" s="2">
        <f>+'3,41'!M69</f>
        <v>185.67599999999999</v>
      </c>
      <c r="H53" s="5">
        <v>166.90799999999999</v>
      </c>
      <c r="I53" s="5">
        <v>172.36799999999999</v>
      </c>
      <c r="K53" s="5">
        <v>138.14400000000001</v>
      </c>
      <c r="L53" s="2">
        <v>159.06</v>
      </c>
    </row>
    <row r="54" spans="1:12" x14ac:dyDescent="0.35">
      <c r="A54" s="2">
        <v>71</v>
      </c>
      <c r="B54" s="5">
        <f>+'3,41'!K70</f>
        <v>174.54</v>
      </c>
      <c r="C54" s="2">
        <f>+'3,41'!M70</f>
        <v>180.31200000000001</v>
      </c>
      <c r="H54" s="5">
        <v>162.39600000000002</v>
      </c>
      <c r="I54" s="5">
        <v>167.74799999999999</v>
      </c>
      <c r="K54" s="5">
        <v>133.63200000000001</v>
      </c>
      <c r="L54" s="2">
        <v>154.62</v>
      </c>
    </row>
    <row r="55" spans="1:12" x14ac:dyDescent="0.35">
      <c r="A55" s="2">
        <v>72</v>
      </c>
      <c r="B55" s="5">
        <f>+'3,41'!K71</f>
        <v>169.26</v>
      </c>
      <c r="C55" s="2">
        <f>+'3,41'!M71</f>
        <v>174.852</v>
      </c>
      <c r="H55" s="5">
        <v>157.81200000000001</v>
      </c>
      <c r="I55" s="5">
        <v>163.02000000000001</v>
      </c>
      <c r="K55" s="5">
        <v>129.096</v>
      </c>
      <c r="L55" s="2">
        <v>150.084</v>
      </c>
    </row>
    <row r="56" spans="1:12" x14ac:dyDescent="0.35">
      <c r="A56" s="2">
        <v>73</v>
      </c>
      <c r="B56" s="5">
        <f>+'3,41'!K72</f>
        <v>163.92</v>
      </c>
      <c r="C56" s="2">
        <f>+'3,41'!M72</f>
        <v>169.30799999999999</v>
      </c>
      <c r="H56" s="5">
        <v>153.15600000000001</v>
      </c>
      <c r="I56" s="5">
        <v>158.184</v>
      </c>
      <c r="K56" s="5">
        <v>124.524</v>
      </c>
      <c r="L56" s="2">
        <v>145.452</v>
      </c>
    </row>
    <row r="57" spans="1:12" x14ac:dyDescent="0.35">
      <c r="A57" s="2">
        <v>74</v>
      </c>
      <c r="B57" s="5">
        <f>+'3,41'!K73</f>
        <v>158.52000000000001</v>
      </c>
      <c r="C57" s="2">
        <f>+'3,41'!M73</f>
        <v>163.64400000000001</v>
      </c>
      <c r="H57" s="5">
        <v>148.404</v>
      </c>
      <c r="I57" s="5">
        <v>153.21600000000001</v>
      </c>
      <c r="K57" s="5">
        <v>119.928</v>
      </c>
      <c r="L57" s="2">
        <v>140.71200000000002</v>
      </c>
    </row>
    <row r="58" spans="1:12" x14ac:dyDescent="0.35">
      <c r="A58" s="2">
        <v>75</v>
      </c>
      <c r="B58" s="5">
        <f>+'3,41'!K74</f>
        <v>153.048</v>
      </c>
      <c r="C58" s="2">
        <f>+'3,41'!M74</f>
        <v>157.89600000000002</v>
      </c>
      <c r="H58" s="5">
        <v>143.56799999999998</v>
      </c>
      <c r="I58" s="5">
        <v>148.15200000000002</v>
      </c>
      <c r="K58" s="5">
        <v>115.27200000000001</v>
      </c>
      <c r="L58" s="2">
        <v>135.852</v>
      </c>
    </row>
    <row r="59" spans="1:12" x14ac:dyDescent="0.35">
      <c r="A59" s="2">
        <v>76</v>
      </c>
      <c r="B59" s="5">
        <f>+'3,41'!K75</f>
        <v>147.51599999999999</v>
      </c>
      <c r="C59" s="2">
        <f>+'3,41'!M75</f>
        <v>152.06399999999999</v>
      </c>
      <c r="H59" s="5">
        <v>138.66</v>
      </c>
      <c r="I59" s="5">
        <v>142.97999999999999</v>
      </c>
      <c r="K59" s="5">
        <v>110.59200000000001</v>
      </c>
      <c r="L59" s="2">
        <v>130.90799999999999</v>
      </c>
    </row>
    <row r="60" spans="1:12" x14ac:dyDescent="0.35">
      <c r="A60" s="2">
        <v>77</v>
      </c>
      <c r="B60" s="5">
        <f>+'3,41'!K76</f>
        <v>141.93600000000001</v>
      </c>
      <c r="C60" s="2">
        <f>+'3,41'!M76</f>
        <v>146.184</v>
      </c>
      <c r="H60" s="5">
        <v>133.68</v>
      </c>
      <c r="I60" s="5">
        <v>137.73599999999999</v>
      </c>
      <c r="K60" s="5">
        <v>105.876</v>
      </c>
      <c r="L60" s="2">
        <v>125.89200000000001</v>
      </c>
    </row>
    <row r="61" spans="1:12" x14ac:dyDescent="0.35">
      <c r="A61" s="2">
        <v>78</v>
      </c>
      <c r="B61" s="5">
        <f>+'3,41'!K77</f>
        <v>136.32</v>
      </c>
      <c r="C61" s="2">
        <f>+'3,41'!M77</f>
        <v>140.28</v>
      </c>
      <c r="H61" s="5">
        <v>128.65200000000002</v>
      </c>
      <c r="I61" s="5">
        <v>132.44399999999999</v>
      </c>
      <c r="K61" s="5">
        <v>101.16</v>
      </c>
      <c r="L61" s="2">
        <v>120.84</v>
      </c>
    </row>
    <row r="62" spans="1:12" x14ac:dyDescent="0.35">
      <c r="A62" s="2">
        <v>79</v>
      </c>
      <c r="B62" s="5">
        <f>+'3,41'!K78</f>
        <v>130.70400000000001</v>
      </c>
      <c r="C62" s="2">
        <f>+'3,41'!M78</f>
        <v>134.352</v>
      </c>
      <c r="H62" s="5">
        <v>123.6</v>
      </c>
      <c r="I62" s="5">
        <v>127.104</v>
      </c>
      <c r="K62" s="5">
        <v>96.48</v>
      </c>
      <c r="L62" s="2">
        <v>115.764</v>
      </c>
    </row>
    <row r="63" spans="1:12" x14ac:dyDescent="0.35">
      <c r="A63" s="2">
        <v>80</v>
      </c>
      <c r="B63" s="5">
        <f>+'3,41'!K79</f>
        <v>125.1</v>
      </c>
      <c r="C63" s="2">
        <f>+'3,41'!M79</f>
        <v>128.42400000000001</v>
      </c>
      <c r="H63" s="5">
        <v>118.524</v>
      </c>
      <c r="I63" s="5">
        <v>121.75200000000001</v>
      </c>
      <c r="K63" s="5">
        <v>91.835999999999999</v>
      </c>
      <c r="L63" s="2">
        <v>110.676</v>
      </c>
    </row>
    <row r="64" spans="1:12" x14ac:dyDescent="0.35">
      <c r="A64" s="2">
        <v>81</v>
      </c>
      <c r="B64" s="5">
        <f>+'3,41'!K80</f>
        <v>119.53200000000001</v>
      </c>
      <c r="C64" s="2">
        <f>+'3,41'!M80</f>
        <v>122.52</v>
      </c>
      <c r="H64" s="5">
        <v>113.47200000000001</v>
      </c>
      <c r="I64" s="5">
        <v>116.38799999999999</v>
      </c>
      <c r="K64" s="5">
        <v>87.27600000000001</v>
      </c>
      <c r="L64" s="2">
        <v>105.57600000000001</v>
      </c>
    </row>
    <row r="65" spans="1:12" x14ac:dyDescent="0.35">
      <c r="A65" s="2">
        <v>82</v>
      </c>
      <c r="B65" s="5">
        <f>+'3,41'!K81</f>
        <v>114.024</v>
      </c>
      <c r="C65" s="2">
        <f>+'3,41'!M81</f>
        <v>116.652</v>
      </c>
      <c r="H65" s="5">
        <v>108.456</v>
      </c>
      <c r="I65" s="5">
        <v>111.036</v>
      </c>
      <c r="K65" s="5">
        <v>82.823999999999998</v>
      </c>
      <c r="L65" s="2">
        <v>100.512</v>
      </c>
    </row>
    <row r="66" spans="1:12" x14ac:dyDescent="0.35">
      <c r="A66" s="2">
        <v>83</v>
      </c>
      <c r="B66" s="5">
        <f>+'3,41'!K82</f>
        <v>108.6</v>
      </c>
      <c r="C66" s="2">
        <f>+'3,41'!M82</f>
        <v>110.85600000000001</v>
      </c>
      <c r="H66" s="5">
        <v>103.5</v>
      </c>
      <c r="I66" s="5">
        <v>105.73200000000001</v>
      </c>
      <c r="K66" s="5">
        <v>78.492000000000004</v>
      </c>
      <c r="L66" s="2">
        <v>95.483999999999995</v>
      </c>
    </row>
    <row r="67" spans="1:12" x14ac:dyDescent="0.35">
      <c r="A67" s="2">
        <v>84</v>
      </c>
      <c r="B67" s="5">
        <f>+'3,41'!K83</f>
        <v>103.26</v>
      </c>
      <c r="C67" s="2">
        <f>+'3,41'!M83</f>
        <v>105.15600000000001</v>
      </c>
      <c r="H67" s="5">
        <v>98.592000000000013</v>
      </c>
      <c r="I67" s="5">
        <v>100.488</v>
      </c>
      <c r="K67" s="5">
        <v>74.28</v>
      </c>
      <c r="L67" s="2">
        <v>90.54</v>
      </c>
    </row>
    <row r="68" spans="1:12" x14ac:dyDescent="0.35">
      <c r="A68" s="2">
        <v>85</v>
      </c>
      <c r="B68" s="5">
        <f>+'3,41'!K84</f>
        <v>98.027999999999992</v>
      </c>
      <c r="C68" s="2">
        <f>+'3,41'!M84</f>
        <v>99.576000000000008</v>
      </c>
      <c r="H68" s="5">
        <v>93.78</v>
      </c>
      <c r="I68" s="5">
        <v>95.34</v>
      </c>
      <c r="K68" s="5">
        <v>70.212000000000003</v>
      </c>
      <c r="L68" s="2">
        <v>85.703999999999994</v>
      </c>
    </row>
    <row r="69" spans="1:12" x14ac:dyDescent="0.35">
      <c r="A69" s="2">
        <v>86</v>
      </c>
      <c r="B69" s="5">
        <f>+'3,41'!K85</f>
        <v>92.903999999999996</v>
      </c>
      <c r="C69" s="2">
        <f>+'3,41'!M85</f>
        <v>94.127999999999986</v>
      </c>
      <c r="H69" s="5">
        <v>89.04</v>
      </c>
      <c r="I69" s="5">
        <v>90.3</v>
      </c>
      <c r="K69" s="5">
        <v>66.27600000000001</v>
      </c>
      <c r="L69" s="2">
        <v>80.988</v>
      </c>
    </row>
    <row r="70" spans="1:12" x14ac:dyDescent="0.35">
      <c r="A70" s="2">
        <v>87</v>
      </c>
      <c r="B70" s="5">
        <f>+'3,41'!K86</f>
        <v>87.9</v>
      </c>
      <c r="C70" s="2">
        <f>+'3,41'!M86</f>
        <v>88.835999999999999</v>
      </c>
      <c r="H70" s="5">
        <v>84.407999999999987</v>
      </c>
      <c r="I70" s="5">
        <v>85.38</v>
      </c>
      <c r="K70" s="5">
        <v>62.483999999999995</v>
      </c>
      <c r="L70" s="2">
        <v>76.403999999999996</v>
      </c>
    </row>
    <row r="71" spans="1:12" x14ac:dyDescent="0.35">
      <c r="A71" s="2">
        <v>88</v>
      </c>
      <c r="B71" s="5">
        <f>+'3,41'!K87</f>
        <v>83.027999999999992</v>
      </c>
      <c r="C71" s="2">
        <f>+'3,41'!M87</f>
        <v>83.687999999999988</v>
      </c>
      <c r="H71" s="5">
        <v>79.872</v>
      </c>
      <c r="I71" s="5">
        <v>80.591999999999999</v>
      </c>
      <c r="K71" s="5">
        <v>58.836000000000006</v>
      </c>
      <c r="L71" s="2">
        <v>71.975999999999999</v>
      </c>
    </row>
    <row r="72" spans="1:12" x14ac:dyDescent="0.35">
      <c r="A72" s="2">
        <v>89</v>
      </c>
      <c r="B72" s="5">
        <f>+'3,41'!K88</f>
        <v>78.3</v>
      </c>
      <c r="C72" s="2">
        <f>+'3,41'!M88</f>
        <v>78.707999999999998</v>
      </c>
      <c r="H72" s="5">
        <v>75.456000000000003</v>
      </c>
      <c r="I72" s="5">
        <v>75.923999999999992</v>
      </c>
      <c r="K72" s="5">
        <v>55.332000000000001</v>
      </c>
      <c r="L72" s="2">
        <v>67.680000000000007</v>
      </c>
    </row>
    <row r="73" spans="1:12" x14ac:dyDescent="0.35">
      <c r="A73" s="2">
        <v>90</v>
      </c>
      <c r="B73" s="5">
        <f>+'3,41'!K89</f>
        <v>73.703999999999994</v>
      </c>
      <c r="C73" s="2">
        <f>+'3,41'!M89</f>
        <v>73.86</v>
      </c>
      <c r="H73" s="5">
        <v>71.16</v>
      </c>
      <c r="I73" s="5">
        <v>71.388000000000005</v>
      </c>
      <c r="K73" s="5">
        <v>51.983999999999995</v>
      </c>
      <c r="L73" s="2">
        <v>63.491999999999997</v>
      </c>
    </row>
  </sheetData>
  <pageMargins left="0.7" right="0.7" top="0.75" bottom="0.75" header="0.3" footer="0.3"/>
  <headerFooter>
    <oddFooter>&amp;C_x000D_&amp;1#&amp;"Calibri"&amp;10&amp;K000000 Uso Interno</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7E039-6278-4412-9885-2E4C1ECF0991}">
  <dimension ref="A1:P89"/>
  <sheetViews>
    <sheetView workbookViewId="0">
      <selection activeCell="R14" sqref="R14"/>
    </sheetView>
  </sheetViews>
  <sheetFormatPr baseColWidth="10" defaultColWidth="6.81640625" defaultRowHeight="14.5" x14ac:dyDescent="0.35"/>
  <cols>
    <col min="1" max="1" width="6.81640625" style="59" customWidth="1"/>
    <col min="2" max="16384" width="6.81640625" style="59"/>
  </cols>
  <sheetData>
    <row r="1" spans="1:16" ht="14.25" customHeight="1" x14ac:dyDescent="0.35">
      <c r="A1" s="122" t="s">
        <v>96</v>
      </c>
      <c r="B1" s="122"/>
      <c r="C1" s="122"/>
      <c r="D1" s="122"/>
      <c r="E1" s="122"/>
      <c r="F1" s="122"/>
    </row>
    <row r="2" spans="1:16" x14ac:dyDescent="0.35">
      <c r="A2" s="123" t="s">
        <v>97</v>
      </c>
      <c r="B2" s="123"/>
      <c r="C2" s="123"/>
      <c r="D2" s="123"/>
      <c r="E2" s="123"/>
      <c r="F2" s="123"/>
      <c r="G2" s="123"/>
    </row>
    <row r="3" spans="1:16" ht="0.75" customHeight="1" x14ac:dyDescent="0.35">
      <c r="A3" s="123"/>
      <c r="B3" s="123"/>
      <c r="C3" s="123"/>
      <c r="D3" s="123"/>
      <c r="E3" s="123"/>
      <c r="F3" s="123"/>
      <c r="G3" s="123"/>
    </row>
    <row r="4" spans="1:16" ht="13.5" customHeight="1" x14ac:dyDescent="0.35">
      <c r="A4" s="123" t="s">
        <v>124</v>
      </c>
      <c r="B4" s="123"/>
      <c r="C4" s="123"/>
      <c r="D4" s="123"/>
      <c r="E4" s="123"/>
      <c r="F4" s="123"/>
      <c r="G4" s="123"/>
    </row>
    <row r="5" spans="1:16" ht="11.25" customHeight="1" x14ac:dyDescent="0.35"/>
    <row r="6" spans="1:16" ht="28.5" customHeight="1" x14ac:dyDescent="0.35"/>
    <row r="7" spans="1:16" ht="15.75" customHeight="1" x14ac:dyDescent="0.35">
      <c r="A7" s="124" t="s">
        <v>99</v>
      </c>
      <c r="B7" s="124"/>
      <c r="C7" s="124"/>
      <c r="D7" s="124"/>
      <c r="E7" s="124"/>
      <c r="F7" s="124"/>
      <c r="G7" s="124"/>
      <c r="H7" s="124"/>
      <c r="I7" s="124"/>
      <c r="J7" s="124"/>
      <c r="K7" s="124"/>
      <c r="L7" s="124"/>
      <c r="M7" s="124"/>
      <c r="N7" s="124"/>
      <c r="O7" s="124"/>
      <c r="P7" s="124"/>
    </row>
    <row r="8" spans="1:16" ht="8.25" customHeight="1" x14ac:dyDescent="0.35"/>
    <row r="9" spans="1:16" ht="11.25" customHeight="1" x14ac:dyDescent="0.35">
      <c r="A9" s="123" t="s">
        <v>128</v>
      </c>
      <c r="B9" s="123"/>
      <c r="C9" s="123"/>
      <c r="D9" s="123"/>
      <c r="E9" s="123"/>
    </row>
    <row r="10" spans="1:16" ht="9" customHeight="1" x14ac:dyDescent="0.35"/>
    <row r="11" spans="1:16" ht="7.5" customHeight="1" x14ac:dyDescent="0.35"/>
    <row r="12" spans="1:16" x14ac:dyDescent="0.35">
      <c r="B12" s="118" t="s">
        <v>101</v>
      </c>
      <c r="C12" s="118"/>
      <c r="D12" s="118"/>
      <c r="E12" s="118"/>
      <c r="F12" s="118"/>
      <c r="G12" s="118"/>
      <c r="H12" s="118"/>
      <c r="I12" s="118"/>
    </row>
    <row r="13" spans="1:16" ht="13.5" customHeight="1" x14ac:dyDescent="0.35">
      <c r="B13" s="118" t="s">
        <v>102</v>
      </c>
      <c r="C13" s="118"/>
      <c r="D13" s="118"/>
      <c r="E13" s="118"/>
      <c r="F13" s="118"/>
      <c r="G13" s="118"/>
      <c r="H13" s="118"/>
      <c r="I13" s="118"/>
    </row>
    <row r="14" spans="1:16" ht="9" customHeight="1" x14ac:dyDescent="0.35">
      <c r="B14" s="119" t="s">
        <v>103</v>
      </c>
      <c r="C14" s="119"/>
      <c r="D14" s="119"/>
      <c r="E14" s="119"/>
      <c r="F14" s="119"/>
      <c r="G14" s="119"/>
      <c r="H14" s="119"/>
      <c r="J14" s="119" t="s">
        <v>104</v>
      </c>
      <c r="K14" s="119"/>
      <c r="L14" s="119"/>
      <c r="M14" s="119"/>
      <c r="N14" s="119"/>
      <c r="O14" s="119"/>
    </row>
    <row r="15" spans="1:16" ht="2.25" customHeight="1" x14ac:dyDescent="0.35">
      <c r="B15" s="119"/>
      <c r="C15" s="119"/>
      <c r="D15" s="119"/>
      <c r="E15" s="119"/>
      <c r="F15" s="119"/>
      <c r="G15" s="119"/>
      <c r="H15" s="119"/>
      <c r="J15" s="119"/>
      <c r="K15" s="119"/>
      <c r="L15" s="119"/>
      <c r="M15" s="119"/>
      <c r="N15" s="119"/>
      <c r="O15" s="119"/>
    </row>
    <row r="16" spans="1:16" ht="11.25" customHeight="1" x14ac:dyDescent="0.35">
      <c r="B16" s="120" t="s">
        <v>105</v>
      </c>
      <c r="C16" s="120"/>
      <c r="D16" s="120"/>
      <c r="E16" s="120"/>
      <c r="J16" s="120" t="s">
        <v>106</v>
      </c>
      <c r="K16" s="120"/>
      <c r="L16" s="120"/>
      <c r="M16" s="120"/>
    </row>
    <row r="17" spans="2:14" ht="11.25" customHeight="1" x14ac:dyDescent="0.35"/>
    <row r="18" spans="2:14" ht="14.25" customHeight="1" x14ac:dyDescent="0.35">
      <c r="B18" s="60" t="s">
        <v>1</v>
      </c>
      <c r="C18" s="121" t="s">
        <v>81</v>
      </c>
      <c r="D18" s="121"/>
      <c r="E18" s="121" t="s">
        <v>82</v>
      </c>
      <c r="F18" s="121"/>
      <c r="K18" s="121" t="s">
        <v>81</v>
      </c>
      <c r="L18" s="121"/>
      <c r="M18" s="121" t="s">
        <v>82</v>
      </c>
      <c r="N18" s="121"/>
    </row>
    <row r="19" spans="2:14" x14ac:dyDescent="0.35">
      <c r="B19" s="61">
        <v>20</v>
      </c>
      <c r="C19" s="116">
        <v>27.021000000000001</v>
      </c>
      <c r="D19" s="116"/>
      <c r="E19" s="116">
        <v>27.263999999999999</v>
      </c>
      <c r="F19" s="116"/>
      <c r="K19" s="117">
        <v>324.25200000000001</v>
      </c>
      <c r="L19" s="117"/>
      <c r="M19" s="117">
        <v>327.16800000000001</v>
      </c>
      <c r="N19" s="117"/>
    </row>
    <row r="20" spans="2:14" x14ac:dyDescent="0.35">
      <c r="B20" s="61">
        <v>21</v>
      </c>
      <c r="C20" s="116">
        <v>26.923000000000002</v>
      </c>
      <c r="D20" s="116"/>
      <c r="E20" s="116">
        <v>27.171999999999997</v>
      </c>
      <c r="F20" s="116"/>
      <c r="K20" s="117">
        <v>323.07599999999996</v>
      </c>
      <c r="L20" s="117"/>
      <c r="M20" s="117">
        <v>326.06400000000002</v>
      </c>
      <c r="N20" s="117"/>
    </row>
    <row r="21" spans="2:14" x14ac:dyDescent="0.35">
      <c r="B21" s="61">
        <v>22</v>
      </c>
      <c r="C21" s="116">
        <v>26.821999999999999</v>
      </c>
      <c r="D21" s="116"/>
      <c r="E21" s="116">
        <v>27.076999999999998</v>
      </c>
      <c r="F21" s="116"/>
      <c r="K21" s="117">
        <v>321.86400000000003</v>
      </c>
      <c r="L21" s="117"/>
      <c r="M21" s="117">
        <v>324.92400000000004</v>
      </c>
      <c r="N21" s="117"/>
    </row>
    <row r="22" spans="2:14" x14ac:dyDescent="0.35">
      <c r="B22" s="61">
        <v>23</v>
      </c>
      <c r="C22" s="116">
        <v>26.716999999999999</v>
      </c>
      <c r="D22" s="116"/>
      <c r="E22" s="116">
        <v>26.978000000000002</v>
      </c>
      <c r="F22" s="116"/>
      <c r="K22" s="117">
        <v>320.60400000000004</v>
      </c>
      <c r="L22" s="117"/>
      <c r="M22" s="117">
        <v>323.73599999999999</v>
      </c>
      <c r="N22" s="117"/>
    </row>
    <row r="23" spans="2:14" x14ac:dyDescent="0.35">
      <c r="B23" s="61">
        <v>24</v>
      </c>
      <c r="C23" s="116">
        <v>26.609000000000002</v>
      </c>
      <c r="D23" s="116"/>
      <c r="E23" s="116">
        <v>26.875999999999998</v>
      </c>
      <c r="F23" s="116"/>
      <c r="K23" s="117">
        <v>319.30799999999999</v>
      </c>
      <c r="L23" s="117"/>
      <c r="M23" s="117">
        <v>322.512</v>
      </c>
      <c r="N23" s="117"/>
    </row>
    <row r="24" spans="2:14" x14ac:dyDescent="0.35">
      <c r="B24" s="61">
        <v>25</v>
      </c>
      <c r="C24" s="116">
        <v>26.497</v>
      </c>
      <c r="D24" s="116"/>
      <c r="E24" s="116">
        <v>26.77</v>
      </c>
      <c r="F24" s="116"/>
      <c r="K24" s="117">
        <v>317.964</v>
      </c>
      <c r="L24" s="117"/>
      <c r="M24" s="117">
        <v>321.24</v>
      </c>
      <c r="N24" s="117"/>
    </row>
    <row r="25" spans="2:14" x14ac:dyDescent="0.35">
      <c r="B25" s="61">
        <v>26</v>
      </c>
      <c r="C25" s="116">
        <v>26.381</v>
      </c>
      <c r="D25" s="116"/>
      <c r="E25" s="116">
        <v>26.66</v>
      </c>
      <c r="F25" s="116"/>
      <c r="K25" s="117">
        <v>316.572</v>
      </c>
      <c r="L25" s="117"/>
      <c r="M25" s="117">
        <v>319.92</v>
      </c>
      <c r="N25" s="117"/>
    </row>
    <row r="26" spans="2:14" x14ac:dyDescent="0.35">
      <c r="B26" s="61">
        <v>27</v>
      </c>
      <c r="C26" s="116">
        <v>26.26</v>
      </c>
      <c r="D26" s="116"/>
      <c r="E26" s="116">
        <v>26.545999999999999</v>
      </c>
      <c r="F26" s="116"/>
      <c r="K26" s="117">
        <v>315.12</v>
      </c>
      <c r="L26" s="117"/>
      <c r="M26" s="117">
        <v>318.55200000000002</v>
      </c>
      <c r="N26" s="117"/>
    </row>
    <row r="27" spans="2:14" x14ac:dyDescent="0.35">
      <c r="B27" s="61">
        <v>28</v>
      </c>
      <c r="C27" s="116">
        <v>26.135999999999999</v>
      </c>
      <c r="D27" s="116"/>
      <c r="E27" s="116">
        <v>26.428000000000001</v>
      </c>
      <c r="F27" s="116"/>
      <c r="K27" s="117">
        <v>313.63200000000001</v>
      </c>
      <c r="L27" s="117"/>
      <c r="M27" s="117">
        <v>317.13599999999997</v>
      </c>
      <c r="N27" s="117"/>
    </row>
    <row r="28" spans="2:14" x14ac:dyDescent="0.35">
      <c r="B28" s="61">
        <v>29</v>
      </c>
      <c r="C28" s="116">
        <v>26.008000000000003</v>
      </c>
      <c r="D28" s="116"/>
      <c r="E28" s="116">
        <v>26.305999999999997</v>
      </c>
      <c r="F28" s="116"/>
      <c r="K28" s="117">
        <v>312.096</v>
      </c>
      <c r="L28" s="117"/>
      <c r="M28" s="117">
        <v>315.67200000000003</v>
      </c>
      <c r="N28" s="117"/>
    </row>
    <row r="29" spans="2:14" x14ac:dyDescent="0.35">
      <c r="B29" s="61">
        <v>30</v>
      </c>
      <c r="C29" s="116">
        <v>25.875</v>
      </c>
      <c r="D29" s="116"/>
      <c r="E29" s="116">
        <v>26.179000000000002</v>
      </c>
      <c r="F29" s="116"/>
      <c r="K29" s="117">
        <v>310.5</v>
      </c>
      <c r="L29" s="117"/>
      <c r="M29" s="117">
        <v>314.14799999999997</v>
      </c>
      <c r="N29" s="117"/>
    </row>
    <row r="30" spans="2:14" x14ac:dyDescent="0.35">
      <c r="B30" s="61">
        <v>31</v>
      </c>
      <c r="C30" s="116">
        <v>25.736999999999998</v>
      </c>
      <c r="D30" s="116"/>
      <c r="E30" s="116">
        <v>26.048000000000002</v>
      </c>
      <c r="F30" s="116"/>
      <c r="K30" s="117">
        <v>308.84399999999999</v>
      </c>
      <c r="L30" s="117"/>
      <c r="M30" s="117">
        <v>312.57599999999996</v>
      </c>
      <c r="N30" s="117"/>
    </row>
    <row r="31" spans="2:14" x14ac:dyDescent="0.35">
      <c r="B31" s="61">
        <v>32</v>
      </c>
      <c r="C31" s="116">
        <v>25.594000000000001</v>
      </c>
      <c r="D31" s="116"/>
      <c r="E31" s="116">
        <v>25.913</v>
      </c>
      <c r="F31" s="116"/>
      <c r="K31" s="117">
        <v>307.12799999999999</v>
      </c>
      <c r="L31" s="117"/>
      <c r="M31" s="117">
        <v>310.95599999999996</v>
      </c>
      <c r="N31" s="117"/>
    </row>
    <row r="32" spans="2:14" x14ac:dyDescent="0.35">
      <c r="B32" s="61">
        <v>33</v>
      </c>
      <c r="C32" s="116">
        <v>25.446999999999999</v>
      </c>
      <c r="D32" s="116"/>
      <c r="E32" s="116">
        <v>25.773000000000003</v>
      </c>
      <c r="F32" s="116"/>
      <c r="K32" s="117">
        <v>305.36400000000003</v>
      </c>
      <c r="L32" s="117"/>
      <c r="M32" s="117">
        <v>309.27600000000001</v>
      </c>
      <c r="N32" s="117"/>
    </row>
    <row r="33" spans="2:14" x14ac:dyDescent="0.35">
      <c r="B33" s="61">
        <v>34</v>
      </c>
      <c r="C33" s="116">
        <v>25.295000000000002</v>
      </c>
      <c r="D33" s="116"/>
      <c r="E33" s="116">
        <v>25.628</v>
      </c>
      <c r="F33" s="116"/>
      <c r="K33" s="117">
        <v>303.54000000000002</v>
      </c>
      <c r="L33" s="117"/>
      <c r="M33" s="117">
        <v>307.536</v>
      </c>
      <c r="N33" s="117"/>
    </row>
    <row r="34" spans="2:14" x14ac:dyDescent="0.35">
      <c r="B34" s="61">
        <v>35</v>
      </c>
      <c r="C34" s="116">
        <v>25.136999999999997</v>
      </c>
      <c r="D34" s="116"/>
      <c r="E34" s="116">
        <v>25.476999999999997</v>
      </c>
      <c r="F34" s="116"/>
      <c r="K34" s="117">
        <v>301.64400000000001</v>
      </c>
      <c r="L34" s="117"/>
      <c r="M34" s="117">
        <v>305.72399999999999</v>
      </c>
      <c r="N34" s="117"/>
    </row>
    <row r="35" spans="2:14" x14ac:dyDescent="0.35">
      <c r="B35" s="61">
        <v>36</v>
      </c>
      <c r="C35" s="116">
        <v>24.974</v>
      </c>
      <c r="D35" s="116"/>
      <c r="E35" s="116">
        <v>25.321999999999999</v>
      </c>
      <c r="F35" s="116"/>
      <c r="K35" s="117">
        <v>299.68799999999999</v>
      </c>
      <c r="L35" s="117"/>
      <c r="M35" s="117">
        <v>303.86400000000003</v>
      </c>
      <c r="N35" s="117"/>
    </row>
    <row r="36" spans="2:14" x14ac:dyDescent="0.35">
      <c r="B36" s="61">
        <v>37</v>
      </c>
      <c r="C36" s="116">
        <v>24.805</v>
      </c>
      <c r="D36" s="116"/>
      <c r="E36" s="116">
        <v>25.160999999999998</v>
      </c>
      <c r="F36" s="116"/>
      <c r="K36" s="117">
        <v>297.66000000000003</v>
      </c>
      <c r="L36" s="117"/>
      <c r="M36" s="117">
        <v>301.93200000000002</v>
      </c>
      <c r="N36" s="117"/>
    </row>
    <row r="37" spans="2:14" x14ac:dyDescent="0.35">
      <c r="B37" s="61">
        <v>38</v>
      </c>
      <c r="C37" s="116">
        <v>24.63</v>
      </c>
      <c r="D37" s="116"/>
      <c r="E37" s="116">
        <v>24.995000000000001</v>
      </c>
      <c r="F37" s="116"/>
      <c r="K37" s="117">
        <v>295.56</v>
      </c>
      <c r="L37" s="117"/>
      <c r="M37" s="117">
        <v>299.94</v>
      </c>
      <c r="N37" s="117"/>
    </row>
    <row r="38" spans="2:14" x14ac:dyDescent="0.35">
      <c r="B38" s="61">
        <v>39</v>
      </c>
      <c r="C38" s="116">
        <v>24.449000000000002</v>
      </c>
      <c r="D38" s="116"/>
      <c r="E38" s="116">
        <v>24.821999999999999</v>
      </c>
      <c r="F38" s="116"/>
      <c r="K38" s="117">
        <v>293.38799999999998</v>
      </c>
      <c r="L38" s="117"/>
      <c r="M38" s="117">
        <v>297.86400000000003</v>
      </c>
      <c r="N38" s="117"/>
    </row>
    <row r="39" spans="2:14" x14ac:dyDescent="0.35">
      <c r="B39" s="61">
        <v>40</v>
      </c>
      <c r="C39" s="116">
        <v>24.261999999999997</v>
      </c>
      <c r="D39" s="116"/>
      <c r="E39" s="116">
        <v>24.644000000000002</v>
      </c>
      <c r="F39" s="116"/>
      <c r="K39" s="117">
        <v>291.14400000000001</v>
      </c>
      <c r="L39" s="117"/>
      <c r="M39" s="117">
        <v>295.72800000000001</v>
      </c>
      <c r="N39" s="117"/>
    </row>
    <row r="40" spans="2:14" x14ac:dyDescent="0.35">
      <c r="B40" s="61">
        <v>41</v>
      </c>
      <c r="C40" s="116">
        <v>24.069000000000003</v>
      </c>
      <c r="D40" s="116"/>
      <c r="E40" s="116">
        <v>24.46</v>
      </c>
      <c r="F40" s="116"/>
      <c r="K40" s="117">
        <v>288.82799999999997</v>
      </c>
      <c r="L40" s="117"/>
      <c r="M40" s="117">
        <v>293.52</v>
      </c>
      <c r="N40" s="117"/>
    </row>
    <row r="41" spans="2:14" x14ac:dyDescent="0.35">
      <c r="B41" s="61">
        <v>42</v>
      </c>
      <c r="C41" s="116">
        <v>23.869</v>
      </c>
      <c r="D41" s="116"/>
      <c r="E41" s="116">
        <v>24.269000000000002</v>
      </c>
      <c r="F41" s="116"/>
      <c r="K41" s="117">
        <v>286.428</v>
      </c>
      <c r="L41" s="117"/>
      <c r="M41" s="117">
        <v>291.22800000000001</v>
      </c>
      <c r="N41" s="117"/>
    </row>
    <row r="42" spans="2:14" x14ac:dyDescent="0.35">
      <c r="B42" s="61">
        <v>43</v>
      </c>
      <c r="C42" s="116">
        <v>23.661999999999999</v>
      </c>
      <c r="D42" s="116"/>
      <c r="E42" s="116">
        <v>24.070999999999998</v>
      </c>
      <c r="F42" s="116"/>
      <c r="K42" s="117">
        <v>283.94400000000002</v>
      </c>
      <c r="L42" s="117"/>
      <c r="M42" s="117">
        <v>288.85200000000003</v>
      </c>
      <c r="N42" s="117"/>
    </row>
    <row r="43" spans="2:14" x14ac:dyDescent="0.35">
      <c r="B43" s="61">
        <v>44</v>
      </c>
      <c r="C43" s="116">
        <v>23.449000000000002</v>
      </c>
      <c r="D43" s="116"/>
      <c r="E43" s="116">
        <v>23.866999999999997</v>
      </c>
      <c r="F43" s="116"/>
      <c r="K43" s="117">
        <v>281.38799999999998</v>
      </c>
      <c r="L43" s="117"/>
      <c r="M43" s="117">
        <v>286.404</v>
      </c>
      <c r="N43" s="117"/>
    </row>
    <row r="44" spans="2:14" x14ac:dyDescent="0.35">
      <c r="B44" s="61">
        <v>45</v>
      </c>
      <c r="C44" s="116">
        <v>23.228000000000002</v>
      </c>
      <c r="D44" s="116"/>
      <c r="E44" s="116">
        <v>23.655999999999999</v>
      </c>
      <c r="F44" s="116"/>
      <c r="K44" s="117">
        <v>278.73599999999999</v>
      </c>
      <c r="L44" s="117"/>
      <c r="M44" s="117">
        <v>283.87200000000001</v>
      </c>
      <c r="N44" s="117"/>
    </row>
    <row r="45" spans="2:14" x14ac:dyDescent="0.35">
      <c r="B45" s="61">
        <v>46</v>
      </c>
      <c r="C45" s="116">
        <v>23</v>
      </c>
      <c r="D45" s="116"/>
      <c r="E45" s="116">
        <v>23.436999999999998</v>
      </c>
      <c r="F45" s="116"/>
      <c r="K45" s="117">
        <v>276</v>
      </c>
      <c r="L45" s="117"/>
      <c r="M45" s="117">
        <v>281.24400000000003</v>
      </c>
      <c r="N45" s="117"/>
    </row>
    <row r="46" spans="2:14" x14ac:dyDescent="0.35">
      <c r="B46" s="61">
        <v>47</v>
      </c>
      <c r="C46" s="116">
        <v>22.763999999999999</v>
      </c>
      <c r="D46" s="116"/>
      <c r="E46" s="116">
        <v>23.210999999999999</v>
      </c>
      <c r="F46" s="116"/>
      <c r="K46" s="117">
        <v>273.16800000000001</v>
      </c>
      <c r="L46" s="117"/>
      <c r="M46" s="117">
        <v>278.53199999999998</v>
      </c>
      <c r="N46" s="117"/>
    </row>
    <row r="47" spans="2:14" x14ac:dyDescent="0.35">
      <c r="B47" s="61">
        <v>48</v>
      </c>
      <c r="C47" s="116">
        <v>22.52</v>
      </c>
      <c r="D47" s="116"/>
      <c r="E47" s="116">
        <v>22.976999999999997</v>
      </c>
      <c r="F47" s="116"/>
      <c r="K47" s="117">
        <v>270.24</v>
      </c>
      <c r="L47" s="117"/>
      <c r="M47" s="117">
        <v>275.72399999999999</v>
      </c>
      <c r="N47" s="117"/>
    </row>
    <row r="48" spans="2:14" x14ac:dyDescent="0.35">
      <c r="B48" s="61">
        <v>49</v>
      </c>
      <c r="C48" s="116">
        <v>22.268000000000001</v>
      </c>
      <c r="D48" s="116"/>
      <c r="E48" s="116">
        <v>22.734999999999999</v>
      </c>
      <c r="F48" s="116"/>
      <c r="K48" s="117">
        <v>267.21600000000001</v>
      </c>
      <c r="L48" s="117"/>
      <c r="M48" s="117">
        <v>272.82</v>
      </c>
      <c r="N48" s="117"/>
    </row>
    <row r="49" spans="2:14" x14ac:dyDescent="0.35">
      <c r="B49" s="61">
        <v>50</v>
      </c>
      <c r="C49" s="116">
        <v>22.008000000000003</v>
      </c>
      <c r="D49" s="116"/>
      <c r="E49" s="116">
        <v>22.484999999999999</v>
      </c>
      <c r="F49" s="116"/>
      <c r="K49" s="117">
        <v>264.096</v>
      </c>
      <c r="L49" s="117"/>
      <c r="M49" s="117">
        <v>269.82</v>
      </c>
      <c r="N49" s="117"/>
    </row>
    <row r="50" spans="2:14" x14ac:dyDescent="0.35">
      <c r="B50" s="61">
        <v>51</v>
      </c>
      <c r="C50" s="116">
        <v>21.74</v>
      </c>
      <c r="D50" s="116"/>
      <c r="E50" s="116">
        <v>22.225999999999999</v>
      </c>
      <c r="F50" s="116"/>
      <c r="K50" s="117">
        <v>260.88</v>
      </c>
      <c r="L50" s="117"/>
      <c r="M50" s="117">
        <v>266.71199999999999</v>
      </c>
      <c r="N50" s="117"/>
    </row>
    <row r="51" spans="2:14" x14ac:dyDescent="0.35">
      <c r="B51" s="61">
        <v>52</v>
      </c>
      <c r="C51" s="116">
        <v>21.464000000000002</v>
      </c>
      <c r="D51" s="116"/>
      <c r="E51" s="116">
        <v>21.958000000000002</v>
      </c>
      <c r="F51" s="116"/>
      <c r="K51" s="117">
        <v>257.56799999999998</v>
      </c>
      <c r="L51" s="117"/>
      <c r="M51" s="117">
        <v>263.49599999999998</v>
      </c>
      <c r="N51" s="117"/>
    </row>
    <row r="52" spans="2:14" x14ac:dyDescent="0.35">
      <c r="B52" s="61">
        <v>53</v>
      </c>
      <c r="C52" s="116">
        <v>21.178000000000001</v>
      </c>
      <c r="D52" s="116"/>
      <c r="E52" s="116">
        <v>21.681999999999999</v>
      </c>
      <c r="F52" s="116"/>
      <c r="K52" s="117">
        <v>254.136</v>
      </c>
      <c r="L52" s="117"/>
      <c r="M52" s="117">
        <v>260.18400000000003</v>
      </c>
      <c r="N52" s="117"/>
    </row>
    <row r="53" spans="2:14" x14ac:dyDescent="0.35">
      <c r="B53" s="61">
        <v>54</v>
      </c>
      <c r="C53" s="116">
        <v>20.883000000000003</v>
      </c>
      <c r="D53" s="116"/>
      <c r="E53" s="116">
        <v>21.395</v>
      </c>
      <c r="F53" s="116"/>
      <c r="K53" s="117">
        <v>250.59599999999998</v>
      </c>
      <c r="L53" s="117"/>
      <c r="M53" s="117">
        <v>256.74</v>
      </c>
      <c r="N53" s="117"/>
    </row>
    <row r="54" spans="2:14" x14ac:dyDescent="0.35">
      <c r="B54" s="61">
        <v>55</v>
      </c>
      <c r="C54" s="116">
        <v>20.581</v>
      </c>
      <c r="D54" s="116"/>
      <c r="E54" s="116">
        <v>21.099</v>
      </c>
      <c r="F54" s="116"/>
      <c r="K54" s="117">
        <v>246.97200000000001</v>
      </c>
      <c r="L54" s="117"/>
      <c r="M54" s="117">
        <v>253.18799999999999</v>
      </c>
      <c r="N54" s="117"/>
    </row>
    <row r="55" spans="2:14" x14ac:dyDescent="0.35">
      <c r="B55" s="61">
        <v>56</v>
      </c>
      <c r="C55" s="116">
        <v>20.27</v>
      </c>
      <c r="D55" s="116"/>
      <c r="E55" s="116">
        <v>20.793000000000003</v>
      </c>
      <c r="F55" s="116"/>
      <c r="K55" s="117">
        <v>243.24</v>
      </c>
      <c r="L55" s="117"/>
      <c r="M55" s="117">
        <v>249.51599999999999</v>
      </c>
      <c r="N55" s="117"/>
    </row>
    <row r="56" spans="2:14" x14ac:dyDescent="0.35">
      <c r="B56" s="61">
        <v>57</v>
      </c>
      <c r="C56" s="116">
        <v>19.951000000000001</v>
      </c>
      <c r="D56" s="116"/>
      <c r="E56" s="116">
        <v>20.477999999999998</v>
      </c>
      <c r="F56" s="116"/>
      <c r="K56" s="117">
        <v>239.41200000000001</v>
      </c>
      <c r="L56" s="117"/>
      <c r="M56" s="117">
        <v>245.73599999999999</v>
      </c>
      <c r="N56" s="117"/>
    </row>
    <row r="57" spans="2:14" x14ac:dyDescent="0.35">
      <c r="B57" s="61">
        <v>58</v>
      </c>
      <c r="C57" s="116">
        <v>19.624000000000002</v>
      </c>
      <c r="D57" s="116"/>
      <c r="E57" s="116">
        <v>20.152000000000001</v>
      </c>
      <c r="F57" s="116"/>
      <c r="K57" s="117">
        <v>235.488</v>
      </c>
      <c r="L57" s="117"/>
      <c r="M57" s="117">
        <v>241.82400000000001</v>
      </c>
      <c r="N57" s="117"/>
    </row>
    <row r="58" spans="2:14" x14ac:dyDescent="0.35">
      <c r="B58" s="61">
        <v>59</v>
      </c>
      <c r="C58" s="116">
        <v>19.288</v>
      </c>
      <c r="D58" s="116"/>
      <c r="E58" s="116">
        <v>19.817</v>
      </c>
      <c r="F58" s="116"/>
      <c r="K58" s="117">
        <v>231.45599999999999</v>
      </c>
      <c r="L58" s="117"/>
      <c r="M58" s="117">
        <v>237.804</v>
      </c>
      <c r="N58" s="117"/>
    </row>
    <row r="59" spans="2:14" x14ac:dyDescent="0.35">
      <c r="B59" s="61">
        <v>60</v>
      </c>
      <c r="C59" s="116">
        <v>18.942999999999998</v>
      </c>
      <c r="D59" s="116"/>
      <c r="E59" s="116">
        <v>19.47</v>
      </c>
      <c r="F59" s="116"/>
      <c r="K59" s="117">
        <v>227.31599999999997</v>
      </c>
      <c r="L59" s="117"/>
      <c r="M59" s="117">
        <v>233.64</v>
      </c>
      <c r="N59" s="117"/>
    </row>
    <row r="60" spans="2:14" x14ac:dyDescent="0.35">
      <c r="B60" s="61">
        <v>61</v>
      </c>
      <c r="C60" s="116">
        <v>18.589000000000002</v>
      </c>
      <c r="D60" s="116"/>
      <c r="E60" s="116">
        <v>19.114000000000001</v>
      </c>
      <c r="F60" s="116"/>
      <c r="K60" s="117">
        <v>223.06799999999998</v>
      </c>
      <c r="L60" s="117"/>
      <c r="M60" s="117">
        <v>229.36799999999999</v>
      </c>
      <c r="N60" s="117"/>
    </row>
    <row r="61" spans="2:14" x14ac:dyDescent="0.35">
      <c r="B61" s="61">
        <v>62</v>
      </c>
      <c r="C61" s="116">
        <v>18.224</v>
      </c>
      <c r="D61" s="116"/>
      <c r="E61" s="116">
        <v>18.745999999999999</v>
      </c>
      <c r="F61" s="116"/>
      <c r="K61" s="117">
        <v>218.68799999999999</v>
      </c>
      <c r="L61" s="117"/>
      <c r="M61" s="117">
        <v>224.952</v>
      </c>
      <c r="N61" s="117"/>
    </row>
    <row r="62" spans="2:14" x14ac:dyDescent="0.35">
      <c r="B62" s="61">
        <v>63</v>
      </c>
      <c r="C62" s="116">
        <v>17.850000000000001</v>
      </c>
      <c r="D62" s="116"/>
      <c r="E62" s="116">
        <v>18.369</v>
      </c>
      <c r="F62" s="116"/>
      <c r="K62" s="117">
        <v>214.2</v>
      </c>
      <c r="L62" s="117"/>
      <c r="M62" s="117">
        <v>220.428</v>
      </c>
      <c r="N62" s="117"/>
    </row>
    <row r="63" spans="2:14" x14ac:dyDescent="0.35">
      <c r="B63" s="61">
        <v>64</v>
      </c>
      <c r="C63" s="116">
        <v>17.464000000000002</v>
      </c>
      <c r="D63" s="116"/>
      <c r="E63" s="116">
        <v>17.983000000000001</v>
      </c>
      <c r="F63" s="116"/>
      <c r="K63" s="117">
        <v>209.56799999999998</v>
      </c>
      <c r="L63" s="117"/>
      <c r="M63" s="117">
        <v>215.79599999999999</v>
      </c>
      <c r="N63" s="117"/>
    </row>
    <row r="64" spans="2:14" x14ac:dyDescent="0.35">
      <c r="B64" s="61">
        <v>65</v>
      </c>
      <c r="C64" s="116">
        <v>17.069000000000003</v>
      </c>
      <c r="D64" s="116"/>
      <c r="E64" s="116">
        <v>17.587</v>
      </c>
      <c r="F64" s="116"/>
      <c r="K64" s="117">
        <v>204.828</v>
      </c>
      <c r="L64" s="117"/>
      <c r="M64" s="117">
        <v>211.04400000000001</v>
      </c>
      <c r="N64" s="117"/>
    </row>
    <row r="65" spans="2:14" x14ac:dyDescent="0.35">
      <c r="B65" s="61">
        <v>66</v>
      </c>
      <c r="C65" s="116">
        <v>16.664000000000001</v>
      </c>
      <c r="D65" s="116"/>
      <c r="E65" s="116">
        <v>17.182000000000002</v>
      </c>
      <c r="F65" s="116"/>
      <c r="K65" s="117">
        <v>199.96799999999999</v>
      </c>
      <c r="L65" s="117"/>
      <c r="M65" s="117">
        <v>206.18400000000003</v>
      </c>
      <c r="N65" s="117"/>
    </row>
    <row r="66" spans="2:14" x14ac:dyDescent="0.35">
      <c r="B66" s="61">
        <v>67</v>
      </c>
      <c r="C66" s="116">
        <v>16.251999999999999</v>
      </c>
      <c r="D66" s="116"/>
      <c r="E66" s="116">
        <v>16.766999999999999</v>
      </c>
      <c r="F66" s="116"/>
      <c r="K66" s="117">
        <v>195.024</v>
      </c>
      <c r="L66" s="117"/>
      <c r="M66" s="117">
        <v>201.20400000000001</v>
      </c>
      <c r="N66" s="117"/>
    </row>
    <row r="67" spans="2:14" x14ac:dyDescent="0.35">
      <c r="B67" s="61">
        <v>68</v>
      </c>
      <c r="C67" s="116">
        <v>15.833</v>
      </c>
      <c r="D67" s="116"/>
      <c r="E67" s="116">
        <v>16.344000000000001</v>
      </c>
      <c r="F67" s="116"/>
      <c r="K67" s="117">
        <v>189.99599999999998</v>
      </c>
      <c r="L67" s="117"/>
      <c r="M67" s="117">
        <v>196.12799999999999</v>
      </c>
      <c r="N67" s="117"/>
    </row>
    <row r="68" spans="2:14" x14ac:dyDescent="0.35">
      <c r="B68" s="61">
        <v>69</v>
      </c>
      <c r="C68" s="116">
        <v>15.409000000000001</v>
      </c>
      <c r="D68" s="116"/>
      <c r="E68" s="116">
        <v>15.912000000000001</v>
      </c>
      <c r="F68" s="116"/>
      <c r="K68" s="117">
        <v>184.90799999999999</v>
      </c>
      <c r="L68" s="117"/>
      <c r="M68" s="117">
        <v>190.94400000000002</v>
      </c>
      <c r="N68" s="117"/>
    </row>
    <row r="69" spans="2:14" x14ac:dyDescent="0.35">
      <c r="B69" s="61">
        <v>70</v>
      </c>
      <c r="C69" s="116">
        <v>14.979000000000001</v>
      </c>
      <c r="D69" s="116"/>
      <c r="E69" s="116">
        <v>15.472999999999999</v>
      </c>
      <c r="F69" s="116"/>
      <c r="K69" s="117">
        <v>179.74799999999999</v>
      </c>
      <c r="L69" s="117"/>
      <c r="M69" s="117">
        <v>185.67599999999999</v>
      </c>
      <c r="N69" s="117"/>
    </row>
    <row r="70" spans="2:14" x14ac:dyDescent="0.35">
      <c r="B70" s="61">
        <v>71</v>
      </c>
      <c r="C70" s="116">
        <v>14.545</v>
      </c>
      <c r="D70" s="116"/>
      <c r="E70" s="116">
        <v>15.026</v>
      </c>
      <c r="F70" s="116"/>
      <c r="K70" s="117">
        <v>174.54</v>
      </c>
      <c r="L70" s="117"/>
      <c r="M70" s="117">
        <v>180.31200000000001</v>
      </c>
      <c r="N70" s="117"/>
    </row>
    <row r="71" spans="2:14" x14ac:dyDescent="0.35">
      <c r="B71" s="61">
        <v>72</v>
      </c>
      <c r="C71" s="116">
        <v>14.105</v>
      </c>
      <c r="D71" s="116"/>
      <c r="E71" s="116">
        <v>14.571</v>
      </c>
      <c r="F71" s="116"/>
      <c r="K71" s="117">
        <v>169.26</v>
      </c>
      <c r="L71" s="117"/>
      <c r="M71" s="117">
        <v>174.852</v>
      </c>
      <c r="N71" s="117"/>
    </row>
    <row r="72" spans="2:14" x14ac:dyDescent="0.35">
      <c r="B72" s="61">
        <v>73</v>
      </c>
      <c r="C72" s="116">
        <v>13.66</v>
      </c>
      <c r="D72" s="116"/>
      <c r="E72" s="116">
        <v>14.109000000000002</v>
      </c>
      <c r="F72" s="116"/>
      <c r="K72" s="117">
        <v>163.92</v>
      </c>
      <c r="L72" s="117"/>
      <c r="M72" s="117">
        <v>169.30799999999999</v>
      </c>
      <c r="N72" s="117"/>
    </row>
    <row r="73" spans="2:14" x14ac:dyDescent="0.35">
      <c r="B73" s="61">
        <v>74</v>
      </c>
      <c r="C73" s="116">
        <v>13.21</v>
      </c>
      <c r="D73" s="116"/>
      <c r="E73" s="116">
        <v>13.637</v>
      </c>
      <c r="F73" s="116"/>
      <c r="K73" s="117">
        <v>158.52000000000001</v>
      </c>
      <c r="L73" s="117"/>
      <c r="M73" s="117">
        <v>163.64400000000001</v>
      </c>
      <c r="N73" s="117"/>
    </row>
    <row r="74" spans="2:14" x14ac:dyDescent="0.35">
      <c r="B74" s="61">
        <v>75</v>
      </c>
      <c r="C74" s="116">
        <v>12.754000000000001</v>
      </c>
      <c r="D74" s="116"/>
      <c r="E74" s="116">
        <v>13.157999999999999</v>
      </c>
      <c r="F74" s="116"/>
      <c r="K74" s="117">
        <v>153.048</v>
      </c>
      <c r="L74" s="117"/>
      <c r="M74" s="117">
        <v>157.89600000000002</v>
      </c>
      <c r="N74" s="117"/>
    </row>
    <row r="75" spans="2:14" x14ac:dyDescent="0.35">
      <c r="B75" s="61">
        <v>76</v>
      </c>
      <c r="C75" s="116">
        <v>12.292999999999999</v>
      </c>
      <c r="D75" s="116"/>
      <c r="E75" s="116">
        <v>12.672000000000001</v>
      </c>
      <c r="F75" s="116"/>
      <c r="K75" s="117">
        <v>147.51599999999999</v>
      </c>
      <c r="L75" s="117"/>
      <c r="M75" s="117">
        <v>152.06399999999999</v>
      </c>
      <c r="N75" s="117"/>
    </row>
    <row r="76" spans="2:14" x14ac:dyDescent="0.35">
      <c r="B76" s="61">
        <v>77</v>
      </c>
      <c r="C76" s="116">
        <v>11.827999999999999</v>
      </c>
      <c r="D76" s="116"/>
      <c r="E76" s="116">
        <v>12.182</v>
      </c>
      <c r="F76" s="116"/>
      <c r="K76" s="117">
        <v>141.93600000000001</v>
      </c>
      <c r="L76" s="117"/>
      <c r="M76" s="117">
        <v>146.184</v>
      </c>
      <c r="N76" s="117"/>
    </row>
    <row r="77" spans="2:14" x14ac:dyDescent="0.35">
      <c r="B77" s="61">
        <v>78</v>
      </c>
      <c r="C77" s="116">
        <v>11.36</v>
      </c>
      <c r="D77" s="116"/>
      <c r="E77" s="116">
        <v>11.69</v>
      </c>
      <c r="F77" s="116"/>
      <c r="K77" s="117">
        <v>136.32</v>
      </c>
      <c r="L77" s="117"/>
      <c r="M77" s="117">
        <v>140.28</v>
      </c>
      <c r="N77" s="117"/>
    </row>
    <row r="78" spans="2:14" x14ac:dyDescent="0.35">
      <c r="B78" s="61">
        <v>79</v>
      </c>
      <c r="C78" s="116">
        <v>10.892000000000001</v>
      </c>
      <c r="D78" s="116"/>
      <c r="E78" s="116">
        <v>11.196</v>
      </c>
      <c r="F78" s="116"/>
      <c r="K78" s="117">
        <v>130.70400000000001</v>
      </c>
      <c r="L78" s="117"/>
      <c r="M78" s="117">
        <v>134.352</v>
      </c>
      <c r="N78" s="117"/>
    </row>
    <row r="79" spans="2:14" x14ac:dyDescent="0.35">
      <c r="B79" s="61">
        <v>80</v>
      </c>
      <c r="C79" s="116">
        <v>10.425000000000001</v>
      </c>
      <c r="D79" s="116"/>
      <c r="E79" s="116">
        <v>10.702</v>
      </c>
      <c r="F79" s="116"/>
      <c r="K79" s="117">
        <v>125.1</v>
      </c>
      <c r="L79" s="117"/>
      <c r="M79" s="117">
        <v>128.42400000000001</v>
      </c>
      <c r="N79" s="117"/>
    </row>
    <row r="80" spans="2:14" x14ac:dyDescent="0.35">
      <c r="B80" s="61">
        <v>81</v>
      </c>
      <c r="C80" s="116">
        <v>9.9610000000000003</v>
      </c>
      <c r="D80" s="116"/>
      <c r="E80" s="116">
        <v>10.210000000000001</v>
      </c>
      <c r="F80" s="116"/>
      <c r="K80" s="117">
        <v>119.53200000000001</v>
      </c>
      <c r="L80" s="117"/>
      <c r="M80" s="117">
        <v>122.52</v>
      </c>
      <c r="N80" s="117"/>
    </row>
    <row r="81" spans="2:14" x14ac:dyDescent="0.35">
      <c r="B81" s="61">
        <v>82</v>
      </c>
      <c r="C81" s="116">
        <v>9.5020000000000007</v>
      </c>
      <c r="D81" s="116"/>
      <c r="E81" s="116">
        <v>9.7210000000000001</v>
      </c>
      <c r="F81" s="116"/>
      <c r="K81" s="117">
        <v>114.024</v>
      </c>
      <c r="L81" s="117"/>
      <c r="M81" s="117">
        <v>116.652</v>
      </c>
      <c r="N81" s="117"/>
    </row>
    <row r="82" spans="2:14" x14ac:dyDescent="0.35">
      <c r="B82" s="61">
        <v>83</v>
      </c>
      <c r="C82" s="116">
        <v>9.0500000000000007</v>
      </c>
      <c r="D82" s="116"/>
      <c r="E82" s="116">
        <v>9.2379999999999995</v>
      </c>
      <c r="F82" s="116"/>
      <c r="K82" s="117">
        <v>108.6</v>
      </c>
      <c r="L82" s="117"/>
      <c r="M82" s="117">
        <v>110.85600000000001</v>
      </c>
      <c r="N82" s="117"/>
    </row>
    <row r="83" spans="2:14" x14ac:dyDescent="0.35">
      <c r="B83" s="61">
        <v>84</v>
      </c>
      <c r="C83" s="116">
        <v>8.6050000000000004</v>
      </c>
      <c r="D83" s="116"/>
      <c r="E83" s="116">
        <v>8.7629999999999999</v>
      </c>
      <c r="F83" s="116"/>
      <c r="K83" s="117">
        <v>103.26</v>
      </c>
      <c r="L83" s="117"/>
      <c r="M83" s="117">
        <v>105.15600000000001</v>
      </c>
      <c r="N83" s="117"/>
    </row>
    <row r="84" spans="2:14" x14ac:dyDescent="0.35">
      <c r="B84" s="61">
        <v>85</v>
      </c>
      <c r="C84" s="116">
        <v>8.1690000000000005</v>
      </c>
      <c r="D84" s="116"/>
      <c r="E84" s="116">
        <v>8.298</v>
      </c>
      <c r="F84" s="116"/>
      <c r="K84" s="117">
        <v>98.027999999999992</v>
      </c>
      <c r="L84" s="117"/>
      <c r="M84" s="117">
        <v>99.576000000000008</v>
      </c>
      <c r="N84" s="117"/>
    </row>
    <row r="85" spans="2:14" x14ac:dyDescent="0.35">
      <c r="B85" s="61">
        <v>86</v>
      </c>
      <c r="C85" s="116">
        <v>7.7420000000000009</v>
      </c>
      <c r="D85" s="116"/>
      <c r="E85" s="116">
        <v>7.8439999999999994</v>
      </c>
      <c r="F85" s="116"/>
      <c r="K85" s="117">
        <v>92.903999999999996</v>
      </c>
      <c r="L85" s="117"/>
      <c r="M85" s="117">
        <v>94.127999999999986</v>
      </c>
      <c r="N85" s="117"/>
    </row>
    <row r="86" spans="2:14" x14ac:dyDescent="0.35">
      <c r="B86" s="61">
        <v>87</v>
      </c>
      <c r="C86" s="116">
        <v>7.3250000000000002</v>
      </c>
      <c r="D86" s="116"/>
      <c r="E86" s="116">
        <v>7.4029999999999996</v>
      </c>
      <c r="F86" s="116"/>
      <c r="K86" s="117">
        <v>87.9</v>
      </c>
      <c r="L86" s="117"/>
      <c r="M86" s="117">
        <v>88.835999999999999</v>
      </c>
      <c r="N86" s="117"/>
    </row>
    <row r="87" spans="2:14" x14ac:dyDescent="0.35">
      <c r="B87" s="61">
        <v>88</v>
      </c>
      <c r="C87" s="116">
        <v>6.9189999999999996</v>
      </c>
      <c r="D87" s="116"/>
      <c r="E87" s="116">
        <v>6.9740000000000002</v>
      </c>
      <c r="F87" s="116"/>
      <c r="K87" s="117">
        <v>83.027999999999992</v>
      </c>
      <c r="L87" s="117"/>
      <c r="M87" s="117">
        <v>83.687999999999988</v>
      </c>
      <c r="N87" s="117"/>
    </row>
    <row r="88" spans="2:14" x14ac:dyDescent="0.35">
      <c r="B88" s="61">
        <v>89</v>
      </c>
      <c r="C88" s="116">
        <v>6.5250000000000004</v>
      </c>
      <c r="D88" s="116"/>
      <c r="E88" s="116">
        <v>6.5590000000000002</v>
      </c>
      <c r="F88" s="116"/>
      <c r="K88" s="117">
        <v>78.3</v>
      </c>
      <c r="L88" s="117"/>
      <c r="M88" s="117">
        <v>78.707999999999998</v>
      </c>
      <c r="N88" s="117"/>
    </row>
    <row r="89" spans="2:14" x14ac:dyDescent="0.35">
      <c r="B89" s="61">
        <v>90</v>
      </c>
      <c r="C89" s="116">
        <v>6.1420000000000003</v>
      </c>
      <c r="D89" s="116"/>
      <c r="E89" s="116">
        <v>6.1550000000000002</v>
      </c>
      <c r="F89" s="116"/>
      <c r="K89" s="117">
        <v>73.703999999999994</v>
      </c>
      <c r="L89" s="117"/>
      <c r="M89" s="117">
        <v>73.86</v>
      </c>
      <c r="N89" s="117"/>
    </row>
  </sheetData>
  <mergeCells count="299">
    <mergeCell ref="A1:F1"/>
    <mergeCell ref="A2:G3"/>
    <mergeCell ref="A4:G4"/>
    <mergeCell ref="A7:P7"/>
    <mergeCell ref="A9:E9"/>
    <mergeCell ref="B12:I12"/>
    <mergeCell ref="B13:I13"/>
    <mergeCell ref="B14:H15"/>
    <mergeCell ref="J14:O15"/>
    <mergeCell ref="B16:E16"/>
    <mergeCell ref="J16:M16"/>
    <mergeCell ref="C18:D18"/>
    <mergeCell ref="E18:F18"/>
    <mergeCell ref="K18:L18"/>
    <mergeCell ref="M18:N18"/>
    <mergeCell ref="C21:D21"/>
    <mergeCell ref="E21:F21"/>
    <mergeCell ref="K21:L21"/>
    <mergeCell ref="M21:N21"/>
    <mergeCell ref="C22:D22"/>
    <mergeCell ref="E22:F22"/>
    <mergeCell ref="K22:L22"/>
    <mergeCell ref="M22:N22"/>
    <mergeCell ref="C19:D19"/>
    <mergeCell ref="E19:F19"/>
    <mergeCell ref="K19:L19"/>
    <mergeCell ref="M19:N19"/>
    <mergeCell ref="C20:D20"/>
    <mergeCell ref="E20:F20"/>
    <mergeCell ref="K20:L20"/>
    <mergeCell ref="M20:N20"/>
    <mergeCell ref="C25:D25"/>
    <mergeCell ref="E25:F25"/>
    <mergeCell ref="K25:L25"/>
    <mergeCell ref="M25:N25"/>
    <mergeCell ref="C26:D26"/>
    <mergeCell ref="E26:F26"/>
    <mergeCell ref="K26:L26"/>
    <mergeCell ref="M26:N26"/>
    <mergeCell ref="C23:D23"/>
    <mergeCell ref="E23:F23"/>
    <mergeCell ref="K23:L23"/>
    <mergeCell ref="M23:N23"/>
    <mergeCell ref="C24:D24"/>
    <mergeCell ref="E24:F24"/>
    <mergeCell ref="K24:L24"/>
    <mergeCell ref="M24:N24"/>
    <mergeCell ref="C29:D29"/>
    <mergeCell ref="E29:F29"/>
    <mergeCell ref="K29:L29"/>
    <mergeCell ref="M29:N29"/>
    <mergeCell ref="C30:D30"/>
    <mergeCell ref="E30:F30"/>
    <mergeCell ref="K30:L30"/>
    <mergeCell ref="M30:N30"/>
    <mergeCell ref="C27:D27"/>
    <mergeCell ref="E27:F27"/>
    <mergeCell ref="K27:L27"/>
    <mergeCell ref="M27:N27"/>
    <mergeCell ref="C28:D28"/>
    <mergeCell ref="E28:F28"/>
    <mergeCell ref="K28:L28"/>
    <mergeCell ref="M28:N28"/>
    <mergeCell ref="C33:D33"/>
    <mergeCell ref="E33:F33"/>
    <mergeCell ref="K33:L33"/>
    <mergeCell ref="M33:N33"/>
    <mergeCell ref="C34:D34"/>
    <mergeCell ref="E34:F34"/>
    <mergeCell ref="K34:L34"/>
    <mergeCell ref="M34:N34"/>
    <mergeCell ref="C31:D31"/>
    <mergeCell ref="E31:F31"/>
    <mergeCell ref="K31:L31"/>
    <mergeCell ref="M31:N31"/>
    <mergeCell ref="C32:D32"/>
    <mergeCell ref="E32:F32"/>
    <mergeCell ref="K32:L32"/>
    <mergeCell ref="M32:N32"/>
    <mergeCell ref="C37:D37"/>
    <mergeCell ref="E37:F37"/>
    <mergeCell ref="K37:L37"/>
    <mergeCell ref="M37:N37"/>
    <mergeCell ref="C38:D38"/>
    <mergeCell ref="E38:F38"/>
    <mergeCell ref="K38:L38"/>
    <mergeCell ref="M38:N38"/>
    <mergeCell ref="C35:D35"/>
    <mergeCell ref="E35:F35"/>
    <mergeCell ref="K35:L35"/>
    <mergeCell ref="M35:N35"/>
    <mergeCell ref="C36:D36"/>
    <mergeCell ref="E36:F36"/>
    <mergeCell ref="K36:L36"/>
    <mergeCell ref="M36:N36"/>
    <mergeCell ref="C41:D41"/>
    <mergeCell ref="E41:F41"/>
    <mergeCell ref="K41:L41"/>
    <mergeCell ref="M41:N41"/>
    <mergeCell ref="C42:D42"/>
    <mergeCell ref="E42:F42"/>
    <mergeCell ref="K42:L42"/>
    <mergeCell ref="M42:N42"/>
    <mergeCell ref="C39:D39"/>
    <mergeCell ref="E39:F39"/>
    <mergeCell ref="K39:L39"/>
    <mergeCell ref="M39:N39"/>
    <mergeCell ref="C40:D40"/>
    <mergeCell ref="E40:F40"/>
    <mergeCell ref="K40:L40"/>
    <mergeCell ref="M40:N40"/>
    <mergeCell ref="C45:D45"/>
    <mergeCell ref="E45:F45"/>
    <mergeCell ref="K45:L45"/>
    <mergeCell ref="M45:N45"/>
    <mergeCell ref="C46:D46"/>
    <mergeCell ref="E46:F46"/>
    <mergeCell ref="K46:L46"/>
    <mergeCell ref="M46:N46"/>
    <mergeCell ref="C43:D43"/>
    <mergeCell ref="E43:F43"/>
    <mergeCell ref="K43:L43"/>
    <mergeCell ref="M43:N43"/>
    <mergeCell ref="C44:D44"/>
    <mergeCell ref="E44:F44"/>
    <mergeCell ref="K44:L44"/>
    <mergeCell ref="M44:N44"/>
    <mergeCell ref="C49:D49"/>
    <mergeCell ref="E49:F49"/>
    <mergeCell ref="K49:L49"/>
    <mergeCell ref="M49:N49"/>
    <mergeCell ref="C50:D50"/>
    <mergeCell ref="E50:F50"/>
    <mergeCell ref="K50:L50"/>
    <mergeCell ref="M50:N50"/>
    <mergeCell ref="C47:D47"/>
    <mergeCell ref="E47:F47"/>
    <mergeCell ref="K47:L47"/>
    <mergeCell ref="M47:N47"/>
    <mergeCell ref="C48:D48"/>
    <mergeCell ref="E48:F48"/>
    <mergeCell ref="K48:L48"/>
    <mergeCell ref="M48:N48"/>
    <mergeCell ref="C53:D53"/>
    <mergeCell ref="E53:F53"/>
    <mergeCell ref="K53:L53"/>
    <mergeCell ref="M53:N53"/>
    <mergeCell ref="C54:D54"/>
    <mergeCell ref="E54:F54"/>
    <mergeCell ref="K54:L54"/>
    <mergeCell ref="M54:N54"/>
    <mergeCell ref="C51:D51"/>
    <mergeCell ref="E51:F51"/>
    <mergeCell ref="K51:L51"/>
    <mergeCell ref="M51:N51"/>
    <mergeCell ref="C52:D52"/>
    <mergeCell ref="E52:F52"/>
    <mergeCell ref="K52:L52"/>
    <mergeCell ref="M52:N52"/>
    <mergeCell ref="C57:D57"/>
    <mergeCell ref="E57:F57"/>
    <mergeCell ref="K57:L57"/>
    <mergeCell ref="M57:N57"/>
    <mergeCell ref="C58:D58"/>
    <mergeCell ref="E58:F58"/>
    <mergeCell ref="K58:L58"/>
    <mergeCell ref="M58:N58"/>
    <mergeCell ref="C55:D55"/>
    <mergeCell ref="E55:F55"/>
    <mergeCell ref="K55:L55"/>
    <mergeCell ref="M55:N55"/>
    <mergeCell ref="C56:D56"/>
    <mergeCell ref="E56:F56"/>
    <mergeCell ref="K56:L56"/>
    <mergeCell ref="M56:N56"/>
    <mergeCell ref="C61:D61"/>
    <mergeCell ref="E61:F61"/>
    <mergeCell ref="K61:L61"/>
    <mergeCell ref="M61:N61"/>
    <mergeCell ref="C62:D62"/>
    <mergeCell ref="E62:F62"/>
    <mergeCell ref="K62:L62"/>
    <mergeCell ref="M62:N62"/>
    <mergeCell ref="C59:D59"/>
    <mergeCell ref="E59:F59"/>
    <mergeCell ref="K59:L59"/>
    <mergeCell ref="M59:N59"/>
    <mergeCell ref="C60:D60"/>
    <mergeCell ref="E60:F60"/>
    <mergeCell ref="K60:L60"/>
    <mergeCell ref="M60:N60"/>
    <mergeCell ref="C65:D65"/>
    <mergeCell ref="E65:F65"/>
    <mergeCell ref="K65:L65"/>
    <mergeCell ref="M65:N65"/>
    <mergeCell ref="C66:D66"/>
    <mergeCell ref="E66:F66"/>
    <mergeCell ref="K66:L66"/>
    <mergeCell ref="M66:N66"/>
    <mergeCell ref="C63:D63"/>
    <mergeCell ref="E63:F63"/>
    <mergeCell ref="K63:L63"/>
    <mergeCell ref="M63:N63"/>
    <mergeCell ref="C64:D64"/>
    <mergeCell ref="E64:F64"/>
    <mergeCell ref="K64:L64"/>
    <mergeCell ref="M64:N64"/>
    <mergeCell ref="C69:D69"/>
    <mergeCell ref="E69:F69"/>
    <mergeCell ref="K69:L69"/>
    <mergeCell ref="M69:N69"/>
    <mergeCell ref="C70:D70"/>
    <mergeCell ref="E70:F70"/>
    <mergeCell ref="K70:L70"/>
    <mergeCell ref="M70:N70"/>
    <mergeCell ref="C67:D67"/>
    <mergeCell ref="E67:F67"/>
    <mergeCell ref="K67:L67"/>
    <mergeCell ref="M67:N67"/>
    <mergeCell ref="C68:D68"/>
    <mergeCell ref="E68:F68"/>
    <mergeCell ref="K68:L68"/>
    <mergeCell ref="M68:N68"/>
    <mergeCell ref="C73:D73"/>
    <mergeCell ref="E73:F73"/>
    <mergeCell ref="K73:L73"/>
    <mergeCell ref="M73:N73"/>
    <mergeCell ref="C74:D74"/>
    <mergeCell ref="E74:F74"/>
    <mergeCell ref="K74:L74"/>
    <mergeCell ref="M74:N74"/>
    <mergeCell ref="C71:D71"/>
    <mergeCell ref="E71:F71"/>
    <mergeCell ref="K71:L71"/>
    <mergeCell ref="M71:N71"/>
    <mergeCell ref="C72:D72"/>
    <mergeCell ref="E72:F72"/>
    <mergeCell ref="K72:L72"/>
    <mergeCell ref="M72:N72"/>
    <mergeCell ref="C77:D77"/>
    <mergeCell ref="E77:F77"/>
    <mergeCell ref="K77:L77"/>
    <mergeCell ref="M77:N77"/>
    <mergeCell ref="C78:D78"/>
    <mergeCell ref="E78:F78"/>
    <mergeCell ref="K78:L78"/>
    <mergeCell ref="M78:N78"/>
    <mergeCell ref="C75:D75"/>
    <mergeCell ref="E75:F75"/>
    <mergeCell ref="K75:L75"/>
    <mergeCell ref="M75:N75"/>
    <mergeCell ref="C76:D76"/>
    <mergeCell ref="E76:F76"/>
    <mergeCell ref="K76:L76"/>
    <mergeCell ref="M76:N76"/>
    <mergeCell ref="C81:D81"/>
    <mergeCell ref="E81:F81"/>
    <mergeCell ref="K81:L81"/>
    <mergeCell ref="M81:N81"/>
    <mergeCell ref="C82:D82"/>
    <mergeCell ref="E82:F82"/>
    <mergeCell ref="K82:L82"/>
    <mergeCell ref="M82:N82"/>
    <mergeCell ref="C79:D79"/>
    <mergeCell ref="E79:F79"/>
    <mergeCell ref="K79:L79"/>
    <mergeCell ref="M79:N79"/>
    <mergeCell ref="C80:D80"/>
    <mergeCell ref="E80:F80"/>
    <mergeCell ref="K80:L80"/>
    <mergeCell ref="M80:N80"/>
    <mergeCell ref="C85:D85"/>
    <mergeCell ref="E85:F85"/>
    <mergeCell ref="K85:L85"/>
    <mergeCell ref="M85:N85"/>
    <mergeCell ref="C86:D86"/>
    <mergeCell ref="E86:F86"/>
    <mergeCell ref="K86:L86"/>
    <mergeCell ref="M86:N86"/>
    <mergeCell ref="C83:D83"/>
    <mergeCell ref="E83:F83"/>
    <mergeCell ref="K83:L83"/>
    <mergeCell ref="M83:N83"/>
    <mergeCell ref="C84:D84"/>
    <mergeCell ref="E84:F84"/>
    <mergeCell ref="K84:L84"/>
    <mergeCell ref="M84:N84"/>
    <mergeCell ref="C89:D89"/>
    <mergeCell ref="E89:F89"/>
    <mergeCell ref="K89:L89"/>
    <mergeCell ref="M89:N89"/>
    <mergeCell ref="C87:D87"/>
    <mergeCell ref="E87:F87"/>
    <mergeCell ref="K87:L87"/>
    <mergeCell ref="M87:N87"/>
    <mergeCell ref="C88:D88"/>
    <mergeCell ref="E88:F88"/>
    <mergeCell ref="K88:L88"/>
    <mergeCell ref="M88:N8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3123-7579-4487-9337-CA81BBD0E9AA}">
  <dimension ref="A1:X73"/>
  <sheetViews>
    <sheetView workbookViewId="0">
      <selection activeCell="D19" sqref="D19"/>
    </sheetView>
  </sheetViews>
  <sheetFormatPr baseColWidth="10" defaultColWidth="11.453125" defaultRowHeight="14.5" x14ac:dyDescent="0.35"/>
  <cols>
    <col min="1" max="1" width="11.453125" style="2"/>
    <col min="2" max="2" width="20.26953125" style="2" bestFit="1" customWidth="1"/>
    <col min="3" max="3" width="11.54296875" style="2" bestFit="1" customWidth="1"/>
    <col min="4" max="7" width="11.453125" style="2"/>
    <col min="8" max="8" width="9.26953125" style="2" bestFit="1" customWidth="1"/>
    <col min="9" max="13" width="11.453125" style="2"/>
    <col min="14" max="14" width="14.81640625" style="2" bestFit="1" customWidth="1"/>
    <col min="15" max="16" width="11.453125" style="2"/>
    <col min="17" max="17" width="13.26953125" style="2" bestFit="1" customWidth="1"/>
    <col min="18" max="18" width="15.1796875" style="2" bestFit="1" customWidth="1"/>
    <col min="19" max="19" width="13" style="2" bestFit="1" customWidth="1"/>
    <col min="20" max="20" width="13.26953125" style="2" bestFit="1" customWidth="1"/>
    <col min="21" max="21" width="15.7265625" style="2" bestFit="1" customWidth="1"/>
    <col min="22" max="16384" width="11.453125" style="2"/>
  </cols>
  <sheetData>
    <row r="1" spans="1:24" x14ac:dyDescent="0.35">
      <c r="A1" s="2" t="s">
        <v>0</v>
      </c>
      <c r="H1" s="2" t="s">
        <v>54</v>
      </c>
      <c r="I1" s="9">
        <v>4.1399999999999999E-2</v>
      </c>
      <c r="K1" s="2" t="s">
        <v>54</v>
      </c>
      <c r="L1" s="9">
        <v>4.41E-2</v>
      </c>
    </row>
    <row r="2" spans="1:24" x14ac:dyDescent="0.35">
      <c r="A2" s="2" t="s">
        <v>1</v>
      </c>
      <c r="B2" s="2" t="s">
        <v>2</v>
      </c>
      <c r="C2" s="2" t="s">
        <v>3</v>
      </c>
      <c r="H2" s="2" t="s">
        <v>2</v>
      </c>
      <c r="I2" s="2" t="s">
        <v>3</v>
      </c>
      <c r="K2" s="2" t="s">
        <v>2</v>
      </c>
      <c r="L2" s="2" t="s">
        <v>3</v>
      </c>
      <c r="N2" s="47" t="s">
        <v>91</v>
      </c>
      <c r="O2" s="47" t="s">
        <v>13</v>
      </c>
      <c r="P2" s="47" t="s">
        <v>54</v>
      </c>
      <c r="Q2" s="47" t="s">
        <v>92</v>
      </c>
      <c r="R2" s="47" t="s">
        <v>93</v>
      </c>
      <c r="S2" s="47" t="s">
        <v>56</v>
      </c>
      <c r="T2" s="47" t="s">
        <v>94</v>
      </c>
      <c r="U2" s="47" t="s">
        <v>95</v>
      </c>
      <c r="W2" s="2" t="s">
        <v>3</v>
      </c>
      <c r="X2" s="2" t="s">
        <v>16</v>
      </c>
    </row>
    <row r="3" spans="1:24" x14ac:dyDescent="0.35">
      <c r="A3" s="2">
        <v>20</v>
      </c>
      <c r="B3" s="5">
        <f>+'3,54'!P19</f>
        <v>315.15600000000001</v>
      </c>
      <c r="C3" s="2">
        <f>+'3,54'!Q19</f>
        <v>317.904</v>
      </c>
      <c r="H3" s="5">
        <v>278.29200000000003</v>
      </c>
      <c r="I3" s="5">
        <v>280.44</v>
      </c>
      <c r="K3" s="5">
        <v>258.15600000000001</v>
      </c>
      <c r="L3" s="2">
        <v>263.82</v>
      </c>
      <c r="N3" s="44" t="s">
        <v>87</v>
      </c>
      <c r="O3" s="44" t="s">
        <v>83</v>
      </c>
      <c r="P3" s="45">
        <v>4.41E-2</v>
      </c>
      <c r="Q3" s="44">
        <v>205.488</v>
      </c>
      <c r="R3" s="44">
        <v>182.85599999999999</v>
      </c>
      <c r="S3" s="46">
        <v>100000000</v>
      </c>
      <c r="T3" s="46">
        <f>+S3/Q3</f>
        <v>486646.42217550415</v>
      </c>
      <c r="U3" s="46">
        <f>+S3/R3</f>
        <v>546878.41799011244</v>
      </c>
      <c r="W3" s="2" t="s">
        <v>87</v>
      </c>
      <c r="X3" s="7">
        <f>+T3</f>
        <v>486646.42217550415</v>
      </c>
    </row>
    <row r="4" spans="1:24" x14ac:dyDescent="0.35">
      <c r="A4" s="2">
        <v>21</v>
      </c>
      <c r="B4" s="5">
        <f>+'3,54'!P20</f>
        <v>314.07599999999996</v>
      </c>
      <c r="C4" s="2">
        <f>+'3,54'!Q20</f>
        <v>316.89599999999996</v>
      </c>
      <c r="H4" s="5">
        <v>277.56</v>
      </c>
      <c r="I4" s="5">
        <v>279.76799999999997</v>
      </c>
      <c r="K4" s="5">
        <v>257.35200000000003</v>
      </c>
      <c r="L4" s="2">
        <v>263.18400000000003</v>
      </c>
      <c r="N4" s="44" t="s">
        <v>88</v>
      </c>
      <c r="O4" s="44" t="s">
        <v>84</v>
      </c>
      <c r="P4" s="45">
        <v>4.41E-2</v>
      </c>
      <c r="Q4" s="44">
        <v>205.488</v>
      </c>
      <c r="R4" s="44">
        <v>182.85599999999999</v>
      </c>
      <c r="S4" s="46">
        <v>100000000</v>
      </c>
      <c r="T4" s="46">
        <f t="shared" ref="T4:T6" si="0">+S4/Q4</f>
        <v>486646.42217550415</v>
      </c>
      <c r="U4" s="46">
        <f t="shared" ref="U4:U6" si="1">+S4/R4</f>
        <v>546878.41799011244</v>
      </c>
      <c r="W4" s="2" t="s">
        <v>88</v>
      </c>
      <c r="X4" s="7">
        <f t="shared" ref="X4:X6" si="2">+T4</f>
        <v>486646.42217550415</v>
      </c>
    </row>
    <row r="5" spans="1:24" x14ac:dyDescent="0.35">
      <c r="A5" s="2">
        <v>22</v>
      </c>
      <c r="B5" s="5">
        <f>+'3,54'!P21</f>
        <v>312.95999999999998</v>
      </c>
      <c r="C5" s="2">
        <f>+'3,54'!Q21</f>
        <v>315.85200000000003</v>
      </c>
      <c r="H5" s="5">
        <v>276.79200000000003</v>
      </c>
      <c r="I5" s="5">
        <v>279.06</v>
      </c>
      <c r="K5" s="5">
        <v>256.512</v>
      </c>
      <c r="L5" s="2">
        <v>262.524</v>
      </c>
      <c r="N5" s="44" t="s">
        <v>89</v>
      </c>
      <c r="O5" s="44" t="s">
        <v>85</v>
      </c>
      <c r="P5" s="45">
        <v>4.41E-2</v>
      </c>
      <c r="Q5" s="44">
        <v>205.488</v>
      </c>
      <c r="R5" s="44">
        <v>182.85599999999999</v>
      </c>
      <c r="S5" s="46">
        <v>100000000</v>
      </c>
      <c r="T5" s="46">
        <f t="shared" si="0"/>
        <v>486646.42217550415</v>
      </c>
      <c r="U5" s="46">
        <f t="shared" si="1"/>
        <v>546878.41799011244</v>
      </c>
      <c r="W5" s="2" t="s">
        <v>89</v>
      </c>
      <c r="X5" s="7">
        <f t="shared" si="2"/>
        <v>486646.42217550415</v>
      </c>
    </row>
    <row r="6" spans="1:24" x14ac:dyDescent="0.35">
      <c r="A6" s="2">
        <v>23</v>
      </c>
      <c r="B6" s="5">
        <f>+'3,54'!P22</f>
        <v>311.79599999999999</v>
      </c>
      <c r="C6" s="2">
        <f>+'3,54'!Q22</f>
        <v>314.76</v>
      </c>
      <c r="H6" s="5">
        <v>276</v>
      </c>
      <c r="I6" s="5">
        <v>278.32799999999997</v>
      </c>
      <c r="K6" s="5">
        <v>255.636</v>
      </c>
      <c r="L6" s="2">
        <v>261.82799999999997</v>
      </c>
      <c r="N6" s="44" t="s">
        <v>90</v>
      </c>
      <c r="O6" s="44" t="s">
        <v>86</v>
      </c>
      <c r="P6" s="45">
        <v>4.1399999999999999E-2</v>
      </c>
      <c r="Q6" s="44">
        <v>212.44799999999998</v>
      </c>
      <c r="R6" s="52">
        <v>188.28</v>
      </c>
      <c r="S6" s="46">
        <v>100000000</v>
      </c>
      <c r="T6" s="46">
        <f t="shared" si="0"/>
        <v>470703.41918963706</v>
      </c>
      <c r="U6" s="46">
        <f t="shared" si="1"/>
        <v>531123.85808370507</v>
      </c>
      <c r="W6" s="2" t="s">
        <v>90</v>
      </c>
      <c r="X6" s="7">
        <f t="shared" si="2"/>
        <v>470703.41918963706</v>
      </c>
    </row>
    <row r="7" spans="1:24" x14ac:dyDescent="0.35">
      <c r="A7" s="2">
        <v>24</v>
      </c>
      <c r="B7" s="5">
        <f>+'3,54'!P23</f>
        <v>310.608</v>
      </c>
      <c r="C7" s="2">
        <f>+'3,54'!Q23</f>
        <v>313.63200000000001</v>
      </c>
      <c r="H7" s="5">
        <v>275.17200000000003</v>
      </c>
      <c r="I7" s="5">
        <v>277.56</v>
      </c>
      <c r="K7" s="5">
        <v>254.72400000000002</v>
      </c>
      <c r="L7" s="2">
        <v>261.108</v>
      </c>
    </row>
    <row r="8" spans="1:24" x14ac:dyDescent="0.35">
      <c r="A8" s="2">
        <v>25</v>
      </c>
      <c r="B8" s="5">
        <f>+'3,54'!P24</f>
        <v>309.36</v>
      </c>
      <c r="C8" s="2">
        <f>+'3,54'!Q24</f>
        <v>312.46800000000002</v>
      </c>
      <c r="H8" s="5">
        <v>274.30799999999999</v>
      </c>
      <c r="I8" s="5">
        <v>276.75599999999997</v>
      </c>
      <c r="K8" s="5">
        <v>253.77599999999998</v>
      </c>
      <c r="L8" s="2">
        <v>260.35200000000003</v>
      </c>
      <c r="N8" s="47" t="s">
        <v>109</v>
      </c>
      <c r="O8" s="47" t="s">
        <v>108</v>
      </c>
      <c r="W8" s="2" t="s">
        <v>2</v>
      </c>
      <c r="X8" s="2" t="s">
        <v>16</v>
      </c>
    </row>
    <row r="9" spans="1:24" x14ac:dyDescent="0.35">
      <c r="A9" s="2">
        <v>26</v>
      </c>
      <c r="B9" s="5">
        <f>+'3,54'!P25</f>
        <v>308.07599999999996</v>
      </c>
      <c r="C9" s="2">
        <f>+'3,54'!Q25</f>
        <v>311.25599999999997</v>
      </c>
      <c r="H9" s="5">
        <v>273.40800000000002</v>
      </c>
      <c r="I9" s="5">
        <v>275.928</v>
      </c>
      <c r="K9" s="5">
        <v>252.792</v>
      </c>
      <c r="L9" s="2">
        <v>259.56</v>
      </c>
      <c r="N9" s="44" t="s">
        <v>3</v>
      </c>
      <c r="O9" s="51">
        <f>+T6-T5</f>
        <v>-15943.00298586709</v>
      </c>
      <c r="W9" s="2" t="s">
        <v>87</v>
      </c>
      <c r="X9" s="7">
        <f>+U3</f>
        <v>546878.41799011244</v>
      </c>
    </row>
    <row r="10" spans="1:24" x14ac:dyDescent="0.35">
      <c r="A10" s="2">
        <v>27</v>
      </c>
      <c r="B10" s="5">
        <f>+'3,54'!P26</f>
        <v>306.74400000000003</v>
      </c>
      <c r="C10" s="2">
        <f>+'3,54'!Q26</f>
        <v>309.99599999999998</v>
      </c>
      <c r="H10" s="5">
        <v>272.45999999999998</v>
      </c>
      <c r="I10" s="5">
        <v>275.05200000000002</v>
      </c>
      <c r="K10" s="5">
        <v>251.76</v>
      </c>
      <c r="L10" s="2">
        <v>258.73200000000003</v>
      </c>
      <c r="N10" s="44" t="s">
        <v>2</v>
      </c>
      <c r="O10" s="51">
        <f>+U6-U5</f>
        <v>-15754.559906407376</v>
      </c>
      <c r="W10" s="2" t="s">
        <v>88</v>
      </c>
      <c r="X10" s="7">
        <f t="shared" ref="X10:X12" si="3">+U4</f>
        <v>546878.41799011244</v>
      </c>
    </row>
    <row r="11" spans="1:24" x14ac:dyDescent="0.35">
      <c r="A11" s="2">
        <v>28</v>
      </c>
      <c r="B11" s="5">
        <f>+'3,54'!P27</f>
        <v>305.36400000000003</v>
      </c>
      <c r="C11" s="2">
        <f>+'3,54'!Q27</f>
        <v>308.68799999999999</v>
      </c>
      <c r="H11" s="5">
        <v>271.488</v>
      </c>
      <c r="I11" s="5">
        <v>274.14</v>
      </c>
      <c r="K11" s="5">
        <v>250.69200000000001</v>
      </c>
      <c r="L11" s="2">
        <v>257.86799999999999</v>
      </c>
      <c r="W11" s="2" t="s">
        <v>89</v>
      </c>
      <c r="X11" s="7">
        <f t="shared" si="3"/>
        <v>546878.41799011244</v>
      </c>
    </row>
    <row r="12" spans="1:24" x14ac:dyDescent="0.35">
      <c r="A12" s="2">
        <v>29</v>
      </c>
      <c r="B12" s="5">
        <f>+'3,54'!P28</f>
        <v>303.92400000000004</v>
      </c>
      <c r="C12" s="2">
        <f>+'3,54'!Q28</f>
        <v>307.33199999999999</v>
      </c>
      <c r="H12" s="5">
        <v>270.46800000000002</v>
      </c>
      <c r="I12" s="5">
        <v>273.19200000000001</v>
      </c>
      <c r="K12" s="5">
        <v>249.57599999999999</v>
      </c>
      <c r="L12" s="2">
        <v>256.95599999999996</v>
      </c>
      <c r="W12" s="2" t="s">
        <v>90</v>
      </c>
      <c r="X12" s="7">
        <f t="shared" si="3"/>
        <v>531123.85808370507</v>
      </c>
    </row>
    <row r="13" spans="1:24" x14ac:dyDescent="0.35">
      <c r="A13" s="2">
        <v>30</v>
      </c>
      <c r="B13" s="5">
        <f>+'3,54'!P29</f>
        <v>302.44799999999998</v>
      </c>
      <c r="C13" s="2">
        <f>+'3,54'!Q29</f>
        <v>305.928</v>
      </c>
      <c r="H13" s="5">
        <v>269.41200000000003</v>
      </c>
      <c r="I13" s="5">
        <v>272.19599999999997</v>
      </c>
      <c r="K13" s="5">
        <v>248.41200000000001</v>
      </c>
      <c r="L13" s="2">
        <v>256.00799999999998</v>
      </c>
    </row>
    <row r="14" spans="1:24" x14ac:dyDescent="0.35">
      <c r="A14" s="2">
        <v>31</v>
      </c>
      <c r="B14" s="5">
        <f>+'3,54'!P30</f>
        <v>300.91200000000003</v>
      </c>
      <c r="C14" s="2">
        <f>+'3,54'!Q30</f>
        <v>304.464</v>
      </c>
      <c r="H14" s="5">
        <v>268.30799999999999</v>
      </c>
      <c r="I14" s="5">
        <v>271.16399999999999</v>
      </c>
      <c r="K14" s="5">
        <v>247.2</v>
      </c>
      <c r="L14" s="2">
        <v>255.024</v>
      </c>
    </row>
    <row r="15" spans="1:24" x14ac:dyDescent="0.35">
      <c r="A15" s="2">
        <v>32</v>
      </c>
      <c r="B15" s="5">
        <f>+'3,54'!P31</f>
        <v>299.31599999999997</v>
      </c>
      <c r="C15" s="2">
        <f>+'3,54'!Q31</f>
        <v>302.952</v>
      </c>
      <c r="H15" s="5">
        <v>267.15600000000001</v>
      </c>
      <c r="I15" s="5">
        <v>270.096</v>
      </c>
      <c r="K15" s="5">
        <v>245.94</v>
      </c>
      <c r="L15" s="2">
        <v>254.00400000000002</v>
      </c>
    </row>
    <row r="16" spans="1:24" x14ac:dyDescent="0.35">
      <c r="A16" s="2">
        <v>33</v>
      </c>
      <c r="B16" s="5">
        <f>+'3,54'!P32</f>
        <v>297.67200000000003</v>
      </c>
      <c r="C16" s="2">
        <f>+'3,54'!Q32</f>
        <v>301.392</v>
      </c>
      <c r="H16" s="5">
        <v>265.95599999999996</v>
      </c>
      <c r="I16" s="5">
        <v>268.96800000000002</v>
      </c>
      <c r="K16" s="5">
        <v>244.62</v>
      </c>
      <c r="L16" s="2">
        <v>252.92400000000001</v>
      </c>
    </row>
    <row r="17" spans="1:12" x14ac:dyDescent="0.35">
      <c r="A17" s="2">
        <v>34</v>
      </c>
      <c r="B17" s="5">
        <f>+'3,54'!P33</f>
        <v>295.96800000000002</v>
      </c>
      <c r="C17" s="2">
        <f>+'3,54'!Q33</f>
        <v>299.77199999999999</v>
      </c>
      <c r="H17" s="5">
        <v>264.70799999999997</v>
      </c>
      <c r="I17" s="5">
        <v>267.80400000000003</v>
      </c>
      <c r="K17" s="5">
        <v>243.25200000000001</v>
      </c>
      <c r="L17" s="2">
        <v>251.80799999999999</v>
      </c>
    </row>
    <row r="18" spans="1:12" x14ac:dyDescent="0.35">
      <c r="A18" s="2">
        <v>35</v>
      </c>
      <c r="B18" s="5">
        <f>+'3,54'!P34</f>
        <v>294.20400000000001</v>
      </c>
      <c r="C18" s="2">
        <f>+'3,54'!Q34</f>
        <v>298.09199999999998</v>
      </c>
      <c r="H18" s="5">
        <v>263.39999999999998</v>
      </c>
      <c r="I18" s="5">
        <v>266.58</v>
      </c>
      <c r="K18" s="5">
        <v>241.82400000000001</v>
      </c>
      <c r="L18" s="2">
        <v>250.64400000000001</v>
      </c>
    </row>
    <row r="19" spans="1:12" x14ac:dyDescent="0.35">
      <c r="A19" s="2">
        <v>36</v>
      </c>
      <c r="B19" s="5">
        <f>+'3,54'!P35</f>
        <v>292.36799999999999</v>
      </c>
      <c r="C19" s="2">
        <f>+'3,54'!Q35</f>
        <v>296.35200000000003</v>
      </c>
      <c r="H19" s="5">
        <v>262.04400000000004</v>
      </c>
      <c r="I19" s="5">
        <v>265.30799999999999</v>
      </c>
      <c r="K19" s="5">
        <v>240.33599999999998</v>
      </c>
      <c r="L19" s="2">
        <v>249.42</v>
      </c>
    </row>
    <row r="20" spans="1:12" x14ac:dyDescent="0.35">
      <c r="A20" s="2">
        <v>37</v>
      </c>
      <c r="B20" s="5">
        <f>+'3,54'!P36</f>
        <v>290.47199999999998</v>
      </c>
      <c r="C20" s="2">
        <f>+'3,54'!Q36</f>
        <v>294.55200000000002</v>
      </c>
      <c r="H20" s="5">
        <v>260.62799999999999</v>
      </c>
      <c r="I20" s="5">
        <v>263.988</v>
      </c>
      <c r="K20" s="5">
        <v>238.78799999999998</v>
      </c>
      <c r="L20" s="2">
        <v>248.16</v>
      </c>
    </row>
    <row r="21" spans="1:12" x14ac:dyDescent="0.35">
      <c r="A21" s="2">
        <v>38</v>
      </c>
      <c r="B21" s="5">
        <f>+'3,54'!P37</f>
        <v>288.50400000000002</v>
      </c>
      <c r="C21" s="2">
        <f>+'3,54'!Q37</f>
        <v>292.68</v>
      </c>
      <c r="H21" s="5">
        <v>259.16399999999999</v>
      </c>
      <c r="I21" s="5">
        <v>262.608</v>
      </c>
      <c r="K21" s="5">
        <v>237.16800000000001</v>
      </c>
      <c r="L21" s="2">
        <v>246.84</v>
      </c>
    </row>
    <row r="22" spans="1:12" x14ac:dyDescent="0.35">
      <c r="A22" s="2">
        <v>39</v>
      </c>
      <c r="B22" s="5">
        <f>+'3,54'!P38</f>
        <v>286.464</v>
      </c>
      <c r="C22" s="2">
        <f>+'3,54'!Q38</f>
        <v>290.74799999999999</v>
      </c>
      <c r="H22" s="5">
        <v>257.62799999999999</v>
      </c>
      <c r="I22" s="5">
        <v>261.16800000000001</v>
      </c>
      <c r="K22" s="5">
        <v>235.476</v>
      </c>
      <c r="L22" s="2">
        <v>245.46</v>
      </c>
    </row>
    <row r="23" spans="1:12" x14ac:dyDescent="0.35">
      <c r="A23" s="2">
        <v>40</v>
      </c>
      <c r="B23" s="5">
        <f>+'3,54'!P39</f>
        <v>284.35200000000003</v>
      </c>
      <c r="C23" s="2">
        <f>+'3,54'!Q39</f>
        <v>288.74400000000003</v>
      </c>
      <c r="H23" s="5">
        <v>256.03199999999998</v>
      </c>
      <c r="I23" s="5">
        <v>259.68</v>
      </c>
      <c r="K23" s="5">
        <v>233.71200000000002</v>
      </c>
      <c r="L23" s="2">
        <v>244.02</v>
      </c>
    </row>
    <row r="24" spans="1:12" x14ac:dyDescent="0.35">
      <c r="A24" s="2">
        <v>41</v>
      </c>
      <c r="B24" s="5">
        <f>+'3,54'!P40</f>
        <v>282.16800000000001</v>
      </c>
      <c r="C24" s="2">
        <f>+'3,54'!Q40</f>
        <v>286.66800000000001</v>
      </c>
      <c r="H24" s="5">
        <v>254.364</v>
      </c>
      <c r="I24" s="5">
        <v>258.12</v>
      </c>
      <c r="K24" s="5">
        <v>231.88800000000001</v>
      </c>
      <c r="L24" s="2">
        <v>242.52</v>
      </c>
    </row>
    <row r="25" spans="1:12" x14ac:dyDescent="0.35">
      <c r="A25" s="2">
        <v>42</v>
      </c>
      <c r="B25" s="5">
        <f>+'3,54'!P41</f>
        <v>279.91200000000003</v>
      </c>
      <c r="C25" s="2">
        <f>+'3,54'!Q41</f>
        <v>284.52</v>
      </c>
      <c r="H25" s="5">
        <v>252.636</v>
      </c>
      <c r="I25" s="5">
        <v>256.488</v>
      </c>
      <c r="K25" s="5">
        <v>229.98</v>
      </c>
      <c r="L25" s="2">
        <v>240.96</v>
      </c>
    </row>
    <row r="26" spans="1:12" x14ac:dyDescent="0.35">
      <c r="A26" s="2">
        <v>43</v>
      </c>
      <c r="B26" s="5">
        <f>+'3,54'!P42</f>
        <v>277.572</v>
      </c>
      <c r="C26" s="2">
        <f>+'3,54'!Q42</f>
        <v>282.28800000000001</v>
      </c>
      <c r="H26" s="5">
        <v>250.83599999999998</v>
      </c>
      <c r="I26" s="5">
        <v>254.79599999999999</v>
      </c>
      <c r="K26" s="5">
        <v>228</v>
      </c>
      <c r="L26" s="2">
        <v>239.328</v>
      </c>
    </row>
    <row r="27" spans="1:12" x14ac:dyDescent="0.35">
      <c r="A27" s="2">
        <v>44</v>
      </c>
      <c r="B27" s="5">
        <f>+'3,54'!P43</f>
        <v>275.14799999999997</v>
      </c>
      <c r="C27" s="2">
        <f>+'3,54'!Q43</f>
        <v>279.97199999999998</v>
      </c>
      <c r="H27" s="5">
        <v>248.96400000000003</v>
      </c>
      <c r="I27" s="5">
        <v>253.02</v>
      </c>
      <c r="K27" s="5">
        <v>225.93599999999998</v>
      </c>
      <c r="L27" s="2">
        <v>237.62400000000002</v>
      </c>
    </row>
    <row r="28" spans="1:12" x14ac:dyDescent="0.35">
      <c r="A28" s="2">
        <v>45</v>
      </c>
      <c r="B28" s="5">
        <f>+'3,54'!P44</f>
        <v>272.64</v>
      </c>
      <c r="C28" s="2">
        <f>+'3,54'!Q44</f>
        <v>277.584</v>
      </c>
      <c r="H28" s="5">
        <v>247.00799999999998</v>
      </c>
      <c r="I28" s="5">
        <v>251.18400000000003</v>
      </c>
      <c r="K28" s="5">
        <v>223.78799999999998</v>
      </c>
      <c r="L28" s="2">
        <v>235.84799999999998</v>
      </c>
    </row>
    <row r="29" spans="1:12" x14ac:dyDescent="0.35">
      <c r="A29" s="2">
        <v>46</v>
      </c>
      <c r="B29" s="5">
        <f>+'3,54'!P45</f>
        <v>270.048</v>
      </c>
      <c r="C29" s="2">
        <f>+'3,54'!Q45</f>
        <v>275.10000000000002</v>
      </c>
      <c r="H29" s="5">
        <v>244.98</v>
      </c>
      <c r="I29" s="5">
        <v>249.26400000000001</v>
      </c>
      <c r="K29" s="5">
        <v>221.54400000000001</v>
      </c>
      <c r="L29" s="2">
        <v>234</v>
      </c>
    </row>
    <row r="30" spans="1:12" x14ac:dyDescent="0.35">
      <c r="A30" s="2">
        <v>47</v>
      </c>
      <c r="B30" s="5">
        <f>+'3,54'!P46</f>
        <v>267.36</v>
      </c>
      <c r="C30" s="2">
        <f>+'3,54'!Q46</f>
        <v>272.53199999999998</v>
      </c>
      <c r="H30" s="5">
        <v>242.85599999999999</v>
      </c>
      <c r="I30" s="5">
        <v>247.27200000000002</v>
      </c>
      <c r="K30" s="5">
        <v>219.20400000000001</v>
      </c>
      <c r="L30" s="2">
        <v>232.06799999999998</v>
      </c>
    </row>
    <row r="31" spans="1:12" x14ac:dyDescent="0.35">
      <c r="A31" s="2">
        <v>48</v>
      </c>
      <c r="B31" s="5">
        <f>+'3,54'!P47</f>
        <v>264.58799999999997</v>
      </c>
      <c r="C31" s="2">
        <f>+'3,54'!Q47</f>
        <v>269.88</v>
      </c>
      <c r="H31" s="5">
        <v>240.66</v>
      </c>
      <c r="I31" s="5">
        <v>245.196</v>
      </c>
      <c r="K31" s="5">
        <v>216.78</v>
      </c>
      <c r="L31" s="2">
        <v>230.05200000000002</v>
      </c>
    </row>
    <row r="32" spans="1:12" x14ac:dyDescent="0.35">
      <c r="A32" s="2">
        <v>49</v>
      </c>
      <c r="B32" s="5">
        <f>+'3,54'!P48</f>
        <v>261.70799999999997</v>
      </c>
      <c r="C32" s="2">
        <f>+'3,54'!Q48</f>
        <v>267.12</v>
      </c>
      <c r="H32" s="5">
        <v>238.36799999999999</v>
      </c>
      <c r="I32" s="5">
        <v>243.024</v>
      </c>
      <c r="K32" s="5">
        <v>214.24799999999999</v>
      </c>
      <c r="L32" s="2">
        <v>227.96400000000003</v>
      </c>
    </row>
    <row r="33" spans="1:12" x14ac:dyDescent="0.35">
      <c r="A33" s="2">
        <v>50</v>
      </c>
      <c r="B33" s="5">
        <f>+'3,54'!P49</f>
        <v>258.74400000000003</v>
      </c>
      <c r="C33" s="2">
        <f>+'3,54'!Q49</f>
        <v>264.27600000000001</v>
      </c>
      <c r="H33" s="5">
        <v>235.99200000000002</v>
      </c>
      <c r="I33" s="5">
        <v>240.768</v>
      </c>
      <c r="K33" s="5">
        <v>211.63200000000001</v>
      </c>
      <c r="L33" s="2">
        <v>225.768</v>
      </c>
    </row>
    <row r="34" spans="1:12" x14ac:dyDescent="0.35">
      <c r="A34" s="2">
        <v>51</v>
      </c>
      <c r="B34" s="5">
        <f>+'3,54'!P50</f>
        <v>255.68400000000003</v>
      </c>
      <c r="C34" s="2">
        <f>+'3,54'!Q50</f>
        <v>261.32400000000001</v>
      </c>
      <c r="H34" s="5">
        <v>233.52</v>
      </c>
      <c r="I34" s="5">
        <v>238.416</v>
      </c>
      <c r="K34" s="5">
        <v>208.92</v>
      </c>
      <c r="L34" s="2">
        <v>223.488</v>
      </c>
    </row>
    <row r="35" spans="1:12" x14ac:dyDescent="0.35">
      <c r="A35" s="2">
        <v>52</v>
      </c>
      <c r="B35" s="5">
        <f>+'3,54'!P51</f>
        <v>252.51599999999999</v>
      </c>
      <c r="C35" s="2">
        <f>+'3,54'!Q51</f>
        <v>258.26400000000001</v>
      </c>
      <c r="H35" s="5">
        <v>230.96400000000003</v>
      </c>
      <c r="I35" s="5">
        <v>235.96799999999999</v>
      </c>
      <c r="K35" s="5">
        <v>206.1</v>
      </c>
      <c r="L35" s="2">
        <v>221.11199999999999</v>
      </c>
    </row>
    <row r="36" spans="1:12" x14ac:dyDescent="0.35">
      <c r="A36" s="2">
        <v>53</v>
      </c>
      <c r="B36" s="5">
        <f>+'3,54'!P52</f>
        <v>249.24</v>
      </c>
      <c r="C36" s="2">
        <f>+'3,54'!Q52</f>
        <v>255.09599999999998</v>
      </c>
      <c r="H36" s="5">
        <v>228.3</v>
      </c>
      <c r="I36" s="5">
        <v>233.42400000000001</v>
      </c>
      <c r="K36" s="5">
        <v>203.16</v>
      </c>
      <c r="L36" s="2">
        <v>218.62799999999999</v>
      </c>
    </row>
    <row r="37" spans="1:12" x14ac:dyDescent="0.35">
      <c r="A37" s="2">
        <v>54</v>
      </c>
      <c r="B37" s="5">
        <f>+'3,54'!P53</f>
        <v>245.85599999999999</v>
      </c>
      <c r="C37" s="2">
        <f>+'3,54'!Q53</f>
        <v>251.82</v>
      </c>
      <c r="H37" s="5">
        <v>225.52799999999999</v>
      </c>
      <c r="I37" s="5">
        <v>230.76</v>
      </c>
      <c r="K37" s="5">
        <v>200.11199999999999</v>
      </c>
      <c r="L37" s="2">
        <v>216.03599999999997</v>
      </c>
    </row>
    <row r="38" spans="1:12" x14ac:dyDescent="0.35">
      <c r="A38" s="2">
        <v>55</v>
      </c>
      <c r="B38" s="5">
        <f>+'3,54'!P54</f>
        <v>242.38800000000001</v>
      </c>
      <c r="C38" s="2">
        <f>+'3,54'!Q54</f>
        <v>248.42400000000001</v>
      </c>
      <c r="H38" s="5">
        <v>222.66</v>
      </c>
      <c r="I38" s="5">
        <v>227.988</v>
      </c>
      <c r="K38" s="5">
        <v>196.98</v>
      </c>
      <c r="L38" s="2">
        <v>213.31200000000001</v>
      </c>
    </row>
    <row r="39" spans="1:12" x14ac:dyDescent="0.35">
      <c r="A39" s="2">
        <v>56</v>
      </c>
      <c r="B39" s="5">
        <f>+'3,54'!P55</f>
        <v>238.81200000000001</v>
      </c>
      <c r="C39" s="2">
        <f>+'3,54'!Q55</f>
        <v>244.90799999999999</v>
      </c>
      <c r="H39" s="5">
        <v>219.708</v>
      </c>
      <c r="I39" s="5">
        <v>225.108</v>
      </c>
      <c r="K39" s="5">
        <v>193.76400000000001</v>
      </c>
      <c r="L39" s="2">
        <v>210.49200000000002</v>
      </c>
    </row>
    <row r="40" spans="1:12" x14ac:dyDescent="0.35">
      <c r="A40" s="2">
        <v>57</v>
      </c>
      <c r="B40" s="5">
        <f>+'3,54'!P56</f>
        <v>235.14</v>
      </c>
      <c r="C40" s="2">
        <f>+'3,54'!Q56</f>
        <v>241.28400000000002</v>
      </c>
      <c r="H40" s="5">
        <v>216.66</v>
      </c>
      <c r="I40" s="5">
        <v>222.12</v>
      </c>
      <c r="K40" s="5">
        <v>190.46400000000003</v>
      </c>
      <c r="L40" s="2">
        <v>207.56400000000002</v>
      </c>
    </row>
    <row r="41" spans="1:12" x14ac:dyDescent="0.35">
      <c r="A41" s="2">
        <v>58</v>
      </c>
      <c r="B41" s="5">
        <f>+'3,54'!P57</f>
        <v>231.37200000000001</v>
      </c>
      <c r="C41" s="2">
        <f>+'3,54'!Q57</f>
        <v>237.54</v>
      </c>
      <c r="H41" s="5">
        <v>213.51599999999999</v>
      </c>
      <c r="I41" s="5">
        <v>219.024</v>
      </c>
      <c r="K41" s="5">
        <v>187.08</v>
      </c>
      <c r="L41" s="2">
        <v>204.51599999999999</v>
      </c>
    </row>
    <row r="42" spans="1:12" x14ac:dyDescent="0.35">
      <c r="A42" s="2">
        <v>59</v>
      </c>
      <c r="B42" s="5">
        <f>+'3,54'!P58</f>
        <v>227.49599999999998</v>
      </c>
      <c r="C42" s="2">
        <f>+'3,54'!Q58</f>
        <v>233.67599999999999</v>
      </c>
      <c r="H42" s="5">
        <v>210.26400000000001</v>
      </c>
      <c r="I42" s="5">
        <v>215.79599999999999</v>
      </c>
      <c r="K42" s="5">
        <v>183.58799999999999</v>
      </c>
      <c r="L42" s="2">
        <v>201.34799999999998</v>
      </c>
    </row>
    <row r="43" spans="1:12" x14ac:dyDescent="0.35">
      <c r="A43" s="2">
        <v>60</v>
      </c>
      <c r="B43" s="5">
        <f>+'3,54'!P59</f>
        <v>223.512</v>
      </c>
      <c r="C43" s="2">
        <f>+'3,54'!Q59</f>
        <v>229.68</v>
      </c>
      <c r="H43" s="5">
        <v>206.90400000000002</v>
      </c>
      <c r="I43" s="5">
        <v>212.44799999999998</v>
      </c>
      <c r="K43" s="5">
        <v>180.012</v>
      </c>
      <c r="L43" s="2">
        <v>198.06</v>
      </c>
    </row>
    <row r="44" spans="1:12" x14ac:dyDescent="0.35">
      <c r="A44" s="2">
        <v>61</v>
      </c>
      <c r="B44" s="5">
        <f>+'3,54'!P60</f>
        <v>219.40799999999999</v>
      </c>
      <c r="C44" s="2">
        <f>+'3,54'!Q60</f>
        <v>225.55200000000002</v>
      </c>
      <c r="H44" s="5">
        <v>203.42400000000001</v>
      </c>
      <c r="I44" s="5">
        <v>208.98</v>
      </c>
      <c r="K44" s="5">
        <v>176.31599999999997</v>
      </c>
      <c r="L44" s="2">
        <v>194.64</v>
      </c>
    </row>
    <row r="45" spans="1:12" x14ac:dyDescent="0.35">
      <c r="A45" s="2">
        <v>62</v>
      </c>
      <c r="B45" s="5">
        <f>+'3,54'!P61</f>
        <v>215.196</v>
      </c>
      <c r="C45" s="2">
        <f>+'3,54'!Q61</f>
        <v>221.31599999999997</v>
      </c>
      <c r="H45" s="5">
        <v>199.83599999999998</v>
      </c>
      <c r="I45" s="5">
        <v>205.38</v>
      </c>
      <c r="K45" s="5">
        <v>172.5</v>
      </c>
      <c r="L45" s="2">
        <v>191.11199999999999</v>
      </c>
    </row>
    <row r="46" spans="1:12" x14ac:dyDescent="0.35">
      <c r="A46" s="2">
        <v>63</v>
      </c>
      <c r="B46" s="5">
        <f>+'3,54'!P62</f>
        <v>210.852</v>
      </c>
      <c r="C46" s="2">
        <f>+'3,54'!Q62</f>
        <v>216.93599999999998</v>
      </c>
      <c r="H46" s="5">
        <v>196.11599999999999</v>
      </c>
      <c r="I46" s="5">
        <v>201.66</v>
      </c>
      <c r="K46" s="5">
        <v>168.56400000000002</v>
      </c>
      <c r="L46" s="2">
        <v>187.46400000000003</v>
      </c>
    </row>
    <row r="47" spans="1:12" x14ac:dyDescent="0.35">
      <c r="A47" s="2">
        <v>64</v>
      </c>
      <c r="B47" s="5">
        <f>+'3,54'!P63</f>
        <v>206.37599999999998</v>
      </c>
      <c r="C47" s="2">
        <f>+'3,54'!Q63</f>
        <v>212.46</v>
      </c>
      <c r="H47" s="5">
        <v>192.26400000000001</v>
      </c>
      <c r="I47" s="5">
        <v>197.82</v>
      </c>
      <c r="K47" s="5">
        <v>164.48400000000001</v>
      </c>
      <c r="L47" s="2">
        <v>183.72</v>
      </c>
    </row>
    <row r="48" spans="1:12" x14ac:dyDescent="0.35">
      <c r="A48" s="2">
        <v>65</v>
      </c>
      <c r="B48" s="5">
        <f>+'3,54'!P64</f>
        <v>201.78</v>
      </c>
      <c r="C48" s="2">
        <f>+'3,54'!Q64</f>
        <v>207.87599999999998</v>
      </c>
      <c r="H48" s="5">
        <v>188.28</v>
      </c>
      <c r="I48" s="5">
        <v>193.87200000000001</v>
      </c>
      <c r="K48" s="5">
        <v>160.27200000000002</v>
      </c>
      <c r="L48" s="2">
        <v>179.88</v>
      </c>
    </row>
    <row r="49" spans="1:12" x14ac:dyDescent="0.35">
      <c r="A49" s="2">
        <v>66</v>
      </c>
      <c r="B49" s="5">
        <f>+'3,54'!P65</f>
        <v>197.07599999999999</v>
      </c>
      <c r="C49" s="2">
        <f>+'3,54'!Q65</f>
        <v>203.16</v>
      </c>
      <c r="H49" s="5">
        <v>184.18799999999999</v>
      </c>
      <c r="I49" s="5">
        <v>189.804</v>
      </c>
      <c r="K49" s="5">
        <v>155.964</v>
      </c>
      <c r="L49" s="2">
        <v>175.92</v>
      </c>
    </row>
    <row r="50" spans="1:12" x14ac:dyDescent="0.35">
      <c r="A50" s="2">
        <v>67</v>
      </c>
      <c r="B50" s="5">
        <f>+'3,54'!P66</f>
        <v>192.27599999999998</v>
      </c>
      <c r="C50" s="2">
        <f>+'3,54'!Q66</f>
        <v>198.34799999999998</v>
      </c>
      <c r="H50" s="5">
        <v>180</v>
      </c>
      <c r="I50" s="5">
        <v>185.61599999999999</v>
      </c>
      <c r="K50" s="5">
        <v>151.56</v>
      </c>
      <c r="L50" s="2">
        <v>171.864</v>
      </c>
    </row>
    <row r="51" spans="1:12" x14ac:dyDescent="0.35">
      <c r="A51" s="2">
        <v>68</v>
      </c>
      <c r="B51" s="5">
        <f>+'3,54'!P67</f>
        <v>187.392</v>
      </c>
      <c r="C51" s="2">
        <f>+'3,54'!Q67</f>
        <v>193.416</v>
      </c>
      <c r="H51" s="5">
        <v>175.71599999999998</v>
      </c>
      <c r="I51" s="5">
        <v>181.30799999999999</v>
      </c>
      <c r="K51" s="5">
        <v>147.12</v>
      </c>
      <c r="L51" s="2">
        <v>167.68799999999999</v>
      </c>
    </row>
    <row r="52" spans="1:12" x14ac:dyDescent="0.35">
      <c r="A52" s="2">
        <v>69</v>
      </c>
      <c r="B52" s="5">
        <f>+'3,54'!P68</f>
        <v>182.43599999999998</v>
      </c>
      <c r="C52" s="2">
        <f>+'3,54'!Q68</f>
        <v>188.38800000000001</v>
      </c>
      <c r="H52" s="5">
        <v>171.34799999999998</v>
      </c>
      <c r="I52" s="5">
        <v>176.892</v>
      </c>
      <c r="K52" s="5">
        <v>142.64400000000001</v>
      </c>
      <c r="L52" s="2">
        <v>163.416</v>
      </c>
    </row>
    <row r="53" spans="1:12" x14ac:dyDescent="0.35">
      <c r="A53" s="2">
        <v>70</v>
      </c>
      <c r="B53" s="5">
        <f>+'3,54'!P69</f>
        <v>177.43200000000002</v>
      </c>
      <c r="C53" s="2">
        <f>+'3,54'!Q69</f>
        <v>183.25200000000001</v>
      </c>
      <c r="H53" s="5">
        <v>166.90799999999999</v>
      </c>
      <c r="I53" s="5">
        <v>172.36799999999999</v>
      </c>
      <c r="K53" s="5">
        <v>138.14400000000001</v>
      </c>
      <c r="L53" s="2">
        <v>159.06</v>
      </c>
    </row>
    <row r="54" spans="1:12" x14ac:dyDescent="0.35">
      <c r="A54" s="2">
        <v>71</v>
      </c>
      <c r="B54" s="5">
        <f>+'3,54'!P70</f>
        <v>172.35599999999999</v>
      </c>
      <c r="C54" s="2">
        <f>+'3,54'!Q70</f>
        <v>178.04400000000001</v>
      </c>
      <c r="H54" s="5">
        <v>162.39600000000002</v>
      </c>
      <c r="I54" s="5">
        <v>167.74799999999999</v>
      </c>
      <c r="K54" s="5">
        <v>133.63200000000001</v>
      </c>
      <c r="L54" s="2">
        <v>154.62</v>
      </c>
    </row>
    <row r="55" spans="1:12" x14ac:dyDescent="0.35">
      <c r="A55" s="2">
        <v>72</v>
      </c>
      <c r="B55" s="5">
        <f>+'3,54'!P71</f>
        <v>167.208</v>
      </c>
      <c r="C55" s="2">
        <f>+'3,54'!Q71</f>
        <v>172.72799999999998</v>
      </c>
      <c r="H55" s="5">
        <v>157.81200000000001</v>
      </c>
      <c r="I55" s="5">
        <v>163.02000000000001</v>
      </c>
      <c r="K55" s="5">
        <v>129.096</v>
      </c>
      <c r="L55" s="2">
        <v>150.084</v>
      </c>
    </row>
    <row r="56" spans="1:12" x14ac:dyDescent="0.35">
      <c r="A56" s="2">
        <v>73</v>
      </c>
      <c r="B56" s="5">
        <f>+'3,54'!P72</f>
        <v>162</v>
      </c>
      <c r="C56" s="2">
        <f>+'3,54'!Q72</f>
        <v>167.304</v>
      </c>
      <c r="H56" s="5">
        <v>153.15600000000001</v>
      </c>
      <c r="I56" s="5">
        <v>158.184</v>
      </c>
      <c r="K56" s="5">
        <v>124.524</v>
      </c>
      <c r="L56" s="2">
        <v>145.452</v>
      </c>
    </row>
    <row r="57" spans="1:12" x14ac:dyDescent="0.35">
      <c r="A57" s="2">
        <v>74</v>
      </c>
      <c r="B57" s="5">
        <f>+'3,54'!P73</f>
        <v>156.72</v>
      </c>
      <c r="C57" s="2">
        <f>+'3,54'!Q73</f>
        <v>161.78399999999999</v>
      </c>
      <c r="H57" s="5">
        <v>148.404</v>
      </c>
      <c r="I57" s="5">
        <v>153.21600000000001</v>
      </c>
      <c r="K57" s="5">
        <v>119.928</v>
      </c>
      <c r="L57" s="2">
        <v>140.71200000000002</v>
      </c>
    </row>
    <row r="58" spans="1:12" x14ac:dyDescent="0.35">
      <c r="A58" s="2">
        <v>75</v>
      </c>
      <c r="B58" s="5">
        <f>+'3,54'!P74</f>
        <v>151.36799999999999</v>
      </c>
      <c r="C58" s="2">
        <f>+'3,54'!Q74</f>
        <v>156.16800000000001</v>
      </c>
      <c r="H58" s="5">
        <v>143.56799999999998</v>
      </c>
      <c r="I58" s="5">
        <v>148.15200000000002</v>
      </c>
      <c r="K58" s="5">
        <v>115.27200000000001</v>
      </c>
      <c r="L58" s="2">
        <v>135.852</v>
      </c>
    </row>
    <row r="59" spans="1:12" x14ac:dyDescent="0.35">
      <c r="A59" s="2">
        <v>76</v>
      </c>
      <c r="B59" s="5">
        <f>+'3,54'!P75</f>
        <v>145.95600000000002</v>
      </c>
      <c r="C59" s="2">
        <f>+'3,54'!Q75</f>
        <v>150.46799999999999</v>
      </c>
      <c r="H59" s="5">
        <v>138.66</v>
      </c>
      <c r="I59" s="5">
        <v>142.97999999999999</v>
      </c>
      <c r="K59" s="5">
        <v>110.59200000000001</v>
      </c>
      <c r="L59" s="2">
        <v>130.90799999999999</v>
      </c>
    </row>
    <row r="60" spans="1:12" x14ac:dyDescent="0.35">
      <c r="A60" s="2">
        <v>77</v>
      </c>
      <c r="B60" s="5">
        <f>+'3,54'!P76</f>
        <v>140.48400000000001</v>
      </c>
      <c r="C60" s="2">
        <f>+'3,54'!Q76</f>
        <v>144.708</v>
      </c>
      <c r="H60" s="5">
        <v>133.68</v>
      </c>
      <c r="I60" s="5">
        <v>137.73599999999999</v>
      </c>
      <c r="K60" s="5">
        <v>105.876</v>
      </c>
      <c r="L60" s="2">
        <v>125.89200000000001</v>
      </c>
    </row>
    <row r="61" spans="1:12" x14ac:dyDescent="0.35">
      <c r="A61" s="2">
        <v>78</v>
      </c>
      <c r="B61" s="5">
        <f>+'3,54'!P77</f>
        <v>134.988</v>
      </c>
      <c r="C61" s="2">
        <f>+'3,54'!Q77</f>
        <v>138.91200000000001</v>
      </c>
      <c r="H61" s="5">
        <v>128.65200000000002</v>
      </c>
      <c r="I61" s="5">
        <v>132.44399999999999</v>
      </c>
      <c r="K61" s="5">
        <v>101.16</v>
      </c>
      <c r="L61" s="2">
        <v>120.84</v>
      </c>
    </row>
    <row r="62" spans="1:12" x14ac:dyDescent="0.35">
      <c r="A62" s="2">
        <v>79</v>
      </c>
      <c r="B62" s="5">
        <f>+'3,54'!P78</f>
        <v>129.46799999999999</v>
      </c>
      <c r="C62" s="2">
        <f>+'3,54'!Q78</f>
        <v>133.09200000000001</v>
      </c>
      <c r="H62" s="5">
        <v>123.6</v>
      </c>
      <c r="I62" s="5">
        <v>127.104</v>
      </c>
      <c r="K62" s="5">
        <v>96.48</v>
      </c>
      <c r="L62" s="2">
        <v>115.764</v>
      </c>
    </row>
    <row r="63" spans="1:12" x14ac:dyDescent="0.35">
      <c r="A63" s="2">
        <v>80</v>
      </c>
      <c r="B63" s="5">
        <f>+'3,54'!P79</f>
        <v>123.97200000000001</v>
      </c>
      <c r="C63" s="2">
        <f>+'3,54'!Q79</f>
        <v>127.27200000000001</v>
      </c>
      <c r="H63" s="5">
        <v>118.524</v>
      </c>
      <c r="I63" s="5">
        <v>121.75200000000001</v>
      </c>
      <c r="K63" s="5">
        <v>91.835999999999999</v>
      </c>
      <c r="L63" s="2">
        <v>110.676</v>
      </c>
    </row>
    <row r="64" spans="1:12" x14ac:dyDescent="0.35">
      <c r="A64" s="2">
        <v>81</v>
      </c>
      <c r="B64" s="5">
        <f>+'3,54'!P80</f>
        <v>118.5</v>
      </c>
      <c r="C64" s="2">
        <f>+'3,54'!Q80</f>
        <v>121.476</v>
      </c>
      <c r="H64" s="5">
        <v>113.47200000000001</v>
      </c>
      <c r="I64" s="5">
        <v>116.38799999999999</v>
      </c>
      <c r="K64" s="5">
        <v>87.27600000000001</v>
      </c>
      <c r="L64" s="2">
        <v>105.57600000000001</v>
      </c>
    </row>
    <row r="65" spans="1:12" x14ac:dyDescent="0.35">
      <c r="A65" s="2">
        <v>82</v>
      </c>
      <c r="B65" s="5">
        <f>+'3,54'!P81</f>
        <v>113.08799999999999</v>
      </c>
      <c r="C65" s="2">
        <f>+'3,54'!Q81</f>
        <v>115.70399999999999</v>
      </c>
      <c r="H65" s="5">
        <v>108.456</v>
      </c>
      <c r="I65" s="5">
        <v>111.036</v>
      </c>
      <c r="K65" s="5">
        <v>82.823999999999998</v>
      </c>
      <c r="L65" s="2">
        <v>100.512</v>
      </c>
    </row>
    <row r="66" spans="1:12" x14ac:dyDescent="0.35">
      <c r="A66" s="2">
        <v>83</v>
      </c>
      <c r="B66" s="5">
        <f>+'3,54'!P82</f>
        <v>107.736</v>
      </c>
      <c r="C66" s="2">
        <f>+'3,54'!Q82</f>
        <v>110.00399999999999</v>
      </c>
      <c r="H66" s="5">
        <v>103.5</v>
      </c>
      <c r="I66" s="5">
        <v>105.73200000000001</v>
      </c>
      <c r="K66" s="5">
        <v>78.492000000000004</v>
      </c>
      <c r="L66" s="2">
        <v>95.483999999999995</v>
      </c>
    </row>
    <row r="67" spans="1:12" x14ac:dyDescent="0.35">
      <c r="A67" s="2">
        <v>84</v>
      </c>
      <c r="B67" s="5">
        <f>+'3,54'!P83</f>
        <v>102.48</v>
      </c>
      <c r="C67" s="2">
        <f>+'3,54'!Q83</f>
        <v>104.376</v>
      </c>
      <c r="H67" s="5">
        <v>98.592000000000013</v>
      </c>
      <c r="I67" s="5">
        <v>100.488</v>
      </c>
      <c r="K67" s="5">
        <v>74.28</v>
      </c>
      <c r="L67" s="2">
        <v>90.54</v>
      </c>
    </row>
    <row r="68" spans="1:12" x14ac:dyDescent="0.35">
      <c r="A68" s="2">
        <v>85</v>
      </c>
      <c r="B68" s="5">
        <f>+'3,54'!P84</f>
        <v>97.32</v>
      </c>
      <c r="C68" s="2">
        <f>+'3,54'!Q84</f>
        <v>98.867999999999995</v>
      </c>
      <c r="H68" s="5">
        <v>93.78</v>
      </c>
      <c r="I68" s="5">
        <v>95.34</v>
      </c>
      <c r="K68" s="5">
        <v>70.212000000000003</v>
      </c>
      <c r="L68" s="2">
        <v>85.703999999999994</v>
      </c>
    </row>
    <row r="69" spans="1:12" x14ac:dyDescent="0.35">
      <c r="A69" s="2">
        <v>86</v>
      </c>
      <c r="B69" s="5">
        <f>+'3,54'!P85</f>
        <v>92.267999999999986</v>
      </c>
      <c r="C69" s="2">
        <f>+'3,54'!Q85</f>
        <v>93.503999999999991</v>
      </c>
      <c r="H69" s="5">
        <v>89.04</v>
      </c>
      <c r="I69" s="5">
        <v>90.3</v>
      </c>
      <c r="K69" s="5">
        <v>66.27600000000001</v>
      </c>
      <c r="L69" s="2">
        <v>80.988</v>
      </c>
    </row>
    <row r="70" spans="1:12" x14ac:dyDescent="0.35">
      <c r="A70" s="2">
        <v>87</v>
      </c>
      <c r="B70" s="5">
        <f>+'3,54'!P86</f>
        <v>87.335999999999999</v>
      </c>
      <c r="C70" s="2">
        <f>+'3,54'!Q86</f>
        <v>88.272000000000006</v>
      </c>
      <c r="H70" s="5">
        <v>84.407999999999987</v>
      </c>
      <c r="I70" s="5">
        <v>85.38</v>
      </c>
      <c r="K70" s="5">
        <v>62.483999999999995</v>
      </c>
      <c r="L70" s="2">
        <v>76.403999999999996</v>
      </c>
    </row>
    <row r="71" spans="1:12" x14ac:dyDescent="0.35">
      <c r="A71" s="2">
        <v>88</v>
      </c>
      <c r="B71" s="5">
        <f>+'3,54'!P87</f>
        <v>82.524000000000001</v>
      </c>
      <c r="C71" s="2">
        <f>+'3,54'!Q87</f>
        <v>83.195999999999998</v>
      </c>
      <c r="H71" s="5">
        <v>79.872</v>
      </c>
      <c r="I71" s="5">
        <v>80.591999999999999</v>
      </c>
      <c r="K71" s="5">
        <v>58.836000000000006</v>
      </c>
      <c r="L71" s="2">
        <v>71.975999999999999</v>
      </c>
    </row>
    <row r="72" spans="1:12" x14ac:dyDescent="0.35">
      <c r="A72" s="2">
        <v>89</v>
      </c>
      <c r="B72" s="5">
        <f>+'3,54'!P88</f>
        <v>77.843999999999994</v>
      </c>
      <c r="C72" s="2">
        <f>+'3,54'!Q88</f>
        <v>78.263999999999996</v>
      </c>
      <c r="H72" s="5">
        <v>75.456000000000003</v>
      </c>
      <c r="I72" s="5">
        <v>75.923999999999992</v>
      </c>
      <c r="K72" s="5">
        <v>55.332000000000001</v>
      </c>
      <c r="L72" s="2">
        <v>67.680000000000007</v>
      </c>
    </row>
    <row r="73" spans="1:12" x14ac:dyDescent="0.35">
      <c r="A73" s="2">
        <v>90</v>
      </c>
      <c r="B73" s="5">
        <f>+'3,54'!P89</f>
        <v>73.308000000000007</v>
      </c>
      <c r="C73" s="2">
        <f>+'3,54'!Q89</f>
        <v>73.463999999999999</v>
      </c>
      <c r="H73" s="5">
        <v>71.16</v>
      </c>
      <c r="I73" s="5">
        <v>71.388000000000005</v>
      </c>
      <c r="K73" s="5">
        <v>51.983999999999995</v>
      </c>
      <c r="L73" s="2">
        <v>63.491999999999997</v>
      </c>
    </row>
  </sheetData>
  <pageMargins left="0.7" right="0.7" top="0.75" bottom="0.75" header="0.3" footer="0.3"/>
  <headerFooter>
    <oddFooter>&amp;C_x000D_&amp;1#&amp;"Calibri"&amp;10&amp;K000000 Uso Interno</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A30F-0FFA-4054-A180-08C1743B84AA}">
  <sheetPr>
    <outlinePr summaryBelow="0"/>
    <pageSetUpPr autoPageBreaks="0"/>
  </sheetPr>
  <dimension ref="A1:Q89"/>
  <sheetViews>
    <sheetView showGridLines="0" workbookViewId="0">
      <selection activeCell="M19" sqref="M19:N19"/>
    </sheetView>
  </sheetViews>
  <sheetFormatPr baseColWidth="10" defaultColWidth="6.81640625" defaultRowHeight="12.75" customHeight="1" x14ac:dyDescent="0.35"/>
  <cols>
    <col min="1" max="15" width="6.81640625" style="62" customWidth="1"/>
    <col min="16" max="17" width="8.81640625" style="62" bestFit="1" customWidth="1"/>
    <col min="18" max="18" width="6.81640625" style="62" customWidth="1"/>
    <col min="19" max="16384" width="6.81640625" style="62"/>
  </cols>
  <sheetData>
    <row r="1" spans="1:16" ht="14.25" customHeight="1" x14ac:dyDescent="0.35">
      <c r="A1" s="129" t="s">
        <v>96</v>
      </c>
      <c r="B1" s="129"/>
      <c r="C1" s="129"/>
      <c r="D1" s="129"/>
      <c r="E1" s="129"/>
      <c r="F1" s="129"/>
    </row>
    <row r="2" spans="1:16" ht="12.5" x14ac:dyDescent="0.35">
      <c r="A2" s="130" t="s">
        <v>97</v>
      </c>
      <c r="B2" s="130"/>
      <c r="C2" s="130"/>
      <c r="D2" s="130"/>
      <c r="E2" s="130"/>
      <c r="F2" s="130"/>
      <c r="G2" s="130"/>
    </row>
    <row r="3" spans="1:16" ht="0.75" customHeight="1" x14ac:dyDescent="0.35">
      <c r="A3" s="130"/>
      <c r="B3" s="130"/>
      <c r="C3" s="130"/>
      <c r="D3" s="130"/>
      <c r="E3" s="130"/>
      <c r="F3" s="130"/>
      <c r="G3" s="130"/>
    </row>
    <row r="4" spans="1:16" ht="13.5" customHeight="1" x14ac:dyDescent="0.35">
      <c r="A4" s="130" t="s">
        <v>124</v>
      </c>
      <c r="B4" s="130"/>
      <c r="C4" s="130"/>
      <c r="D4" s="130"/>
      <c r="E4" s="130"/>
      <c r="F4" s="130"/>
      <c r="G4" s="130"/>
    </row>
    <row r="5" spans="1:16" ht="11.25" customHeight="1" x14ac:dyDescent="0.35"/>
    <row r="6" spans="1:16" ht="28.5" customHeight="1" x14ac:dyDescent="0.35"/>
    <row r="7" spans="1:16" ht="15.75" customHeight="1" x14ac:dyDescent="0.35">
      <c r="A7" s="131" t="s">
        <v>99</v>
      </c>
      <c r="B7" s="131"/>
      <c r="C7" s="131"/>
      <c r="D7" s="131"/>
      <c r="E7" s="131"/>
      <c r="F7" s="131"/>
      <c r="G7" s="131"/>
      <c r="H7" s="131"/>
      <c r="I7" s="131"/>
      <c r="J7" s="131"/>
      <c r="K7" s="131"/>
      <c r="L7" s="131"/>
      <c r="M7" s="131"/>
      <c r="N7" s="131"/>
      <c r="O7" s="131"/>
      <c r="P7" s="131"/>
    </row>
    <row r="8" spans="1:16" ht="8.25" customHeight="1" x14ac:dyDescent="0.35"/>
    <row r="9" spans="1:16" ht="11.25" customHeight="1" x14ac:dyDescent="0.35">
      <c r="A9" s="130" t="s">
        <v>127</v>
      </c>
      <c r="B9" s="130"/>
      <c r="C9" s="130"/>
      <c r="D9" s="130"/>
      <c r="E9" s="130"/>
    </row>
    <row r="10" spans="1:16" ht="9" customHeight="1" x14ac:dyDescent="0.35"/>
    <row r="11" spans="1:16" ht="7.5" customHeight="1" x14ac:dyDescent="0.35"/>
    <row r="12" spans="1:16" ht="12.5" x14ac:dyDescent="0.35">
      <c r="B12" s="132" t="s">
        <v>101</v>
      </c>
      <c r="C12" s="132"/>
      <c r="D12" s="132"/>
      <c r="E12" s="132"/>
      <c r="F12" s="132"/>
      <c r="G12" s="132"/>
      <c r="H12" s="132"/>
      <c r="I12" s="132"/>
    </row>
    <row r="13" spans="1:16" ht="13.5" customHeight="1" x14ac:dyDescent="0.35">
      <c r="B13" s="132" t="s">
        <v>102</v>
      </c>
      <c r="C13" s="132"/>
      <c r="D13" s="132"/>
      <c r="E13" s="132"/>
      <c r="F13" s="132"/>
      <c r="G13" s="132"/>
      <c r="H13" s="132"/>
      <c r="I13" s="132"/>
    </row>
    <row r="14" spans="1:16" ht="9" customHeight="1" x14ac:dyDescent="0.35">
      <c r="B14" s="133" t="s">
        <v>103</v>
      </c>
      <c r="C14" s="133"/>
      <c r="D14" s="133"/>
      <c r="E14" s="133"/>
      <c r="F14" s="133"/>
      <c r="G14" s="133"/>
      <c r="H14" s="133"/>
      <c r="J14" s="133" t="s">
        <v>104</v>
      </c>
      <c r="K14" s="133"/>
      <c r="L14" s="133"/>
      <c r="M14" s="133"/>
      <c r="N14" s="133"/>
      <c r="O14" s="133"/>
    </row>
    <row r="15" spans="1:16" ht="2.25" customHeight="1" x14ac:dyDescent="0.35">
      <c r="B15" s="133"/>
      <c r="C15" s="133"/>
      <c r="D15" s="133"/>
      <c r="E15" s="133"/>
      <c r="F15" s="133"/>
      <c r="G15" s="133"/>
      <c r="H15" s="133"/>
      <c r="J15" s="133"/>
      <c r="K15" s="133"/>
      <c r="L15" s="133"/>
      <c r="M15" s="133"/>
      <c r="N15" s="133"/>
      <c r="O15" s="133"/>
    </row>
    <row r="16" spans="1:16" ht="11.25" customHeight="1" x14ac:dyDescent="0.35">
      <c r="B16" s="127" t="s">
        <v>105</v>
      </c>
      <c r="C16" s="127"/>
      <c r="D16" s="127"/>
      <c r="E16" s="127"/>
      <c r="J16" s="127" t="s">
        <v>106</v>
      </c>
      <c r="K16" s="127"/>
      <c r="L16" s="127"/>
      <c r="M16" s="127"/>
    </row>
    <row r="17" spans="2:17" ht="11.25" customHeight="1" x14ac:dyDescent="0.35"/>
    <row r="18" spans="2:17" ht="14.25" customHeight="1" x14ac:dyDescent="0.35">
      <c r="B18" s="63" t="s">
        <v>1</v>
      </c>
      <c r="C18" s="128" t="s">
        <v>81</v>
      </c>
      <c r="D18" s="128"/>
      <c r="E18" s="128" t="s">
        <v>82</v>
      </c>
      <c r="F18" s="128"/>
      <c r="K18" s="128" t="s">
        <v>81</v>
      </c>
      <c r="L18" s="128"/>
      <c r="M18" s="128" t="s">
        <v>82</v>
      </c>
      <c r="N18" s="128"/>
      <c r="P18" s="62" t="str">
        <f>+K18</f>
        <v>Masculino (1)</v>
      </c>
      <c r="Q18" s="62" t="str">
        <f>+M18</f>
        <v>Femenino (2)</v>
      </c>
    </row>
    <row r="19" spans="2:17" ht="12.5" x14ac:dyDescent="0.35">
      <c r="B19" s="64">
        <v>20</v>
      </c>
      <c r="C19" s="125">
        <v>26.263000000000002</v>
      </c>
      <c r="D19" s="125"/>
      <c r="E19" s="125">
        <v>26.491999999999997</v>
      </c>
      <c r="F19" s="125"/>
      <c r="K19" s="126">
        <v>315.15600000000001</v>
      </c>
      <c r="L19" s="126"/>
      <c r="M19" s="126">
        <v>317.904</v>
      </c>
      <c r="N19" s="126"/>
      <c r="P19" s="65">
        <f>+K19</f>
        <v>315.15600000000001</v>
      </c>
      <c r="Q19" s="65">
        <f>+M19</f>
        <v>317.904</v>
      </c>
    </row>
    <row r="20" spans="2:17" ht="12.5" x14ac:dyDescent="0.35">
      <c r="B20" s="64">
        <v>21</v>
      </c>
      <c r="C20" s="125">
        <v>26.173000000000002</v>
      </c>
      <c r="D20" s="125"/>
      <c r="E20" s="125">
        <v>26.408000000000001</v>
      </c>
      <c r="F20" s="125"/>
      <c r="K20" s="126">
        <v>314.07599999999996</v>
      </c>
      <c r="L20" s="126"/>
      <c r="M20" s="126">
        <v>316.89599999999996</v>
      </c>
      <c r="N20" s="126"/>
      <c r="P20" s="65">
        <f t="shared" ref="P20:P83" si="0">+K20</f>
        <v>314.07599999999996</v>
      </c>
      <c r="Q20" s="65">
        <f t="shared" ref="Q20:Q83" si="1">+M20</f>
        <v>316.89599999999996</v>
      </c>
    </row>
    <row r="21" spans="2:17" ht="12.5" x14ac:dyDescent="0.35">
      <c r="B21" s="64">
        <v>22</v>
      </c>
      <c r="C21" s="125">
        <v>26.08</v>
      </c>
      <c r="D21" s="125"/>
      <c r="E21" s="125">
        <v>26.320999999999998</v>
      </c>
      <c r="F21" s="125"/>
      <c r="K21" s="126">
        <v>312.95999999999998</v>
      </c>
      <c r="L21" s="126"/>
      <c r="M21" s="126">
        <v>315.85200000000003</v>
      </c>
      <c r="N21" s="126"/>
      <c r="P21" s="65">
        <f t="shared" si="0"/>
        <v>312.95999999999998</v>
      </c>
      <c r="Q21" s="65">
        <f t="shared" si="1"/>
        <v>315.85200000000003</v>
      </c>
    </row>
    <row r="22" spans="2:17" ht="12.5" x14ac:dyDescent="0.35">
      <c r="B22" s="64">
        <v>23</v>
      </c>
      <c r="C22" s="125">
        <v>25.983000000000001</v>
      </c>
      <c r="D22" s="125"/>
      <c r="E22" s="125">
        <v>26.23</v>
      </c>
      <c r="F22" s="125"/>
      <c r="K22" s="126">
        <v>311.79599999999999</v>
      </c>
      <c r="L22" s="126"/>
      <c r="M22" s="126">
        <v>314.76</v>
      </c>
      <c r="N22" s="126"/>
      <c r="P22" s="65">
        <f t="shared" si="0"/>
        <v>311.79599999999999</v>
      </c>
      <c r="Q22" s="65">
        <f t="shared" si="1"/>
        <v>314.76</v>
      </c>
    </row>
    <row r="23" spans="2:17" ht="12.5" x14ac:dyDescent="0.35">
      <c r="B23" s="64">
        <v>24</v>
      </c>
      <c r="C23" s="125">
        <v>25.884</v>
      </c>
      <c r="D23" s="125"/>
      <c r="E23" s="125">
        <v>26.135999999999999</v>
      </c>
      <c r="F23" s="125"/>
      <c r="K23" s="126">
        <v>310.608</v>
      </c>
      <c r="L23" s="126"/>
      <c r="M23" s="126">
        <v>313.63200000000001</v>
      </c>
      <c r="N23" s="126"/>
      <c r="P23" s="65">
        <f t="shared" si="0"/>
        <v>310.608</v>
      </c>
      <c r="Q23" s="65">
        <f t="shared" si="1"/>
        <v>313.63200000000001</v>
      </c>
    </row>
    <row r="24" spans="2:17" ht="12.5" x14ac:dyDescent="0.35">
      <c r="B24" s="64">
        <v>25</v>
      </c>
      <c r="C24" s="125">
        <v>25.78</v>
      </c>
      <c r="D24" s="125"/>
      <c r="E24" s="125">
        <v>26.039000000000001</v>
      </c>
      <c r="F24" s="125"/>
      <c r="K24" s="126">
        <v>309.36</v>
      </c>
      <c r="L24" s="126"/>
      <c r="M24" s="126">
        <v>312.46800000000002</v>
      </c>
      <c r="N24" s="126"/>
      <c r="P24" s="65">
        <f t="shared" si="0"/>
        <v>309.36</v>
      </c>
      <c r="Q24" s="65">
        <f t="shared" si="1"/>
        <v>312.46800000000002</v>
      </c>
    </row>
    <row r="25" spans="2:17" ht="12.5" x14ac:dyDescent="0.35">
      <c r="B25" s="64">
        <v>26</v>
      </c>
      <c r="C25" s="125">
        <v>25.673000000000002</v>
      </c>
      <c r="D25" s="125"/>
      <c r="E25" s="125">
        <v>25.938000000000002</v>
      </c>
      <c r="F25" s="125"/>
      <c r="K25" s="126">
        <v>308.07599999999996</v>
      </c>
      <c r="L25" s="126"/>
      <c r="M25" s="126">
        <v>311.25599999999997</v>
      </c>
      <c r="N25" s="126"/>
      <c r="P25" s="65">
        <f t="shared" si="0"/>
        <v>308.07599999999996</v>
      </c>
      <c r="Q25" s="65">
        <f t="shared" si="1"/>
        <v>311.25599999999997</v>
      </c>
    </row>
    <row r="26" spans="2:17" ht="12.5" x14ac:dyDescent="0.35">
      <c r="B26" s="64">
        <v>27</v>
      </c>
      <c r="C26" s="125">
        <v>25.561999999999998</v>
      </c>
      <c r="D26" s="125"/>
      <c r="E26" s="125">
        <v>25.833000000000002</v>
      </c>
      <c r="F26" s="125"/>
      <c r="K26" s="126">
        <v>306.74400000000003</v>
      </c>
      <c r="L26" s="126"/>
      <c r="M26" s="126">
        <v>309.99599999999998</v>
      </c>
      <c r="N26" s="126"/>
      <c r="P26" s="65">
        <f t="shared" si="0"/>
        <v>306.74400000000003</v>
      </c>
      <c r="Q26" s="65">
        <f t="shared" si="1"/>
        <v>309.99599999999998</v>
      </c>
    </row>
    <row r="27" spans="2:17" ht="12.5" x14ac:dyDescent="0.35">
      <c r="B27" s="64">
        <v>28</v>
      </c>
      <c r="C27" s="125">
        <v>25.446999999999999</v>
      </c>
      <c r="D27" s="125"/>
      <c r="E27" s="125">
        <v>25.724</v>
      </c>
      <c r="F27" s="125"/>
      <c r="K27" s="126">
        <v>305.36400000000003</v>
      </c>
      <c r="L27" s="126"/>
      <c r="M27" s="126">
        <v>308.68799999999999</v>
      </c>
      <c r="N27" s="126"/>
      <c r="P27" s="65">
        <f t="shared" si="0"/>
        <v>305.36400000000003</v>
      </c>
      <c r="Q27" s="65">
        <f t="shared" si="1"/>
        <v>308.68799999999999</v>
      </c>
    </row>
    <row r="28" spans="2:17" ht="12.5" x14ac:dyDescent="0.35">
      <c r="B28" s="64">
        <v>29</v>
      </c>
      <c r="C28" s="125">
        <v>25.326999999999998</v>
      </c>
      <c r="D28" s="125"/>
      <c r="E28" s="125">
        <v>25.611000000000001</v>
      </c>
      <c r="F28" s="125"/>
      <c r="K28" s="126">
        <v>303.92400000000004</v>
      </c>
      <c r="L28" s="126"/>
      <c r="M28" s="126">
        <v>307.33199999999999</v>
      </c>
      <c r="N28" s="126"/>
      <c r="P28" s="65">
        <f t="shared" si="0"/>
        <v>303.92400000000004</v>
      </c>
      <c r="Q28" s="65">
        <f t="shared" si="1"/>
        <v>307.33199999999999</v>
      </c>
    </row>
    <row r="29" spans="2:17" ht="12.5" x14ac:dyDescent="0.35">
      <c r="B29" s="64">
        <v>30</v>
      </c>
      <c r="C29" s="125">
        <v>25.204000000000001</v>
      </c>
      <c r="D29" s="125"/>
      <c r="E29" s="125">
        <v>25.494</v>
      </c>
      <c r="F29" s="125"/>
      <c r="K29" s="126">
        <v>302.44799999999998</v>
      </c>
      <c r="L29" s="126"/>
      <c r="M29" s="126">
        <v>305.928</v>
      </c>
      <c r="N29" s="126"/>
      <c r="P29" s="65">
        <f t="shared" si="0"/>
        <v>302.44799999999998</v>
      </c>
      <c r="Q29" s="65">
        <f t="shared" si="1"/>
        <v>305.928</v>
      </c>
    </row>
    <row r="30" spans="2:17" ht="12.5" x14ac:dyDescent="0.35">
      <c r="B30" s="64">
        <v>31</v>
      </c>
      <c r="C30" s="125">
        <v>25.076000000000001</v>
      </c>
      <c r="D30" s="125"/>
      <c r="E30" s="125">
        <v>25.372</v>
      </c>
      <c r="F30" s="125"/>
      <c r="K30" s="126">
        <v>300.91200000000003</v>
      </c>
      <c r="L30" s="126"/>
      <c r="M30" s="126">
        <v>304.464</v>
      </c>
      <c r="N30" s="126"/>
      <c r="P30" s="65">
        <f t="shared" si="0"/>
        <v>300.91200000000003</v>
      </c>
      <c r="Q30" s="65">
        <f t="shared" si="1"/>
        <v>304.464</v>
      </c>
    </row>
    <row r="31" spans="2:17" ht="12.5" x14ac:dyDescent="0.35">
      <c r="B31" s="64">
        <v>32</v>
      </c>
      <c r="C31" s="125">
        <v>24.943000000000001</v>
      </c>
      <c r="D31" s="125"/>
      <c r="E31" s="125">
        <v>25.245999999999999</v>
      </c>
      <c r="F31" s="125"/>
      <c r="K31" s="126">
        <v>299.31599999999997</v>
      </c>
      <c r="L31" s="126"/>
      <c r="M31" s="126">
        <v>302.952</v>
      </c>
      <c r="N31" s="126"/>
      <c r="P31" s="65">
        <f t="shared" si="0"/>
        <v>299.31599999999997</v>
      </c>
      <c r="Q31" s="65">
        <f t="shared" si="1"/>
        <v>302.952</v>
      </c>
    </row>
    <row r="32" spans="2:17" ht="12.5" x14ac:dyDescent="0.35">
      <c r="B32" s="64">
        <v>33</v>
      </c>
      <c r="C32" s="125">
        <v>24.805999999999997</v>
      </c>
      <c r="D32" s="125"/>
      <c r="E32" s="125">
        <v>25.116</v>
      </c>
      <c r="F32" s="125"/>
      <c r="K32" s="126">
        <v>297.67200000000003</v>
      </c>
      <c r="L32" s="126"/>
      <c r="M32" s="126">
        <v>301.392</v>
      </c>
      <c r="N32" s="126"/>
      <c r="P32" s="65">
        <f t="shared" si="0"/>
        <v>297.67200000000003</v>
      </c>
      <c r="Q32" s="65">
        <f t="shared" si="1"/>
        <v>301.392</v>
      </c>
    </row>
    <row r="33" spans="2:17" ht="12.5" x14ac:dyDescent="0.35">
      <c r="B33" s="64">
        <v>34</v>
      </c>
      <c r="C33" s="125">
        <v>24.664000000000001</v>
      </c>
      <c r="D33" s="125"/>
      <c r="E33" s="125">
        <v>24.980999999999998</v>
      </c>
      <c r="F33" s="125"/>
      <c r="K33" s="126">
        <v>295.96800000000002</v>
      </c>
      <c r="L33" s="126"/>
      <c r="M33" s="126">
        <v>299.77199999999999</v>
      </c>
      <c r="N33" s="126"/>
      <c r="P33" s="65">
        <f t="shared" si="0"/>
        <v>295.96800000000002</v>
      </c>
      <c r="Q33" s="65">
        <f t="shared" si="1"/>
        <v>299.77199999999999</v>
      </c>
    </row>
    <row r="34" spans="2:17" ht="12.5" x14ac:dyDescent="0.35">
      <c r="B34" s="64">
        <v>35</v>
      </c>
      <c r="C34" s="125">
        <v>24.516999999999999</v>
      </c>
      <c r="D34" s="125"/>
      <c r="E34" s="125">
        <v>24.840999999999998</v>
      </c>
      <c r="F34" s="125"/>
      <c r="K34" s="126">
        <v>294.20400000000001</v>
      </c>
      <c r="L34" s="126"/>
      <c r="M34" s="126">
        <v>298.09199999999998</v>
      </c>
      <c r="N34" s="126"/>
      <c r="P34" s="65">
        <f t="shared" si="0"/>
        <v>294.20400000000001</v>
      </c>
      <c r="Q34" s="65">
        <f t="shared" si="1"/>
        <v>298.09199999999998</v>
      </c>
    </row>
    <row r="35" spans="2:17" ht="12.5" x14ac:dyDescent="0.35">
      <c r="B35" s="64">
        <v>36</v>
      </c>
      <c r="C35" s="125">
        <v>24.364000000000001</v>
      </c>
      <c r="D35" s="125"/>
      <c r="E35" s="125">
        <v>24.695999999999998</v>
      </c>
      <c r="F35" s="125"/>
      <c r="K35" s="126">
        <v>292.36799999999999</v>
      </c>
      <c r="L35" s="126"/>
      <c r="M35" s="126">
        <v>296.35200000000003</v>
      </c>
      <c r="N35" s="126"/>
      <c r="P35" s="65">
        <f t="shared" si="0"/>
        <v>292.36799999999999</v>
      </c>
      <c r="Q35" s="65">
        <f t="shared" si="1"/>
        <v>296.35200000000003</v>
      </c>
    </row>
    <row r="36" spans="2:17" ht="12.5" x14ac:dyDescent="0.35">
      <c r="B36" s="64">
        <v>37</v>
      </c>
      <c r="C36" s="125">
        <v>24.206</v>
      </c>
      <c r="D36" s="125"/>
      <c r="E36" s="125">
        <v>24.545999999999999</v>
      </c>
      <c r="F36" s="125"/>
      <c r="K36" s="126">
        <v>290.47199999999998</v>
      </c>
      <c r="L36" s="126"/>
      <c r="M36" s="126">
        <v>294.55200000000002</v>
      </c>
      <c r="N36" s="126"/>
      <c r="P36" s="65">
        <f t="shared" si="0"/>
        <v>290.47199999999998</v>
      </c>
      <c r="Q36" s="65">
        <f t="shared" si="1"/>
        <v>294.55200000000002</v>
      </c>
    </row>
    <row r="37" spans="2:17" ht="12.5" x14ac:dyDescent="0.35">
      <c r="B37" s="64">
        <v>38</v>
      </c>
      <c r="C37" s="125">
        <v>24.041999999999998</v>
      </c>
      <c r="D37" s="125"/>
      <c r="E37" s="125">
        <v>24.39</v>
      </c>
      <c r="F37" s="125"/>
      <c r="K37" s="126">
        <v>288.50400000000002</v>
      </c>
      <c r="L37" s="126"/>
      <c r="M37" s="126">
        <v>292.68</v>
      </c>
      <c r="N37" s="126"/>
      <c r="P37" s="65">
        <f t="shared" si="0"/>
        <v>288.50400000000002</v>
      </c>
      <c r="Q37" s="65">
        <f t="shared" si="1"/>
        <v>292.68</v>
      </c>
    </row>
    <row r="38" spans="2:17" ht="12.5" x14ac:dyDescent="0.35">
      <c r="B38" s="64">
        <v>39</v>
      </c>
      <c r="C38" s="125">
        <v>23.872</v>
      </c>
      <c r="D38" s="125"/>
      <c r="E38" s="125">
        <v>24.228999999999999</v>
      </c>
      <c r="F38" s="125"/>
      <c r="K38" s="126">
        <v>286.464</v>
      </c>
      <c r="L38" s="126"/>
      <c r="M38" s="126">
        <v>290.74799999999999</v>
      </c>
      <c r="N38" s="126"/>
      <c r="P38" s="65">
        <f t="shared" si="0"/>
        <v>286.464</v>
      </c>
      <c r="Q38" s="65">
        <f t="shared" si="1"/>
        <v>290.74799999999999</v>
      </c>
    </row>
    <row r="39" spans="2:17" ht="12.5" x14ac:dyDescent="0.35">
      <c r="B39" s="64">
        <v>40</v>
      </c>
      <c r="C39" s="125">
        <v>23.695999999999998</v>
      </c>
      <c r="D39" s="125"/>
      <c r="E39" s="125">
        <v>24.061999999999998</v>
      </c>
      <c r="F39" s="125"/>
      <c r="K39" s="126">
        <v>284.35200000000003</v>
      </c>
      <c r="L39" s="126"/>
      <c r="M39" s="126">
        <v>288.74400000000003</v>
      </c>
      <c r="N39" s="126"/>
      <c r="P39" s="65">
        <f t="shared" si="0"/>
        <v>284.35200000000003</v>
      </c>
      <c r="Q39" s="65">
        <f t="shared" si="1"/>
        <v>288.74400000000003</v>
      </c>
    </row>
    <row r="40" spans="2:17" ht="12.5" x14ac:dyDescent="0.35">
      <c r="B40" s="64">
        <v>41</v>
      </c>
      <c r="C40" s="125">
        <v>23.513999999999999</v>
      </c>
      <c r="D40" s="125"/>
      <c r="E40" s="125">
        <v>23.888999999999999</v>
      </c>
      <c r="F40" s="125"/>
      <c r="K40" s="126">
        <v>282.16800000000001</v>
      </c>
      <c r="L40" s="126"/>
      <c r="M40" s="126">
        <v>286.66800000000001</v>
      </c>
      <c r="N40" s="126"/>
      <c r="P40" s="65">
        <f t="shared" si="0"/>
        <v>282.16800000000001</v>
      </c>
      <c r="Q40" s="65">
        <f t="shared" si="1"/>
        <v>286.66800000000001</v>
      </c>
    </row>
    <row r="41" spans="2:17" ht="12.5" x14ac:dyDescent="0.35">
      <c r="B41" s="64">
        <v>42</v>
      </c>
      <c r="C41" s="125">
        <v>23.326000000000001</v>
      </c>
      <c r="D41" s="125"/>
      <c r="E41" s="125">
        <v>23.71</v>
      </c>
      <c r="F41" s="125"/>
      <c r="K41" s="126">
        <v>279.91200000000003</v>
      </c>
      <c r="L41" s="126"/>
      <c r="M41" s="126">
        <v>284.52</v>
      </c>
      <c r="N41" s="126"/>
      <c r="P41" s="65">
        <f t="shared" si="0"/>
        <v>279.91200000000003</v>
      </c>
      <c r="Q41" s="65">
        <f t="shared" si="1"/>
        <v>284.52</v>
      </c>
    </row>
    <row r="42" spans="2:17" ht="12.5" x14ac:dyDescent="0.35">
      <c r="B42" s="64">
        <v>43</v>
      </c>
      <c r="C42" s="125">
        <v>23.131</v>
      </c>
      <c r="D42" s="125"/>
      <c r="E42" s="125">
        <v>23.524000000000001</v>
      </c>
      <c r="F42" s="125"/>
      <c r="K42" s="126">
        <v>277.572</v>
      </c>
      <c r="L42" s="126"/>
      <c r="M42" s="126">
        <v>282.28800000000001</v>
      </c>
      <c r="N42" s="126"/>
      <c r="P42" s="65">
        <f t="shared" si="0"/>
        <v>277.572</v>
      </c>
      <c r="Q42" s="65">
        <f t="shared" si="1"/>
        <v>282.28800000000001</v>
      </c>
    </row>
    <row r="43" spans="2:17" ht="12.5" x14ac:dyDescent="0.35">
      <c r="B43" s="64">
        <v>44</v>
      </c>
      <c r="C43" s="125">
        <v>22.929000000000002</v>
      </c>
      <c r="D43" s="125"/>
      <c r="E43" s="125">
        <v>23.331</v>
      </c>
      <c r="F43" s="125"/>
      <c r="K43" s="126">
        <v>275.14799999999997</v>
      </c>
      <c r="L43" s="126"/>
      <c r="M43" s="126">
        <v>279.97199999999998</v>
      </c>
      <c r="N43" s="126"/>
      <c r="P43" s="65">
        <f t="shared" si="0"/>
        <v>275.14799999999997</v>
      </c>
      <c r="Q43" s="65">
        <f t="shared" si="1"/>
        <v>279.97199999999998</v>
      </c>
    </row>
    <row r="44" spans="2:17" ht="12.5" x14ac:dyDescent="0.35">
      <c r="B44" s="64">
        <v>45</v>
      </c>
      <c r="C44" s="125">
        <v>22.72</v>
      </c>
      <c r="D44" s="125"/>
      <c r="E44" s="125">
        <v>23.131999999999998</v>
      </c>
      <c r="F44" s="125"/>
      <c r="K44" s="126">
        <v>272.64</v>
      </c>
      <c r="L44" s="126"/>
      <c r="M44" s="126">
        <v>277.584</v>
      </c>
      <c r="N44" s="126"/>
      <c r="P44" s="65">
        <f t="shared" si="0"/>
        <v>272.64</v>
      </c>
      <c r="Q44" s="65">
        <f t="shared" si="1"/>
        <v>277.584</v>
      </c>
    </row>
    <row r="45" spans="2:17" ht="12.5" x14ac:dyDescent="0.35">
      <c r="B45" s="64">
        <v>46</v>
      </c>
      <c r="C45" s="125">
        <v>22.504000000000001</v>
      </c>
      <c r="D45" s="125"/>
      <c r="E45" s="125">
        <v>22.925000000000001</v>
      </c>
      <c r="F45" s="125"/>
      <c r="K45" s="126">
        <v>270.048</v>
      </c>
      <c r="L45" s="126"/>
      <c r="M45" s="126">
        <v>275.10000000000002</v>
      </c>
      <c r="N45" s="126"/>
      <c r="P45" s="65">
        <f t="shared" si="0"/>
        <v>270.048</v>
      </c>
      <c r="Q45" s="65">
        <f t="shared" si="1"/>
        <v>275.10000000000002</v>
      </c>
    </row>
    <row r="46" spans="2:17" ht="12.5" x14ac:dyDescent="0.35">
      <c r="B46" s="64">
        <v>47</v>
      </c>
      <c r="C46" s="125">
        <v>22.28</v>
      </c>
      <c r="D46" s="125"/>
      <c r="E46" s="125">
        <v>22.710999999999999</v>
      </c>
      <c r="F46" s="125"/>
      <c r="K46" s="126">
        <v>267.36</v>
      </c>
      <c r="L46" s="126"/>
      <c r="M46" s="126">
        <v>272.53199999999998</v>
      </c>
      <c r="N46" s="126"/>
      <c r="P46" s="65">
        <f t="shared" si="0"/>
        <v>267.36</v>
      </c>
      <c r="Q46" s="65">
        <f t="shared" si="1"/>
        <v>272.53199999999998</v>
      </c>
    </row>
    <row r="47" spans="2:17" ht="12.5" x14ac:dyDescent="0.35">
      <c r="B47" s="64">
        <v>48</v>
      </c>
      <c r="C47" s="125">
        <v>22.048999999999999</v>
      </c>
      <c r="D47" s="125"/>
      <c r="E47" s="125">
        <v>22.49</v>
      </c>
      <c r="F47" s="125"/>
      <c r="K47" s="126">
        <v>264.58799999999997</v>
      </c>
      <c r="L47" s="126"/>
      <c r="M47" s="126">
        <v>269.88</v>
      </c>
      <c r="N47" s="126"/>
      <c r="P47" s="65">
        <f t="shared" si="0"/>
        <v>264.58799999999997</v>
      </c>
      <c r="Q47" s="65">
        <f t="shared" si="1"/>
        <v>269.88</v>
      </c>
    </row>
    <row r="48" spans="2:17" ht="12.5" x14ac:dyDescent="0.35">
      <c r="B48" s="64">
        <v>49</v>
      </c>
      <c r="C48" s="125">
        <v>21.809000000000001</v>
      </c>
      <c r="D48" s="125"/>
      <c r="E48" s="125">
        <v>22.26</v>
      </c>
      <c r="F48" s="125"/>
      <c r="K48" s="126">
        <v>261.70799999999997</v>
      </c>
      <c r="L48" s="126"/>
      <c r="M48" s="126">
        <v>267.12</v>
      </c>
      <c r="N48" s="126"/>
      <c r="P48" s="65">
        <f t="shared" si="0"/>
        <v>261.70799999999997</v>
      </c>
      <c r="Q48" s="65">
        <f t="shared" si="1"/>
        <v>267.12</v>
      </c>
    </row>
    <row r="49" spans="2:17" ht="12.5" x14ac:dyDescent="0.35">
      <c r="B49" s="64">
        <v>50</v>
      </c>
      <c r="C49" s="125">
        <v>21.561999999999998</v>
      </c>
      <c r="D49" s="125"/>
      <c r="E49" s="125">
        <v>22.023000000000003</v>
      </c>
      <c r="F49" s="125"/>
      <c r="K49" s="126">
        <v>258.74400000000003</v>
      </c>
      <c r="L49" s="126"/>
      <c r="M49" s="126">
        <v>264.27600000000001</v>
      </c>
      <c r="N49" s="126"/>
      <c r="P49" s="65">
        <f t="shared" si="0"/>
        <v>258.74400000000003</v>
      </c>
      <c r="Q49" s="65">
        <f t="shared" si="1"/>
        <v>264.27600000000001</v>
      </c>
    </row>
    <row r="50" spans="2:17" ht="12.5" x14ac:dyDescent="0.35">
      <c r="B50" s="64">
        <v>51</v>
      </c>
      <c r="C50" s="125">
        <v>21.306999999999999</v>
      </c>
      <c r="D50" s="125"/>
      <c r="E50" s="125">
        <v>21.776999999999997</v>
      </c>
      <c r="F50" s="125"/>
      <c r="K50" s="126">
        <v>255.68400000000003</v>
      </c>
      <c r="L50" s="126"/>
      <c r="M50" s="126">
        <v>261.32400000000001</v>
      </c>
      <c r="N50" s="126"/>
      <c r="P50" s="65">
        <f t="shared" si="0"/>
        <v>255.68400000000003</v>
      </c>
      <c r="Q50" s="65">
        <f t="shared" si="1"/>
        <v>261.32400000000001</v>
      </c>
    </row>
    <row r="51" spans="2:17" ht="12.5" x14ac:dyDescent="0.35">
      <c r="B51" s="64">
        <v>52</v>
      </c>
      <c r="C51" s="125">
        <v>21.043000000000003</v>
      </c>
      <c r="D51" s="125"/>
      <c r="E51" s="125">
        <v>21.521999999999998</v>
      </c>
      <c r="F51" s="125"/>
      <c r="K51" s="126">
        <v>252.51599999999999</v>
      </c>
      <c r="L51" s="126"/>
      <c r="M51" s="126">
        <v>258.26400000000001</v>
      </c>
      <c r="N51" s="126"/>
      <c r="P51" s="65">
        <f t="shared" si="0"/>
        <v>252.51599999999999</v>
      </c>
      <c r="Q51" s="65">
        <f t="shared" si="1"/>
        <v>258.26400000000001</v>
      </c>
    </row>
    <row r="52" spans="2:17" ht="12.5" x14ac:dyDescent="0.35">
      <c r="B52" s="64">
        <v>53</v>
      </c>
      <c r="C52" s="125">
        <v>20.77</v>
      </c>
      <c r="D52" s="125"/>
      <c r="E52" s="125">
        <v>21.258000000000003</v>
      </c>
      <c r="F52" s="125"/>
      <c r="K52" s="126">
        <v>249.24</v>
      </c>
      <c r="L52" s="126"/>
      <c r="M52" s="126">
        <v>255.09599999999998</v>
      </c>
      <c r="N52" s="126"/>
      <c r="P52" s="65">
        <f t="shared" si="0"/>
        <v>249.24</v>
      </c>
      <c r="Q52" s="65">
        <f t="shared" si="1"/>
        <v>255.09599999999998</v>
      </c>
    </row>
    <row r="53" spans="2:17" ht="12.5" x14ac:dyDescent="0.35">
      <c r="B53" s="64">
        <v>54</v>
      </c>
      <c r="C53" s="125">
        <v>20.488000000000003</v>
      </c>
      <c r="D53" s="125"/>
      <c r="E53" s="125">
        <v>20.984999999999999</v>
      </c>
      <c r="F53" s="125"/>
      <c r="K53" s="126">
        <v>245.85599999999999</v>
      </c>
      <c r="L53" s="126"/>
      <c r="M53" s="126">
        <v>251.82</v>
      </c>
      <c r="N53" s="126"/>
      <c r="P53" s="65">
        <f t="shared" si="0"/>
        <v>245.85599999999999</v>
      </c>
      <c r="Q53" s="65">
        <f t="shared" si="1"/>
        <v>251.82</v>
      </c>
    </row>
    <row r="54" spans="2:17" ht="12.5" x14ac:dyDescent="0.35">
      <c r="B54" s="64">
        <v>55</v>
      </c>
      <c r="C54" s="125">
        <v>20.199000000000002</v>
      </c>
      <c r="D54" s="125"/>
      <c r="E54" s="125">
        <v>20.701999999999998</v>
      </c>
      <c r="F54" s="125"/>
      <c r="K54" s="126">
        <v>242.38800000000001</v>
      </c>
      <c r="L54" s="126"/>
      <c r="M54" s="126">
        <v>248.42400000000001</v>
      </c>
      <c r="N54" s="126"/>
      <c r="P54" s="65">
        <f t="shared" si="0"/>
        <v>242.38800000000001</v>
      </c>
      <c r="Q54" s="65">
        <f t="shared" si="1"/>
        <v>248.42400000000001</v>
      </c>
    </row>
    <row r="55" spans="2:17" ht="12.5" x14ac:dyDescent="0.35">
      <c r="B55" s="64">
        <v>56</v>
      </c>
      <c r="C55" s="125">
        <v>19.901</v>
      </c>
      <c r="D55" s="125"/>
      <c r="E55" s="125">
        <v>20.409000000000002</v>
      </c>
      <c r="F55" s="125"/>
      <c r="K55" s="126">
        <v>238.81200000000001</v>
      </c>
      <c r="L55" s="126"/>
      <c r="M55" s="126">
        <v>244.90799999999999</v>
      </c>
      <c r="N55" s="126"/>
      <c r="P55" s="65">
        <f t="shared" si="0"/>
        <v>238.81200000000001</v>
      </c>
      <c r="Q55" s="65">
        <f t="shared" si="1"/>
        <v>244.90799999999999</v>
      </c>
    </row>
    <row r="56" spans="2:17" ht="12.5" x14ac:dyDescent="0.35">
      <c r="B56" s="64">
        <v>57</v>
      </c>
      <c r="C56" s="125">
        <v>19.594999999999999</v>
      </c>
      <c r="D56" s="125"/>
      <c r="E56" s="125">
        <v>20.106999999999999</v>
      </c>
      <c r="F56" s="125"/>
      <c r="K56" s="126">
        <v>235.14</v>
      </c>
      <c r="L56" s="126"/>
      <c r="M56" s="126">
        <v>241.28400000000002</v>
      </c>
      <c r="N56" s="126"/>
      <c r="P56" s="65">
        <f t="shared" si="0"/>
        <v>235.14</v>
      </c>
      <c r="Q56" s="65">
        <f t="shared" si="1"/>
        <v>241.28400000000002</v>
      </c>
    </row>
    <row r="57" spans="2:17" ht="12.5" x14ac:dyDescent="0.35">
      <c r="B57" s="64">
        <v>58</v>
      </c>
      <c r="C57" s="125">
        <v>19.280999999999999</v>
      </c>
      <c r="D57" s="125"/>
      <c r="E57" s="125">
        <v>19.795000000000002</v>
      </c>
      <c r="F57" s="125"/>
      <c r="K57" s="126">
        <v>231.37200000000001</v>
      </c>
      <c r="L57" s="126"/>
      <c r="M57" s="126">
        <v>237.54</v>
      </c>
      <c r="N57" s="126"/>
      <c r="P57" s="65">
        <f t="shared" si="0"/>
        <v>231.37200000000001</v>
      </c>
      <c r="Q57" s="65">
        <f t="shared" si="1"/>
        <v>237.54</v>
      </c>
    </row>
    <row r="58" spans="2:17" ht="12.5" x14ac:dyDescent="0.35">
      <c r="B58" s="64">
        <v>59</v>
      </c>
      <c r="C58" s="125">
        <v>18.957999999999998</v>
      </c>
      <c r="D58" s="125"/>
      <c r="E58" s="125">
        <v>19.472999999999999</v>
      </c>
      <c r="F58" s="125"/>
      <c r="K58" s="126">
        <v>227.49599999999998</v>
      </c>
      <c r="L58" s="126"/>
      <c r="M58" s="126">
        <v>233.67599999999999</v>
      </c>
      <c r="N58" s="126"/>
      <c r="P58" s="65">
        <f t="shared" si="0"/>
        <v>227.49599999999998</v>
      </c>
      <c r="Q58" s="65">
        <f t="shared" si="1"/>
        <v>233.67599999999999</v>
      </c>
    </row>
    <row r="59" spans="2:17" ht="12.5" x14ac:dyDescent="0.35">
      <c r="B59" s="64">
        <v>60</v>
      </c>
      <c r="C59" s="125">
        <v>18.625999999999998</v>
      </c>
      <c r="D59" s="125"/>
      <c r="E59" s="125">
        <v>19.14</v>
      </c>
      <c r="F59" s="125"/>
      <c r="K59" s="126">
        <v>223.512</v>
      </c>
      <c r="L59" s="126"/>
      <c r="M59" s="126">
        <v>229.68</v>
      </c>
      <c r="N59" s="126"/>
      <c r="P59" s="65">
        <f t="shared" si="0"/>
        <v>223.512</v>
      </c>
      <c r="Q59" s="65">
        <f t="shared" si="1"/>
        <v>229.68</v>
      </c>
    </row>
    <row r="60" spans="2:17" ht="12.5" x14ac:dyDescent="0.35">
      <c r="B60" s="64">
        <v>61</v>
      </c>
      <c r="C60" s="125">
        <v>18.284000000000002</v>
      </c>
      <c r="D60" s="125"/>
      <c r="E60" s="125">
        <v>18.795999999999999</v>
      </c>
      <c r="F60" s="125"/>
      <c r="K60" s="126">
        <v>219.40799999999999</v>
      </c>
      <c r="L60" s="126"/>
      <c r="M60" s="126">
        <v>225.55200000000002</v>
      </c>
      <c r="N60" s="126"/>
      <c r="P60" s="65">
        <f t="shared" si="0"/>
        <v>219.40799999999999</v>
      </c>
      <c r="Q60" s="65">
        <f t="shared" si="1"/>
        <v>225.55200000000002</v>
      </c>
    </row>
    <row r="61" spans="2:17" ht="12.5" x14ac:dyDescent="0.35">
      <c r="B61" s="64">
        <v>62</v>
      </c>
      <c r="C61" s="125">
        <v>17.933</v>
      </c>
      <c r="D61" s="125"/>
      <c r="E61" s="125">
        <v>18.442999999999998</v>
      </c>
      <c r="F61" s="125"/>
      <c r="K61" s="126">
        <v>215.196</v>
      </c>
      <c r="L61" s="126"/>
      <c r="M61" s="126">
        <v>221.31599999999997</v>
      </c>
      <c r="N61" s="126"/>
      <c r="P61" s="65">
        <f t="shared" si="0"/>
        <v>215.196</v>
      </c>
      <c r="Q61" s="65">
        <f t="shared" si="1"/>
        <v>221.31599999999997</v>
      </c>
    </row>
    <row r="62" spans="2:17" ht="12.5" x14ac:dyDescent="0.35">
      <c r="B62" s="64">
        <v>63</v>
      </c>
      <c r="C62" s="125">
        <v>17.570999999999998</v>
      </c>
      <c r="D62" s="125"/>
      <c r="E62" s="125">
        <v>18.077999999999999</v>
      </c>
      <c r="F62" s="125"/>
      <c r="K62" s="126">
        <v>210.852</v>
      </c>
      <c r="L62" s="126"/>
      <c r="M62" s="126">
        <v>216.93599999999998</v>
      </c>
      <c r="N62" s="126"/>
      <c r="P62" s="65">
        <f t="shared" si="0"/>
        <v>210.852</v>
      </c>
      <c r="Q62" s="65">
        <f t="shared" si="1"/>
        <v>216.93599999999998</v>
      </c>
    </row>
    <row r="63" spans="2:17" ht="12.5" x14ac:dyDescent="0.35">
      <c r="B63" s="64">
        <v>64</v>
      </c>
      <c r="C63" s="125">
        <v>17.198</v>
      </c>
      <c r="D63" s="125"/>
      <c r="E63" s="125">
        <v>17.704999999999998</v>
      </c>
      <c r="F63" s="125"/>
      <c r="K63" s="126">
        <v>206.37599999999998</v>
      </c>
      <c r="L63" s="126"/>
      <c r="M63" s="126">
        <v>212.46</v>
      </c>
      <c r="N63" s="126"/>
      <c r="P63" s="65">
        <f t="shared" si="0"/>
        <v>206.37599999999998</v>
      </c>
      <c r="Q63" s="65">
        <f t="shared" si="1"/>
        <v>212.46</v>
      </c>
    </row>
    <row r="64" spans="2:17" ht="12.5" x14ac:dyDescent="0.35">
      <c r="B64" s="64">
        <v>65</v>
      </c>
      <c r="C64" s="125">
        <v>16.815000000000001</v>
      </c>
      <c r="D64" s="125"/>
      <c r="E64" s="125">
        <v>17.323</v>
      </c>
      <c r="F64" s="125"/>
      <c r="K64" s="126">
        <v>201.78</v>
      </c>
      <c r="L64" s="126"/>
      <c r="M64" s="126">
        <v>207.87599999999998</v>
      </c>
      <c r="N64" s="126"/>
      <c r="P64" s="65">
        <f t="shared" si="0"/>
        <v>201.78</v>
      </c>
      <c r="Q64" s="65">
        <f t="shared" si="1"/>
        <v>207.87599999999998</v>
      </c>
    </row>
    <row r="65" spans="2:17" ht="12.5" x14ac:dyDescent="0.35">
      <c r="B65" s="64">
        <v>66</v>
      </c>
      <c r="C65" s="125">
        <v>16.422999999999998</v>
      </c>
      <c r="D65" s="125"/>
      <c r="E65" s="125">
        <v>16.93</v>
      </c>
      <c r="F65" s="125"/>
      <c r="K65" s="126">
        <v>197.07599999999999</v>
      </c>
      <c r="L65" s="126"/>
      <c r="M65" s="126">
        <v>203.16</v>
      </c>
      <c r="N65" s="126"/>
      <c r="P65" s="65">
        <f t="shared" si="0"/>
        <v>197.07599999999999</v>
      </c>
      <c r="Q65" s="65">
        <f t="shared" si="1"/>
        <v>203.16</v>
      </c>
    </row>
    <row r="66" spans="2:17" ht="12.5" x14ac:dyDescent="0.35">
      <c r="B66" s="64">
        <v>67</v>
      </c>
      <c r="C66" s="125">
        <v>16.023</v>
      </c>
      <c r="D66" s="125"/>
      <c r="E66" s="125">
        <v>16.529</v>
      </c>
      <c r="F66" s="125"/>
      <c r="K66" s="126">
        <v>192.27599999999998</v>
      </c>
      <c r="L66" s="126"/>
      <c r="M66" s="126">
        <v>198.34799999999998</v>
      </c>
      <c r="N66" s="126"/>
      <c r="P66" s="65">
        <f t="shared" si="0"/>
        <v>192.27599999999998</v>
      </c>
      <c r="Q66" s="65">
        <f t="shared" si="1"/>
        <v>198.34799999999998</v>
      </c>
    </row>
    <row r="67" spans="2:17" ht="12.5" x14ac:dyDescent="0.35">
      <c r="B67" s="64">
        <v>68</v>
      </c>
      <c r="C67" s="125">
        <v>15.616</v>
      </c>
      <c r="D67" s="125"/>
      <c r="E67" s="125">
        <v>16.117999999999999</v>
      </c>
      <c r="F67" s="125"/>
      <c r="K67" s="126">
        <v>187.392</v>
      </c>
      <c r="L67" s="126"/>
      <c r="M67" s="126">
        <v>193.416</v>
      </c>
      <c r="N67" s="126"/>
      <c r="P67" s="65">
        <f t="shared" si="0"/>
        <v>187.392</v>
      </c>
      <c r="Q67" s="65">
        <f t="shared" si="1"/>
        <v>193.416</v>
      </c>
    </row>
    <row r="68" spans="2:17" ht="12.5" x14ac:dyDescent="0.35">
      <c r="B68" s="64">
        <v>69</v>
      </c>
      <c r="C68" s="125">
        <v>15.202999999999999</v>
      </c>
      <c r="D68" s="125"/>
      <c r="E68" s="125">
        <v>15.699000000000002</v>
      </c>
      <c r="F68" s="125"/>
      <c r="K68" s="126">
        <v>182.43599999999998</v>
      </c>
      <c r="L68" s="126"/>
      <c r="M68" s="126">
        <v>188.38800000000001</v>
      </c>
      <c r="N68" s="126"/>
      <c r="P68" s="65">
        <f t="shared" si="0"/>
        <v>182.43599999999998</v>
      </c>
      <c r="Q68" s="65">
        <f t="shared" si="1"/>
        <v>188.38800000000001</v>
      </c>
    </row>
    <row r="69" spans="2:17" ht="12.5" x14ac:dyDescent="0.35">
      <c r="B69" s="64">
        <v>70</v>
      </c>
      <c r="C69" s="125">
        <v>14.786</v>
      </c>
      <c r="D69" s="125"/>
      <c r="E69" s="125">
        <v>15.270999999999999</v>
      </c>
      <c r="F69" s="125"/>
      <c r="K69" s="126">
        <v>177.43200000000002</v>
      </c>
      <c r="L69" s="126"/>
      <c r="M69" s="126">
        <v>183.25200000000001</v>
      </c>
      <c r="N69" s="126"/>
      <c r="P69" s="65">
        <f t="shared" si="0"/>
        <v>177.43200000000002</v>
      </c>
      <c r="Q69" s="65">
        <f t="shared" si="1"/>
        <v>183.25200000000001</v>
      </c>
    </row>
    <row r="70" spans="2:17" ht="12.5" x14ac:dyDescent="0.35">
      <c r="B70" s="64">
        <v>71</v>
      </c>
      <c r="C70" s="125">
        <v>14.363</v>
      </c>
      <c r="D70" s="125"/>
      <c r="E70" s="125">
        <v>14.837</v>
      </c>
      <c r="F70" s="125"/>
      <c r="K70" s="126">
        <v>172.35599999999999</v>
      </c>
      <c r="L70" s="126"/>
      <c r="M70" s="126">
        <v>178.04400000000001</v>
      </c>
      <c r="N70" s="126"/>
      <c r="P70" s="65">
        <f t="shared" si="0"/>
        <v>172.35599999999999</v>
      </c>
      <c r="Q70" s="65">
        <f t="shared" si="1"/>
        <v>178.04400000000001</v>
      </c>
    </row>
    <row r="71" spans="2:17" ht="12.5" x14ac:dyDescent="0.35">
      <c r="B71" s="64">
        <v>72</v>
      </c>
      <c r="C71" s="125">
        <v>13.934000000000001</v>
      </c>
      <c r="D71" s="125"/>
      <c r="E71" s="125">
        <v>14.394</v>
      </c>
      <c r="F71" s="125"/>
      <c r="K71" s="126">
        <v>167.208</v>
      </c>
      <c r="L71" s="126"/>
      <c r="M71" s="126">
        <v>172.72799999999998</v>
      </c>
      <c r="N71" s="126"/>
      <c r="P71" s="65">
        <f t="shared" si="0"/>
        <v>167.208</v>
      </c>
      <c r="Q71" s="65">
        <f t="shared" si="1"/>
        <v>172.72799999999998</v>
      </c>
    </row>
    <row r="72" spans="2:17" ht="12.5" x14ac:dyDescent="0.35">
      <c r="B72" s="64">
        <v>73</v>
      </c>
      <c r="C72" s="125">
        <v>13.5</v>
      </c>
      <c r="D72" s="125"/>
      <c r="E72" s="125">
        <v>13.942</v>
      </c>
      <c r="F72" s="125"/>
      <c r="K72" s="126">
        <v>162</v>
      </c>
      <c r="L72" s="126"/>
      <c r="M72" s="126">
        <v>167.304</v>
      </c>
      <c r="N72" s="126"/>
      <c r="P72" s="65">
        <f t="shared" si="0"/>
        <v>162</v>
      </c>
      <c r="Q72" s="65">
        <f t="shared" si="1"/>
        <v>167.304</v>
      </c>
    </row>
    <row r="73" spans="2:17" ht="12.5" x14ac:dyDescent="0.35">
      <c r="B73" s="64">
        <v>74</v>
      </c>
      <c r="C73" s="125">
        <v>13.06</v>
      </c>
      <c r="D73" s="125"/>
      <c r="E73" s="125">
        <v>13.482000000000001</v>
      </c>
      <c r="F73" s="125"/>
      <c r="K73" s="126">
        <v>156.72</v>
      </c>
      <c r="L73" s="126"/>
      <c r="M73" s="126">
        <v>161.78399999999999</v>
      </c>
      <c r="N73" s="126"/>
      <c r="P73" s="65">
        <f t="shared" si="0"/>
        <v>156.72</v>
      </c>
      <c r="Q73" s="65">
        <f t="shared" si="1"/>
        <v>161.78399999999999</v>
      </c>
    </row>
    <row r="74" spans="2:17" ht="12.5" x14ac:dyDescent="0.35">
      <c r="B74" s="64">
        <v>75</v>
      </c>
      <c r="C74" s="125">
        <v>12.614000000000001</v>
      </c>
      <c r="D74" s="125"/>
      <c r="E74" s="125">
        <v>13.014000000000001</v>
      </c>
      <c r="F74" s="125"/>
      <c r="K74" s="126">
        <v>151.36799999999999</v>
      </c>
      <c r="L74" s="126"/>
      <c r="M74" s="126">
        <v>156.16800000000001</v>
      </c>
      <c r="N74" s="126"/>
      <c r="P74" s="65">
        <f t="shared" si="0"/>
        <v>151.36799999999999</v>
      </c>
      <c r="Q74" s="65">
        <f t="shared" si="1"/>
        <v>156.16800000000001</v>
      </c>
    </row>
    <row r="75" spans="2:17" ht="12.5" x14ac:dyDescent="0.35">
      <c r="B75" s="64">
        <v>76</v>
      </c>
      <c r="C75" s="125">
        <v>12.163</v>
      </c>
      <c r="D75" s="125"/>
      <c r="E75" s="125">
        <v>12.539000000000001</v>
      </c>
      <c r="F75" s="125"/>
      <c r="K75" s="126">
        <v>145.95600000000002</v>
      </c>
      <c r="L75" s="126"/>
      <c r="M75" s="126">
        <v>150.46799999999999</v>
      </c>
      <c r="N75" s="126"/>
      <c r="P75" s="65">
        <f t="shared" si="0"/>
        <v>145.95600000000002</v>
      </c>
      <c r="Q75" s="65">
        <f t="shared" si="1"/>
        <v>150.46799999999999</v>
      </c>
    </row>
    <row r="76" spans="2:17" ht="12.5" x14ac:dyDescent="0.35">
      <c r="B76" s="64">
        <v>77</v>
      </c>
      <c r="C76" s="125">
        <v>11.707000000000001</v>
      </c>
      <c r="D76" s="125"/>
      <c r="E76" s="125">
        <v>12.059000000000001</v>
      </c>
      <c r="F76" s="125"/>
      <c r="K76" s="126">
        <v>140.48400000000001</v>
      </c>
      <c r="L76" s="126"/>
      <c r="M76" s="126">
        <v>144.708</v>
      </c>
      <c r="N76" s="126"/>
      <c r="P76" s="65">
        <f t="shared" si="0"/>
        <v>140.48400000000001</v>
      </c>
      <c r="Q76" s="65">
        <f t="shared" si="1"/>
        <v>144.708</v>
      </c>
    </row>
    <row r="77" spans="2:17" ht="12.5" x14ac:dyDescent="0.35">
      <c r="B77" s="64">
        <v>78</v>
      </c>
      <c r="C77" s="125">
        <v>11.249000000000001</v>
      </c>
      <c r="D77" s="125"/>
      <c r="E77" s="125">
        <v>11.575999999999999</v>
      </c>
      <c r="F77" s="125"/>
      <c r="K77" s="126">
        <v>134.988</v>
      </c>
      <c r="L77" s="126"/>
      <c r="M77" s="126">
        <v>138.91200000000001</v>
      </c>
      <c r="N77" s="126"/>
      <c r="P77" s="65">
        <f t="shared" si="0"/>
        <v>134.988</v>
      </c>
      <c r="Q77" s="65">
        <f t="shared" si="1"/>
        <v>138.91200000000001</v>
      </c>
    </row>
    <row r="78" spans="2:17" ht="12.5" x14ac:dyDescent="0.35">
      <c r="B78" s="64">
        <v>79</v>
      </c>
      <c r="C78" s="125">
        <v>10.789000000000001</v>
      </c>
      <c r="D78" s="125"/>
      <c r="E78" s="125">
        <v>11.090999999999999</v>
      </c>
      <c r="F78" s="125"/>
      <c r="K78" s="126">
        <v>129.46799999999999</v>
      </c>
      <c r="L78" s="126"/>
      <c r="M78" s="126">
        <v>133.09200000000001</v>
      </c>
      <c r="N78" s="126"/>
      <c r="P78" s="65">
        <f t="shared" si="0"/>
        <v>129.46799999999999</v>
      </c>
      <c r="Q78" s="65">
        <f t="shared" si="1"/>
        <v>133.09200000000001</v>
      </c>
    </row>
    <row r="79" spans="2:17" ht="12.5" x14ac:dyDescent="0.35">
      <c r="B79" s="64">
        <v>80</v>
      </c>
      <c r="C79" s="125">
        <v>10.331</v>
      </c>
      <c r="D79" s="125"/>
      <c r="E79" s="125">
        <v>10.606</v>
      </c>
      <c r="F79" s="125"/>
      <c r="K79" s="126">
        <v>123.97200000000001</v>
      </c>
      <c r="L79" s="126"/>
      <c r="M79" s="126">
        <v>127.27200000000001</v>
      </c>
      <c r="N79" s="126"/>
      <c r="P79" s="65">
        <f t="shared" si="0"/>
        <v>123.97200000000001</v>
      </c>
      <c r="Q79" s="65">
        <f t="shared" si="1"/>
        <v>127.27200000000001</v>
      </c>
    </row>
    <row r="80" spans="2:17" ht="12.5" x14ac:dyDescent="0.35">
      <c r="B80" s="64">
        <v>81</v>
      </c>
      <c r="C80" s="125">
        <v>9.875</v>
      </c>
      <c r="D80" s="125"/>
      <c r="E80" s="125">
        <v>10.122999999999999</v>
      </c>
      <c r="F80" s="125"/>
      <c r="K80" s="126">
        <v>118.5</v>
      </c>
      <c r="L80" s="126"/>
      <c r="M80" s="126">
        <v>121.476</v>
      </c>
      <c r="N80" s="126"/>
      <c r="P80" s="65">
        <f t="shared" si="0"/>
        <v>118.5</v>
      </c>
      <c r="Q80" s="65">
        <f t="shared" si="1"/>
        <v>121.476</v>
      </c>
    </row>
    <row r="81" spans="2:17" ht="12.5" x14ac:dyDescent="0.35">
      <c r="B81" s="64">
        <v>82</v>
      </c>
      <c r="C81" s="125">
        <v>9.4239999999999995</v>
      </c>
      <c r="D81" s="125"/>
      <c r="E81" s="125">
        <v>9.6420000000000012</v>
      </c>
      <c r="F81" s="125"/>
      <c r="K81" s="126">
        <v>113.08799999999999</v>
      </c>
      <c r="L81" s="126"/>
      <c r="M81" s="126">
        <v>115.70399999999999</v>
      </c>
      <c r="N81" s="126"/>
      <c r="P81" s="65">
        <f t="shared" si="0"/>
        <v>113.08799999999999</v>
      </c>
      <c r="Q81" s="65">
        <f t="shared" si="1"/>
        <v>115.70399999999999</v>
      </c>
    </row>
    <row r="82" spans="2:17" ht="12.5" x14ac:dyDescent="0.35">
      <c r="B82" s="64">
        <v>83</v>
      </c>
      <c r="C82" s="125">
        <v>8.9779999999999998</v>
      </c>
      <c r="D82" s="125"/>
      <c r="E82" s="125">
        <v>9.1669999999999998</v>
      </c>
      <c r="F82" s="125"/>
      <c r="K82" s="126">
        <v>107.736</v>
      </c>
      <c r="L82" s="126"/>
      <c r="M82" s="126">
        <v>110.00399999999999</v>
      </c>
      <c r="N82" s="126"/>
      <c r="P82" s="65">
        <f t="shared" si="0"/>
        <v>107.736</v>
      </c>
      <c r="Q82" s="65">
        <f t="shared" si="1"/>
        <v>110.00399999999999</v>
      </c>
    </row>
    <row r="83" spans="2:17" ht="12.5" x14ac:dyDescent="0.35">
      <c r="B83" s="64">
        <v>84</v>
      </c>
      <c r="C83" s="125">
        <v>8.5399999999999991</v>
      </c>
      <c r="D83" s="125"/>
      <c r="E83" s="125">
        <v>8.6980000000000004</v>
      </c>
      <c r="F83" s="125"/>
      <c r="K83" s="126">
        <v>102.48</v>
      </c>
      <c r="L83" s="126"/>
      <c r="M83" s="126">
        <v>104.376</v>
      </c>
      <c r="N83" s="126"/>
      <c r="P83" s="65">
        <f t="shared" si="0"/>
        <v>102.48</v>
      </c>
      <c r="Q83" s="65">
        <f t="shared" si="1"/>
        <v>104.376</v>
      </c>
    </row>
    <row r="84" spans="2:17" ht="12.5" x14ac:dyDescent="0.35">
      <c r="B84" s="64">
        <v>85</v>
      </c>
      <c r="C84" s="125">
        <v>8.11</v>
      </c>
      <c r="D84" s="125"/>
      <c r="E84" s="125">
        <v>8.238999999999999</v>
      </c>
      <c r="F84" s="125"/>
      <c r="K84" s="126">
        <v>97.32</v>
      </c>
      <c r="L84" s="126"/>
      <c r="M84" s="126">
        <v>98.867999999999995</v>
      </c>
      <c r="N84" s="126"/>
      <c r="P84" s="65">
        <f t="shared" ref="P84:P89" si="2">+K84</f>
        <v>97.32</v>
      </c>
      <c r="Q84" s="65">
        <f t="shared" ref="Q84:Q89" si="3">+M84</f>
        <v>98.867999999999995</v>
      </c>
    </row>
    <row r="85" spans="2:17" ht="12.5" x14ac:dyDescent="0.35">
      <c r="B85" s="64">
        <v>86</v>
      </c>
      <c r="C85" s="125">
        <v>7.6890000000000001</v>
      </c>
      <c r="D85" s="125"/>
      <c r="E85" s="125">
        <v>7.7920000000000007</v>
      </c>
      <c r="F85" s="125"/>
      <c r="K85" s="126">
        <v>92.267999999999986</v>
      </c>
      <c r="L85" s="126"/>
      <c r="M85" s="126">
        <v>93.503999999999991</v>
      </c>
      <c r="N85" s="126"/>
      <c r="P85" s="65">
        <f t="shared" si="2"/>
        <v>92.267999999999986</v>
      </c>
      <c r="Q85" s="65">
        <f t="shared" si="3"/>
        <v>93.503999999999991</v>
      </c>
    </row>
    <row r="86" spans="2:17" ht="12.5" x14ac:dyDescent="0.35">
      <c r="B86" s="64">
        <v>87</v>
      </c>
      <c r="C86" s="125">
        <v>7.2779999999999996</v>
      </c>
      <c r="D86" s="125"/>
      <c r="E86" s="125">
        <v>7.3559999999999999</v>
      </c>
      <c r="F86" s="125"/>
      <c r="K86" s="126">
        <v>87.335999999999999</v>
      </c>
      <c r="L86" s="126"/>
      <c r="M86" s="126">
        <v>88.272000000000006</v>
      </c>
      <c r="N86" s="126"/>
      <c r="P86" s="65">
        <f t="shared" si="2"/>
        <v>87.335999999999999</v>
      </c>
      <c r="Q86" s="65">
        <f t="shared" si="3"/>
        <v>88.272000000000006</v>
      </c>
    </row>
    <row r="87" spans="2:17" ht="12.5" x14ac:dyDescent="0.35">
      <c r="B87" s="64">
        <v>88</v>
      </c>
      <c r="C87" s="125">
        <v>6.8770000000000007</v>
      </c>
      <c r="D87" s="125"/>
      <c r="E87" s="125">
        <v>6.9329999999999998</v>
      </c>
      <c r="F87" s="125"/>
      <c r="K87" s="126">
        <v>82.524000000000001</v>
      </c>
      <c r="L87" s="126"/>
      <c r="M87" s="126">
        <v>83.195999999999998</v>
      </c>
      <c r="N87" s="126"/>
      <c r="P87" s="65">
        <f t="shared" si="2"/>
        <v>82.524000000000001</v>
      </c>
      <c r="Q87" s="65">
        <f t="shared" si="3"/>
        <v>83.195999999999998</v>
      </c>
    </row>
    <row r="88" spans="2:17" ht="12.5" x14ac:dyDescent="0.35">
      <c r="B88" s="64">
        <v>89</v>
      </c>
      <c r="C88" s="125">
        <v>6.4870000000000001</v>
      </c>
      <c r="D88" s="125"/>
      <c r="E88" s="125">
        <v>6.5220000000000002</v>
      </c>
      <c r="F88" s="125"/>
      <c r="K88" s="126">
        <v>77.843999999999994</v>
      </c>
      <c r="L88" s="126"/>
      <c r="M88" s="126">
        <v>78.263999999999996</v>
      </c>
      <c r="N88" s="126"/>
      <c r="P88" s="65">
        <f t="shared" si="2"/>
        <v>77.843999999999994</v>
      </c>
      <c r="Q88" s="65">
        <f t="shared" si="3"/>
        <v>78.263999999999996</v>
      </c>
    </row>
    <row r="89" spans="2:17" ht="12.5" x14ac:dyDescent="0.35">
      <c r="B89" s="64">
        <v>90</v>
      </c>
      <c r="C89" s="125">
        <v>6.109</v>
      </c>
      <c r="D89" s="125"/>
      <c r="E89" s="125">
        <v>6.1220000000000008</v>
      </c>
      <c r="F89" s="125"/>
      <c r="K89" s="126">
        <v>73.308000000000007</v>
      </c>
      <c r="L89" s="126"/>
      <c r="M89" s="126">
        <v>73.463999999999999</v>
      </c>
      <c r="N89" s="126"/>
      <c r="P89" s="65">
        <f t="shared" si="2"/>
        <v>73.308000000000007</v>
      </c>
      <c r="Q89" s="65">
        <f t="shared" si="3"/>
        <v>73.463999999999999</v>
      </c>
    </row>
  </sheetData>
  <mergeCells count="299">
    <mergeCell ref="A1:F1"/>
    <mergeCell ref="A2:G3"/>
    <mergeCell ref="A4:G4"/>
    <mergeCell ref="A7:P7"/>
    <mergeCell ref="A9:E9"/>
    <mergeCell ref="B12:I12"/>
    <mergeCell ref="B13:I13"/>
    <mergeCell ref="B14:H15"/>
    <mergeCell ref="J14:O15"/>
    <mergeCell ref="B16:E16"/>
    <mergeCell ref="J16:M16"/>
    <mergeCell ref="C18:D18"/>
    <mergeCell ref="E18:F18"/>
    <mergeCell ref="K18:L18"/>
    <mergeCell ref="M18:N18"/>
    <mergeCell ref="C21:D21"/>
    <mergeCell ref="E21:F21"/>
    <mergeCell ref="K21:L21"/>
    <mergeCell ref="M21:N21"/>
    <mergeCell ref="C22:D22"/>
    <mergeCell ref="E22:F22"/>
    <mergeCell ref="K22:L22"/>
    <mergeCell ref="M22:N22"/>
    <mergeCell ref="C19:D19"/>
    <mergeCell ref="E19:F19"/>
    <mergeCell ref="K19:L19"/>
    <mergeCell ref="M19:N19"/>
    <mergeCell ref="C20:D20"/>
    <mergeCell ref="E20:F20"/>
    <mergeCell ref="K20:L20"/>
    <mergeCell ref="M20:N20"/>
    <mergeCell ref="C25:D25"/>
    <mergeCell ref="E25:F25"/>
    <mergeCell ref="K25:L25"/>
    <mergeCell ref="M25:N25"/>
    <mergeCell ref="C26:D26"/>
    <mergeCell ref="E26:F26"/>
    <mergeCell ref="K26:L26"/>
    <mergeCell ref="M26:N26"/>
    <mergeCell ref="C23:D23"/>
    <mergeCell ref="E23:F23"/>
    <mergeCell ref="K23:L23"/>
    <mergeCell ref="M23:N23"/>
    <mergeCell ref="C24:D24"/>
    <mergeCell ref="E24:F24"/>
    <mergeCell ref="K24:L24"/>
    <mergeCell ref="M24:N24"/>
    <mergeCell ref="C29:D29"/>
    <mergeCell ref="E29:F29"/>
    <mergeCell ref="K29:L29"/>
    <mergeCell ref="M29:N29"/>
    <mergeCell ref="C30:D30"/>
    <mergeCell ref="E30:F30"/>
    <mergeCell ref="K30:L30"/>
    <mergeCell ref="M30:N30"/>
    <mergeCell ref="C27:D27"/>
    <mergeCell ref="E27:F27"/>
    <mergeCell ref="K27:L27"/>
    <mergeCell ref="M27:N27"/>
    <mergeCell ref="C28:D28"/>
    <mergeCell ref="E28:F28"/>
    <mergeCell ref="K28:L28"/>
    <mergeCell ref="M28:N28"/>
    <mergeCell ref="C33:D33"/>
    <mergeCell ref="E33:F33"/>
    <mergeCell ref="K33:L33"/>
    <mergeCell ref="M33:N33"/>
    <mergeCell ref="C34:D34"/>
    <mergeCell ref="E34:F34"/>
    <mergeCell ref="K34:L34"/>
    <mergeCell ref="M34:N34"/>
    <mergeCell ref="C31:D31"/>
    <mergeCell ref="E31:F31"/>
    <mergeCell ref="K31:L31"/>
    <mergeCell ref="M31:N31"/>
    <mergeCell ref="C32:D32"/>
    <mergeCell ref="E32:F32"/>
    <mergeCell ref="K32:L32"/>
    <mergeCell ref="M32:N32"/>
    <mergeCell ref="C37:D37"/>
    <mergeCell ref="E37:F37"/>
    <mergeCell ref="K37:L37"/>
    <mergeCell ref="M37:N37"/>
    <mergeCell ref="C38:D38"/>
    <mergeCell ref="E38:F38"/>
    <mergeCell ref="K38:L38"/>
    <mergeCell ref="M38:N38"/>
    <mergeCell ref="C35:D35"/>
    <mergeCell ref="E35:F35"/>
    <mergeCell ref="K35:L35"/>
    <mergeCell ref="M35:N35"/>
    <mergeCell ref="C36:D36"/>
    <mergeCell ref="E36:F36"/>
    <mergeCell ref="K36:L36"/>
    <mergeCell ref="M36:N36"/>
    <mergeCell ref="C41:D41"/>
    <mergeCell ref="E41:F41"/>
    <mergeCell ref="K41:L41"/>
    <mergeCell ref="M41:N41"/>
    <mergeCell ref="C42:D42"/>
    <mergeCell ref="E42:F42"/>
    <mergeCell ref="K42:L42"/>
    <mergeCell ref="M42:N42"/>
    <mergeCell ref="C39:D39"/>
    <mergeCell ref="E39:F39"/>
    <mergeCell ref="K39:L39"/>
    <mergeCell ref="M39:N39"/>
    <mergeCell ref="C40:D40"/>
    <mergeCell ref="E40:F40"/>
    <mergeCell ref="K40:L40"/>
    <mergeCell ref="M40:N40"/>
    <mergeCell ref="C45:D45"/>
    <mergeCell ref="E45:F45"/>
    <mergeCell ref="K45:L45"/>
    <mergeCell ref="M45:N45"/>
    <mergeCell ref="C46:D46"/>
    <mergeCell ref="E46:F46"/>
    <mergeCell ref="K46:L46"/>
    <mergeCell ref="M46:N46"/>
    <mergeCell ref="C43:D43"/>
    <mergeCell ref="E43:F43"/>
    <mergeCell ref="K43:L43"/>
    <mergeCell ref="M43:N43"/>
    <mergeCell ref="C44:D44"/>
    <mergeCell ref="E44:F44"/>
    <mergeCell ref="K44:L44"/>
    <mergeCell ref="M44:N44"/>
    <mergeCell ref="C49:D49"/>
    <mergeCell ref="E49:F49"/>
    <mergeCell ref="K49:L49"/>
    <mergeCell ref="M49:N49"/>
    <mergeCell ref="C50:D50"/>
    <mergeCell ref="E50:F50"/>
    <mergeCell ref="K50:L50"/>
    <mergeCell ref="M50:N50"/>
    <mergeCell ref="C47:D47"/>
    <mergeCell ref="E47:F47"/>
    <mergeCell ref="K47:L47"/>
    <mergeCell ref="M47:N47"/>
    <mergeCell ref="C48:D48"/>
    <mergeCell ref="E48:F48"/>
    <mergeCell ref="K48:L48"/>
    <mergeCell ref="M48:N48"/>
    <mergeCell ref="C53:D53"/>
    <mergeCell ref="E53:F53"/>
    <mergeCell ref="K53:L53"/>
    <mergeCell ref="M53:N53"/>
    <mergeCell ref="C54:D54"/>
    <mergeCell ref="E54:F54"/>
    <mergeCell ref="K54:L54"/>
    <mergeCell ref="M54:N54"/>
    <mergeCell ref="C51:D51"/>
    <mergeCell ref="E51:F51"/>
    <mergeCell ref="K51:L51"/>
    <mergeCell ref="M51:N51"/>
    <mergeCell ref="C52:D52"/>
    <mergeCell ref="E52:F52"/>
    <mergeCell ref="K52:L52"/>
    <mergeCell ref="M52:N52"/>
    <mergeCell ref="C57:D57"/>
    <mergeCell ref="E57:F57"/>
    <mergeCell ref="K57:L57"/>
    <mergeCell ref="M57:N57"/>
    <mergeCell ref="C58:D58"/>
    <mergeCell ref="E58:F58"/>
    <mergeCell ref="K58:L58"/>
    <mergeCell ref="M58:N58"/>
    <mergeCell ref="C55:D55"/>
    <mergeCell ref="E55:F55"/>
    <mergeCell ref="K55:L55"/>
    <mergeCell ref="M55:N55"/>
    <mergeCell ref="C56:D56"/>
    <mergeCell ref="E56:F56"/>
    <mergeCell ref="K56:L56"/>
    <mergeCell ref="M56:N56"/>
    <mergeCell ref="C61:D61"/>
    <mergeCell ref="E61:F61"/>
    <mergeCell ref="K61:L61"/>
    <mergeCell ref="M61:N61"/>
    <mergeCell ref="C62:D62"/>
    <mergeCell ref="E62:F62"/>
    <mergeCell ref="K62:L62"/>
    <mergeCell ref="M62:N62"/>
    <mergeCell ref="C59:D59"/>
    <mergeCell ref="E59:F59"/>
    <mergeCell ref="K59:L59"/>
    <mergeCell ref="M59:N59"/>
    <mergeCell ref="C60:D60"/>
    <mergeCell ref="E60:F60"/>
    <mergeCell ref="K60:L60"/>
    <mergeCell ref="M60:N60"/>
    <mergeCell ref="C65:D65"/>
    <mergeCell ref="E65:F65"/>
    <mergeCell ref="K65:L65"/>
    <mergeCell ref="M65:N65"/>
    <mergeCell ref="C66:D66"/>
    <mergeCell ref="E66:F66"/>
    <mergeCell ref="K66:L66"/>
    <mergeCell ref="M66:N66"/>
    <mergeCell ref="C63:D63"/>
    <mergeCell ref="E63:F63"/>
    <mergeCell ref="K63:L63"/>
    <mergeCell ref="M63:N63"/>
    <mergeCell ref="C64:D64"/>
    <mergeCell ref="E64:F64"/>
    <mergeCell ref="K64:L64"/>
    <mergeCell ref="M64:N64"/>
    <mergeCell ref="C69:D69"/>
    <mergeCell ref="E69:F69"/>
    <mergeCell ref="K69:L69"/>
    <mergeCell ref="M69:N69"/>
    <mergeCell ref="C70:D70"/>
    <mergeCell ref="E70:F70"/>
    <mergeCell ref="K70:L70"/>
    <mergeCell ref="M70:N70"/>
    <mergeCell ref="C67:D67"/>
    <mergeCell ref="E67:F67"/>
    <mergeCell ref="K67:L67"/>
    <mergeCell ref="M67:N67"/>
    <mergeCell ref="C68:D68"/>
    <mergeCell ref="E68:F68"/>
    <mergeCell ref="K68:L68"/>
    <mergeCell ref="M68:N68"/>
    <mergeCell ref="C73:D73"/>
    <mergeCell ref="E73:F73"/>
    <mergeCell ref="K73:L73"/>
    <mergeCell ref="M73:N73"/>
    <mergeCell ref="C74:D74"/>
    <mergeCell ref="E74:F74"/>
    <mergeCell ref="K74:L74"/>
    <mergeCell ref="M74:N74"/>
    <mergeCell ref="C71:D71"/>
    <mergeCell ref="E71:F71"/>
    <mergeCell ref="K71:L71"/>
    <mergeCell ref="M71:N71"/>
    <mergeCell ref="C72:D72"/>
    <mergeCell ref="E72:F72"/>
    <mergeCell ref="K72:L72"/>
    <mergeCell ref="M72:N72"/>
    <mergeCell ref="C77:D77"/>
    <mergeCell ref="E77:F77"/>
    <mergeCell ref="K77:L77"/>
    <mergeCell ref="M77:N77"/>
    <mergeCell ref="C78:D78"/>
    <mergeCell ref="E78:F78"/>
    <mergeCell ref="K78:L78"/>
    <mergeCell ref="M78:N78"/>
    <mergeCell ref="C75:D75"/>
    <mergeCell ref="E75:F75"/>
    <mergeCell ref="K75:L75"/>
    <mergeCell ref="M75:N75"/>
    <mergeCell ref="C76:D76"/>
    <mergeCell ref="E76:F76"/>
    <mergeCell ref="K76:L76"/>
    <mergeCell ref="M76:N76"/>
    <mergeCell ref="C81:D81"/>
    <mergeCell ref="E81:F81"/>
    <mergeCell ref="K81:L81"/>
    <mergeCell ref="M81:N81"/>
    <mergeCell ref="C82:D82"/>
    <mergeCell ref="E82:F82"/>
    <mergeCell ref="K82:L82"/>
    <mergeCell ref="M82:N82"/>
    <mergeCell ref="C79:D79"/>
    <mergeCell ref="E79:F79"/>
    <mergeCell ref="K79:L79"/>
    <mergeCell ref="M79:N79"/>
    <mergeCell ref="C80:D80"/>
    <mergeCell ref="E80:F80"/>
    <mergeCell ref="K80:L80"/>
    <mergeCell ref="M80:N80"/>
    <mergeCell ref="C85:D85"/>
    <mergeCell ref="E85:F85"/>
    <mergeCell ref="K85:L85"/>
    <mergeCell ref="M85:N85"/>
    <mergeCell ref="C86:D86"/>
    <mergeCell ref="E86:F86"/>
    <mergeCell ref="K86:L86"/>
    <mergeCell ref="M86:N86"/>
    <mergeCell ref="C83:D83"/>
    <mergeCell ref="E83:F83"/>
    <mergeCell ref="K83:L83"/>
    <mergeCell ref="M83:N83"/>
    <mergeCell ref="C84:D84"/>
    <mergeCell ref="E84:F84"/>
    <mergeCell ref="K84:L84"/>
    <mergeCell ref="M84:N84"/>
    <mergeCell ref="C89:D89"/>
    <mergeCell ref="E89:F89"/>
    <mergeCell ref="K89:L89"/>
    <mergeCell ref="M89:N89"/>
    <mergeCell ref="C87:D87"/>
    <mergeCell ref="E87:F87"/>
    <mergeCell ref="K87:L87"/>
    <mergeCell ref="M87:N87"/>
    <mergeCell ref="C88:D88"/>
    <mergeCell ref="E88:F88"/>
    <mergeCell ref="K88:L88"/>
    <mergeCell ref="M88:N88"/>
  </mergeCells>
  <pageMargins left="0.25" right="0.25" top="0.25" bottom="0.25" header="0" footer="0"/>
  <pageSetup paperSize="0" scale="0" fitToWidth="0" fitToHeight="0" orientation="portrait" usePrinterDefaults="0" horizontalDpi="0" verticalDpi="0" copies="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EB19-AF06-4ADD-80C7-E2F958975626}">
  <dimension ref="A1:X73"/>
  <sheetViews>
    <sheetView workbookViewId="0">
      <selection activeCell="F13" sqref="F13"/>
    </sheetView>
  </sheetViews>
  <sheetFormatPr baseColWidth="10" defaultColWidth="11.453125" defaultRowHeight="14.5" x14ac:dyDescent="0.35"/>
  <cols>
    <col min="1" max="1" width="11.453125" style="2"/>
    <col min="2" max="2" width="20.26953125" style="2" bestFit="1" customWidth="1"/>
    <col min="3" max="3" width="11.54296875" style="2" bestFit="1" customWidth="1"/>
    <col min="4" max="7" width="11.453125" style="2"/>
    <col min="8" max="8" width="9.26953125" style="2" bestFit="1" customWidth="1"/>
    <col min="9" max="13" width="11.453125" style="2"/>
    <col min="14" max="14" width="14.81640625" style="2" bestFit="1" customWidth="1"/>
    <col min="15" max="16" width="11.453125" style="2"/>
    <col min="17" max="17" width="13.26953125" style="2" bestFit="1" customWidth="1"/>
    <col min="18" max="18" width="15.1796875" style="2" bestFit="1" customWidth="1"/>
    <col min="19" max="19" width="13" style="2" bestFit="1" customWidth="1"/>
    <col min="20" max="20" width="13.26953125" style="2" bestFit="1" customWidth="1"/>
    <col min="21" max="21" width="15.7265625" style="2" bestFit="1" customWidth="1"/>
    <col min="22" max="16384" width="11.453125" style="2"/>
  </cols>
  <sheetData>
    <row r="1" spans="1:24" x14ac:dyDescent="0.35">
      <c r="A1" s="2" t="s">
        <v>0</v>
      </c>
      <c r="H1" s="2" t="s">
        <v>54</v>
      </c>
      <c r="I1" s="9">
        <v>4.1399999999999999E-2</v>
      </c>
      <c r="K1" s="2" t="s">
        <v>54</v>
      </c>
      <c r="L1" s="9">
        <v>4.41E-2</v>
      </c>
    </row>
    <row r="2" spans="1:24" x14ac:dyDescent="0.35">
      <c r="A2" s="2" t="s">
        <v>1</v>
      </c>
      <c r="B2" s="2" t="s">
        <v>2</v>
      </c>
      <c r="C2" s="2" t="s">
        <v>3</v>
      </c>
      <c r="H2" s="2" t="s">
        <v>2</v>
      </c>
      <c r="I2" s="2" t="s">
        <v>3</v>
      </c>
      <c r="K2" s="2" t="s">
        <v>2</v>
      </c>
      <c r="L2" s="2" t="s">
        <v>3</v>
      </c>
      <c r="N2" s="47" t="s">
        <v>91</v>
      </c>
      <c r="O2" s="47" t="s">
        <v>13</v>
      </c>
      <c r="P2" s="47" t="s">
        <v>54</v>
      </c>
      <c r="Q2" s="47" t="s">
        <v>92</v>
      </c>
      <c r="R2" s="47" t="s">
        <v>93</v>
      </c>
      <c r="S2" s="47" t="s">
        <v>56</v>
      </c>
      <c r="T2" s="47" t="s">
        <v>94</v>
      </c>
      <c r="U2" s="47" t="s">
        <v>95</v>
      </c>
      <c r="W2" s="2" t="s">
        <v>3</v>
      </c>
      <c r="X2" s="2" t="s">
        <v>16</v>
      </c>
    </row>
    <row r="3" spans="1:24" x14ac:dyDescent="0.35">
      <c r="A3" s="2">
        <v>20</v>
      </c>
      <c r="B3" s="5">
        <f>+'3,43'!K19</f>
        <v>322.82400000000001</v>
      </c>
      <c r="C3" s="2">
        <f>+'3,43'!M19</f>
        <v>325.71600000000001</v>
      </c>
      <c r="H3" s="5">
        <v>278.29200000000003</v>
      </c>
      <c r="I3" s="5">
        <v>280.44</v>
      </c>
      <c r="K3" s="5">
        <v>258.15600000000001</v>
      </c>
      <c r="L3" s="2">
        <v>263.82</v>
      </c>
      <c r="N3" s="44" t="s">
        <v>87</v>
      </c>
      <c r="O3" s="44" t="s">
        <v>83</v>
      </c>
      <c r="P3" s="45">
        <v>4.41E-2</v>
      </c>
      <c r="Q3" s="44">
        <v>205.488</v>
      </c>
      <c r="R3" s="44">
        <v>182.85599999999999</v>
      </c>
      <c r="S3" s="46">
        <v>100000000</v>
      </c>
      <c r="T3" s="46">
        <f>+S3/Q3</f>
        <v>486646.42217550415</v>
      </c>
      <c r="U3" s="46">
        <f>+S3/R3</f>
        <v>546878.41799011244</v>
      </c>
      <c r="W3" s="2" t="s">
        <v>87</v>
      </c>
      <c r="X3" s="7">
        <f>+T3</f>
        <v>486646.42217550415</v>
      </c>
    </row>
    <row r="4" spans="1:24" x14ac:dyDescent="0.35">
      <c r="A4" s="2">
        <v>21</v>
      </c>
      <c r="B4" s="5">
        <f>+'3,43'!K20</f>
        <v>321.66000000000003</v>
      </c>
      <c r="C4" s="2">
        <f>+'3,43'!M20</f>
        <v>324.62400000000002</v>
      </c>
      <c r="H4" s="5">
        <v>277.56</v>
      </c>
      <c r="I4" s="5">
        <v>279.76799999999997</v>
      </c>
      <c r="K4" s="5">
        <v>257.35200000000003</v>
      </c>
      <c r="L4" s="2">
        <v>263.18400000000003</v>
      </c>
      <c r="N4" s="44" t="s">
        <v>88</v>
      </c>
      <c r="O4" s="44" t="s">
        <v>84</v>
      </c>
      <c r="P4" s="45">
        <v>4.41E-2</v>
      </c>
      <c r="Q4" s="44">
        <v>205.488</v>
      </c>
      <c r="R4" s="44">
        <v>182.85599999999999</v>
      </c>
      <c r="S4" s="46">
        <v>100000000</v>
      </c>
      <c r="T4" s="46">
        <f t="shared" ref="T4:T6" si="0">+S4/Q4</f>
        <v>486646.42217550415</v>
      </c>
      <c r="U4" s="46">
        <f t="shared" ref="U4:U6" si="1">+S4/R4</f>
        <v>546878.41799011244</v>
      </c>
      <c r="W4" s="2" t="s">
        <v>88</v>
      </c>
      <c r="X4" s="7">
        <f t="shared" ref="X4:X6" si="2">+T4</f>
        <v>486646.42217550415</v>
      </c>
    </row>
    <row r="5" spans="1:24" x14ac:dyDescent="0.35">
      <c r="A5" s="2">
        <v>22</v>
      </c>
      <c r="B5" s="5">
        <f>+'3,43'!K21</f>
        <v>320.45999999999998</v>
      </c>
      <c r="C5" s="2">
        <f>+'3,43'!M21</f>
        <v>323.49599999999998</v>
      </c>
      <c r="H5" s="5">
        <v>276.79200000000003</v>
      </c>
      <c r="I5" s="5">
        <v>279.06</v>
      </c>
      <c r="K5" s="5">
        <v>256.512</v>
      </c>
      <c r="L5" s="2">
        <v>262.524</v>
      </c>
      <c r="N5" s="44" t="s">
        <v>89</v>
      </c>
      <c r="O5" s="44" t="s">
        <v>85</v>
      </c>
      <c r="P5" s="45">
        <v>4.41E-2</v>
      </c>
      <c r="Q5" s="44">
        <v>205.488</v>
      </c>
      <c r="R5" s="44">
        <v>182.85599999999999</v>
      </c>
      <c r="S5" s="46">
        <v>100000000</v>
      </c>
      <c r="T5" s="46">
        <f t="shared" si="0"/>
        <v>486646.42217550415</v>
      </c>
      <c r="U5" s="46">
        <f t="shared" si="1"/>
        <v>546878.41799011244</v>
      </c>
      <c r="W5" s="2" t="s">
        <v>89</v>
      </c>
      <c r="X5" s="7">
        <f t="shared" si="2"/>
        <v>486646.42217550415</v>
      </c>
    </row>
    <row r="6" spans="1:24" x14ac:dyDescent="0.35">
      <c r="A6" s="2">
        <v>23</v>
      </c>
      <c r="B6" s="5">
        <f>+'3,43'!K22</f>
        <v>319.22399999999999</v>
      </c>
      <c r="C6" s="2">
        <f>+'3,43'!M22</f>
        <v>322.33199999999999</v>
      </c>
      <c r="H6" s="5">
        <v>276</v>
      </c>
      <c r="I6" s="5">
        <v>278.32799999999997</v>
      </c>
      <c r="K6" s="5">
        <v>255.636</v>
      </c>
      <c r="L6" s="2">
        <v>261.82799999999997</v>
      </c>
      <c r="N6" s="44" t="s">
        <v>90</v>
      </c>
      <c r="O6" s="44" t="s">
        <v>86</v>
      </c>
      <c r="P6" s="45">
        <v>4.1399999999999999E-2</v>
      </c>
      <c r="Q6" s="44">
        <v>212.44799999999998</v>
      </c>
      <c r="R6" s="52">
        <v>188.28</v>
      </c>
      <c r="S6" s="46">
        <v>100000000</v>
      </c>
      <c r="T6" s="46">
        <f t="shared" si="0"/>
        <v>470703.41918963706</v>
      </c>
      <c r="U6" s="46">
        <f t="shared" si="1"/>
        <v>531123.85808370507</v>
      </c>
      <c r="W6" s="2" t="s">
        <v>90</v>
      </c>
      <c r="X6" s="7">
        <f t="shared" si="2"/>
        <v>470703.41918963706</v>
      </c>
    </row>
    <row r="7" spans="1:24" x14ac:dyDescent="0.35">
      <c r="A7" s="2">
        <v>24</v>
      </c>
      <c r="B7" s="5">
        <f>+'3,43'!K23</f>
        <v>317.94</v>
      </c>
      <c r="C7" s="2">
        <f>+'3,43'!M23</f>
        <v>321.12</v>
      </c>
      <c r="H7" s="5">
        <v>275.17200000000003</v>
      </c>
      <c r="I7" s="5">
        <v>277.56</v>
      </c>
      <c r="K7" s="5">
        <v>254.72400000000002</v>
      </c>
      <c r="L7" s="2">
        <v>261.108</v>
      </c>
    </row>
    <row r="8" spans="1:24" x14ac:dyDescent="0.35">
      <c r="A8" s="2">
        <v>25</v>
      </c>
      <c r="B8" s="5">
        <f>+'3,43'!K24</f>
        <v>316.608</v>
      </c>
      <c r="C8" s="2">
        <f>+'3,43'!M24</f>
        <v>319.86</v>
      </c>
      <c r="H8" s="5">
        <v>274.30799999999999</v>
      </c>
      <c r="I8" s="5">
        <v>276.75599999999997</v>
      </c>
      <c r="K8" s="5">
        <v>253.77599999999998</v>
      </c>
      <c r="L8" s="2">
        <v>260.35200000000003</v>
      </c>
      <c r="N8" s="47" t="s">
        <v>109</v>
      </c>
      <c r="O8" s="47" t="s">
        <v>108</v>
      </c>
      <c r="W8" s="2" t="s">
        <v>2</v>
      </c>
      <c r="X8" s="2" t="s">
        <v>16</v>
      </c>
    </row>
    <row r="9" spans="1:24" x14ac:dyDescent="0.35">
      <c r="A9" s="2">
        <v>26</v>
      </c>
      <c r="B9" s="5">
        <f>+'3,43'!K25</f>
        <v>315.22800000000001</v>
      </c>
      <c r="C9" s="2">
        <f>+'3,43'!M25</f>
        <v>318.56400000000002</v>
      </c>
      <c r="H9" s="5">
        <v>273.40800000000002</v>
      </c>
      <c r="I9" s="5">
        <v>275.928</v>
      </c>
      <c r="K9" s="5">
        <v>252.792</v>
      </c>
      <c r="L9" s="2">
        <v>259.56</v>
      </c>
      <c r="N9" s="44" t="s">
        <v>3</v>
      </c>
      <c r="O9" s="51">
        <f>+T6-T5</f>
        <v>-15943.00298586709</v>
      </c>
      <c r="W9" s="2" t="s">
        <v>87</v>
      </c>
      <c r="X9" s="7">
        <f>+U3</f>
        <v>546878.41799011244</v>
      </c>
    </row>
    <row r="10" spans="1:24" x14ac:dyDescent="0.35">
      <c r="A10" s="2">
        <v>27</v>
      </c>
      <c r="B10" s="5">
        <f>+'3,43'!K26</f>
        <v>313.81200000000001</v>
      </c>
      <c r="C10" s="2">
        <f>+'3,43'!M26</f>
        <v>317.20799999999997</v>
      </c>
      <c r="H10" s="5">
        <v>272.45999999999998</v>
      </c>
      <c r="I10" s="5">
        <v>275.05200000000002</v>
      </c>
      <c r="K10" s="5">
        <v>251.76</v>
      </c>
      <c r="L10" s="2">
        <v>258.73200000000003</v>
      </c>
      <c r="N10" s="44" t="s">
        <v>2</v>
      </c>
      <c r="O10" s="51">
        <f>+U6-U5</f>
        <v>-15754.559906407376</v>
      </c>
      <c r="W10" s="2" t="s">
        <v>88</v>
      </c>
      <c r="X10" s="7">
        <f t="shared" ref="X10:X12" si="3">+U4</f>
        <v>546878.41799011244</v>
      </c>
    </row>
    <row r="11" spans="1:24" x14ac:dyDescent="0.35">
      <c r="A11" s="2">
        <v>28</v>
      </c>
      <c r="B11" s="5">
        <f>+'3,43'!K27</f>
        <v>312.33600000000001</v>
      </c>
      <c r="C11" s="2">
        <f>+'3,43'!M27</f>
        <v>315.80400000000003</v>
      </c>
      <c r="H11" s="5">
        <v>271.488</v>
      </c>
      <c r="I11" s="5">
        <v>274.14</v>
      </c>
      <c r="K11" s="5">
        <v>250.69200000000001</v>
      </c>
      <c r="L11" s="2">
        <v>257.86799999999999</v>
      </c>
      <c r="W11" s="2" t="s">
        <v>89</v>
      </c>
      <c r="X11" s="7">
        <f t="shared" si="3"/>
        <v>546878.41799011244</v>
      </c>
    </row>
    <row r="12" spans="1:24" x14ac:dyDescent="0.35">
      <c r="A12" s="2">
        <v>29</v>
      </c>
      <c r="B12" s="5">
        <f>+'3,43'!K28</f>
        <v>310.81200000000001</v>
      </c>
      <c r="C12" s="2">
        <f>+'3,43'!M28</f>
        <v>314.36400000000003</v>
      </c>
      <c r="H12" s="5">
        <v>270.46800000000002</v>
      </c>
      <c r="I12" s="5">
        <v>273.19200000000001</v>
      </c>
      <c r="K12" s="5">
        <v>249.57599999999999</v>
      </c>
      <c r="L12" s="2">
        <v>256.95599999999996</v>
      </c>
      <c r="W12" s="2" t="s">
        <v>90</v>
      </c>
      <c r="X12" s="7">
        <f t="shared" si="3"/>
        <v>531123.85808370507</v>
      </c>
    </row>
    <row r="13" spans="1:24" x14ac:dyDescent="0.35">
      <c r="A13" s="2">
        <v>30</v>
      </c>
      <c r="B13" s="5">
        <f>+'3,43'!K29</f>
        <v>309.24</v>
      </c>
      <c r="C13" s="2">
        <f>+'3,43'!M29</f>
        <v>312.86400000000003</v>
      </c>
      <c r="H13" s="5">
        <v>269.41200000000003</v>
      </c>
      <c r="I13" s="5">
        <v>272.19599999999997</v>
      </c>
      <c r="K13" s="5">
        <v>248.41200000000001</v>
      </c>
      <c r="L13" s="2">
        <v>256.00799999999998</v>
      </c>
    </row>
    <row r="14" spans="1:24" x14ac:dyDescent="0.35">
      <c r="A14" s="2">
        <v>31</v>
      </c>
      <c r="B14" s="5">
        <f>+'3,43'!K30</f>
        <v>307.596</v>
      </c>
      <c r="C14" s="2">
        <f>+'3,43'!M30</f>
        <v>311.30400000000003</v>
      </c>
      <c r="H14" s="5">
        <v>268.30799999999999</v>
      </c>
      <c r="I14" s="5">
        <v>271.16399999999999</v>
      </c>
      <c r="K14" s="5">
        <v>247.2</v>
      </c>
      <c r="L14" s="2">
        <v>255.024</v>
      </c>
    </row>
    <row r="15" spans="1:24" x14ac:dyDescent="0.35">
      <c r="A15" s="2">
        <v>32</v>
      </c>
      <c r="B15" s="5">
        <f>+'3,43'!K31</f>
        <v>305.904</v>
      </c>
      <c r="C15" s="2">
        <f>+'3,43'!M31</f>
        <v>309.69599999999997</v>
      </c>
      <c r="H15" s="5">
        <v>267.15600000000001</v>
      </c>
      <c r="I15" s="5">
        <v>270.096</v>
      </c>
      <c r="K15" s="5">
        <v>245.94</v>
      </c>
      <c r="L15" s="2">
        <v>254.00400000000002</v>
      </c>
    </row>
    <row r="16" spans="1:24" x14ac:dyDescent="0.35">
      <c r="A16" s="2">
        <v>33</v>
      </c>
      <c r="B16" s="5">
        <f>+'3,43'!K32</f>
        <v>304.16399999999999</v>
      </c>
      <c r="C16" s="2">
        <f>+'3,43'!M32</f>
        <v>308.04000000000002</v>
      </c>
      <c r="H16" s="5">
        <v>265.95599999999996</v>
      </c>
      <c r="I16" s="5">
        <v>268.96800000000002</v>
      </c>
      <c r="K16" s="5">
        <v>244.62</v>
      </c>
      <c r="L16" s="2">
        <v>252.92400000000001</v>
      </c>
    </row>
    <row r="17" spans="1:12" x14ac:dyDescent="0.35">
      <c r="A17" s="2">
        <v>34</v>
      </c>
      <c r="B17" s="5">
        <f>+'3,43'!K33</f>
        <v>302.35200000000003</v>
      </c>
      <c r="C17" s="2">
        <f>+'3,43'!M33</f>
        <v>306.31200000000001</v>
      </c>
      <c r="H17" s="5">
        <v>264.70799999999997</v>
      </c>
      <c r="I17" s="5">
        <v>267.80400000000003</v>
      </c>
      <c r="K17" s="5">
        <v>243.25200000000001</v>
      </c>
      <c r="L17" s="2">
        <v>251.80799999999999</v>
      </c>
    </row>
    <row r="18" spans="1:12" x14ac:dyDescent="0.35">
      <c r="A18" s="2">
        <v>35</v>
      </c>
      <c r="B18" s="5">
        <f>+'3,43'!K34</f>
        <v>300.48</v>
      </c>
      <c r="C18" s="2">
        <f>+'3,43'!M34</f>
        <v>304.536</v>
      </c>
      <c r="H18" s="5">
        <v>263.39999999999998</v>
      </c>
      <c r="I18" s="5">
        <v>266.58</v>
      </c>
      <c r="K18" s="5">
        <v>241.82400000000001</v>
      </c>
      <c r="L18" s="2">
        <v>250.64400000000001</v>
      </c>
    </row>
    <row r="19" spans="1:12" x14ac:dyDescent="0.35">
      <c r="A19" s="2">
        <v>36</v>
      </c>
      <c r="B19" s="5">
        <f>+'3,43'!K35</f>
        <v>298.536</v>
      </c>
      <c r="C19" s="2">
        <f>+'3,43'!M35</f>
        <v>302.68799999999999</v>
      </c>
      <c r="H19" s="5">
        <v>262.04400000000004</v>
      </c>
      <c r="I19" s="5">
        <v>265.30799999999999</v>
      </c>
      <c r="K19" s="5">
        <v>240.33599999999998</v>
      </c>
      <c r="L19" s="2">
        <v>249.42</v>
      </c>
    </row>
    <row r="20" spans="1:12" x14ac:dyDescent="0.35">
      <c r="A20" s="2">
        <v>37</v>
      </c>
      <c r="B20" s="5">
        <f>+'3,43'!K36</f>
        <v>296.53199999999998</v>
      </c>
      <c r="C20" s="2">
        <f>+'3,43'!M36</f>
        <v>300.77999999999997</v>
      </c>
      <c r="H20" s="5">
        <v>260.62799999999999</v>
      </c>
      <c r="I20" s="5">
        <v>263.988</v>
      </c>
      <c r="K20" s="5">
        <v>238.78799999999998</v>
      </c>
      <c r="L20" s="2">
        <v>248.16</v>
      </c>
    </row>
    <row r="21" spans="1:12" x14ac:dyDescent="0.35">
      <c r="A21" s="2">
        <v>38</v>
      </c>
      <c r="B21" s="5">
        <f>+'3,43'!K37</f>
        <v>294.45599999999996</v>
      </c>
      <c r="C21" s="2">
        <f>+'3,43'!M37</f>
        <v>298.8</v>
      </c>
      <c r="H21" s="5">
        <v>259.16399999999999</v>
      </c>
      <c r="I21" s="5">
        <v>262.608</v>
      </c>
      <c r="K21" s="5">
        <v>237.16800000000001</v>
      </c>
      <c r="L21" s="2">
        <v>246.84</v>
      </c>
    </row>
    <row r="22" spans="1:12" x14ac:dyDescent="0.35">
      <c r="A22" s="2">
        <v>39</v>
      </c>
      <c r="B22" s="5">
        <f>+'3,43'!K38</f>
        <v>292.30799999999999</v>
      </c>
      <c r="C22" s="2">
        <f>+'3,43'!M38</f>
        <v>296.76</v>
      </c>
      <c r="H22" s="5">
        <v>257.62799999999999</v>
      </c>
      <c r="I22" s="5">
        <v>261.16800000000001</v>
      </c>
      <c r="K22" s="5">
        <v>235.476</v>
      </c>
      <c r="L22" s="2">
        <v>245.46</v>
      </c>
    </row>
    <row r="23" spans="1:12" x14ac:dyDescent="0.35">
      <c r="A23" s="2">
        <v>40</v>
      </c>
      <c r="B23" s="5">
        <f>+'3,43'!K39</f>
        <v>290.07599999999996</v>
      </c>
      <c r="C23" s="2">
        <f>+'3,43'!M39</f>
        <v>294.63599999999997</v>
      </c>
      <c r="H23" s="5">
        <v>256.03199999999998</v>
      </c>
      <c r="I23" s="5">
        <v>259.68</v>
      </c>
      <c r="K23" s="5">
        <v>233.71200000000002</v>
      </c>
      <c r="L23" s="2">
        <v>244.02</v>
      </c>
    </row>
    <row r="24" spans="1:12" x14ac:dyDescent="0.35">
      <c r="A24" s="2">
        <v>41</v>
      </c>
      <c r="B24" s="5">
        <f>+'3,43'!K40</f>
        <v>287.78399999999999</v>
      </c>
      <c r="C24" s="2">
        <f>+'3,43'!M40</f>
        <v>292.452</v>
      </c>
      <c r="H24" s="5">
        <v>254.364</v>
      </c>
      <c r="I24" s="5">
        <v>258.12</v>
      </c>
      <c r="K24" s="5">
        <v>231.88800000000001</v>
      </c>
      <c r="L24" s="2">
        <v>242.52</v>
      </c>
    </row>
    <row r="25" spans="1:12" x14ac:dyDescent="0.35">
      <c r="A25" s="2">
        <v>42</v>
      </c>
      <c r="B25" s="5">
        <f>+'3,43'!K41</f>
        <v>285.40800000000002</v>
      </c>
      <c r="C25" s="2">
        <f>+'3,43'!M41</f>
        <v>290.17200000000003</v>
      </c>
      <c r="H25" s="5">
        <v>252.636</v>
      </c>
      <c r="I25" s="5">
        <v>256.488</v>
      </c>
      <c r="K25" s="5">
        <v>229.98</v>
      </c>
      <c r="L25" s="2">
        <v>240.96</v>
      </c>
    </row>
    <row r="26" spans="1:12" x14ac:dyDescent="0.35">
      <c r="A26" s="2">
        <v>43</v>
      </c>
      <c r="B26" s="5">
        <f>+'3,43'!K42</f>
        <v>282.94799999999998</v>
      </c>
      <c r="C26" s="2">
        <f>+'3,43'!M42</f>
        <v>287.83199999999999</v>
      </c>
      <c r="H26" s="5">
        <v>250.83599999999998</v>
      </c>
      <c r="I26" s="5">
        <v>254.79599999999999</v>
      </c>
      <c r="K26" s="5">
        <v>228</v>
      </c>
      <c r="L26" s="2">
        <v>239.328</v>
      </c>
    </row>
    <row r="27" spans="1:12" x14ac:dyDescent="0.35">
      <c r="A27" s="2">
        <v>44</v>
      </c>
      <c r="B27" s="5">
        <f>+'3,43'!K43</f>
        <v>280.416</v>
      </c>
      <c r="C27" s="2">
        <f>+'3,43'!M43</f>
        <v>285.39599999999996</v>
      </c>
      <c r="H27" s="5">
        <v>248.96400000000003</v>
      </c>
      <c r="I27" s="5">
        <v>253.02</v>
      </c>
      <c r="K27" s="5">
        <v>225.93599999999998</v>
      </c>
      <c r="L27" s="2">
        <v>237.62400000000002</v>
      </c>
    </row>
    <row r="28" spans="1:12" x14ac:dyDescent="0.35">
      <c r="A28" s="2">
        <v>45</v>
      </c>
      <c r="B28" s="5">
        <f>+'3,43'!K44</f>
        <v>277.78800000000001</v>
      </c>
      <c r="C28" s="2">
        <f>+'3,43'!M44</f>
        <v>282.88799999999998</v>
      </c>
      <c r="H28" s="5">
        <v>247.00799999999998</v>
      </c>
      <c r="I28" s="5">
        <v>251.18400000000003</v>
      </c>
      <c r="K28" s="5">
        <v>223.78799999999998</v>
      </c>
      <c r="L28" s="2">
        <v>235.84799999999998</v>
      </c>
    </row>
    <row r="29" spans="1:12" x14ac:dyDescent="0.35">
      <c r="A29" s="2">
        <v>46</v>
      </c>
      <c r="B29" s="5">
        <f>+'3,43'!K45</f>
        <v>275.06400000000002</v>
      </c>
      <c r="C29" s="2">
        <f>+'3,43'!M45</f>
        <v>280.28399999999999</v>
      </c>
      <c r="H29" s="5">
        <v>244.98</v>
      </c>
      <c r="I29" s="5">
        <v>249.26400000000001</v>
      </c>
      <c r="K29" s="5">
        <v>221.54400000000001</v>
      </c>
      <c r="L29" s="2">
        <v>234</v>
      </c>
    </row>
    <row r="30" spans="1:12" x14ac:dyDescent="0.35">
      <c r="A30" s="2">
        <v>47</v>
      </c>
      <c r="B30" s="5">
        <f>+'3,43'!K46</f>
        <v>272.25599999999997</v>
      </c>
      <c r="C30" s="2">
        <f>+'3,43'!M46</f>
        <v>277.596</v>
      </c>
      <c r="H30" s="5">
        <v>242.85599999999999</v>
      </c>
      <c r="I30" s="5">
        <v>247.27200000000002</v>
      </c>
      <c r="K30" s="5">
        <v>219.20400000000001</v>
      </c>
      <c r="L30" s="2">
        <v>232.06799999999998</v>
      </c>
    </row>
    <row r="31" spans="1:12" x14ac:dyDescent="0.35">
      <c r="A31" s="2">
        <v>48</v>
      </c>
      <c r="B31" s="5">
        <f>+'3,43'!K47</f>
        <v>269.35200000000003</v>
      </c>
      <c r="C31" s="2">
        <f>+'3,43'!M47</f>
        <v>274.81200000000001</v>
      </c>
      <c r="H31" s="5">
        <v>240.66</v>
      </c>
      <c r="I31" s="5">
        <v>245.196</v>
      </c>
      <c r="K31" s="5">
        <v>216.78</v>
      </c>
      <c r="L31" s="2">
        <v>230.05200000000002</v>
      </c>
    </row>
    <row r="32" spans="1:12" x14ac:dyDescent="0.35">
      <c r="A32" s="2">
        <v>49</v>
      </c>
      <c r="B32" s="5">
        <f>+'3,43'!K48</f>
        <v>266.35200000000003</v>
      </c>
      <c r="C32" s="2">
        <f>+'3,43'!M48</f>
        <v>271.93200000000002</v>
      </c>
      <c r="H32" s="5">
        <v>238.36799999999999</v>
      </c>
      <c r="I32" s="5">
        <v>243.024</v>
      </c>
      <c r="K32" s="5">
        <v>214.24799999999999</v>
      </c>
      <c r="L32" s="2">
        <v>227.96400000000003</v>
      </c>
    </row>
    <row r="33" spans="1:12" x14ac:dyDescent="0.35">
      <c r="A33" s="2">
        <v>50</v>
      </c>
      <c r="B33" s="5">
        <f>+'3,43'!K49</f>
        <v>263.26799999999997</v>
      </c>
      <c r="C33" s="2">
        <f>+'3,43'!M49</f>
        <v>268.95599999999996</v>
      </c>
      <c r="H33" s="5">
        <v>235.99200000000002</v>
      </c>
      <c r="I33" s="5">
        <v>240.768</v>
      </c>
      <c r="K33" s="5">
        <v>211.63200000000001</v>
      </c>
      <c r="L33" s="2">
        <v>225.768</v>
      </c>
    </row>
    <row r="34" spans="1:12" x14ac:dyDescent="0.35">
      <c r="A34" s="2">
        <v>51</v>
      </c>
      <c r="B34" s="5">
        <f>+'3,43'!K50</f>
        <v>260.07599999999996</v>
      </c>
      <c r="C34" s="2">
        <f>+'3,43'!M50</f>
        <v>265.87200000000001</v>
      </c>
      <c r="H34" s="5">
        <v>233.52</v>
      </c>
      <c r="I34" s="5">
        <v>238.416</v>
      </c>
      <c r="K34" s="5">
        <v>208.92</v>
      </c>
      <c r="L34" s="2">
        <v>223.488</v>
      </c>
    </row>
    <row r="35" spans="1:12" x14ac:dyDescent="0.35">
      <c r="A35" s="2">
        <v>52</v>
      </c>
      <c r="B35" s="5">
        <f>+'3,43'!K51</f>
        <v>256.77600000000001</v>
      </c>
      <c r="C35" s="2">
        <f>+'3,43'!M51</f>
        <v>262.68</v>
      </c>
      <c r="H35" s="5">
        <v>230.96400000000003</v>
      </c>
      <c r="I35" s="5">
        <v>235.96799999999999</v>
      </c>
      <c r="K35" s="5">
        <v>206.1</v>
      </c>
      <c r="L35" s="2">
        <v>221.11199999999999</v>
      </c>
    </row>
    <row r="36" spans="1:12" x14ac:dyDescent="0.35">
      <c r="A36" s="2">
        <v>53</v>
      </c>
      <c r="B36" s="5">
        <f>+'3,43'!K52</f>
        <v>253.38</v>
      </c>
      <c r="C36" s="2">
        <f>+'3,43'!M52</f>
        <v>259.392</v>
      </c>
      <c r="H36" s="5">
        <v>228.3</v>
      </c>
      <c r="I36" s="5">
        <v>233.42400000000001</v>
      </c>
      <c r="K36" s="5">
        <v>203.16</v>
      </c>
      <c r="L36" s="2">
        <v>218.62799999999999</v>
      </c>
    </row>
    <row r="37" spans="1:12" x14ac:dyDescent="0.35">
      <c r="A37" s="2">
        <v>54</v>
      </c>
      <c r="B37" s="5">
        <f>+'3,43'!K53</f>
        <v>249.864</v>
      </c>
      <c r="C37" s="2">
        <f>+'3,43'!M53</f>
        <v>255.97200000000001</v>
      </c>
      <c r="H37" s="5">
        <v>225.52799999999999</v>
      </c>
      <c r="I37" s="5">
        <v>230.76</v>
      </c>
      <c r="K37" s="5">
        <v>200.11199999999999</v>
      </c>
      <c r="L37" s="2">
        <v>216.03599999999997</v>
      </c>
    </row>
    <row r="38" spans="1:12" x14ac:dyDescent="0.35">
      <c r="A38" s="2">
        <v>55</v>
      </c>
      <c r="B38" s="5">
        <f>+'3,43'!K54</f>
        <v>246.25200000000001</v>
      </c>
      <c r="C38" s="2">
        <f>+'3,43'!M54</f>
        <v>252.44400000000002</v>
      </c>
      <c r="H38" s="5">
        <v>222.66</v>
      </c>
      <c r="I38" s="5">
        <v>227.988</v>
      </c>
      <c r="K38" s="5">
        <v>196.98</v>
      </c>
      <c r="L38" s="2">
        <v>213.31200000000001</v>
      </c>
    </row>
    <row r="39" spans="1:12" x14ac:dyDescent="0.35">
      <c r="A39" s="2">
        <v>56</v>
      </c>
      <c r="B39" s="5">
        <f>+'3,43'!K55</f>
        <v>242.55599999999998</v>
      </c>
      <c r="C39" s="2">
        <f>+'3,43'!M55</f>
        <v>248.79599999999999</v>
      </c>
      <c r="H39" s="5">
        <v>219.708</v>
      </c>
      <c r="I39" s="5">
        <v>225.108</v>
      </c>
      <c r="K39" s="5">
        <v>193.76400000000001</v>
      </c>
      <c r="L39" s="2">
        <v>210.49200000000002</v>
      </c>
    </row>
    <row r="40" spans="1:12" x14ac:dyDescent="0.35">
      <c r="A40" s="2">
        <v>57</v>
      </c>
      <c r="B40" s="5">
        <f>+'3,43'!K56</f>
        <v>238.75200000000001</v>
      </c>
      <c r="C40" s="2">
        <f>+'3,43'!M56</f>
        <v>245.04</v>
      </c>
      <c r="H40" s="5">
        <v>216.66</v>
      </c>
      <c r="I40" s="5">
        <v>222.12</v>
      </c>
      <c r="K40" s="5">
        <v>190.46400000000003</v>
      </c>
      <c r="L40" s="2">
        <v>207.56400000000002</v>
      </c>
    </row>
    <row r="41" spans="1:12" x14ac:dyDescent="0.35">
      <c r="A41" s="2">
        <v>58</v>
      </c>
      <c r="B41" s="5">
        <f>+'3,43'!K57</f>
        <v>234.852</v>
      </c>
      <c r="C41" s="2">
        <f>+'3,43'!M57</f>
        <v>241.16400000000002</v>
      </c>
      <c r="H41" s="5">
        <v>213.51599999999999</v>
      </c>
      <c r="I41" s="5">
        <v>219.024</v>
      </c>
      <c r="K41" s="5">
        <v>187.08</v>
      </c>
      <c r="L41" s="2">
        <v>204.51599999999999</v>
      </c>
    </row>
    <row r="42" spans="1:12" x14ac:dyDescent="0.35">
      <c r="A42" s="2">
        <v>59</v>
      </c>
      <c r="B42" s="5">
        <f>+'3,43'!K58</f>
        <v>230.84400000000002</v>
      </c>
      <c r="C42" s="2">
        <f>+'3,43'!M58</f>
        <v>237.15599999999998</v>
      </c>
      <c r="H42" s="5">
        <v>210.26400000000001</v>
      </c>
      <c r="I42" s="5">
        <v>215.79599999999999</v>
      </c>
      <c r="K42" s="5">
        <v>183.58799999999999</v>
      </c>
      <c r="L42" s="2">
        <v>201.34799999999998</v>
      </c>
    </row>
    <row r="43" spans="1:12" x14ac:dyDescent="0.35">
      <c r="A43" s="2">
        <v>60</v>
      </c>
      <c r="B43" s="5">
        <f>+'3,43'!K59</f>
        <v>226.72799999999998</v>
      </c>
      <c r="C43" s="2">
        <f>+'3,43'!M59</f>
        <v>233.02799999999999</v>
      </c>
      <c r="H43" s="5">
        <v>206.90400000000002</v>
      </c>
      <c r="I43" s="5">
        <v>212.44799999999998</v>
      </c>
      <c r="K43" s="5">
        <v>180.012</v>
      </c>
      <c r="L43" s="2">
        <v>198.06</v>
      </c>
    </row>
    <row r="44" spans="1:12" x14ac:dyDescent="0.35">
      <c r="A44" s="2">
        <v>61</v>
      </c>
      <c r="B44" s="5">
        <f>+'3,43'!K60</f>
        <v>222.49200000000002</v>
      </c>
      <c r="C44" s="2">
        <f>+'3,43'!M60</f>
        <v>228.768</v>
      </c>
      <c r="H44" s="5">
        <v>203.42400000000001</v>
      </c>
      <c r="I44" s="5">
        <v>208.98</v>
      </c>
      <c r="K44" s="5">
        <v>176.31599999999997</v>
      </c>
      <c r="L44" s="2">
        <v>194.64</v>
      </c>
    </row>
    <row r="45" spans="1:12" x14ac:dyDescent="0.35">
      <c r="A45" s="2">
        <v>62</v>
      </c>
      <c r="B45" s="5">
        <f>+'3,43'!K61</f>
        <v>218.148</v>
      </c>
      <c r="C45" s="2">
        <f>+'3,43'!M61</f>
        <v>224.38800000000001</v>
      </c>
      <c r="H45" s="5">
        <v>199.83599999999998</v>
      </c>
      <c r="I45" s="5">
        <v>205.38</v>
      </c>
      <c r="K45" s="5">
        <v>172.5</v>
      </c>
      <c r="L45" s="2">
        <v>191.11199999999999</v>
      </c>
    </row>
    <row r="46" spans="1:12" x14ac:dyDescent="0.35">
      <c r="A46" s="2">
        <v>63</v>
      </c>
      <c r="B46" s="5">
        <f>+'3,43'!K62</f>
        <v>213.672</v>
      </c>
      <c r="C46" s="2">
        <f>+'3,43'!M62</f>
        <v>219.88800000000001</v>
      </c>
      <c r="H46" s="5">
        <v>196.11599999999999</v>
      </c>
      <c r="I46" s="5">
        <v>201.66</v>
      </c>
      <c r="K46" s="5">
        <v>168.56400000000002</v>
      </c>
      <c r="L46" s="2">
        <v>187.46400000000003</v>
      </c>
    </row>
    <row r="47" spans="1:12" x14ac:dyDescent="0.35">
      <c r="A47" s="2">
        <v>64</v>
      </c>
      <c r="B47" s="5">
        <f>+'3,43'!K63</f>
        <v>209.07599999999999</v>
      </c>
      <c r="C47" s="2">
        <f>+'3,43'!M63</f>
        <v>215.28</v>
      </c>
      <c r="H47" s="5">
        <v>192.26400000000001</v>
      </c>
      <c r="I47" s="5">
        <v>197.82</v>
      </c>
      <c r="K47" s="5">
        <v>164.48400000000001</v>
      </c>
      <c r="L47" s="2">
        <v>183.72</v>
      </c>
    </row>
    <row r="48" spans="1:12" x14ac:dyDescent="0.35">
      <c r="A48" s="2">
        <v>65</v>
      </c>
      <c r="B48" s="5">
        <f>+'3,43'!K64</f>
        <v>204.34799999999998</v>
      </c>
      <c r="C48" s="2">
        <f>+'3,43'!M64</f>
        <v>210.55200000000002</v>
      </c>
      <c r="H48" s="5">
        <v>188.28</v>
      </c>
      <c r="I48" s="5">
        <v>193.87200000000001</v>
      </c>
      <c r="K48" s="5">
        <v>160.27200000000002</v>
      </c>
      <c r="L48" s="2">
        <v>179.88</v>
      </c>
    </row>
    <row r="49" spans="1:12" x14ac:dyDescent="0.35">
      <c r="A49" s="2">
        <v>66</v>
      </c>
      <c r="B49" s="5">
        <f>+'3,43'!K65</f>
        <v>199.524</v>
      </c>
      <c r="C49" s="2">
        <f>+'3,43'!M65</f>
        <v>205.71599999999998</v>
      </c>
      <c r="H49" s="5">
        <v>184.18799999999999</v>
      </c>
      <c r="I49" s="5">
        <v>189.804</v>
      </c>
      <c r="K49" s="5">
        <v>155.964</v>
      </c>
      <c r="L49" s="2">
        <v>175.92</v>
      </c>
    </row>
    <row r="50" spans="1:12" x14ac:dyDescent="0.35">
      <c r="A50" s="2">
        <v>67</v>
      </c>
      <c r="B50" s="5">
        <f>+'3,43'!K66</f>
        <v>194.59200000000001</v>
      </c>
      <c r="C50" s="2">
        <f>+'3,43'!M66</f>
        <v>200.76</v>
      </c>
      <c r="H50" s="5">
        <v>180</v>
      </c>
      <c r="I50" s="5">
        <v>185.61599999999999</v>
      </c>
      <c r="K50" s="5">
        <v>151.56</v>
      </c>
      <c r="L50" s="2">
        <v>171.864</v>
      </c>
    </row>
    <row r="51" spans="1:12" x14ac:dyDescent="0.35">
      <c r="A51" s="2">
        <v>68</v>
      </c>
      <c r="B51" s="5">
        <f>+'3,43'!K67</f>
        <v>189.58799999999999</v>
      </c>
      <c r="C51" s="2">
        <f>+'3,43'!M67</f>
        <v>195.708</v>
      </c>
      <c r="H51" s="5">
        <v>175.71599999999998</v>
      </c>
      <c r="I51" s="5">
        <v>181.30799999999999</v>
      </c>
      <c r="K51" s="5">
        <v>147.12</v>
      </c>
      <c r="L51" s="2">
        <v>167.68799999999999</v>
      </c>
    </row>
    <row r="52" spans="1:12" x14ac:dyDescent="0.35">
      <c r="A52" s="2">
        <v>69</v>
      </c>
      <c r="B52" s="5">
        <f>+'3,43'!K68</f>
        <v>184.524</v>
      </c>
      <c r="C52" s="2">
        <f>+'3,43'!M68</f>
        <v>190.548</v>
      </c>
      <c r="H52" s="5">
        <v>171.34799999999998</v>
      </c>
      <c r="I52" s="5">
        <v>176.892</v>
      </c>
      <c r="K52" s="5">
        <v>142.64400000000001</v>
      </c>
      <c r="L52" s="2">
        <v>163.416</v>
      </c>
    </row>
    <row r="53" spans="1:12" x14ac:dyDescent="0.35">
      <c r="A53" s="2">
        <v>70</v>
      </c>
      <c r="B53" s="5">
        <f>+'3,43'!K69</f>
        <v>179.38800000000001</v>
      </c>
      <c r="C53" s="2">
        <f>+'3,43'!M69</f>
        <v>185.304</v>
      </c>
      <c r="H53" s="5">
        <v>166.90799999999999</v>
      </c>
      <c r="I53" s="5">
        <v>172.36799999999999</v>
      </c>
      <c r="K53" s="5">
        <v>138.14400000000001</v>
      </c>
      <c r="L53" s="2">
        <v>159.06</v>
      </c>
    </row>
    <row r="54" spans="1:12" x14ac:dyDescent="0.35">
      <c r="A54" s="2">
        <v>71</v>
      </c>
      <c r="B54" s="5">
        <f>+'3,43'!K70</f>
        <v>174.19200000000001</v>
      </c>
      <c r="C54" s="2">
        <f>+'3,43'!M70</f>
        <v>179.96400000000003</v>
      </c>
      <c r="H54" s="5">
        <v>162.39600000000002</v>
      </c>
      <c r="I54" s="5">
        <v>167.74799999999999</v>
      </c>
      <c r="K54" s="5">
        <v>133.63200000000001</v>
      </c>
      <c r="L54" s="2">
        <v>154.62</v>
      </c>
    </row>
    <row r="55" spans="1:12" x14ac:dyDescent="0.35">
      <c r="A55" s="2">
        <v>72</v>
      </c>
      <c r="B55" s="5">
        <f>+'3,43'!K71</f>
        <v>168.94799999999998</v>
      </c>
      <c r="C55" s="2">
        <f>+'3,43'!M71</f>
        <v>174.52799999999999</v>
      </c>
      <c r="H55" s="5">
        <v>157.81200000000001</v>
      </c>
      <c r="I55" s="5">
        <v>163.02000000000001</v>
      </c>
      <c r="K55" s="5">
        <v>129.096</v>
      </c>
      <c r="L55" s="2">
        <v>150.084</v>
      </c>
    </row>
    <row r="56" spans="1:12" x14ac:dyDescent="0.35">
      <c r="A56" s="2">
        <v>73</v>
      </c>
      <c r="B56" s="5">
        <f>+'3,43'!K72</f>
        <v>163.62</v>
      </c>
      <c r="C56" s="2">
        <f>+'3,43'!M72</f>
        <v>168.99599999999998</v>
      </c>
      <c r="H56" s="5">
        <v>153.15600000000001</v>
      </c>
      <c r="I56" s="5">
        <v>158.184</v>
      </c>
      <c r="K56" s="5">
        <v>124.524</v>
      </c>
      <c r="L56" s="2">
        <v>145.452</v>
      </c>
    </row>
    <row r="57" spans="1:12" x14ac:dyDescent="0.35">
      <c r="A57" s="2">
        <v>74</v>
      </c>
      <c r="B57" s="5">
        <f>+'3,43'!K73</f>
        <v>158.244</v>
      </c>
      <c r="C57" s="2">
        <f>+'3,43'!M73</f>
        <v>163.35599999999999</v>
      </c>
      <c r="H57" s="5">
        <v>148.404</v>
      </c>
      <c r="I57" s="5">
        <v>153.21600000000001</v>
      </c>
      <c r="K57" s="5">
        <v>119.928</v>
      </c>
      <c r="L57" s="2">
        <v>140.71200000000002</v>
      </c>
    </row>
    <row r="58" spans="1:12" x14ac:dyDescent="0.35">
      <c r="A58" s="2">
        <v>75</v>
      </c>
      <c r="B58" s="5">
        <f>+'3,43'!K74</f>
        <v>152.78399999999999</v>
      </c>
      <c r="C58" s="2">
        <f>+'3,43'!M74</f>
        <v>157.63200000000001</v>
      </c>
      <c r="H58" s="5">
        <v>143.56799999999998</v>
      </c>
      <c r="I58" s="5">
        <v>148.15200000000002</v>
      </c>
      <c r="K58" s="5">
        <v>115.27200000000001</v>
      </c>
      <c r="L58" s="2">
        <v>135.852</v>
      </c>
    </row>
    <row r="59" spans="1:12" x14ac:dyDescent="0.35">
      <c r="A59" s="2">
        <v>76</v>
      </c>
      <c r="B59" s="5">
        <f>+'3,43'!K75</f>
        <v>147.27600000000001</v>
      </c>
      <c r="C59" s="2">
        <f>+'3,43'!M75</f>
        <v>151.82399999999998</v>
      </c>
      <c r="H59" s="5">
        <v>138.66</v>
      </c>
      <c r="I59" s="5">
        <v>142.97999999999999</v>
      </c>
      <c r="K59" s="5">
        <v>110.59200000000001</v>
      </c>
      <c r="L59" s="2">
        <v>130.90799999999999</v>
      </c>
    </row>
    <row r="60" spans="1:12" x14ac:dyDescent="0.35">
      <c r="A60" s="2">
        <v>77</v>
      </c>
      <c r="B60" s="5">
        <f>+'3,43'!K76</f>
        <v>141.708</v>
      </c>
      <c r="C60" s="2">
        <f>+'3,43'!M76</f>
        <v>145.95600000000002</v>
      </c>
      <c r="H60" s="5">
        <v>133.68</v>
      </c>
      <c r="I60" s="5">
        <v>137.73599999999999</v>
      </c>
      <c r="K60" s="5">
        <v>105.876</v>
      </c>
      <c r="L60" s="2">
        <v>125.89200000000001</v>
      </c>
    </row>
    <row r="61" spans="1:12" x14ac:dyDescent="0.35">
      <c r="A61" s="2">
        <v>78</v>
      </c>
      <c r="B61" s="5">
        <f>+'3,43'!K77</f>
        <v>136.11600000000001</v>
      </c>
      <c r="C61" s="2">
        <f>+'3,43'!M77</f>
        <v>140.06399999999999</v>
      </c>
      <c r="H61" s="5">
        <v>128.65200000000002</v>
      </c>
      <c r="I61" s="5">
        <v>132.44399999999999</v>
      </c>
      <c r="K61" s="5">
        <v>101.16</v>
      </c>
      <c r="L61" s="2">
        <v>120.84</v>
      </c>
    </row>
    <row r="62" spans="1:12" x14ac:dyDescent="0.35">
      <c r="A62" s="2">
        <v>79</v>
      </c>
      <c r="B62" s="5">
        <f>+'3,43'!K78</f>
        <v>130.512</v>
      </c>
      <c r="C62" s="2">
        <f>+'3,43'!M78</f>
        <v>134.148</v>
      </c>
      <c r="H62" s="5">
        <v>123.6</v>
      </c>
      <c r="I62" s="5">
        <v>127.104</v>
      </c>
      <c r="K62" s="5">
        <v>96.48</v>
      </c>
      <c r="L62" s="2">
        <v>115.764</v>
      </c>
    </row>
    <row r="63" spans="1:12" x14ac:dyDescent="0.35">
      <c r="A63" s="2">
        <v>80</v>
      </c>
      <c r="B63" s="5">
        <f>+'3,43'!K79</f>
        <v>124.92</v>
      </c>
      <c r="C63" s="2">
        <f>+'3,43'!M79</f>
        <v>128.244</v>
      </c>
      <c r="H63" s="5">
        <v>118.524</v>
      </c>
      <c r="I63" s="5">
        <v>121.75200000000001</v>
      </c>
      <c r="K63" s="5">
        <v>91.835999999999999</v>
      </c>
      <c r="L63" s="2">
        <v>110.676</v>
      </c>
    </row>
    <row r="64" spans="1:12" x14ac:dyDescent="0.35">
      <c r="A64" s="2">
        <v>81</v>
      </c>
      <c r="B64" s="5">
        <f>+'3,43'!K80</f>
        <v>119.36399999999999</v>
      </c>
      <c r="C64" s="2">
        <f>+'3,43'!M80</f>
        <v>122.352</v>
      </c>
      <c r="H64" s="5">
        <v>113.47200000000001</v>
      </c>
      <c r="I64" s="5">
        <v>116.38799999999999</v>
      </c>
      <c r="K64" s="5">
        <v>87.27600000000001</v>
      </c>
      <c r="L64" s="2">
        <v>105.57600000000001</v>
      </c>
    </row>
    <row r="65" spans="1:12" x14ac:dyDescent="0.35">
      <c r="A65" s="2">
        <v>82</v>
      </c>
      <c r="B65" s="5">
        <f>+'3,43'!K81</f>
        <v>113.88</v>
      </c>
      <c r="C65" s="2">
        <f>+'3,43'!M81</f>
        <v>116.508</v>
      </c>
      <c r="H65" s="5">
        <v>108.456</v>
      </c>
      <c r="I65" s="5">
        <v>111.036</v>
      </c>
      <c r="K65" s="5">
        <v>82.823999999999998</v>
      </c>
      <c r="L65" s="2">
        <v>100.512</v>
      </c>
    </row>
    <row r="66" spans="1:12" x14ac:dyDescent="0.35">
      <c r="A66" s="2">
        <v>83</v>
      </c>
      <c r="B66" s="5">
        <f>+'3,43'!K82</f>
        <v>108.46799999999999</v>
      </c>
      <c r="C66" s="2">
        <f>+'3,43'!M82</f>
        <v>110.72399999999999</v>
      </c>
      <c r="H66" s="5">
        <v>103.5</v>
      </c>
      <c r="I66" s="5">
        <v>105.73200000000001</v>
      </c>
      <c r="K66" s="5">
        <v>78.492000000000004</v>
      </c>
      <c r="L66" s="2">
        <v>95.483999999999995</v>
      </c>
    </row>
    <row r="67" spans="1:12" x14ac:dyDescent="0.35">
      <c r="A67" s="2">
        <v>84</v>
      </c>
      <c r="B67" s="5">
        <f>+'3,43'!K83</f>
        <v>103.14</v>
      </c>
      <c r="C67" s="2">
        <f>+'3,43'!M83</f>
        <v>105.036</v>
      </c>
      <c r="H67" s="5">
        <v>98.592000000000013</v>
      </c>
      <c r="I67" s="5">
        <v>100.488</v>
      </c>
      <c r="K67" s="5">
        <v>74.28</v>
      </c>
      <c r="L67" s="2">
        <v>90.54</v>
      </c>
    </row>
    <row r="68" spans="1:12" x14ac:dyDescent="0.35">
      <c r="A68" s="2">
        <v>85</v>
      </c>
      <c r="B68" s="5">
        <f>+'3,43'!K84</f>
        <v>97.92</v>
      </c>
      <c r="C68" s="2">
        <f>+'3,43'!M84</f>
        <v>99.467999999999989</v>
      </c>
      <c r="H68" s="5">
        <v>93.78</v>
      </c>
      <c r="I68" s="5">
        <v>95.34</v>
      </c>
      <c r="K68" s="5">
        <v>70.212000000000003</v>
      </c>
      <c r="L68" s="2">
        <v>85.703999999999994</v>
      </c>
    </row>
    <row r="69" spans="1:12" x14ac:dyDescent="0.35">
      <c r="A69" s="2">
        <v>86</v>
      </c>
      <c r="B69" s="5">
        <f>+'3,43'!K85</f>
        <v>92.807999999999993</v>
      </c>
      <c r="C69" s="2">
        <f>+'3,43'!M85</f>
        <v>94.032000000000011</v>
      </c>
      <c r="H69" s="5">
        <v>89.04</v>
      </c>
      <c r="I69" s="5">
        <v>90.3</v>
      </c>
      <c r="K69" s="5">
        <v>66.27600000000001</v>
      </c>
      <c r="L69" s="2">
        <v>80.988</v>
      </c>
    </row>
    <row r="70" spans="1:12" x14ac:dyDescent="0.35">
      <c r="A70" s="2">
        <v>87</v>
      </c>
      <c r="B70" s="5">
        <f>+'3,43'!K86</f>
        <v>87.816000000000003</v>
      </c>
      <c r="C70" s="2">
        <f>+'3,43'!M86</f>
        <v>88.74</v>
      </c>
      <c r="H70" s="5">
        <v>84.407999999999987</v>
      </c>
      <c r="I70" s="5">
        <v>85.38</v>
      </c>
      <c r="K70" s="5">
        <v>62.483999999999995</v>
      </c>
      <c r="L70" s="2">
        <v>76.403999999999996</v>
      </c>
    </row>
    <row r="71" spans="1:12" x14ac:dyDescent="0.35">
      <c r="A71" s="2">
        <v>88</v>
      </c>
      <c r="B71" s="5">
        <f>+'3,43'!K87</f>
        <v>82.956000000000003</v>
      </c>
      <c r="C71" s="2">
        <f>+'3,43'!M87</f>
        <v>83.616</v>
      </c>
      <c r="H71" s="5">
        <v>79.872</v>
      </c>
      <c r="I71" s="5">
        <v>80.591999999999999</v>
      </c>
      <c r="K71" s="5">
        <v>58.836000000000006</v>
      </c>
      <c r="L71" s="2">
        <v>71.975999999999999</v>
      </c>
    </row>
    <row r="72" spans="1:12" x14ac:dyDescent="0.35">
      <c r="A72" s="2">
        <v>89</v>
      </c>
      <c r="B72" s="5">
        <f>+'3,43'!K88</f>
        <v>78.228000000000009</v>
      </c>
      <c r="C72" s="2">
        <f>+'3,43'!M88</f>
        <v>78.63600000000001</v>
      </c>
      <c r="H72" s="5">
        <v>75.456000000000003</v>
      </c>
      <c r="I72" s="5">
        <v>75.923999999999992</v>
      </c>
      <c r="K72" s="5">
        <v>55.332000000000001</v>
      </c>
      <c r="L72" s="2">
        <v>67.680000000000007</v>
      </c>
    </row>
    <row r="73" spans="1:12" x14ac:dyDescent="0.35">
      <c r="A73" s="2">
        <v>90</v>
      </c>
      <c r="B73" s="5">
        <f>+'3,43'!K89</f>
        <v>73.643999999999991</v>
      </c>
      <c r="C73" s="2">
        <f>+'3,43'!M89</f>
        <v>73.8</v>
      </c>
      <c r="H73" s="5">
        <v>71.16</v>
      </c>
      <c r="I73" s="5">
        <v>71.388000000000005</v>
      </c>
      <c r="K73" s="5">
        <v>51.983999999999995</v>
      </c>
      <c r="L73" s="2">
        <v>63.491999999999997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3CBD-E226-40C5-8EAC-30DA1C191546}">
  <sheetPr codeName="Hoja8"/>
  <dimension ref="A1:P89"/>
  <sheetViews>
    <sheetView topLeftCell="A5" workbookViewId="0">
      <selection activeCell="K19" sqref="K19:L19"/>
    </sheetView>
  </sheetViews>
  <sheetFormatPr baseColWidth="10" defaultColWidth="6.81640625" defaultRowHeight="14.5" x14ac:dyDescent="0.35"/>
  <cols>
    <col min="1" max="1" width="6.81640625" style="59" customWidth="1"/>
    <col min="2" max="16384" width="6.81640625" style="59"/>
  </cols>
  <sheetData>
    <row r="1" spans="1:16" ht="14.25" customHeight="1" x14ac:dyDescent="0.35">
      <c r="A1" s="122" t="s">
        <v>96</v>
      </c>
      <c r="B1" s="122"/>
      <c r="C1" s="122"/>
      <c r="D1" s="122"/>
      <c r="E1" s="122"/>
      <c r="F1" s="122"/>
    </row>
    <row r="2" spans="1:16" x14ac:dyDescent="0.35">
      <c r="A2" s="123" t="s">
        <v>97</v>
      </c>
      <c r="B2" s="123"/>
      <c r="C2" s="123"/>
      <c r="D2" s="123"/>
      <c r="E2" s="123"/>
      <c r="F2" s="123"/>
      <c r="G2" s="123"/>
    </row>
    <row r="3" spans="1:16" ht="0.75" customHeight="1" x14ac:dyDescent="0.35">
      <c r="A3" s="123"/>
      <c r="B3" s="123"/>
      <c r="C3" s="123"/>
      <c r="D3" s="123"/>
      <c r="E3" s="123"/>
      <c r="F3" s="123"/>
      <c r="G3" s="123"/>
    </row>
    <row r="4" spans="1:16" ht="13.5" customHeight="1" x14ac:dyDescent="0.35">
      <c r="A4" s="123" t="s">
        <v>124</v>
      </c>
      <c r="B4" s="123"/>
      <c r="C4" s="123"/>
      <c r="D4" s="123"/>
      <c r="E4" s="123"/>
      <c r="F4" s="123"/>
      <c r="G4" s="123"/>
    </row>
    <row r="5" spans="1:16" ht="11.25" customHeight="1" x14ac:dyDescent="0.35"/>
    <row r="6" spans="1:16" ht="28.5" customHeight="1" x14ac:dyDescent="0.35"/>
    <row r="7" spans="1:16" ht="15.75" customHeight="1" x14ac:dyDescent="0.35">
      <c r="A7" s="124" t="s">
        <v>99</v>
      </c>
      <c r="B7" s="124"/>
      <c r="C7" s="124"/>
      <c r="D7" s="124"/>
      <c r="E7" s="124"/>
      <c r="F7" s="124"/>
      <c r="G7" s="124"/>
      <c r="H7" s="124"/>
      <c r="I7" s="124"/>
      <c r="J7" s="124"/>
      <c r="K7" s="124"/>
      <c r="L7" s="124"/>
      <c r="M7" s="124"/>
      <c r="N7" s="124"/>
      <c r="O7" s="124"/>
      <c r="P7" s="124"/>
    </row>
    <row r="8" spans="1:16" ht="8.25" customHeight="1" x14ac:dyDescent="0.35"/>
    <row r="9" spans="1:16" ht="11.25" customHeight="1" x14ac:dyDescent="0.35">
      <c r="A9" s="123" t="s">
        <v>125</v>
      </c>
      <c r="B9" s="123"/>
      <c r="C9" s="123"/>
      <c r="D9" s="123"/>
      <c r="E9" s="123"/>
    </row>
    <row r="10" spans="1:16" ht="9" customHeight="1" x14ac:dyDescent="0.35"/>
    <row r="11" spans="1:16" ht="7.5" customHeight="1" x14ac:dyDescent="0.35"/>
    <row r="12" spans="1:16" x14ac:dyDescent="0.35">
      <c r="B12" s="118" t="s">
        <v>101</v>
      </c>
      <c r="C12" s="118"/>
      <c r="D12" s="118"/>
      <c r="E12" s="118"/>
      <c r="F12" s="118"/>
      <c r="G12" s="118"/>
      <c r="H12" s="118"/>
      <c r="I12" s="118"/>
    </row>
    <row r="13" spans="1:16" ht="13.5" customHeight="1" x14ac:dyDescent="0.35">
      <c r="B13" s="118" t="s">
        <v>102</v>
      </c>
      <c r="C13" s="118"/>
      <c r="D13" s="118"/>
      <c r="E13" s="118"/>
      <c r="F13" s="118"/>
      <c r="G13" s="118"/>
      <c r="H13" s="118"/>
      <c r="I13" s="118"/>
    </row>
    <row r="14" spans="1:16" ht="9" customHeight="1" x14ac:dyDescent="0.35">
      <c r="B14" s="119" t="s">
        <v>103</v>
      </c>
      <c r="C14" s="119"/>
      <c r="D14" s="119"/>
      <c r="E14" s="119"/>
      <c r="F14" s="119"/>
      <c r="G14" s="119"/>
      <c r="H14" s="119"/>
      <c r="J14" s="119" t="s">
        <v>104</v>
      </c>
      <c r="K14" s="119"/>
      <c r="L14" s="119"/>
      <c r="M14" s="119"/>
      <c r="N14" s="119"/>
      <c r="O14" s="119"/>
    </row>
    <row r="15" spans="1:16" ht="2.25" customHeight="1" x14ac:dyDescent="0.35">
      <c r="B15" s="119"/>
      <c r="C15" s="119"/>
      <c r="D15" s="119"/>
      <c r="E15" s="119"/>
      <c r="F15" s="119"/>
      <c r="G15" s="119"/>
      <c r="H15" s="119"/>
      <c r="J15" s="119"/>
      <c r="K15" s="119"/>
      <c r="L15" s="119"/>
      <c r="M15" s="119"/>
      <c r="N15" s="119"/>
      <c r="O15" s="119"/>
    </row>
    <row r="16" spans="1:16" ht="11.25" customHeight="1" x14ac:dyDescent="0.35">
      <c r="B16" s="120" t="s">
        <v>105</v>
      </c>
      <c r="C16" s="120"/>
      <c r="D16" s="120"/>
      <c r="E16" s="120"/>
      <c r="J16" s="120" t="s">
        <v>106</v>
      </c>
      <c r="K16" s="120"/>
      <c r="L16" s="120"/>
      <c r="M16" s="120"/>
    </row>
    <row r="17" spans="2:14" ht="11.25" customHeight="1" x14ac:dyDescent="0.35"/>
    <row r="18" spans="2:14" ht="14.25" customHeight="1" x14ac:dyDescent="0.35">
      <c r="B18" s="60" t="s">
        <v>1</v>
      </c>
      <c r="C18" s="121" t="s">
        <v>81</v>
      </c>
      <c r="D18" s="121"/>
      <c r="E18" s="121" t="s">
        <v>82</v>
      </c>
      <c r="F18" s="121"/>
      <c r="K18" s="121" t="s">
        <v>81</v>
      </c>
      <c r="L18" s="121"/>
      <c r="M18" s="121" t="s">
        <v>82</v>
      </c>
      <c r="N18" s="121"/>
    </row>
    <row r="19" spans="2:14" x14ac:dyDescent="0.35">
      <c r="B19" s="61">
        <v>20</v>
      </c>
      <c r="C19" s="116">
        <v>26.901999999999997</v>
      </c>
      <c r="D19" s="116"/>
      <c r="E19" s="116">
        <v>27.143000000000001</v>
      </c>
      <c r="F19" s="116"/>
      <c r="K19" s="117">
        <v>322.82400000000001</v>
      </c>
      <c r="L19" s="117"/>
      <c r="M19" s="117">
        <v>325.71600000000001</v>
      </c>
      <c r="N19" s="117"/>
    </row>
    <row r="20" spans="2:14" x14ac:dyDescent="0.35">
      <c r="B20" s="61">
        <v>21</v>
      </c>
      <c r="C20" s="116">
        <v>26.805</v>
      </c>
      <c r="D20" s="116"/>
      <c r="E20" s="116">
        <v>27.052</v>
      </c>
      <c r="F20" s="116"/>
      <c r="K20" s="117">
        <v>321.66000000000003</v>
      </c>
      <c r="L20" s="117"/>
      <c r="M20" s="117">
        <v>324.62400000000002</v>
      </c>
      <c r="N20" s="117"/>
    </row>
    <row r="21" spans="2:14" x14ac:dyDescent="0.35">
      <c r="B21" s="61">
        <v>22</v>
      </c>
      <c r="C21" s="116">
        <v>26.704999999999998</v>
      </c>
      <c r="D21" s="116"/>
      <c r="E21" s="116">
        <v>26.958000000000002</v>
      </c>
      <c r="F21" s="116"/>
      <c r="K21" s="117">
        <v>320.45999999999998</v>
      </c>
      <c r="L21" s="117"/>
      <c r="M21" s="117">
        <v>323.49599999999998</v>
      </c>
      <c r="N21" s="117"/>
    </row>
    <row r="22" spans="2:14" x14ac:dyDescent="0.35">
      <c r="B22" s="61">
        <v>23</v>
      </c>
      <c r="C22" s="116">
        <v>26.601999999999997</v>
      </c>
      <c r="D22" s="116"/>
      <c r="E22" s="116">
        <v>26.861000000000001</v>
      </c>
      <c r="F22" s="116"/>
      <c r="K22" s="117">
        <v>319.22399999999999</v>
      </c>
      <c r="L22" s="117"/>
      <c r="M22" s="117">
        <v>322.33199999999999</v>
      </c>
      <c r="N22" s="117"/>
    </row>
    <row r="23" spans="2:14" x14ac:dyDescent="0.35">
      <c r="B23" s="61">
        <v>24</v>
      </c>
      <c r="C23" s="116">
        <v>26.495000000000001</v>
      </c>
      <c r="D23" s="116"/>
      <c r="E23" s="116">
        <v>26.76</v>
      </c>
      <c r="F23" s="116"/>
      <c r="K23" s="117">
        <v>317.94</v>
      </c>
      <c r="L23" s="117"/>
      <c r="M23" s="117">
        <v>321.12</v>
      </c>
      <c r="N23" s="117"/>
    </row>
    <row r="24" spans="2:14" x14ac:dyDescent="0.35">
      <c r="B24" s="61">
        <v>25</v>
      </c>
      <c r="C24" s="116">
        <v>26.384</v>
      </c>
      <c r="D24" s="116"/>
      <c r="E24" s="116">
        <v>26.655000000000001</v>
      </c>
      <c r="F24" s="116"/>
      <c r="K24" s="117">
        <v>316.608</v>
      </c>
      <c r="L24" s="117"/>
      <c r="M24" s="117">
        <v>319.86</v>
      </c>
      <c r="N24" s="117"/>
    </row>
    <row r="25" spans="2:14" x14ac:dyDescent="0.35">
      <c r="B25" s="61">
        <v>26</v>
      </c>
      <c r="C25" s="116">
        <v>26.269000000000002</v>
      </c>
      <c r="D25" s="116"/>
      <c r="E25" s="116">
        <v>26.546999999999997</v>
      </c>
      <c r="F25" s="116"/>
      <c r="K25" s="117">
        <v>315.22800000000001</v>
      </c>
      <c r="L25" s="117"/>
      <c r="M25" s="117">
        <v>318.56400000000002</v>
      </c>
      <c r="N25" s="117"/>
    </row>
    <row r="26" spans="2:14" x14ac:dyDescent="0.35">
      <c r="B26" s="61">
        <v>27</v>
      </c>
      <c r="C26" s="116">
        <v>26.151</v>
      </c>
      <c r="D26" s="116"/>
      <c r="E26" s="116">
        <v>26.434000000000001</v>
      </c>
      <c r="F26" s="116"/>
      <c r="K26" s="117">
        <v>313.81200000000001</v>
      </c>
      <c r="L26" s="117"/>
      <c r="M26" s="117">
        <v>317.20799999999997</v>
      </c>
      <c r="N26" s="117"/>
    </row>
    <row r="27" spans="2:14" x14ac:dyDescent="0.35">
      <c r="B27" s="61">
        <v>28</v>
      </c>
      <c r="C27" s="116">
        <v>26.028000000000002</v>
      </c>
      <c r="D27" s="116"/>
      <c r="E27" s="116">
        <v>26.316999999999997</v>
      </c>
      <c r="F27" s="116"/>
      <c r="K27" s="117">
        <v>312.33600000000001</v>
      </c>
      <c r="L27" s="117"/>
      <c r="M27" s="117">
        <v>315.80400000000003</v>
      </c>
      <c r="N27" s="117"/>
    </row>
    <row r="28" spans="2:14" x14ac:dyDescent="0.35">
      <c r="B28" s="61">
        <v>29</v>
      </c>
      <c r="C28" s="116">
        <v>25.901</v>
      </c>
      <c r="D28" s="116"/>
      <c r="E28" s="116">
        <v>26.196999999999999</v>
      </c>
      <c r="F28" s="116"/>
      <c r="K28" s="117">
        <v>310.81200000000001</v>
      </c>
      <c r="L28" s="117"/>
      <c r="M28" s="117">
        <v>314.36400000000003</v>
      </c>
      <c r="N28" s="117"/>
    </row>
    <row r="29" spans="2:14" x14ac:dyDescent="0.35">
      <c r="B29" s="61">
        <v>30</v>
      </c>
      <c r="C29" s="116">
        <v>25.77</v>
      </c>
      <c r="D29" s="116"/>
      <c r="E29" s="116">
        <v>26.071999999999999</v>
      </c>
      <c r="F29" s="116"/>
      <c r="K29" s="117">
        <v>309.24</v>
      </c>
      <c r="L29" s="117"/>
      <c r="M29" s="117">
        <v>312.86400000000003</v>
      </c>
      <c r="N29" s="117"/>
    </row>
    <row r="30" spans="2:14" x14ac:dyDescent="0.35">
      <c r="B30" s="61">
        <v>31</v>
      </c>
      <c r="C30" s="116">
        <v>25.633000000000003</v>
      </c>
      <c r="D30" s="116"/>
      <c r="E30" s="116">
        <v>25.941999999999997</v>
      </c>
      <c r="F30" s="116"/>
      <c r="K30" s="117">
        <v>307.596</v>
      </c>
      <c r="L30" s="117"/>
      <c r="M30" s="117">
        <v>311.30400000000003</v>
      </c>
      <c r="N30" s="117"/>
    </row>
    <row r="31" spans="2:14" x14ac:dyDescent="0.35">
      <c r="B31" s="61">
        <v>32</v>
      </c>
      <c r="C31" s="116">
        <v>25.491999999999997</v>
      </c>
      <c r="D31" s="116"/>
      <c r="E31" s="116">
        <v>25.808000000000003</v>
      </c>
      <c r="F31" s="116"/>
      <c r="K31" s="117">
        <v>305.904</v>
      </c>
      <c r="L31" s="117"/>
      <c r="M31" s="117">
        <v>309.69599999999997</v>
      </c>
      <c r="N31" s="117"/>
    </row>
    <row r="32" spans="2:14" x14ac:dyDescent="0.35">
      <c r="B32" s="61">
        <v>33</v>
      </c>
      <c r="C32" s="116">
        <v>25.346999999999998</v>
      </c>
      <c r="D32" s="116"/>
      <c r="E32" s="116">
        <v>25.67</v>
      </c>
      <c r="F32" s="116"/>
      <c r="K32" s="117">
        <v>304.16399999999999</v>
      </c>
      <c r="L32" s="117"/>
      <c r="M32" s="117">
        <v>308.04000000000002</v>
      </c>
      <c r="N32" s="117"/>
    </row>
    <row r="33" spans="2:14" x14ac:dyDescent="0.35">
      <c r="B33" s="61">
        <v>34</v>
      </c>
      <c r="C33" s="116">
        <v>25.195999999999998</v>
      </c>
      <c r="D33" s="116"/>
      <c r="E33" s="116">
        <v>25.526</v>
      </c>
      <c r="F33" s="116"/>
      <c r="K33" s="117">
        <v>302.35200000000003</v>
      </c>
      <c r="L33" s="117"/>
      <c r="M33" s="117">
        <v>306.31200000000001</v>
      </c>
      <c r="N33" s="117"/>
    </row>
    <row r="34" spans="2:14" x14ac:dyDescent="0.35">
      <c r="B34" s="61">
        <v>35</v>
      </c>
      <c r="C34" s="116">
        <v>25.04</v>
      </c>
      <c r="D34" s="116"/>
      <c r="E34" s="116">
        <v>25.378</v>
      </c>
      <c r="F34" s="116"/>
      <c r="K34" s="117">
        <v>300.48</v>
      </c>
      <c r="L34" s="117"/>
      <c r="M34" s="117">
        <v>304.536</v>
      </c>
      <c r="N34" s="117"/>
    </row>
    <row r="35" spans="2:14" x14ac:dyDescent="0.35">
      <c r="B35" s="61">
        <v>36</v>
      </c>
      <c r="C35" s="116">
        <v>24.878</v>
      </c>
      <c r="D35" s="116"/>
      <c r="E35" s="116">
        <v>25.224</v>
      </c>
      <c r="F35" s="116"/>
      <c r="K35" s="117">
        <v>298.536</v>
      </c>
      <c r="L35" s="117"/>
      <c r="M35" s="117">
        <v>302.68799999999999</v>
      </c>
      <c r="N35" s="117"/>
    </row>
    <row r="36" spans="2:14" x14ac:dyDescent="0.35">
      <c r="B36" s="61">
        <v>37</v>
      </c>
      <c r="C36" s="116">
        <v>24.710999999999999</v>
      </c>
      <c r="D36" s="116"/>
      <c r="E36" s="116">
        <v>25.065000000000001</v>
      </c>
      <c r="F36" s="116"/>
      <c r="K36" s="117">
        <v>296.53199999999998</v>
      </c>
      <c r="L36" s="117"/>
      <c r="M36" s="117">
        <v>300.77999999999997</v>
      </c>
      <c r="N36" s="117"/>
    </row>
    <row r="37" spans="2:14" x14ac:dyDescent="0.35">
      <c r="B37" s="61">
        <v>38</v>
      </c>
      <c r="C37" s="116">
        <v>24.538</v>
      </c>
      <c r="D37" s="116"/>
      <c r="E37" s="116">
        <v>24.9</v>
      </c>
      <c r="F37" s="116"/>
      <c r="K37" s="117">
        <v>294.45599999999996</v>
      </c>
      <c r="L37" s="117"/>
      <c r="M37" s="117">
        <v>298.8</v>
      </c>
      <c r="N37" s="117"/>
    </row>
    <row r="38" spans="2:14" x14ac:dyDescent="0.35">
      <c r="B38" s="61">
        <v>39</v>
      </c>
      <c r="C38" s="116">
        <v>24.359000000000002</v>
      </c>
      <c r="D38" s="116"/>
      <c r="E38" s="116">
        <v>24.73</v>
      </c>
      <c r="F38" s="116"/>
      <c r="K38" s="117">
        <v>292.30799999999999</v>
      </c>
      <c r="L38" s="117"/>
      <c r="M38" s="117">
        <v>296.76</v>
      </c>
      <c r="N38" s="117"/>
    </row>
    <row r="39" spans="2:14" x14ac:dyDescent="0.35">
      <c r="B39" s="61">
        <v>40</v>
      </c>
      <c r="C39" s="116">
        <v>24.173000000000002</v>
      </c>
      <c r="D39" s="116"/>
      <c r="E39" s="116">
        <v>24.553000000000001</v>
      </c>
      <c r="F39" s="116"/>
      <c r="K39" s="117">
        <v>290.07599999999996</v>
      </c>
      <c r="L39" s="117"/>
      <c r="M39" s="117">
        <v>294.63599999999997</v>
      </c>
      <c r="N39" s="117"/>
    </row>
    <row r="40" spans="2:14" x14ac:dyDescent="0.35">
      <c r="B40" s="61">
        <v>41</v>
      </c>
      <c r="C40" s="116">
        <v>23.981999999999999</v>
      </c>
      <c r="D40" s="116"/>
      <c r="E40" s="116">
        <v>24.370999999999999</v>
      </c>
      <c r="F40" s="116"/>
      <c r="K40" s="117">
        <v>287.78399999999999</v>
      </c>
      <c r="L40" s="117"/>
      <c r="M40" s="117">
        <v>292.452</v>
      </c>
      <c r="N40" s="117"/>
    </row>
    <row r="41" spans="2:14" x14ac:dyDescent="0.35">
      <c r="B41" s="61">
        <v>42</v>
      </c>
      <c r="C41" s="116">
        <v>23.784000000000002</v>
      </c>
      <c r="D41" s="116"/>
      <c r="E41" s="116">
        <v>24.180999999999997</v>
      </c>
      <c r="F41" s="116"/>
      <c r="K41" s="117">
        <v>285.40800000000002</v>
      </c>
      <c r="L41" s="117"/>
      <c r="M41" s="117">
        <v>290.17200000000003</v>
      </c>
      <c r="N41" s="117"/>
    </row>
    <row r="42" spans="2:14" x14ac:dyDescent="0.35">
      <c r="B42" s="61">
        <v>43</v>
      </c>
      <c r="C42" s="116">
        <v>23.579000000000001</v>
      </c>
      <c r="D42" s="116"/>
      <c r="E42" s="116">
        <v>23.986000000000001</v>
      </c>
      <c r="F42" s="116"/>
      <c r="K42" s="117">
        <v>282.94799999999998</v>
      </c>
      <c r="L42" s="117"/>
      <c r="M42" s="117">
        <v>287.83199999999999</v>
      </c>
      <c r="N42" s="117"/>
    </row>
    <row r="43" spans="2:14" x14ac:dyDescent="0.35">
      <c r="B43" s="61">
        <v>44</v>
      </c>
      <c r="C43" s="116">
        <v>23.368000000000002</v>
      </c>
      <c r="D43" s="116"/>
      <c r="E43" s="116">
        <v>23.783000000000001</v>
      </c>
      <c r="F43" s="116"/>
      <c r="K43" s="117">
        <v>280.416</v>
      </c>
      <c r="L43" s="117"/>
      <c r="M43" s="117">
        <v>285.39599999999996</v>
      </c>
      <c r="N43" s="117"/>
    </row>
    <row r="44" spans="2:14" x14ac:dyDescent="0.35">
      <c r="B44" s="61">
        <v>45</v>
      </c>
      <c r="C44" s="116">
        <v>23.149000000000001</v>
      </c>
      <c r="D44" s="116"/>
      <c r="E44" s="116">
        <v>23.574000000000002</v>
      </c>
      <c r="F44" s="116"/>
      <c r="K44" s="117">
        <v>277.78800000000001</v>
      </c>
      <c r="L44" s="117"/>
      <c r="M44" s="117">
        <v>282.88799999999998</v>
      </c>
      <c r="N44" s="117"/>
    </row>
    <row r="45" spans="2:14" x14ac:dyDescent="0.35">
      <c r="B45" s="61">
        <v>46</v>
      </c>
      <c r="C45" s="116">
        <v>22.921999999999997</v>
      </c>
      <c r="D45" s="116"/>
      <c r="E45" s="116">
        <v>23.356999999999999</v>
      </c>
      <c r="F45" s="116"/>
      <c r="K45" s="117">
        <v>275.06400000000002</v>
      </c>
      <c r="L45" s="117"/>
      <c r="M45" s="117">
        <v>280.28399999999999</v>
      </c>
      <c r="N45" s="117"/>
    </row>
    <row r="46" spans="2:14" x14ac:dyDescent="0.35">
      <c r="B46" s="61">
        <v>47</v>
      </c>
      <c r="C46" s="116">
        <v>22.688000000000002</v>
      </c>
      <c r="D46" s="116"/>
      <c r="E46" s="116">
        <v>23.133000000000003</v>
      </c>
      <c r="F46" s="116"/>
      <c r="K46" s="117">
        <v>272.25599999999997</v>
      </c>
      <c r="L46" s="117"/>
      <c r="M46" s="117">
        <v>277.596</v>
      </c>
      <c r="N46" s="117"/>
    </row>
    <row r="47" spans="2:14" x14ac:dyDescent="0.35">
      <c r="B47" s="61">
        <v>48</v>
      </c>
      <c r="C47" s="116">
        <v>22.445999999999998</v>
      </c>
      <c r="D47" s="116"/>
      <c r="E47" s="116">
        <v>22.901</v>
      </c>
      <c r="F47" s="116"/>
      <c r="K47" s="117">
        <v>269.35200000000003</v>
      </c>
      <c r="L47" s="117"/>
      <c r="M47" s="117">
        <v>274.81200000000001</v>
      </c>
      <c r="N47" s="117"/>
    </row>
    <row r="48" spans="2:14" x14ac:dyDescent="0.35">
      <c r="B48" s="61">
        <v>49</v>
      </c>
      <c r="C48" s="116">
        <v>22.195999999999998</v>
      </c>
      <c r="D48" s="116"/>
      <c r="E48" s="116">
        <v>22.660999999999998</v>
      </c>
      <c r="F48" s="116"/>
      <c r="K48" s="117">
        <v>266.35200000000003</v>
      </c>
      <c r="L48" s="117"/>
      <c r="M48" s="117">
        <v>271.93200000000002</v>
      </c>
      <c r="N48" s="117"/>
    </row>
    <row r="49" spans="2:14" x14ac:dyDescent="0.35">
      <c r="B49" s="61">
        <v>50</v>
      </c>
      <c r="C49" s="116">
        <v>21.939</v>
      </c>
      <c r="D49" s="116"/>
      <c r="E49" s="116">
        <v>22.413</v>
      </c>
      <c r="F49" s="116"/>
      <c r="K49" s="117">
        <v>263.26799999999997</v>
      </c>
      <c r="L49" s="117"/>
      <c r="M49" s="117">
        <v>268.95599999999996</v>
      </c>
      <c r="N49" s="117"/>
    </row>
    <row r="50" spans="2:14" x14ac:dyDescent="0.35">
      <c r="B50" s="61">
        <v>51</v>
      </c>
      <c r="C50" s="116">
        <v>21.673000000000002</v>
      </c>
      <c r="D50" s="116"/>
      <c r="E50" s="116">
        <v>22.155999999999999</v>
      </c>
      <c r="F50" s="116"/>
      <c r="K50" s="117">
        <v>260.07599999999996</v>
      </c>
      <c r="L50" s="117"/>
      <c r="M50" s="117">
        <v>265.87200000000001</v>
      </c>
      <c r="N50" s="117"/>
    </row>
    <row r="51" spans="2:14" x14ac:dyDescent="0.35">
      <c r="B51" s="61">
        <v>52</v>
      </c>
      <c r="C51" s="116">
        <v>21.398000000000003</v>
      </c>
      <c r="D51" s="116"/>
      <c r="E51" s="116">
        <v>21.89</v>
      </c>
      <c r="F51" s="116"/>
      <c r="K51" s="117">
        <v>256.77600000000001</v>
      </c>
      <c r="L51" s="117"/>
      <c r="M51" s="117">
        <v>262.68</v>
      </c>
      <c r="N51" s="117"/>
    </row>
    <row r="52" spans="2:14" x14ac:dyDescent="0.35">
      <c r="B52" s="61">
        <v>53</v>
      </c>
      <c r="C52" s="116">
        <v>21.114999999999998</v>
      </c>
      <c r="D52" s="116"/>
      <c r="E52" s="116">
        <v>21.616</v>
      </c>
      <c r="F52" s="116"/>
      <c r="K52" s="117">
        <v>253.38</v>
      </c>
      <c r="L52" s="117"/>
      <c r="M52" s="117">
        <v>259.392</v>
      </c>
      <c r="N52" s="117"/>
    </row>
    <row r="53" spans="2:14" x14ac:dyDescent="0.35">
      <c r="B53" s="61">
        <v>54</v>
      </c>
      <c r="C53" s="116">
        <v>20.821999999999999</v>
      </c>
      <c r="D53" s="116"/>
      <c r="E53" s="116">
        <v>21.331</v>
      </c>
      <c r="F53" s="116"/>
      <c r="K53" s="117">
        <v>249.864</v>
      </c>
      <c r="L53" s="117"/>
      <c r="M53" s="117">
        <v>255.97200000000001</v>
      </c>
      <c r="N53" s="117"/>
    </row>
    <row r="54" spans="2:14" x14ac:dyDescent="0.35">
      <c r="B54" s="61">
        <v>55</v>
      </c>
      <c r="C54" s="116">
        <v>20.521000000000001</v>
      </c>
      <c r="D54" s="116"/>
      <c r="E54" s="116">
        <v>21.036999999999999</v>
      </c>
      <c r="F54" s="116"/>
      <c r="K54" s="117">
        <v>246.25200000000001</v>
      </c>
      <c r="L54" s="117"/>
      <c r="M54" s="117">
        <v>252.44400000000002</v>
      </c>
      <c r="N54" s="117"/>
    </row>
    <row r="55" spans="2:14" x14ac:dyDescent="0.35">
      <c r="B55" s="61">
        <v>56</v>
      </c>
      <c r="C55" s="116">
        <v>20.213000000000001</v>
      </c>
      <c r="D55" s="116"/>
      <c r="E55" s="116">
        <v>20.733000000000001</v>
      </c>
      <c r="F55" s="116"/>
      <c r="K55" s="117">
        <v>242.55599999999998</v>
      </c>
      <c r="L55" s="117"/>
      <c r="M55" s="117">
        <v>248.79599999999999</v>
      </c>
      <c r="N55" s="117"/>
    </row>
    <row r="56" spans="2:14" x14ac:dyDescent="0.35">
      <c r="B56" s="61">
        <v>57</v>
      </c>
      <c r="C56" s="116">
        <v>19.896000000000001</v>
      </c>
      <c r="D56" s="116"/>
      <c r="E56" s="116">
        <v>20.420000000000002</v>
      </c>
      <c r="F56" s="116"/>
      <c r="K56" s="117">
        <v>238.75200000000001</v>
      </c>
      <c r="L56" s="117"/>
      <c r="M56" s="117">
        <v>245.04</v>
      </c>
      <c r="N56" s="117"/>
    </row>
    <row r="57" spans="2:14" x14ac:dyDescent="0.35">
      <c r="B57" s="61">
        <v>58</v>
      </c>
      <c r="C57" s="116">
        <v>19.570999999999998</v>
      </c>
      <c r="D57" s="116"/>
      <c r="E57" s="116">
        <v>20.097000000000001</v>
      </c>
      <c r="F57" s="116"/>
      <c r="K57" s="117">
        <v>234.852</v>
      </c>
      <c r="L57" s="117"/>
      <c r="M57" s="117">
        <v>241.16400000000002</v>
      </c>
      <c r="N57" s="117"/>
    </row>
    <row r="58" spans="2:14" x14ac:dyDescent="0.35">
      <c r="B58" s="61">
        <v>59</v>
      </c>
      <c r="C58" s="116">
        <v>19.237000000000002</v>
      </c>
      <c r="D58" s="116"/>
      <c r="E58" s="116">
        <v>19.762999999999998</v>
      </c>
      <c r="F58" s="116"/>
      <c r="K58" s="117">
        <v>230.84400000000002</v>
      </c>
      <c r="L58" s="117"/>
      <c r="M58" s="117">
        <v>237.15599999999998</v>
      </c>
      <c r="N58" s="117"/>
    </row>
    <row r="59" spans="2:14" x14ac:dyDescent="0.35">
      <c r="B59" s="61">
        <v>60</v>
      </c>
      <c r="C59" s="116">
        <v>18.894000000000002</v>
      </c>
      <c r="D59" s="116"/>
      <c r="E59" s="116">
        <v>19.419</v>
      </c>
      <c r="F59" s="116"/>
      <c r="K59" s="117">
        <v>226.72799999999998</v>
      </c>
      <c r="L59" s="117"/>
      <c r="M59" s="117">
        <v>233.02799999999999</v>
      </c>
      <c r="N59" s="117"/>
    </row>
    <row r="60" spans="2:14" x14ac:dyDescent="0.35">
      <c r="B60" s="61">
        <v>61</v>
      </c>
      <c r="C60" s="116">
        <v>18.541</v>
      </c>
      <c r="D60" s="116"/>
      <c r="E60" s="116">
        <v>19.064</v>
      </c>
      <c r="F60" s="116"/>
      <c r="K60" s="117">
        <v>222.49200000000002</v>
      </c>
      <c r="L60" s="117"/>
      <c r="M60" s="117">
        <v>228.768</v>
      </c>
      <c r="N60" s="117"/>
    </row>
    <row r="61" spans="2:14" x14ac:dyDescent="0.35">
      <c r="B61" s="61">
        <v>62</v>
      </c>
      <c r="C61" s="116">
        <v>18.179000000000002</v>
      </c>
      <c r="D61" s="116"/>
      <c r="E61" s="116">
        <v>18.699000000000002</v>
      </c>
      <c r="F61" s="116"/>
      <c r="K61" s="117">
        <v>218.148</v>
      </c>
      <c r="L61" s="117"/>
      <c r="M61" s="117">
        <v>224.38800000000001</v>
      </c>
      <c r="N61" s="117"/>
    </row>
    <row r="62" spans="2:14" x14ac:dyDescent="0.35">
      <c r="B62" s="61">
        <v>63</v>
      </c>
      <c r="C62" s="116">
        <v>17.805999999999997</v>
      </c>
      <c r="D62" s="116"/>
      <c r="E62" s="116">
        <v>18.324000000000002</v>
      </c>
      <c r="F62" s="116"/>
      <c r="K62" s="117">
        <v>213.672</v>
      </c>
      <c r="L62" s="117"/>
      <c r="M62" s="117">
        <v>219.88800000000001</v>
      </c>
      <c r="N62" s="117"/>
    </row>
    <row r="63" spans="2:14" x14ac:dyDescent="0.35">
      <c r="B63" s="61">
        <v>64</v>
      </c>
      <c r="C63" s="116">
        <v>17.422999999999998</v>
      </c>
      <c r="D63" s="116"/>
      <c r="E63" s="116">
        <v>17.940000000000001</v>
      </c>
      <c r="F63" s="116"/>
      <c r="K63" s="117">
        <v>209.07599999999999</v>
      </c>
      <c r="L63" s="117"/>
      <c r="M63" s="117">
        <v>215.28</v>
      </c>
      <c r="N63" s="117"/>
    </row>
    <row r="64" spans="2:14" x14ac:dyDescent="0.35">
      <c r="B64" s="61">
        <v>65</v>
      </c>
      <c r="C64" s="116">
        <v>17.029</v>
      </c>
      <c r="D64" s="116"/>
      <c r="E64" s="116">
        <v>17.545999999999999</v>
      </c>
      <c r="F64" s="116"/>
      <c r="K64" s="117">
        <v>204.34799999999998</v>
      </c>
      <c r="L64" s="117"/>
      <c r="M64" s="117">
        <v>210.55200000000002</v>
      </c>
      <c r="N64" s="117"/>
    </row>
    <row r="65" spans="2:14" x14ac:dyDescent="0.35">
      <c r="B65" s="61">
        <v>66</v>
      </c>
      <c r="C65" s="116">
        <v>16.626999999999999</v>
      </c>
      <c r="D65" s="116"/>
      <c r="E65" s="116">
        <v>17.143000000000001</v>
      </c>
      <c r="F65" s="116"/>
      <c r="K65" s="117">
        <v>199.524</v>
      </c>
      <c r="L65" s="117"/>
      <c r="M65" s="117">
        <v>205.71599999999998</v>
      </c>
      <c r="N65" s="117"/>
    </row>
    <row r="66" spans="2:14" x14ac:dyDescent="0.35">
      <c r="B66" s="61">
        <v>67</v>
      </c>
      <c r="C66" s="116">
        <v>16.215999999999998</v>
      </c>
      <c r="D66" s="116"/>
      <c r="E66" s="116">
        <v>16.73</v>
      </c>
      <c r="F66" s="116"/>
      <c r="K66" s="117">
        <v>194.59200000000001</v>
      </c>
      <c r="L66" s="117"/>
      <c r="M66" s="117">
        <v>200.76</v>
      </c>
      <c r="N66" s="117"/>
    </row>
    <row r="67" spans="2:14" x14ac:dyDescent="0.35">
      <c r="B67" s="61">
        <v>68</v>
      </c>
      <c r="C67" s="116">
        <v>15.799000000000001</v>
      </c>
      <c r="D67" s="116"/>
      <c r="E67" s="116">
        <v>16.309000000000001</v>
      </c>
      <c r="F67" s="116"/>
      <c r="K67" s="117">
        <v>189.58799999999999</v>
      </c>
      <c r="L67" s="117"/>
      <c r="M67" s="117">
        <v>195.708</v>
      </c>
      <c r="N67" s="117"/>
    </row>
    <row r="68" spans="2:14" x14ac:dyDescent="0.35">
      <c r="B68" s="61">
        <v>69</v>
      </c>
      <c r="C68" s="116">
        <v>15.377000000000001</v>
      </c>
      <c r="D68" s="116"/>
      <c r="E68" s="116">
        <v>15.879000000000001</v>
      </c>
      <c r="F68" s="116"/>
      <c r="K68" s="117">
        <v>184.524</v>
      </c>
      <c r="L68" s="117"/>
      <c r="M68" s="117">
        <v>190.548</v>
      </c>
      <c r="N68" s="117"/>
    </row>
    <row r="69" spans="2:14" x14ac:dyDescent="0.35">
      <c r="B69" s="61">
        <v>70</v>
      </c>
      <c r="C69" s="116">
        <v>14.949000000000002</v>
      </c>
      <c r="D69" s="116"/>
      <c r="E69" s="116">
        <v>15.442</v>
      </c>
      <c r="F69" s="116"/>
      <c r="K69" s="117">
        <v>179.38800000000001</v>
      </c>
      <c r="L69" s="117"/>
      <c r="M69" s="117">
        <v>185.304</v>
      </c>
      <c r="N69" s="117"/>
    </row>
    <row r="70" spans="2:14" x14ac:dyDescent="0.35">
      <c r="B70" s="61">
        <v>71</v>
      </c>
      <c r="C70" s="116">
        <v>14.515999999999998</v>
      </c>
      <c r="D70" s="116"/>
      <c r="E70" s="116">
        <v>14.997</v>
      </c>
      <c r="F70" s="116"/>
      <c r="K70" s="117">
        <v>174.19200000000001</v>
      </c>
      <c r="L70" s="117"/>
      <c r="M70" s="117">
        <v>179.96400000000003</v>
      </c>
      <c r="N70" s="117"/>
    </row>
    <row r="71" spans="2:14" x14ac:dyDescent="0.35">
      <c r="B71" s="61">
        <v>72</v>
      </c>
      <c r="C71" s="116">
        <v>14.079000000000001</v>
      </c>
      <c r="D71" s="116"/>
      <c r="E71" s="116">
        <v>14.544</v>
      </c>
      <c r="F71" s="116"/>
      <c r="K71" s="117">
        <v>168.94799999999998</v>
      </c>
      <c r="L71" s="117"/>
      <c r="M71" s="117">
        <v>174.52799999999999</v>
      </c>
      <c r="N71" s="117"/>
    </row>
    <row r="72" spans="2:14" x14ac:dyDescent="0.35">
      <c r="B72" s="61">
        <v>73</v>
      </c>
      <c r="C72" s="116">
        <v>13.635</v>
      </c>
      <c r="D72" s="116"/>
      <c r="E72" s="116">
        <v>14.083</v>
      </c>
      <c r="F72" s="116"/>
      <c r="K72" s="117">
        <v>163.62</v>
      </c>
      <c r="L72" s="117"/>
      <c r="M72" s="117">
        <v>168.99599999999998</v>
      </c>
      <c r="N72" s="117"/>
    </row>
    <row r="73" spans="2:14" x14ac:dyDescent="0.35">
      <c r="B73" s="61">
        <v>74</v>
      </c>
      <c r="C73" s="116">
        <v>13.187000000000001</v>
      </c>
      <c r="D73" s="116"/>
      <c r="E73" s="116">
        <v>13.613</v>
      </c>
      <c r="F73" s="116"/>
      <c r="K73" s="117">
        <v>158.244</v>
      </c>
      <c r="L73" s="117"/>
      <c r="M73" s="117">
        <v>163.35599999999999</v>
      </c>
      <c r="N73" s="117"/>
    </row>
    <row r="74" spans="2:14" x14ac:dyDescent="0.35">
      <c r="B74" s="61">
        <v>75</v>
      </c>
      <c r="C74" s="116">
        <v>12.732000000000001</v>
      </c>
      <c r="D74" s="116"/>
      <c r="E74" s="116">
        <v>13.135999999999999</v>
      </c>
      <c r="F74" s="116"/>
      <c r="K74" s="117">
        <v>152.78399999999999</v>
      </c>
      <c r="L74" s="117"/>
      <c r="M74" s="117">
        <v>157.63200000000001</v>
      </c>
      <c r="N74" s="117"/>
    </row>
    <row r="75" spans="2:14" x14ac:dyDescent="0.35">
      <c r="B75" s="61">
        <v>76</v>
      </c>
      <c r="C75" s="116">
        <v>12.273</v>
      </c>
      <c r="D75" s="116"/>
      <c r="E75" s="116">
        <v>12.652000000000001</v>
      </c>
      <c r="F75" s="116"/>
      <c r="K75" s="117">
        <v>147.27600000000001</v>
      </c>
      <c r="L75" s="117"/>
      <c r="M75" s="117">
        <v>151.82399999999998</v>
      </c>
      <c r="N75" s="117"/>
    </row>
    <row r="76" spans="2:14" x14ac:dyDescent="0.35">
      <c r="B76" s="61">
        <v>77</v>
      </c>
      <c r="C76" s="116">
        <v>11.809000000000001</v>
      </c>
      <c r="D76" s="116"/>
      <c r="E76" s="116">
        <v>12.163</v>
      </c>
      <c r="F76" s="116"/>
      <c r="K76" s="117">
        <v>141.708</v>
      </c>
      <c r="L76" s="117"/>
      <c r="M76" s="117">
        <v>145.95600000000002</v>
      </c>
      <c r="N76" s="117"/>
    </row>
    <row r="77" spans="2:14" x14ac:dyDescent="0.35">
      <c r="B77" s="61">
        <v>78</v>
      </c>
      <c r="C77" s="116">
        <v>11.343</v>
      </c>
      <c r="D77" s="116"/>
      <c r="E77" s="116">
        <v>11.672000000000001</v>
      </c>
      <c r="F77" s="116"/>
      <c r="K77" s="117">
        <v>136.11600000000001</v>
      </c>
      <c r="L77" s="117"/>
      <c r="M77" s="117">
        <v>140.06399999999999</v>
      </c>
      <c r="N77" s="117"/>
    </row>
    <row r="78" spans="2:14" x14ac:dyDescent="0.35">
      <c r="B78" s="61">
        <v>79</v>
      </c>
      <c r="C78" s="116">
        <v>10.875999999999999</v>
      </c>
      <c r="D78" s="116"/>
      <c r="E78" s="116">
        <v>11.179</v>
      </c>
      <c r="F78" s="116"/>
      <c r="K78" s="117">
        <v>130.512</v>
      </c>
      <c r="L78" s="117"/>
      <c r="M78" s="117">
        <v>134.148</v>
      </c>
      <c r="N78" s="117"/>
    </row>
    <row r="79" spans="2:14" x14ac:dyDescent="0.35">
      <c r="B79" s="61">
        <v>80</v>
      </c>
      <c r="C79" s="116">
        <v>10.41</v>
      </c>
      <c r="D79" s="116"/>
      <c r="E79" s="116">
        <v>10.687000000000001</v>
      </c>
      <c r="F79" s="116"/>
      <c r="K79" s="117">
        <v>124.92</v>
      </c>
      <c r="L79" s="117"/>
      <c r="M79" s="117">
        <v>128.244</v>
      </c>
      <c r="N79" s="117"/>
    </row>
    <row r="80" spans="2:14" x14ac:dyDescent="0.35">
      <c r="B80" s="61">
        <v>81</v>
      </c>
      <c r="C80" s="116">
        <v>9.947000000000001</v>
      </c>
      <c r="D80" s="116"/>
      <c r="E80" s="116">
        <v>10.196</v>
      </c>
      <c r="F80" s="116"/>
      <c r="K80" s="117">
        <v>119.36399999999999</v>
      </c>
      <c r="L80" s="117"/>
      <c r="M80" s="117">
        <v>122.352</v>
      </c>
      <c r="N80" s="117"/>
    </row>
    <row r="81" spans="2:14" x14ac:dyDescent="0.35">
      <c r="B81" s="61">
        <v>82</v>
      </c>
      <c r="C81" s="116">
        <v>9.49</v>
      </c>
      <c r="D81" s="116"/>
      <c r="E81" s="116">
        <v>9.7089999999999996</v>
      </c>
      <c r="F81" s="116"/>
      <c r="K81" s="117">
        <v>113.88</v>
      </c>
      <c r="L81" s="117"/>
      <c r="M81" s="117">
        <v>116.508</v>
      </c>
      <c r="N81" s="117"/>
    </row>
    <row r="82" spans="2:14" x14ac:dyDescent="0.35">
      <c r="B82" s="61">
        <v>83</v>
      </c>
      <c r="C82" s="116">
        <v>9.0389999999999997</v>
      </c>
      <c r="D82" s="116"/>
      <c r="E82" s="116">
        <v>9.2270000000000003</v>
      </c>
      <c r="F82" s="116"/>
      <c r="K82" s="117">
        <v>108.46799999999999</v>
      </c>
      <c r="L82" s="117"/>
      <c r="M82" s="117">
        <v>110.72399999999999</v>
      </c>
      <c r="N82" s="117"/>
    </row>
    <row r="83" spans="2:14" x14ac:dyDescent="0.35">
      <c r="B83" s="61">
        <v>84</v>
      </c>
      <c r="C83" s="116">
        <v>8.5950000000000006</v>
      </c>
      <c r="D83" s="116"/>
      <c r="E83" s="116">
        <v>8.7530000000000001</v>
      </c>
      <c r="F83" s="116"/>
      <c r="K83" s="117">
        <v>103.14</v>
      </c>
      <c r="L83" s="117"/>
      <c r="M83" s="117">
        <v>105.036</v>
      </c>
      <c r="N83" s="117"/>
    </row>
    <row r="84" spans="2:14" x14ac:dyDescent="0.35">
      <c r="B84" s="61">
        <v>85</v>
      </c>
      <c r="C84" s="116">
        <v>8.16</v>
      </c>
      <c r="D84" s="116"/>
      <c r="E84" s="116">
        <v>8.2889999999999997</v>
      </c>
      <c r="F84" s="116"/>
      <c r="K84" s="117">
        <v>97.92</v>
      </c>
      <c r="L84" s="117"/>
      <c r="M84" s="117">
        <v>99.467999999999989</v>
      </c>
      <c r="N84" s="117"/>
    </row>
    <row r="85" spans="2:14" x14ac:dyDescent="0.35">
      <c r="B85" s="61">
        <v>86</v>
      </c>
      <c r="C85" s="116">
        <v>7.734</v>
      </c>
      <c r="D85" s="116"/>
      <c r="E85" s="116">
        <v>7.8360000000000003</v>
      </c>
      <c r="F85" s="116"/>
      <c r="K85" s="117">
        <v>92.807999999999993</v>
      </c>
      <c r="L85" s="117"/>
      <c r="M85" s="117">
        <v>94.032000000000011</v>
      </c>
      <c r="N85" s="117"/>
    </row>
    <row r="86" spans="2:14" x14ac:dyDescent="0.35">
      <c r="B86" s="61">
        <v>87</v>
      </c>
      <c r="C86" s="116">
        <v>7.3179999999999996</v>
      </c>
      <c r="D86" s="116"/>
      <c r="E86" s="116">
        <v>7.3949999999999996</v>
      </c>
      <c r="F86" s="116"/>
      <c r="K86" s="117">
        <v>87.816000000000003</v>
      </c>
      <c r="L86" s="117"/>
      <c r="M86" s="117">
        <v>88.74</v>
      </c>
      <c r="N86" s="117"/>
    </row>
    <row r="87" spans="2:14" x14ac:dyDescent="0.35">
      <c r="B87" s="61">
        <v>88</v>
      </c>
      <c r="C87" s="116">
        <v>6.9129999999999994</v>
      </c>
      <c r="D87" s="116"/>
      <c r="E87" s="116">
        <v>6.968</v>
      </c>
      <c r="F87" s="116"/>
      <c r="K87" s="117">
        <v>82.956000000000003</v>
      </c>
      <c r="L87" s="117"/>
      <c r="M87" s="117">
        <v>83.616</v>
      </c>
      <c r="N87" s="117"/>
    </row>
    <row r="88" spans="2:14" x14ac:dyDescent="0.35">
      <c r="B88" s="61">
        <v>89</v>
      </c>
      <c r="C88" s="116">
        <v>6.5190000000000001</v>
      </c>
      <c r="D88" s="116"/>
      <c r="E88" s="116">
        <v>6.5529999999999999</v>
      </c>
      <c r="F88" s="116"/>
      <c r="K88" s="117">
        <v>78.228000000000009</v>
      </c>
      <c r="L88" s="117"/>
      <c r="M88" s="117">
        <v>78.63600000000001</v>
      </c>
      <c r="N88" s="117"/>
    </row>
    <row r="89" spans="2:14" x14ac:dyDescent="0.35">
      <c r="B89" s="61">
        <v>90</v>
      </c>
      <c r="C89" s="116">
        <v>6.1370000000000005</v>
      </c>
      <c r="D89" s="116"/>
      <c r="E89" s="116">
        <v>6.15</v>
      </c>
      <c r="F89" s="116"/>
      <c r="K89" s="117">
        <v>73.643999999999991</v>
      </c>
      <c r="L89" s="117"/>
      <c r="M89" s="117">
        <v>73.8</v>
      </c>
      <c r="N89" s="117"/>
    </row>
  </sheetData>
  <mergeCells count="299">
    <mergeCell ref="C89:D89"/>
    <mergeCell ref="E89:F89"/>
    <mergeCell ref="K89:L89"/>
    <mergeCell ref="M89:N89"/>
    <mergeCell ref="C87:D87"/>
    <mergeCell ref="E87:F87"/>
    <mergeCell ref="K87:L87"/>
    <mergeCell ref="M87:N87"/>
    <mergeCell ref="C88:D88"/>
    <mergeCell ref="E88:F88"/>
    <mergeCell ref="K88:L88"/>
    <mergeCell ref="M88:N88"/>
    <mergeCell ref="C85:D85"/>
    <mergeCell ref="E85:F85"/>
    <mergeCell ref="K85:L85"/>
    <mergeCell ref="M85:N85"/>
    <mergeCell ref="C86:D86"/>
    <mergeCell ref="E86:F86"/>
    <mergeCell ref="K86:L86"/>
    <mergeCell ref="M86:N86"/>
    <mergeCell ref="C83:D83"/>
    <mergeCell ref="E83:F83"/>
    <mergeCell ref="K83:L83"/>
    <mergeCell ref="M83:N83"/>
    <mergeCell ref="C84:D84"/>
    <mergeCell ref="E84:F84"/>
    <mergeCell ref="K84:L84"/>
    <mergeCell ref="M84:N84"/>
    <mergeCell ref="C81:D81"/>
    <mergeCell ref="E81:F81"/>
    <mergeCell ref="K81:L81"/>
    <mergeCell ref="M81:N81"/>
    <mergeCell ref="C82:D82"/>
    <mergeCell ref="E82:F82"/>
    <mergeCell ref="K82:L82"/>
    <mergeCell ref="M82:N82"/>
    <mergeCell ref="C79:D79"/>
    <mergeCell ref="E79:F79"/>
    <mergeCell ref="K79:L79"/>
    <mergeCell ref="M79:N79"/>
    <mergeCell ref="C80:D80"/>
    <mergeCell ref="E80:F80"/>
    <mergeCell ref="K80:L80"/>
    <mergeCell ref="M80:N80"/>
    <mergeCell ref="C77:D77"/>
    <mergeCell ref="E77:F77"/>
    <mergeCell ref="K77:L77"/>
    <mergeCell ref="M77:N77"/>
    <mergeCell ref="C78:D78"/>
    <mergeCell ref="E78:F78"/>
    <mergeCell ref="K78:L78"/>
    <mergeCell ref="M78:N78"/>
    <mergeCell ref="C75:D75"/>
    <mergeCell ref="E75:F75"/>
    <mergeCell ref="K75:L75"/>
    <mergeCell ref="M75:N75"/>
    <mergeCell ref="C76:D76"/>
    <mergeCell ref="E76:F76"/>
    <mergeCell ref="K76:L76"/>
    <mergeCell ref="M76:N76"/>
    <mergeCell ref="C73:D73"/>
    <mergeCell ref="E73:F73"/>
    <mergeCell ref="K73:L73"/>
    <mergeCell ref="M73:N73"/>
    <mergeCell ref="C74:D74"/>
    <mergeCell ref="E74:F74"/>
    <mergeCell ref="K74:L74"/>
    <mergeCell ref="M74:N74"/>
    <mergeCell ref="C71:D71"/>
    <mergeCell ref="E71:F71"/>
    <mergeCell ref="K71:L71"/>
    <mergeCell ref="M71:N71"/>
    <mergeCell ref="C72:D72"/>
    <mergeCell ref="E72:F72"/>
    <mergeCell ref="K72:L72"/>
    <mergeCell ref="M72:N72"/>
    <mergeCell ref="C69:D69"/>
    <mergeCell ref="E69:F69"/>
    <mergeCell ref="K69:L69"/>
    <mergeCell ref="M69:N69"/>
    <mergeCell ref="C70:D70"/>
    <mergeCell ref="E70:F70"/>
    <mergeCell ref="K70:L70"/>
    <mergeCell ref="M70:N70"/>
    <mergeCell ref="C67:D67"/>
    <mergeCell ref="E67:F67"/>
    <mergeCell ref="K67:L67"/>
    <mergeCell ref="M67:N67"/>
    <mergeCell ref="C68:D68"/>
    <mergeCell ref="E68:F68"/>
    <mergeCell ref="K68:L68"/>
    <mergeCell ref="M68:N68"/>
    <mergeCell ref="C65:D65"/>
    <mergeCell ref="E65:F65"/>
    <mergeCell ref="K65:L65"/>
    <mergeCell ref="M65:N65"/>
    <mergeCell ref="C66:D66"/>
    <mergeCell ref="E66:F66"/>
    <mergeCell ref="K66:L66"/>
    <mergeCell ref="M66:N66"/>
    <mergeCell ref="C63:D63"/>
    <mergeCell ref="E63:F63"/>
    <mergeCell ref="K63:L63"/>
    <mergeCell ref="M63:N63"/>
    <mergeCell ref="C64:D64"/>
    <mergeCell ref="E64:F64"/>
    <mergeCell ref="K64:L64"/>
    <mergeCell ref="M64:N64"/>
    <mergeCell ref="C61:D61"/>
    <mergeCell ref="E61:F61"/>
    <mergeCell ref="K61:L61"/>
    <mergeCell ref="M61:N61"/>
    <mergeCell ref="C62:D62"/>
    <mergeCell ref="E62:F62"/>
    <mergeCell ref="K62:L62"/>
    <mergeCell ref="M62:N62"/>
    <mergeCell ref="C59:D59"/>
    <mergeCell ref="E59:F59"/>
    <mergeCell ref="K59:L59"/>
    <mergeCell ref="M59:N59"/>
    <mergeCell ref="C60:D60"/>
    <mergeCell ref="E60:F60"/>
    <mergeCell ref="K60:L60"/>
    <mergeCell ref="M60:N60"/>
    <mergeCell ref="C57:D57"/>
    <mergeCell ref="E57:F57"/>
    <mergeCell ref="K57:L57"/>
    <mergeCell ref="M57:N57"/>
    <mergeCell ref="C58:D58"/>
    <mergeCell ref="E58:F58"/>
    <mergeCell ref="K58:L58"/>
    <mergeCell ref="M58:N58"/>
    <mergeCell ref="C55:D55"/>
    <mergeCell ref="E55:F55"/>
    <mergeCell ref="K55:L55"/>
    <mergeCell ref="M55:N55"/>
    <mergeCell ref="C56:D56"/>
    <mergeCell ref="E56:F56"/>
    <mergeCell ref="K56:L56"/>
    <mergeCell ref="M56:N56"/>
    <mergeCell ref="C53:D53"/>
    <mergeCell ref="E53:F53"/>
    <mergeCell ref="K53:L53"/>
    <mergeCell ref="M53:N53"/>
    <mergeCell ref="C54:D54"/>
    <mergeCell ref="E54:F54"/>
    <mergeCell ref="K54:L54"/>
    <mergeCell ref="M54:N54"/>
    <mergeCell ref="C51:D51"/>
    <mergeCell ref="E51:F51"/>
    <mergeCell ref="K51:L51"/>
    <mergeCell ref="M51:N51"/>
    <mergeCell ref="C52:D52"/>
    <mergeCell ref="E52:F52"/>
    <mergeCell ref="K52:L52"/>
    <mergeCell ref="M52:N52"/>
    <mergeCell ref="C49:D49"/>
    <mergeCell ref="E49:F49"/>
    <mergeCell ref="K49:L49"/>
    <mergeCell ref="M49:N49"/>
    <mergeCell ref="C50:D50"/>
    <mergeCell ref="E50:F50"/>
    <mergeCell ref="K50:L50"/>
    <mergeCell ref="M50:N50"/>
    <mergeCell ref="C47:D47"/>
    <mergeCell ref="E47:F47"/>
    <mergeCell ref="K47:L47"/>
    <mergeCell ref="M47:N47"/>
    <mergeCell ref="C48:D48"/>
    <mergeCell ref="E48:F48"/>
    <mergeCell ref="K48:L48"/>
    <mergeCell ref="M48:N48"/>
    <mergeCell ref="C45:D45"/>
    <mergeCell ref="E45:F45"/>
    <mergeCell ref="K45:L45"/>
    <mergeCell ref="M45:N45"/>
    <mergeCell ref="C46:D46"/>
    <mergeCell ref="E46:F46"/>
    <mergeCell ref="K46:L46"/>
    <mergeCell ref="M46:N46"/>
    <mergeCell ref="C43:D43"/>
    <mergeCell ref="E43:F43"/>
    <mergeCell ref="K43:L43"/>
    <mergeCell ref="M43:N43"/>
    <mergeCell ref="C44:D44"/>
    <mergeCell ref="E44:F44"/>
    <mergeCell ref="K44:L44"/>
    <mergeCell ref="M44:N44"/>
    <mergeCell ref="C41:D41"/>
    <mergeCell ref="E41:F41"/>
    <mergeCell ref="K41:L41"/>
    <mergeCell ref="M41:N41"/>
    <mergeCell ref="C42:D42"/>
    <mergeCell ref="E42:F42"/>
    <mergeCell ref="K42:L42"/>
    <mergeCell ref="M42:N42"/>
    <mergeCell ref="C39:D39"/>
    <mergeCell ref="E39:F39"/>
    <mergeCell ref="K39:L39"/>
    <mergeCell ref="M39:N39"/>
    <mergeCell ref="C40:D40"/>
    <mergeCell ref="E40:F40"/>
    <mergeCell ref="K40:L40"/>
    <mergeCell ref="M40:N40"/>
    <mergeCell ref="C37:D37"/>
    <mergeCell ref="E37:F37"/>
    <mergeCell ref="K37:L37"/>
    <mergeCell ref="M37:N37"/>
    <mergeCell ref="C38:D38"/>
    <mergeCell ref="E38:F38"/>
    <mergeCell ref="K38:L38"/>
    <mergeCell ref="M38:N38"/>
    <mergeCell ref="C35:D35"/>
    <mergeCell ref="E35:F35"/>
    <mergeCell ref="K35:L35"/>
    <mergeCell ref="M35:N35"/>
    <mergeCell ref="C36:D36"/>
    <mergeCell ref="E36:F36"/>
    <mergeCell ref="K36:L36"/>
    <mergeCell ref="M36:N36"/>
    <mergeCell ref="C33:D33"/>
    <mergeCell ref="E33:F33"/>
    <mergeCell ref="K33:L33"/>
    <mergeCell ref="M33:N33"/>
    <mergeCell ref="C34:D34"/>
    <mergeCell ref="E34:F34"/>
    <mergeCell ref="K34:L34"/>
    <mergeCell ref="M34:N34"/>
    <mergeCell ref="C31:D31"/>
    <mergeCell ref="E31:F31"/>
    <mergeCell ref="K31:L31"/>
    <mergeCell ref="M31:N31"/>
    <mergeCell ref="C32:D32"/>
    <mergeCell ref="E32:F32"/>
    <mergeCell ref="K32:L32"/>
    <mergeCell ref="M32:N32"/>
    <mergeCell ref="C29:D29"/>
    <mergeCell ref="E29:F29"/>
    <mergeCell ref="K29:L29"/>
    <mergeCell ref="M29:N29"/>
    <mergeCell ref="C30:D30"/>
    <mergeCell ref="E30:F30"/>
    <mergeCell ref="K30:L30"/>
    <mergeCell ref="M30:N30"/>
    <mergeCell ref="C27:D27"/>
    <mergeCell ref="E27:F27"/>
    <mergeCell ref="K27:L27"/>
    <mergeCell ref="M27:N27"/>
    <mergeCell ref="C28:D28"/>
    <mergeCell ref="E28:F28"/>
    <mergeCell ref="K28:L28"/>
    <mergeCell ref="M28:N28"/>
    <mergeCell ref="C25:D25"/>
    <mergeCell ref="E25:F25"/>
    <mergeCell ref="K25:L25"/>
    <mergeCell ref="M25:N25"/>
    <mergeCell ref="C26:D26"/>
    <mergeCell ref="E26:F26"/>
    <mergeCell ref="K26:L26"/>
    <mergeCell ref="M26:N26"/>
    <mergeCell ref="C23:D23"/>
    <mergeCell ref="E23:F23"/>
    <mergeCell ref="K23:L23"/>
    <mergeCell ref="M23:N23"/>
    <mergeCell ref="C24:D24"/>
    <mergeCell ref="E24:F24"/>
    <mergeCell ref="K24:L24"/>
    <mergeCell ref="M24:N24"/>
    <mergeCell ref="C22:D22"/>
    <mergeCell ref="E22:F22"/>
    <mergeCell ref="K22:L22"/>
    <mergeCell ref="M22:N22"/>
    <mergeCell ref="C19:D19"/>
    <mergeCell ref="E19:F19"/>
    <mergeCell ref="K19:L19"/>
    <mergeCell ref="M19:N19"/>
    <mergeCell ref="C20:D20"/>
    <mergeCell ref="E20:F20"/>
    <mergeCell ref="K20:L20"/>
    <mergeCell ref="M20:N20"/>
    <mergeCell ref="B16:E16"/>
    <mergeCell ref="J16:M16"/>
    <mergeCell ref="C18:D18"/>
    <mergeCell ref="E18:F18"/>
    <mergeCell ref="K18:L18"/>
    <mergeCell ref="M18:N18"/>
    <mergeCell ref="C21:D21"/>
    <mergeCell ref="E21:F21"/>
    <mergeCell ref="K21:L21"/>
    <mergeCell ref="M21:N21"/>
    <mergeCell ref="A1:F1"/>
    <mergeCell ref="A2:G3"/>
    <mergeCell ref="A4:G4"/>
    <mergeCell ref="A7:P7"/>
    <mergeCell ref="A9:E9"/>
    <mergeCell ref="B12:I12"/>
    <mergeCell ref="B13:I13"/>
    <mergeCell ref="B14:H15"/>
    <mergeCell ref="J14:O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F2DD-5506-4532-95ED-09A5991E9373}">
  <sheetPr codeName="Hoja9">
    <outlinePr summaryBelow="0"/>
    <pageSetUpPr autoPageBreaks="0"/>
  </sheetPr>
  <dimension ref="A1:P89"/>
  <sheetViews>
    <sheetView showGridLines="0" topLeftCell="A92" workbookViewId="0">
      <selection activeCell="O12" sqref="O12"/>
    </sheetView>
  </sheetViews>
  <sheetFormatPr baseColWidth="10" defaultColWidth="11.453125" defaultRowHeight="12.75" customHeight="1" x14ac:dyDescent="0.35"/>
  <cols>
    <col min="1" max="256" width="6.81640625" style="48" customWidth="1"/>
    <col min="257" max="16384" width="11.453125" style="48"/>
  </cols>
  <sheetData>
    <row r="1" spans="1:16" ht="14.25" customHeight="1" x14ac:dyDescent="0.35">
      <c r="A1" s="140" t="s">
        <v>96</v>
      </c>
      <c r="B1" s="140"/>
      <c r="C1" s="140"/>
      <c r="D1" s="140"/>
      <c r="E1" s="140"/>
      <c r="F1" s="140"/>
    </row>
    <row r="2" spans="1:16" ht="12.5" x14ac:dyDescent="0.35">
      <c r="A2" s="141" t="s">
        <v>97</v>
      </c>
      <c r="B2" s="141"/>
      <c r="C2" s="141"/>
      <c r="D2" s="141"/>
      <c r="E2" s="141"/>
      <c r="F2" s="141"/>
      <c r="G2" s="141"/>
    </row>
    <row r="3" spans="1:16" ht="0.75" customHeight="1" x14ac:dyDescent="0.35">
      <c r="A3" s="141"/>
      <c r="B3" s="141"/>
      <c r="C3" s="141"/>
      <c r="D3" s="141"/>
      <c r="E3" s="141"/>
      <c r="F3" s="141"/>
      <c r="G3" s="141"/>
    </row>
    <row r="4" spans="1:16" ht="13.5" customHeight="1" x14ac:dyDescent="0.35">
      <c r="A4" s="141" t="s">
        <v>98</v>
      </c>
      <c r="B4" s="141"/>
      <c r="C4" s="141"/>
      <c r="D4" s="141"/>
      <c r="E4" s="141"/>
      <c r="F4" s="141"/>
      <c r="G4" s="141"/>
    </row>
    <row r="5" spans="1:16" ht="11.25" customHeight="1" x14ac:dyDescent="0.35"/>
    <row r="6" spans="1:16" ht="28.5" customHeight="1" x14ac:dyDescent="0.35"/>
    <row r="7" spans="1:16" ht="15.75" customHeight="1" x14ac:dyDescent="0.35">
      <c r="A7" s="142" t="s">
        <v>99</v>
      </c>
      <c r="B7" s="142"/>
      <c r="C7" s="142"/>
      <c r="D7" s="142"/>
      <c r="E7" s="142"/>
      <c r="F7" s="142"/>
      <c r="G7" s="142"/>
      <c r="H7" s="142"/>
      <c r="I7" s="142"/>
      <c r="J7" s="142"/>
      <c r="K7" s="142"/>
      <c r="L7" s="142"/>
      <c r="M7" s="142"/>
      <c r="N7" s="142"/>
      <c r="O7" s="142"/>
      <c r="P7" s="142"/>
    </row>
    <row r="8" spans="1:16" ht="8.25" customHeight="1" x14ac:dyDescent="0.35"/>
    <row r="9" spans="1:16" ht="11.25" customHeight="1" x14ac:dyDescent="0.35">
      <c r="A9" s="141" t="s">
        <v>100</v>
      </c>
      <c r="B9" s="141"/>
      <c r="C9" s="141"/>
      <c r="D9" s="141"/>
      <c r="E9" s="141"/>
    </row>
    <row r="10" spans="1:16" ht="9" customHeight="1" x14ac:dyDescent="0.35"/>
    <row r="11" spans="1:16" ht="7.5" customHeight="1" x14ac:dyDescent="0.35"/>
    <row r="12" spans="1:16" ht="12.5" x14ac:dyDescent="0.35">
      <c r="B12" s="143" t="s">
        <v>101</v>
      </c>
      <c r="C12" s="143"/>
      <c r="D12" s="143"/>
      <c r="E12" s="143"/>
      <c r="F12" s="143"/>
      <c r="G12" s="143"/>
      <c r="H12" s="143"/>
      <c r="I12" s="143"/>
    </row>
    <row r="13" spans="1:16" ht="13.5" customHeight="1" x14ac:dyDescent="0.35">
      <c r="B13" s="143" t="s">
        <v>102</v>
      </c>
      <c r="C13" s="143"/>
      <c r="D13" s="143"/>
      <c r="E13" s="143"/>
      <c r="F13" s="143"/>
      <c r="G13" s="143"/>
      <c r="H13" s="143"/>
      <c r="I13" s="143"/>
    </row>
    <row r="14" spans="1:16" ht="9" customHeight="1" x14ac:dyDescent="0.35">
      <c r="B14" s="144" t="s">
        <v>103</v>
      </c>
      <c r="C14" s="144"/>
      <c r="D14" s="144"/>
      <c r="E14" s="144"/>
      <c r="F14" s="144"/>
      <c r="G14" s="144"/>
      <c r="H14" s="144"/>
      <c r="J14" s="144" t="s">
        <v>104</v>
      </c>
      <c r="K14" s="144"/>
      <c r="L14" s="144"/>
      <c r="M14" s="144"/>
      <c r="N14" s="144"/>
      <c r="O14" s="144"/>
    </row>
    <row r="15" spans="1:16" ht="2.25" customHeight="1" x14ac:dyDescent="0.35">
      <c r="B15" s="144"/>
      <c r="C15" s="144"/>
      <c r="D15" s="144"/>
      <c r="E15" s="144"/>
      <c r="F15" s="144"/>
      <c r="G15" s="144"/>
      <c r="H15" s="144"/>
      <c r="J15" s="144"/>
      <c r="K15" s="144"/>
      <c r="L15" s="144"/>
      <c r="M15" s="144"/>
      <c r="N15" s="144"/>
      <c r="O15" s="144"/>
    </row>
    <row r="16" spans="1:16" ht="11.25" customHeight="1" x14ac:dyDescent="0.35">
      <c r="B16" s="138" t="s">
        <v>105</v>
      </c>
      <c r="C16" s="138"/>
      <c r="D16" s="138"/>
      <c r="E16" s="138"/>
      <c r="J16" s="138" t="s">
        <v>106</v>
      </c>
      <c r="K16" s="138"/>
      <c r="L16" s="138"/>
      <c r="M16" s="138"/>
    </row>
    <row r="17" spans="2:14" ht="11.25" customHeight="1" x14ac:dyDescent="0.35"/>
    <row r="18" spans="2:14" ht="14.25" customHeight="1" x14ac:dyDescent="0.35">
      <c r="B18" s="49" t="s">
        <v>1</v>
      </c>
      <c r="C18" s="139" t="s">
        <v>81</v>
      </c>
      <c r="D18" s="139"/>
      <c r="E18" s="139" t="s">
        <v>82</v>
      </c>
      <c r="F18" s="139"/>
      <c r="K18" s="139" t="s">
        <v>81</v>
      </c>
      <c r="L18" s="139"/>
      <c r="M18" s="139" t="s">
        <v>82</v>
      </c>
      <c r="N18" s="139"/>
    </row>
    <row r="19" spans="2:14" ht="12.5" x14ac:dyDescent="0.35">
      <c r="B19" s="50">
        <v>20</v>
      </c>
      <c r="C19" s="134">
        <v>23.190999999999999</v>
      </c>
      <c r="D19" s="134"/>
      <c r="E19" s="134">
        <v>23.37</v>
      </c>
      <c r="F19" s="134"/>
      <c r="K19" s="135">
        <v>278.29200000000003</v>
      </c>
      <c r="L19" s="135"/>
      <c r="M19" s="135">
        <v>280.44</v>
      </c>
      <c r="N19" s="135"/>
    </row>
    <row r="20" spans="2:14" ht="12.5" x14ac:dyDescent="0.35">
      <c r="B20" s="50">
        <v>21</v>
      </c>
      <c r="C20" s="134">
        <v>23.13</v>
      </c>
      <c r="D20" s="134"/>
      <c r="E20" s="134">
        <v>23.314</v>
      </c>
      <c r="F20" s="134"/>
      <c r="K20" s="135">
        <v>277.56</v>
      </c>
      <c r="L20" s="135"/>
      <c r="M20" s="135">
        <v>279.76799999999997</v>
      </c>
      <c r="N20" s="135"/>
    </row>
    <row r="21" spans="2:14" ht="12.5" x14ac:dyDescent="0.35">
      <c r="B21" s="50">
        <v>22</v>
      </c>
      <c r="C21" s="134">
        <v>23.065999999999999</v>
      </c>
      <c r="D21" s="134"/>
      <c r="E21" s="134">
        <v>23.254999999999999</v>
      </c>
      <c r="F21" s="134"/>
      <c r="K21" s="135">
        <v>276.79200000000003</v>
      </c>
      <c r="L21" s="135"/>
      <c r="M21" s="135">
        <v>279.06</v>
      </c>
      <c r="N21" s="135"/>
    </row>
    <row r="22" spans="2:14" ht="12.5" x14ac:dyDescent="0.35">
      <c r="B22" s="50">
        <v>23</v>
      </c>
      <c r="C22" s="134">
        <v>23</v>
      </c>
      <c r="D22" s="134"/>
      <c r="E22" s="134">
        <v>23.194000000000003</v>
      </c>
      <c r="F22" s="134"/>
      <c r="K22" s="135">
        <v>276</v>
      </c>
      <c r="L22" s="135"/>
      <c r="M22" s="135">
        <v>278.32799999999997</v>
      </c>
      <c r="N22" s="135"/>
    </row>
    <row r="23" spans="2:14" ht="12.5" x14ac:dyDescent="0.35">
      <c r="B23" s="50">
        <v>24</v>
      </c>
      <c r="C23" s="134">
        <v>22.930999999999997</v>
      </c>
      <c r="D23" s="134"/>
      <c r="E23" s="134">
        <v>23.13</v>
      </c>
      <c r="F23" s="134"/>
      <c r="K23" s="135">
        <v>275.17200000000003</v>
      </c>
      <c r="L23" s="135"/>
      <c r="M23" s="135">
        <v>277.56</v>
      </c>
      <c r="N23" s="135"/>
    </row>
    <row r="24" spans="2:14" ht="12.5" x14ac:dyDescent="0.35">
      <c r="B24" s="50">
        <v>25</v>
      </c>
      <c r="C24" s="134">
        <v>22.859000000000002</v>
      </c>
      <c r="D24" s="134"/>
      <c r="E24" s="134">
        <v>23.063000000000002</v>
      </c>
      <c r="F24" s="134"/>
      <c r="K24" s="135">
        <v>274.30799999999999</v>
      </c>
      <c r="L24" s="135"/>
      <c r="M24" s="135">
        <v>276.75599999999997</v>
      </c>
      <c r="N24" s="135"/>
    </row>
    <row r="25" spans="2:14" ht="12.5" x14ac:dyDescent="0.35">
      <c r="B25" s="50">
        <v>26</v>
      </c>
      <c r="C25" s="134">
        <v>22.784000000000002</v>
      </c>
      <c r="D25" s="134"/>
      <c r="E25" s="134">
        <v>22.994</v>
      </c>
      <c r="F25" s="134"/>
      <c r="K25" s="135">
        <v>273.40800000000002</v>
      </c>
      <c r="L25" s="135"/>
      <c r="M25" s="135">
        <v>275.928</v>
      </c>
      <c r="N25" s="135"/>
    </row>
    <row r="26" spans="2:14" ht="12.5" x14ac:dyDescent="0.35">
      <c r="B26" s="50">
        <v>27</v>
      </c>
      <c r="C26" s="134">
        <v>22.704999999999998</v>
      </c>
      <c r="D26" s="134"/>
      <c r="E26" s="134">
        <v>22.920999999999999</v>
      </c>
      <c r="F26" s="134"/>
      <c r="K26" s="135">
        <v>272.45999999999998</v>
      </c>
      <c r="L26" s="135"/>
      <c r="M26" s="135">
        <v>275.05200000000002</v>
      </c>
      <c r="N26" s="135"/>
    </row>
    <row r="27" spans="2:14" ht="12.5" x14ac:dyDescent="0.35">
      <c r="B27" s="50">
        <v>28</v>
      </c>
      <c r="C27" s="134">
        <v>22.624000000000002</v>
      </c>
      <c r="D27" s="134"/>
      <c r="E27" s="134">
        <v>22.844999999999999</v>
      </c>
      <c r="F27" s="134"/>
      <c r="K27" s="135">
        <v>271.488</v>
      </c>
      <c r="L27" s="135"/>
      <c r="M27" s="135">
        <v>274.14</v>
      </c>
      <c r="N27" s="135"/>
    </row>
    <row r="28" spans="2:14" ht="12.5" x14ac:dyDescent="0.35">
      <c r="B28" s="50">
        <v>29</v>
      </c>
      <c r="C28" s="134">
        <v>22.539000000000001</v>
      </c>
      <c r="D28" s="134"/>
      <c r="E28" s="134">
        <v>22.765999999999998</v>
      </c>
      <c r="F28" s="134"/>
      <c r="K28" s="135">
        <v>270.46800000000002</v>
      </c>
      <c r="L28" s="135"/>
      <c r="M28" s="135">
        <v>273.19200000000001</v>
      </c>
      <c r="N28" s="135"/>
    </row>
    <row r="29" spans="2:14" ht="12.5" x14ac:dyDescent="0.35">
      <c r="B29" s="50">
        <v>30</v>
      </c>
      <c r="C29" s="134">
        <v>22.451000000000001</v>
      </c>
      <c r="D29" s="134"/>
      <c r="E29" s="134">
        <v>22.683000000000003</v>
      </c>
      <c r="F29" s="134"/>
      <c r="K29" s="135">
        <v>269.41200000000003</v>
      </c>
      <c r="L29" s="135"/>
      <c r="M29" s="135">
        <v>272.19599999999997</v>
      </c>
      <c r="N29" s="135"/>
    </row>
    <row r="30" spans="2:14" ht="12.5" x14ac:dyDescent="0.35">
      <c r="B30" s="50">
        <v>31</v>
      </c>
      <c r="C30" s="134">
        <v>22.359000000000002</v>
      </c>
      <c r="D30" s="134"/>
      <c r="E30" s="134">
        <v>22.596999999999998</v>
      </c>
      <c r="F30" s="134"/>
      <c r="K30" s="135">
        <v>268.30799999999999</v>
      </c>
      <c r="L30" s="135"/>
      <c r="M30" s="135">
        <v>271.16399999999999</v>
      </c>
      <c r="N30" s="135"/>
    </row>
    <row r="31" spans="2:14" ht="12.5" x14ac:dyDescent="0.35">
      <c r="B31" s="50">
        <v>32</v>
      </c>
      <c r="C31" s="134">
        <v>22.263000000000002</v>
      </c>
      <c r="D31" s="134"/>
      <c r="E31" s="134">
        <v>22.508000000000003</v>
      </c>
      <c r="F31" s="134"/>
      <c r="K31" s="135">
        <v>267.15600000000001</v>
      </c>
      <c r="L31" s="135"/>
      <c r="M31" s="135">
        <v>270.096</v>
      </c>
      <c r="N31" s="135"/>
    </row>
    <row r="32" spans="2:14" ht="12.5" x14ac:dyDescent="0.35">
      <c r="B32" s="50">
        <v>33</v>
      </c>
      <c r="C32" s="134">
        <v>22.163</v>
      </c>
      <c r="D32" s="134"/>
      <c r="E32" s="134">
        <v>22.414000000000001</v>
      </c>
      <c r="F32" s="134"/>
      <c r="K32" s="135">
        <v>265.95599999999996</v>
      </c>
      <c r="L32" s="135"/>
      <c r="M32" s="135">
        <v>268.96800000000002</v>
      </c>
      <c r="N32" s="135"/>
    </row>
    <row r="33" spans="2:14" ht="12.5" x14ac:dyDescent="0.35">
      <c r="B33" s="50">
        <v>34</v>
      </c>
      <c r="C33" s="134">
        <v>22.059000000000001</v>
      </c>
      <c r="D33" s="134"/>
      <c r="E33" s="134">
        <v>22.316999999999997</v>
      </c>
      <c r="F33" s="134"/>
      <c r="K33" s="135">
        <v>264.70799999999997</v>
      </c>
      <c r="L33" s="135"/>
      <c r="M33" s="135">
        <v>267.80400000000003</v>
      </c>
      <c r="N33" s="135"/>
    </row>
    <row r="34" spans="2:14" ht="12.5" x14ac:dyDescent="0.35">
      <c r="B34" s="50">
        <v>35</v>
      </c>
      <c r="C34" s="134">
        <v>21.95</v>
      </c>
      <c r="D34" s="134"/>
      <c r="E34" s="134">
        <v>22.215</v>
      </c>
      <c r="F34" s="134"/>
      <c r="K34" s="135">
        <v>263.39999999999998</v>
      </c>
      <c r="L34" s="135"/>
      <c r="M34" s="135">
        <v>266.58</v>
      </c>
      <c r="N34" s="135"/>
    </row>
    <row r="35" spans="2:14" ht="12.5" x14ac:dyDescent="0.35">
      <c r="B35" s="50">
        <v>36</v>
      </c>
      <c r="C35" s="134">
        <v>21.837</v>
      </c>
      <c r="D35" s="134"/>
      <c r="E35" s="134">
        <v>22.109000000000002</v>
      </c>
      <c r="F35" s="134"/>
      <c r="K35" s="135">
        <v>262.04400000000004</v>
      </c>
      <c r="L35" s="135"/>
      <c r="M35" s="135">
        <v>265.30799999999999</v>
      </c>
      <c r="N35" s="135"/>
    </row>
    <row r="36" spans="2:14" ht="12.5" x14ac:dyDescent="0.35">
      <c r="B36" s="50">
        <v>37</v>
      </c>
      <c r="C36" s="134">
        <v>21.719000000000001</v>
      </c>
      <c r="D36" s="134"/>
      <c r="E36" s="134">
        <v>21.999000000000002</v>
      </c>
      <c r="F36" s="134"/>
      <c r="K36" s="135">
        <v>260.62799999999999</v>
      </c>
      <c r="L36" s="135"/>
      <c r="M36" s="135">
        <v>263.988</v>
      </c>
      <c r="N36" s="135"/>
    </row>
    <row r="37" spans="2:14" ht="12.5" x14ac:dyDescent="0.35">
      <c r="B37" s="50">
        <v>38</v>
      </c>
      <c r="C37" s="134">
        <v>21.596999999999998</v>
      </c>
      <c r="D37" s="134"/>
      <c r="E37" s="134">
        <v>21.884</v>
      </c>
      <c r="F37" s="134"/>
      <c r="K37" s="135">
        <v>259.16399999999999</v>
      </c>
      <c r="L37" s="135"/>
      <c r="M37" s="135">
        <v>262.608</v>
      </c>
      <c r="N37" s="135"/>
    </row>
    <row r="38" spans="2:14" ht="12.5" x14ac:dyDescent="0.35">
      <c r="B38" s="50">
        <v>39</v>
      </c>
      <c r="C38" s="134">
        <v>21.469000000000001</v>
      </c>
      <c r="D38" s="134"/>
      <c r="E38" s="134">
        <v>21.763999999999999</v>
      </c>
      <c r="F38" s="134"/>
      <c r="K38" s="135">
        <v>257.62799999999999</v>
      </c>
      <c r="L38" s="135"/>
      <c r="M38" s="135">
        <v>261.16800000000001</v>
      </c>
      <c r="N38" s="135"/>
    </row>
    <row r="39" spans="2:14" ht="12.5" x14ac:dyDescent="0.35">
      <c r="B39" s="50">
        <v>40</v>
      </c>
      <c r="C39" s="134">
        <v>21.335999999999999</v>
      </c>
      <c r="D39" s="134"/>
      <c r="E39" s="134">
        <v>21.64</v>
      </c>
      <c r="F39" s="134"/>
      <c r="K39" s="135">
        <v>256.03199999999998</v>
      </c>
      <c r="L39" s="135"/>
      <c r="M39" s="135">
        <v>259.68</v>
      </c>
      <c r="N39" s="135"/>
    </row>
    <row r="40" spans="2:14" ht="12.5" x14ac:dyDescent="0.35">
      <c r="B40" s="50">
        <v>41</v>
      </c>
      <c r="C40" s="134">
        <v>21.196999999999999</v>
      </c>
      <c r="D40" s="134"/>
      <c r="E40" s="134">
        <v>21.51</v>
      </c>
      <c r="F40" s="134"/>
      <c r="K40" s="135">
        <v>254.364</v>
      </c>
      <c r="L40" s="135"/>
      <c r="M40" s="135">
        <v>258.12</v>
      </c>
      <c r="N40" s="135"/>
    </row>
    <row r="41" spans="2:14" ht="12.5" x14ac:dyDescent="0.35">
      <c r="B41" s="50">
        <v>42</v>
      </c>
      <c r="C41" s="134">
        <v>21.053000000000001</v>
      </c>
      <c r="D41" s="134"/>
      <c r="E41" s="134">
        <v>21.374000000000002</v>
      </c>
      <c r="F41" s="134"/>
      <c r="K41" s="135">
        <v>252.636</v>
      </c>
      <c r="L41" s="135"/>
      <c r="M41" s="135">
        <v>256.488</v>
      </c>
      <c r="N41" s="135"/>
    </row>
    <row r="42" spans="2:14" ht="12.5" x14ac:dyDescent="0.35">
      <c r="B42" s="50">
        <v>43</v>
      </c>
      <c r="C42" s="134">
        <v>20.903000000000002</v>
      </c>
      <c r="D42" s="134"/>
      <c r="E42" s="134">
        <v>21.233000000000001</v>
      </c>
      <c r="F42" s="134"/>
      <c r="K42" s="135">
        <v>250.83599999999998</v>
      </c>
      <c r="L42" s="135"/>
      <c r="M42" s="135">
        <v>254.79599999999999</v>
      </c>
      <c r="N42" s="135"/>
    </row>
    <row r="43" spans="2:14" ht="12.5" x14ac:dyDescent="0.35">
      <c r="B43" s="50">
        <v>44</v>
      </c>
      <c r="C43" s="134">
        <v>20.747</v>
      </c>
      <c r="D43" s="134"/>
      <c r="E43" s="134">
        <v>21.085000000000001</v>
      </c>
      <c r="F43" s="134"/>
      <c r="K43" s="135">
        <v>248.96400000000003</v>
      </c>
      <c r="L43" s="135"/>
      <c r="M43" s="135">
        <v>253.02</v>
      </c>
      <c r="N43" s="135"/>
    </row>
    <row r="44" spans="2:14" ht="12.5" x14ac:dyDescent="0.35">
      <c r="B44" s="50">
        <v>45</v>
      </c>
      <c r="C44" s="134">
        <v>20.584</v>
      </c>
      <c r="D44" s="134"/>
      <c r="E44" s="134">
        <v>20.931999999999999</v>
      </c>
      <c r="F44" s="134"/>
      <c r="K44" s="135">
        <v>247.00799999999998</v>
      </c>
      <c r="L44" s="135"/>
      <c r="M44" s="135">
        <v>251.18400000000003</v>
      </c>
      <c r="N44" s="135"/>
    </row>
    <row r="45" spans="2:14" ht="12.5" x14ac:dyDescent="0.35">
      <c r="B45" s="50">
        <v>46</v>
      </c>
      <c r="C45" s="134">
        <v>20.414999999999999</v>
      </c>
      <c r="D45" s="134"/>
      <c r="E45" s="134">
        <v>20.771999999999998</v>
      </c>
      <c r="F45" s="134"/>
      <c r="K45" s="135">
        <v>244.98</v>
      </c>
      <c r="L45" s="135"/>
      <c r="M45" s="135">
        <v>249.26400000000001</v>
      </c>
      <c r="N45" s="135"/>
    </row>
    <row r="46" spans="2:14" ht="12.5" x14ac:dyDescent="0.35">
      <c r="B46" s="50">
        <v>47</v>
      </c>
      <c r="C46" s="134">
        <v>20.238</v>
      </c>
      <c r="D46" s="134"/>
      <c r="E46" s="134">
        <v>20.605999999999998</v>
      </c>
      <c r="F46" s="134"/>
      <c r="K46" s="135">
        <v>242.85599999999999</v>
      </c>
      <c r="L46" s="135"/>
      <c r="M46" s="135">
        <v>247.27200000000002</v>
      </c>
      <c r="N46" s="135"/>
    </row>
    <row r="47" spans="2:14" ht="12.5" x14ac:dyDescent="0.35">
      <c r="B47" s="50">
        <v>48</v>
      </c>
      <c r="C47" s="134">
        <v>20.055</v>
      </c>
      <c r="D47" s="134"/>
      <c r="E47" s="134">
        <v>20.433</v>
      </c>
      <c r="F47" s="134"/>
      <c r="K47" s="135">
        <v>240.66</v>
      </c>
      <c r="L47" s="135"/>
      <c r="M47" s="135">
        <v>245.196</v>
      </c>
      <c r="N47" s="135"/>
    </row>
    <row r="48" spans="2:14" ht="12.5" x14ac:dyDescent="0.35">
      <c r="B48" s="50">
        <v>49</v>
      </c>
      <c r="C48" s="134">
        <v>19.864000000000001</v>
      </c>
      <c r="D48" s="134"/>
      <c r="E48" s="134">
        <v>20.251999999999999</v>
      </c>
      <c r="F48" s="134"/>
      <c r="K48" s="135">
        <v>238.36799999999999</v>
      </c>
      <c r="L48" s="135"/>
      <c r="M48" s="135">
        <v>243.024</v>
      </c>
      <c r="N48" s="135"/>
    </row>
    <row r="49" spans="2:14" ht="12.5" x14ac:dyDescent="0.35">
      <c r="B49" s="50">
        <v>50</v>
      </c>
      <c r="C49" s="134">
        <v>19.666</v>
      </c>
      <c r="D49" s="134"/>
      <c r="E49" s="134">
        <v>20.064</v>
      </c>
      <c r="F49" s="134"/>
      <c r="K49" s="135">
        <v>235.99200000000002</v>
      </c>
      <c r="L49" s="135"/>
      <c r="M49" s="135">
        <v>240.768</v>
      </c>
      <c r="N49" s="135"/>
    </row>
    <row r="50" spans="2:14" ht="12.5" x14ac:dyDescent="0.35">
      <c r="B50" s="50">
        <v>51</v>
      </c>
      <c r="C50" s="134">
        <v>19.46</v>
      </c>
      <c r="D50" s="134"/>
      <c r="E50" s="134">
        <v>19.867999999999999</v>
      </c>
      <c r="F50" s="134"/>
      <c r="K50" s="135">
        <v>233.52</v>
      </c>
      <c r="L50" s="135"/>
      <c r="M50" s="135">
        <v>238.416</v>
      </c>
      <c r="N50" s="135"/>
    </row>
    <row r="51" spans="2:14" ht="12.5" x14ac:dyDescent="0.35">
      <c r="B51" s="50">
        <v>52</v>
      </c>
      <c r="C51" s="134">
        <v>19.247</v>
      </c>
      <c r="D51" s="134"/>
      <c r="E51" s="134">
        <v>19.664000000000001</v>
      </c>
      <c r="F51" s="134"/>
      <c r="K51" s="135">
        <v>230.96400000000003</v>
      </c>
      <c r="L51" s="135"/>
      <c r="M51" s="135">
        <v>235.96799999999999</v>
      </c>
      <c r="N51" s="135"/>
    </row>
    <row r="52" spans="2:14" ht="12.5" x14ac:dyDescent="0.35">
      <c r="B52" s="50">
        <v>53</v>
      </c>
      <c r="C52" s="134">
        <v>19.024999999999999</v>
      </c>
      <c r="D52" s="134"/>
      <c r="E52" s="134">
        <v>19.452000000000002</v>
      </c>
      <c r="F52" s="134"/>
      <c r="K52" s="135">
        <v>228.3</v>
      </c>
      <c r="L52" s="135"/>
      <c r="M52" s="135">
        <v>233.42400000000001</v>
      </c>
      <c r="N52" s="135"/>
    </row>
    <row r="53" spans="2:14" ht="12.5" x14ac:dyDescent="0.35">
      <c r="B53" s="50">
        <v>54</v>
      </c>
      <c r="C53" s="134">
        <v>18.794</v>
      </c>
      <c r="D53" s="134"/>
      <c r="E53" s="134">
        <v>19.23</v>
      </c>
      <c r="F53" s="134"/>
      <c r="K53" s="135">
        <v>225.52799999999999</v>
      </c>
      <c r="L53" s="135"/>
      <c r="M53" s="135">
        <v>230.76</v>
      </c>
      <c r="N53" s="135"/>
    </row>
    <row r="54" spans="2:14" ht="12.5" x14ac:dyDescent="0.35">
      <c r="B54" s="50">
        <v>55</v>
      </c>
      <c r="C54" s="134">
        <v>18.555</v>
      </c>
      <c r="D54" s="134"/>
      <c r="E54" s="134">
        <v>18.999000000000002</v>
      </c>
      <c r="F54" s="134"/>
      <c r="K54" s="135">
        <v>222.66</v>
      </c>
      <c r="L54" s="135"/>
      <c r="M54" s="135">
        <v>227.988</v>
      </c>
      <c r="N54" s="135"/>
    </row>
    <row r="55" spans="2:14" ht="12.5" x14ac:dyDescent="0.35">
      <c r="B55" s="50">
        <v>56</v>
      </c>
      <c r="C55" s="134">
        <v>18.309000000000001</v>
      </c>
      <c r="D55" s="134"/>
      <c r="E55" s="134">
        <v>18.759</v>
      </c>
      <c r="F55" s="134"/>
      <c r="K55" s="135">
        <v>219.708</v>
      </c>
      <c r="L55" s="135"/>
      <c r="M55" s="135">
        <v>225.108</v>
      </c>
      <c r="N55" s="135"/>
    </row>
    <row r="56" spans="2:14" ht="12.5" x14ac:dyDescent="0.35">
      <c r="B56" s="50">
        <v>57</v>
      </c>
      <c r="C56" s="134">
        <v>18.055</v>
      </c>
      <c r="D56" s="134"/>
      <c r="E56" s="134">
        <v>18.510000000000002</v>
      </c>
      <c r="F56" s="134"/>
      <c r="K56" s="135">
        <v>216.66</v>
      </c>
      <c r="L56" s="135"/>
      <c r="M56" s="135">
        <v>222.12</v>
      </c>
      <c r="N56" s="135"/>
    </row>
    <row r="57" spans="2:14" ht="12.5" x14ac:dyDescent="0.35">
      <c r="B57" s="50">
        <v>58</v>
      </c>
      <c r="C57" s="134">
        <v>17.792999999999999</v>
      </c>
      <c r="D57" s="134"/>
      <c r="E57" s="134">
        <v>18.251999999999999</v>
      </c>
      <c r="F57" s="134"/>
      <c r="K57" s="135">
        <v>213.51599999999999</v>
      </c>
      <c r="L57" s="135"/>
      <c r="M57" s="135">
        <v>219.024</v>
      </c>
      <c r="N57" s="135"/>
    </row>
    <row r="58" spans="2:14" ht="12.5" x14ac:dyDescent="0.35">
      <c r="B58" s="50">
        <v>59</v>
      </c>
      <c r="C58" s="134">
        <v>17.522000000000002</v>
      </c>
      <c r="D58" s="134"/>
      <c r="E58" s="134">
        <v>17.983000000000001</v>
      </c>
      <c r="F58" s="134"/>
      <c r="K58" s="135">
        <v>210.26400000000001</v>
      </c>
      <c r="L58" s="135"/>
      <c r="M58" s="135">
        <v>215.79599999999999</v>
      </c>
      <c r="N58" s="135"/>
    </row>
    <row r="59" spans="2:14" ht="12.5" x14ac:dyDescent="0.35">
      <c r="B59" s="50">
        <v>60</v>
      </c>
      <c r="C59" s="134">
        <v>17.242000000000001</v>
      </c>
      <c r="D59" s="134"/>
      <c r="E59" s="136">
        <v>17.704000000000001</v>
      </c>
      <c r="F59" s="136"/>
      <c r="K59" s="135">
        <v>206.90400000000002</v>
      </c>
      <c r="L59" s="135"/>
      <c r="M59" s="137">
        <v>212.44799999999998</v>
      </c>
      <c r="N59" s="137"/>
    </row>
    <row r="60" spans="2:14" ht="12.5" x14ac:dyDescent="0.35">
      <c r="B60" s="50">
        <v>61</v>
      </c>
      <c r="C60" s="134">
        <v>16.952000000000002</v>
      </c>
      <c r="D60" s="134"/>
      <c r="E60" s="134">
        <v>17.414999999999999</v>
      </c>
      <c r="F60" s="134"/>
      <c r="K60" s="135">
        <v>203.42400000000001</v>
      </c>
      <c r="L60" s="135"/>
      <c r="M60" s="135">
        <v>208.98</v>
      </c>
      <c r="N60" s="135"/>
    </row>
    <row r="61" spans="2:14" ht="12.5" x14ac:dyDescent="0.35">
      <c r="B61" s="50">
        <v>62</v>
      </c>
      <c r="C61" s="134">
        <v>16.652999999999999</v>
      </c>
      <c r="D61" s="134"/>
      <c r="E61" s="134">
        <v>17.114999999999998</v>
      </c>
      <c r="F61" s="134"/>
      <c r="K61" s="135">
        <v>199.83599999999998</v>
      </c>
      <c r="L61" s="135"/>
      <c r="M61" s="135">
        <v>205.38</v>
      </c>
      <c r="N61" s="135"/>
    </row>
    <row r="62" spans="2:14" ht="12.5" x14ac:dyDescent="0.35">
      <c r="B62" s="50">
        <v>63</v>
      </c>
      <c r="C62" s="134">
        <v>16.343</v>
      </c>
      <c r="D62" s="134"/>
      <c r="E62" s="134">
        <v>16.805</v>
      </c>
      <c r="F62" s="134"/>
      <c r="K62" s="135">
        <v>196.11599999999999</v>
      </c>
      <c r="L62" s="135"/>
      <c r="M62" s="135">
        <v>201.66</v>
      </c>
      <c r="N62" s="135"/>
    </row>
    <row r="63" spans="2:14" ht="12.5" x14ac:dyDescent="0.35">
      <c r="B63" s="50">
        <v>64</v>
      </c>
      <c r="C63" s="134">
        <v>16.022000000000002</v>
      </c>
      <c r="D63" s="134"/>
      <c r="E63" s="134">
        <v>16.484999999999999</v>
      </c>
      <c r="F63" s="134"/>
      <c r="K63" s="135">
        <v>192.26400000000001</v>
      </c>
      <c r="L63" s="135"/>
      <c r="M63" s="135">
        <v>197.82</v>
      </c>
      <c r="N63" s="135"/>
    </row>
    <row r="64" spans="2:14" ht="12.5" x14ac:dyDescent="0.35">
      <c r="B64" s="50">
        <v>65</v>
      </c>
      <c r="C64" s="136">
        <v>15.69</v>
      </c>
      <c r="D64" s="136"/>
      <c r="E64" s="134">
        <v>16.155999999999999</v>
      </c>
      <c r="F64" s="134"/>
      <c r="K64" s="137">
        <v>188.28</v>
      </c>
      <c r="L64" s="137"/>
      <c r="M64" s="135">
        <v>193.87200000000001</v>
      </c>
      <c r="N64" s="135"/>
    </row>
    <row r="65" spans="2:14" ht="12.5" x14ac:dyDescent="0.35">
      <c r="B65" s="50">
        <v>66</v>
      </c>
      <c r="C65" s="134">
        <v>15.349</v>
      </c>
      <c r="D65" s="134"/>
      <c r="E65" s="134">
        <v>15.817</v>
      </c>
      <c r="F65" s="134"/>
      <c r="K65" s="135">
        <v>184.18799999999999</v>
      </c>
      <c r="L65" s="135"/>
      <c r="M65" s="135">
        <v>189.804</v>
      </c>
      <c r="N65" s="135"/>
    </row>
    <row r="66" spans="2:14" ht="12.5" x14ac:dyDescent="0.35">
      <c r="B66" s="50">
        <v>67</v>
      </c>
      <c r="C66" s="134">
        <v>15</v>
      </c>
      <c r="D66" s="134"/>
      <c r="E66" s="134">
        <v>15.468</v>
      </c>
      <c r="F66" s="134"/>
      <c r="K66" s="135">
        <v>180</v>
      </c>
      <c r="L66" s="135"/>
      <c r="M66" s="135">
        <v>185.61599999999999</v>
      </c>
      <c r="N66" s="135"/>
    </row>
    <row r="67" spans="2:14" ht="12.5" x14ac:dyDescent="0.35">
      <c r="B67" s="50">
        <v>68</v>
      </c>
      <c r="C67" s="134">
        <v>14.642999999999999</v>
      </c>
      <c r="D67" s="134"/>
      <c r="E67" s="134">
        <v>15.109000000000002</v>
      </c>
      <c r="F67" s="134"/>
      <c r="K67" s="135">
        <v>175.71599999999998</v>
      </c>
      <c r="L67" s="135"/>
      <c r="M67" s="135">
        <v>181.30799999999999</v>
      </c>
      <c r="N67" s="135"/>
    </row>
    <row r="68" spans="2:14" ht="12.5" x14ac:dyDescent="0.35">
      <c r="B68" s="50">
        <v>69</v>
      </c>
      <c r="C68" s="134">
        <v>14.279000000000002</v>
      </c>
      <c r="D68" s="134"/>
      <c r="E68" s="134">
        <v>14.741</v>
      </c>
      <c r="F68" s="134"/>
      <c r="K68" s="135">
        <v>171.34799999999998</v>
      </c>
      <c r="L68" s="135"/>
      <c r="M68" s="135">
        <v>176.892</v>
      </c>
      <c r="N68" s="135"/>
    </row>
    <row r="69" spans="2:14" ht="12.5" x14ac:dyDescent="0.35">
      <c r="B69" s="50">
        <v>70</v>
      </c>
      <c r="C69" s="134">
        <v>13.909000000000001</v>
      </c>
      <c r="D69" s="134"/>
      <c r="E69" s="134">
        <v>14.364000000000001</v>
      </c>
      <c r="F69" s="134"/>
      <c r="K69" s="135">
        <v>166.90799999999999</v>
      </c>
      <c r="L69" s="135"/>
      <c r="M69" s="135">
        <v>172.36799999999999</v>
      </c>
      <c r="N69" s="135"/>
    </row>
    <row r="70" spans="2:14" ht="12.5" x14ac:dyDescent="0.35">
      <c r="B70" s="50">
        <v>71</v>
      </c>
      <c r="C70" s="134">
        <v>13.532999999999999</v>
      </c>
      <c r="D70" s="134"/>
      <c r="E70" s="134">
        <v>13.979000000000001</v>
      </c>
      <c r="F70" s="134"/>
      <c r="K70" s="135">
        <v>162.39600000000002</v>
      </c>
      <c r="L70" s="135"/>
      <c r="M70" s="135">
        <v>167.74799999999999</v>
      </c>
      <c r="N70" s="135"/>
    </row>
    <row r="71" spans="2:14" ht="12.5" x14ac:dyDescent="0.35">
      <c r="B71" s="50">
        <v>72</v>
      </c>
      <c r="C71" s="134">
        <v>13.151</v>
      </c>
      <c r="D71" s="134"/>
      <c r="E71" s="134">
        <v>13.585000000000001</v>
      </c>
      <c r="F71" s="134"/>
      <c r="K71" s="135">
        <v>157.81200000000001</v>
      </c>
      <c r="L71" s="135"/>
      <c r="M71" s="135">
        <v>163.02000000000001</v>
      </c>
      <c r="N71" s="135"/>
    </row>
    <row r="72" spans="2:14" ht="12.5" x14ac:dyDescent="0.35">
      <c r="B72" s="50">
        <v>73</v>
      </c>
      <c r="C72" s="134">
        <v>12.763</v>
      </c>
      <c r="D72" s="134"/>
      <c r="E72" s="134">
        <v>13.182</v>
      </c>
      <c r="F72" s="134"/>
      <c r="K72" s="135">
        <v>153.15600000000001</v>
      </c>
      <c r="L72" s="135"/>
      <c r="M72" s="135">
        <v>158.184</v>
      </c>
      <c r="N72" s="135"/>
    </row>
    <row r="73" spans="2:14" ht="12.5" x14ac:dyDescent="0.35">
      <c r="B73" s="50">
        <v>74</v>
      </c>
      <c r="C73" s="134">
        <v>12.367000000000001</v>
      </c>
      <c r="D73" s="134"/>
      <c r="E73" s="134">
        <v>12.767999999999999</v>
      </c>
      <c r="F73" s="134"/>
      <c r="K73" s="135">
        <v>148.404</v>
      </c>
      <c r="L73" s="135"/>
      <c r="M73" s="135">
        <v>153.21600000000001</v>
      </c>
      <c r="N73" s="135"/>
    </row>
    <row r="74" spans="2:14" ht="12.5" x14ac:dyDescent="0.35">
      <c r="B74" s="50">
        <v>75</v>
      </c>
      <c r="C74" s="134">
        <v>11.964</v>
      </c>
      <c r="D74" s="134"/>
      <c r="E74" s="134">
        <v>12.345999999999998</v>
      </c>
      <c r="F74" s="134"/>
      <c r="K74" s="135">
        <v>143.56799999999998</v>
      </c>
      <c r="L74" s="135"/>
      <c r="M74" s="135">
        <v>148.15200000000002</v>
      </c>
      <c r="N74" s="135"/>
    </row>
    <row r="75" spans="2:14" ht="12.5" x14ac:dyDescent="0.35">
      <c r="B75" s="50">
        <v>76</v>
      </c>
      <c r="C75" s="134">
        <v>11.555</v>
      </c>
      <c r="D75" s="134"/>
      <c r="E75" s="134">
        <v>11.914999999999999</v>
      </c>
      <c r="F75" s="134"/>
      <c r="K75" s="135">
        <v>138.66</v>
      </c>
      <c r="L75" s="135"/>
      <c r="M75" s="135">
        <v>142.97999999999999</v>
      </c>
      <c r="N75" s="135"/>
    </row>
    <row r="76" spans="2:14" ht="12.5" x14ac:dyDescent="0.35">
      <c r="B76" s="50">
        <v>77</v>
      </c>
      <c r="C76" s="134">
        <v>11.14</v>
      </c>
      <c r="D76" s="134"/>
      <c r="E76" s="134">
        <v>11.478</v>
      </c>
      <c r="F76" s="134"/>
      <c r="K76" s="135">
        <v>133.68</v>
      </c>
      <c r="L76" s="135"/>
      <c r="M76" s="135">
        <v>137.73599999999999</v>
      </c>
      <c r="N76" s="135"/>
    </row>
    <row r="77" spans="2:14" ht="12.5" x14ac:dyDescent="0.35">
      <c r="B77" s="50">
        <v>78</v>
      </c>
      <c r="C77" s="134">
        <v>10.720999999999998</v>
      </c>
      <c r="D77" s="134"/>
      <c r="E77" s="134">
        <v>11.037000000000001</v>
      </c>
      <c r="F77" s="134"/>
      <c r="K77" s="135">
        <v>128.65200000000002</v>
      </c>
      <c r="L77" s="135"/>
      <c r="M77" s="135">
        <v>132.44399999999999</v>
      </c>
      <c r="N77" s="135"/>
    </row>
    <row r="78" spans="2:14" ht="12.5" x14ac:dyDescent="0.35">
      <c r="B78" s="50">
        <v>79</v>
      </c>
      <c r="C78" s="134">
        <v>10.3</v>
      </c>
      <c r="D78" s="134"/>
      <c r="E78" s="134">
        <v>10.592000000000001</v>
      </c>
      <c r="F78" s="134"/>
      <c r="K78" s="135">
        <v>123.6</v>
      </c>
      <c r="L78" s="135"/>
      <c r="M78" s="135">
        <v>127.104</v>
      </c>
      <c r="N78" s="135"/>
    </row>
    <row r="79" spans="2:14" ht="12.5" x14ac:dyDescent="0.35">
      <c r="B79" s="50">
        <v>80</v>
      </c>
      <c r="C79" s="134">
        <v>9.8770000000000007</v>
      </c>
      <c r="D79" s="134"/>
      <c r="E79" s="134">
        <v>10.146000000000001</v>
      </c>
      <c r="F79" s="134"/>
      <c r="K79" s="135">
        <v>118.524</v>
      </c>
      <c r="L79" s="135"/>
      <c r="M79" s="135">
        <v>121.75200000000001</v>
      </c>
      <c r="N79" s="135"/>
    </row>
    <row r="80" spans="2:14" ht="12.5" x14ac:dyDescent="0.35">
      <c r="B80" s="50">
        <v>81</v>
      </c>
      <c r="C80" s="134">
        <v>9.4559999999999995</v>
      </c>
      <c r="D80" s="134"/>
      <c r="E80" s="134">
        <v>9.6989999999999998</v>
      </c>
      <c r="F80" s="134"/>
      <c r="K80" s="135">
        <v>113.47200000000001</v>
      </c>
      <c r="L80" s="135"/>
      <c r="M80" s="135">
        <v>116.38799999999999</v>
      </c>
      <c r="N80" s="135"/>
    </row>
    <row r="81" spans="2:14" ht="12.5" x14ac:dyDescent="0.35">
      <c r="B81" s="50">
        <v>82</v>
      </c>
      <c r="C81" s="134">
        <v>9.0380000000000003</v>
      </c>
      <c r="D81" s="134"/>
      <c r="E81" s="134">
        <v>9.2530000000000001</v>
      </c>
      <c r="F81" s="134"/>
      <c r="K81" s="135">
        <v>108.456</v>
      </c>
      <c r="L81" s="135"/>
      <c r="M81" s="135">
        <v>111.036</v>
      </c>
      <c r="N81" s="135"/>
    </row>
    <row r="82" spans="2:14" ht="12.5" x14ac:dyDescent="0.35">
      <c r="B82" s="50">
        <v>83</v>
      </c>
      <c r="C82" s="134">
        <v>8.625</v>
      </c>
      <c r="D82" s="134"/>
      <c r="E82" s="134">
        <v>8.8109999999999999</v>
      </c>
      <c r="F82" s="134"/>
      <c r="K82" s="135">
        <v>103.5</v>
      </c>
      <c r="L82" s="135"/>
      <c r="M82" s="135">
        <v>105.73200000000001</v>
      </c>
      <c r="N82" s="135"/>
    </row>
    <row r="83" spans="2:14" ht="12.5" x14ac:dyDescent="0.35">
      <c r="B83" s="50">
        <v>84</v>
      </c>
      <c r="C83" s="134">
        <v>8.2160000000000011</v>
      </c>
      <c r="D83" s="134"/>
      <c r="E83" s="134">
        <v>8.3740000000000006</v>
      </c>
      <c r="F83" s="134"/>
      <c r="K83" s="135">
        <v>98.592000000000013</v>
      </c>
      <c r="L83" s="135"/>
      <c r="M83" s="135">
        <v>100.488</v>
      </c>
      <c r="N83" s="135"/>
    </row>
    <row r="84" spans="2:14" ht="12.5" x14ac:dyDescent="0.35">
      <c r="B84" s="50">
        <v>85</v>
      </c>
      <c r="C84" s="134">
        <v>7.8150000000000004</v>
      </c>
      <c r="D84" s="134"/>
      <c r="E84" s="134">
        <v>7.9450000000000003</v>
      </c>
      <c r="F84" s="134"/>
      <c r="K84" s="135">
        <v>93.78</v>
      </c>
      <c r="L84" s="135"/>
      <c r="M84" s="135">
        <v>95.34</v>
      </c>
      <c r="N84" s="135"/>
    </row>
    <row r="85" spans="2:14" ht="12.5" x14ac:dyDescent="0.35">
      <c r="B85" s="50">
        <v>86</v>
      </c>
      <c r="C85" s="134">
        <v>7.42</v>
      </c>
      <c r="D85" s="134"/>
      <c r="E85" s="134">
        <v>7.5250000000000004</v>
      </c>
      <c r="F85" s="134"/>
      <c r="K85" s="135">
        <v>89.04</v>
      </c>
      <c r="L85" s="135"/>
      <c r="M85" s="135">
        <v>90.3</v>
      </c>
      <c r="N85" s="135"/>
    </row>
    <row r="86" spans="2:14" ht="12.5" x14ac:dyDescent="0.35">
      <c r="B86" s="50">
        <v>87</v>
      </c>
      <c r="C86" s="134">
        <v>7.0339999999999998</v>
      </c>
      <c r="D86" s="134"/>
      <c r="E86" s="134">
        <v>7.1150000000000002</v>
      </c>
      <c r="F86" s="134"/>
      <c r="K86" s="135">
        <v>84.407999999999987</v>
      </c>
      <c r="L86" s="135"/>
      <c r="M86" s="135">
        <v>85.38</v>
      </c>
      <c r="N86" s="135"/>
    </row>
    <row r="87" spans="2:14" ht="12.5" x14ac:dyDescent="0.35">
      <c r="B87" s="50">
        <v>88</v>
      </c>
      <c r="C87" s="134">
        <v>6.6560000000000006</v>
      </c>
      <c r="D87" s="134"/>
      <c r="E87" s="134">
        <v>6.7160000000000002</v>
      </c>
      <c r="F87" s="134"/>
      <c r="K87" s="135">
        <v>79.872</v>
      </c>
      <c r="L87" s="135"/>
      <c r="M87" s="135">
        <v>80.591999999999999</v>
      </c>
      <c r="N87" s="135"/>
    </row>
    <row r="88" spans="2:14" ht="12.5" x14ac:dyDescent="0.35">
      <c r="B88" s="50">
        <v>89</v>
      </c>
      <c r="C88" s="134">
        <v>6.2879999999999994</v>
      </c>
      <c r="D88" s="134"/>
      <c r="E88" s="134">
        <v>6.3270000000000008</v>
      </c>
      <c r="F88" s="134"/>
      <c r="K88" s="135">
        <v>75.456000000000003</v>
      </c>
      <c r="L88" s="135"/>
      <c r="M88" s="135">
        <v>75.923999999999992</v>
      </c>
      <c r="N88" s="135"/>
    </row>
    <row r="89" spans="2:14" ht="12.5" x14ac:dyDescent="0.35">
      <c r="B89" s="50">
        <v>90</v>
      </c>
      <c r="C89" s="134">
        <v>5.93</v>
      </c>
      <c r="D89" s="134"/>
      <c r="E89" s="134">
        <v>5.9489999999999998</v>
      </c>
      <c r="F89" s="134"/>
      <c r="K89" s="135">
        <v>71.16</v>
      </c>
      <c r="L89" s="135"/>
      <c r="M89" s="135">
        <v>71.388000000000005</v>
      </c>
      <c r="N89" s="135"/>
    </row>
  </sheetData>
  <mergeCells count="299">
    <mergeCell ref="A1:F1"/>
    <mergeCell ref="A2:G3"/>
    <mergeCell ref="A4:G4"/>
    <mergeCell ref="A7:P7"/>
    <mergeCell ref="A9:E9"/>
    <mergeCell ref="B12:I12"/>
    <mergeCell ref="B13:I13"/>
    <mergeCell ref="B14:H15"/>
    <mergeCell ref="J14:O15"/>
    <mergeCell ref="B16:E16"/>
    <mergeCell ref="J16:M16"/>
    <mergeCell ref="C18:D18"/>
    <mergeCell ref="E18:F18"/>
    <mergeCell ref="K18:L18"/>
    <mergeCell ref="M18:N18"/>
    <mergeCell ref="C21:D21"/>
    <mergeCell ref="E21:F21"/>
    <mergeCell ref="K21:L21"/>
    <mergeCell ref="M21:N21"/>
    <mergeCell ref="C22:D22"/>
    <mergeCell ref="E22:F22"/>
    <mergeCell ref="K22:L22"/>
    <mergeCell ref="M22:N22"/>
    <mergeCell ref="C19:D19"/>
    <mergeCell ref="E19:F19"/>
    <mergeCell ref="K19:L19"/>
    <mergeCell ref="M19:N19"/>
    <mergeCell ref="C20:D20"/>
    <mergeCell ref="E20:F20"/>
    <mergeCell ref="K20:L20"/>
    <mergeCell ref="M20:N20"/>
    <mergeCell ref="C25:D25"/>
    <mergeCell ref="E25:F25"/>
    <mergeCell ref="K25:L25"/>
    <mergeCell ref="M25:N25"/>
    <mergeCell ref="C26:D26"/>
    <mergeCell ref="E26:F26"/>
    <mergeCell ref="K26:L26"/>
    <mergeCell ref="M26:N26"/>
    <mergeCell ref="C23:D23"/>
    <mergeCell ref="E23:F23"/>
    <mergeCell ref="K23:L23"/>
    <mergeCell ref="M23:N23"/>
    <mergeCell ref="C24:D24"/>
    <mergeCell ref="E24:F24"/>
    <mergeCell ref="K24:L24"/>
    <mergeCell ref="M24:N24"/>
    <mergeCell ref="C29:D29"/>
    <mergeCell ref="E29:F29"/>
    <mergeCell ref="K29:L29"/>
    <mergeCell ref="M29:N29"/>
    <mergeCell ref="C30:D30"/>
    <mergeCell ref="E30:F30"/>
    <mergeCell ref="K30:L30"/>
    <mergeCell ref="M30:N30"/>
    <mergeCell ref="C27:D27"/>
    <mergeCell ref="E27:F27"/>
    <mergeCell ref="K27:L27"/>
    <mergeCell ref="M27:N27"/>
    <mergeCell ref="C28:D28"/>
    <mergeCell ref="E28:F28"/>
    <mergeCell ref="K28:L28"/>
    <mergeCell ref="M28:N28"/>
    <mergeCell ref="C33:D33"/>
    <mergeCell ref="E33:F33"/>
    <mergeCell ref="K33:L33"/>
    <mergeCell ref="M33:N33"/>
    <mergeCell ref="C34:D34"/>
    <mergeCell ref="E34:F34"/>
    <mergeCell ref="K34:L34"/>
    <mergeCell ref="M34:N34"/>
    <mergeCell ref="C31:D31"/>
    <mergeCell ref="E31:F31"/>
    <mergeCell ref="K31:L31"/>
    <mergeCell ref="M31:N31"/>
    <mergeCell ref="C32:D32"/>
    <mergeCell ref="E32:F32"/>
    <mergeCell ref="K32:L32"/>
    <mergeCell ref="M32:N32"/>
    <mergeCell ref="C37:D37"/>
    <mergeCell ref="E37:F37"/>
    <mergeCell ref="K37:L37"/>
    <mergeCell ref="M37:N37"/>
    <mergeCell ref="C38:D38"/>
    <mergeCell ref="E38:F38"/>
    <mergeCell ref="K38:L38"/>
    <mergeCell ref="M38:N38"/>
    <mergeCell ref="C35:D35"/>
    <mergeCell ref="E35:F35"/>
    <mergeCell ref="K35:L35"/>
    <mergeCell ref="M35:N35"/>
    <mergeCell ref="C36:D36"/>
    <mergeCell ref="E36:F36"/>
    <mergeCell ref="K36:L36"/>
    <mergeCell ref="M36:N36"/>
    <mergeCell ref="C41:D41"/>
    <mergeCell ref="E41:F41"/>
    <mergeCell ref="K41:L41"/>
    <mergeCell ref="M41:N41"/>
    <mergeCell ref="C42:D42"/>
    <mergeCell ref="E42:F42"/>
    <mergeCell ref="K42:L42"/>
    <mergeCell ref="M42:N42"/>
    <mergeCell ref="C39:D39"/>
    <mergeCell ref="E39:F39"/>
    <mergeCell ref="K39:L39"/>
    <mergeCell ref="M39:N39"/>
    <mergeCell ref="C40:D40"/>
    <mergeCell ref="E40:F40"/>
    <mergeCell ref="K40:L40"/>
    <mergeCell ref="M40:N40"/>
    <mergeCell ref="C45:D45"/>
    <mergeCell ref="E45:F45"/>
    <mergeCell ref="K45:L45"/>
    <mergeCell ref="M45:N45"/>
    <mergeCell ref="C46:D46"/>
    <mergeCell ref="E46:F46"/>
    <mergeCell ref="K46:L46"/>
    <mergeCell ref="M46:N46"/>
    <mergeCell ref="C43:D43"/>
    <mergeCell ref="E43:F43"/>
    <mergeCell ref="K43:L43"/>
    <mergeCell ref="M43:N43"/>
    <mergeCell ref="C44:D44"/>
    <mergeCell ref="E44:F44"/>
    <mergeCell ref="K44:L44"/>
    <mergeCell ref="M44:N44"/>
    <mergeCell ref="C49:D49"/>
    <mergeCell ref="E49:F49"/>
    <mergeCell ref="K49:L49"/>
    <mergeCell ref="M49:N49"/>
    <mergeCell ref="C50:D50"/>
    <mergeCell ref="E50:F50"/>
    <mergeCell ref="K50:L50"/>
    <mergeCell ref="M50:N50"/>
    <mergeCell ref="C47:D47"/>
    <mergeCell ref="E47:F47"/>
    <mergeCell ref="K47:L47"/>
    <mergeCell ref="M47:N47"/>
    <mergeCell ref="C48:D48"/>
    <mergeCell ref="E48:F48"/>
    <mergeCell ref="K48:L48"/>
    <mergeCell ref="M48:N48"/>
    <mergeCell ref="C53:D53"/>
    <mergeCell ref="E53:F53"/>
    <mergeCell ref="K53:L53"/>
    <mergeCell ref="M53:N53"/>
    <mergeCell ref="C54:D54"/>
    <mergeCell ref="E54:F54"/>
    <mergeCell ref="K54:L54"/>
    <mergeCell ref="M54:N54"/>
    <mergeCell ref="C51:D51"/>
    <mergeCell ref="E51:F51"/>
    <mergeCell ref="K51:L51"/>
    <mergeCell ref="M51:N51"/>
    <mergeCell ref="C52:D52"/>
    <mergeCell ref="E52:F52"/>
    <mergeCell ref="K52:L52"/>
    <mergeCell ref="M52:N52"/>
    <mergeCell ref="C57:D57"/>
    <mergeCell ref="E57:F57"/>
    <mergeCell ref="K57:L57"/>
    <mergeCell ref="M57:N57"/>
    <mergeCell ref="C58:D58"/>
    <mergeCell ref="E58:F58"/>
    <mergeCell ref="K58:L58"/>
    <mergeCell ref="M58:N58"/>
    <mergeCell ref="C55:D55"/>
    <mergeCell ref="E55:F55"/>
    <mergeCell ref="K55:L55"/>
    <mergeCell ref="M55:N55"/>
    <mergeCell ref="C56:D56"/>
    <mergeCell ref="E56:F56"/>
    <mergeCell ref="K56:L56"/>
    <mergeCell ref="M56:N56"/>
    <mergeCell ref="C61:D61"/>
    <mergeCell ref="E61:F61"/>
    <mergeCell ref="K61:L61"/>
    <mergeCell ref="M61:N61"/>
    <mergeCell ref="C62:D62"/>
    <mergeCell ref="E62:F62"/>
    <mergeCell ref="K62:L62"/>
    <mergeCell ref="M62:N62"/>
    <mergeCell ref="C59:D59"/>
    <mergeCell ref="E59:F59"/>
    <mergeCell ref="K59:L59"/>
    <mergeCell ref="M59:N59"/>
    <mergeCell ref="C60:D60"/>
    <mergeCell ref="E60:F60"/>
    <mergeCell ref="K60:L60"/>
    <mergeCell ref="M60:N60"/>
    <mergeCell ref="C65:D65"/>
    <mergeCell ref="E65:F65"/>
    <mergeCell ref="K65:L65"/>
    <mergeCell ref="M65:N65"/>
    <mergeCell ref="C66:D66"/>
    <mergeCell ref="E66:F66"/>
    <mergeCell ref="K66:L66"/>
    <mergeCell ref="M66:N66"/>
    <mergeCell ref="C63:D63"/>
    <mergeCell ref="E63:F63"/>
    <mergeCell ref="K63:L63"/>
    <mergeCell ref="M63:N63"/>
    <mergeCell ref="C64:D64"/>
    <mergeCell ref="E64:F64"/>
    <mergeCell ref="K64:L64"/>
    <mergeCell ref="M64:N64"/>
    <mergeCell ref="C69:D69"/>
    <mergeCell ref="E69:F69"/>
    <mergeCell ref="K69:L69"/>
    <mergeCell ref="M69:N69"/>
    <mergeCell ref="C70:D70"/>
    <mergeCell ref="E70:F70"/>
    <mergeCell ref="K70:L70"/>
    <mergeCell ref="M70:N70"/>
    <mergeCell ref="C67:D67"/>
    <mergeCell ref="E67:F67"/>
    <mergeCell ref="K67:L67"/>
    <mergeCell ref="M67:N67"/>
    <mergeCell ref="C68:D68"/>
    <mergeCell ref="E68:F68"/>
    <mergeCell ref="K68:L68"/>
    <mergeCell ref="M68:N68"/>
    <mergeCell ref="C73:D73"/>
    <mergeCell ref="E73:F73"/>
    <mergeCell ref="K73:L73"/>
    <mergeCell ref="M73:N73"/>
    <mergeCell ref="C74:D74"/>
    <mergeCell ref="E74:F74"/>
    <mergeCell ref="K74:L74"/>
    <mergeCell ref="M74:N74"/>
    <mergeCell ref="C71:D71"/>
    <mergeCell ref="E71:F71"/>
    <mergeCell ref="K71:L71"/>
    <mergeCell ref="M71:N71"/>
    <mergeCell ref="C72:D72"/>
    <mergeCell ref="E72:F72"/>
    <mergeCell ref="K72:L72"/>
    <mergeCell ref="M72:N72"/>
    <mergeCell ref="C77:D77"/>
    <mergeCell ref="E77:F77"/>
    <mergeCell ref="K77:L77"/>
    <mergeCell ref="M77:N77"/>
    <mergeCell ref="C78:D78"/>
    <mergeCell ref="E78:F78"/>
    <mergeCell ref="K78:L78"/>
    <mergeCell ref="M78:N78"/>
    <mergeCell ref="C75:D75"/>
    <mergeCell ref="E75:F75"/>
    <mergeCell ref="K75:L75"/>
    <mergeCell ref="M75:N75"/>
    <mergeCell ref="C76:D76"/>
    <mergeCell ref="E76:F76"/>
    <mergeCell ref="K76:L76"/>
    <mergeCell ref="M76:N76"/>
    <mergeCell ref="C81:D81"/>
    <mergeCell ref="E81:F81"/>
    <mergeCell ref="K81:L81"/>
    <mergeCell ref="M81:N81"/>
    <mergeCell ref="C82:D82"/>
    <mergeCell ref="E82:F82"/>
    <mergeCell ref="K82:L82"/>
    <mergeCell ref="M82:N82"/>
    <mergeCell ref="C79:D79"/>
    <mergeCell ref="E79:F79"/>
    <mergeCell ref="K79:L79"/>
    <mergeCell ref="M79:N79"/>
    <mergeCell ref="C80:D80"/>
    <mergeCell ref="E80:F80"/>
    <mergeCell ref="K80:L80"/>
    <mergeCell ref="M80:N80"/>
    <mergeCell ref="C85:D85"/>
    <mergeCell ref="E85:F85"/>
    <mergeCell ref="K85:L85"/>
    <mergeCell ref="M85:N85"/>
    <mergeCell ref="C86:D86"/>
    <mergeCell ref="E86:F86"/>
    <mergeCell ref="K86:L86"/>
    <mergeCell ref="M86:N86"/>
    <mergeCell ref="C83:D83"/>
    <mergeCell ref="E83:F83"/>
    <mergeCell ref="K83:L83"/>
    <mergeCell ref="M83:N83"/>
    <mergeCell ref="C84:D84"/>
    <mergeCell ref="E84:F84"/>
    <mergeCell ref="K84:L84"/>
    <mergeCell ref="M84:N84"/>
    <mergeCell ref="C89:D89"/>
    <mergeCell ref="E89:F89"/>
    <mergeCell ref="K89:L89"/>
    <mergeCell ref="M89:N89"/>
    <mergeCell ref="C87:D87"/>
    <mergeCell ref="E87:F87"/>
    <mergeCell ref="K87:L87"/>
    <mergeCell ref="M87:N87"/>
    <mergeCell ref="C88:D88"/>
    <mergeCell ref="E88:F88"/>
    <mergeCell ref="K88:L88"/>
    <mergeCell ref="M88:N88"/>
  </mergeCells>
  <pageMargins left="0.25" right="0.25" top="0.25" bottom="0.25" header="0" footer="0"/>
  <pageSetup paperSize="0" scale="0" fitToWidth="0" fitToHeight="0" orientation="portrait" usePrinterDefaults="0" horizontalDpi="0" verticalDpi="0" copies="0"/>
  <headerFooter alignWithMargins="0">
    <oddFooter>&amp;C_x000D_&amp;1#&amp;"Calibri"&amp;10&amp;K000000 Uso Interno</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1858B-1E70-4928-B93F-50D3B0F5E19D}">
  <sheetPr codeName="Hoja10">
    <outlinePr summaryBelow="0"/>
    <pageSetUpPr autoPageBreaks="0"/>
  </sheetPr>
  <dimension ref="A1:P89"/>
  <sheetViews>
    <sheetView showGridLines="0" topLeftCell="A44" workbookViewId="0">
      <selection activeCell="K64" sqref="K64:L64"/>
    </sheetView>
  </sheetViews>
  <sheetFormatPr baseColWidth="10" defaultColWidth="11.453125" defaultRowHeight="12.75" customHeight="1" x14ac:dyDescent="0.35"/>
  <cols>
    <col min="1" max="256" width="6.81640625" style="48" customWidth="1"/>
    <col min="257" max="16384" width="11.453125" style="48"/>
  </cols>
  <sheetData>
    <row r="1" spans="1:16" ht="14.25" customHeight="1" x14ac:dyDescent="0.35">
      <c r="A1" s="140" t="s">
        <v>96</v>
      </c>
      <c r="B1" s="140"/>
      <c r="C1" s="140"/>
      <c r="D1" s="140"/>
      <c r="E1" s="140"/>
      <c r="F1" s="140"/>
    </row>
    <row r="2" spans="1:16" ht="12.5" x14ac:dyDescent="0.35">
      <c r="A2" s="141" t="s">
        <v>97</v>
      </c>
      <c r="B2" s="141"/>
      <c r="C2" s="141"/>
      <c r="D2" s="141"/>
      <c r="E2" s="141"/>
      <c r="F2" s="141"/>
      <c r="G2" s="141"/>
    </row>
    <row r="3" spans="1:16" ht="0.75" customHeight="1" x14ac:dyDescent="0.35">
      <c r="A3" s="141"/>
      <c r="B3" s="141"/>
      <c r="C3" s="141"/>
      <c r="D3" s="141"/>
      <c r="E3" s="141"/>
      <c r="F3" s="141"/>
      <c r="G3" s="141"/>
    </row>
    <row r="4" spans="1:16" ht="13.5" customHeight="1" x14ac:dyDescent="0.35">
      <c r="A4" s="141" t="s">
        <v>98</v>
      </c>
      <c r="B4" s="141"/>
      <c r="C4" s="141"/>
      <c r="D4" s="141"/>
      <c r="E4" s="141"/>
      <c r="F4" s="141"/>
      <c r="G4" s="141"/>
    </row>
    <row r="5" spans="1:16" ht="11.25" customHeight="1" x14ac:dyDescent="0.35"/>
    <row r="6" spans="1:16" ht="28.5" customHeight="1" x14ac:dyDescent="0.35"/>
    <row r="7" spans="1:16" ht="15.75" customHeight="1" x14ac:dyDescent="0.35">
      <c r="A7" s="142" t="s">
        <v>99</v>
      </c>
      <c r="B7" s="142"/>
      <c r="C7" s="142"/>
      <c r="D7" s="142"/>
      <c r="E7" s="142"/>
      <c r="F7" s="142"/>
      <c r="G7" s="142"/>
      <c r="H7" s="142"/>
      <c r="I7" s="142"/>
      <c r="J7" s="142"/>
      <c r="K7" s="142"/>
      <c r="L7" s="142"/>
      <c r="M7" s="142"/>
      <c r="N7" s="142"/>
      <c r="O7" s="142"/>
      <c r="P7" s="142"/>
    </row>
    <row r="8" spans="1:16" ht="8.25" customHeight="1" x14ac:dyDescent="0.35"/>
    <row r="9" spans="1:16" ht="11.25" customHeight="1" x14ac:dyDescent="0.35">
      <c r="A9" s="141" t="s">
        <v>107</v>
      </c>
      <c r="B9" s="141"/>
      <c r="C9" s="141"/>
      <c r="D9" s="141"/>
      <c r="E9" s="141"/>
    </row>
    <row r="10" spans="1:16" ht="9" customHeight="1" x14ac:dyDescent="0.35"/>
    <row r="11" spans="1:16" ht="7.5" customHeight="1" x14ac:dyDescent="0.35"/>
    <row r="12" spans="1:16" ht="12.5" x14ac:dyDescent="0.35">
      <c r="B12" s="143" t="s">
        <v>101</v>
      </c>
      <c r="C12" s="143"/>
      <c r="D12" s="143"/>
      <c r="E12" s="143"/>
      <c r="F12" s="143"/>
      <c r="G12" s="143"/>
      <c r="H12" s="143"/>
      <c r="I12" s="143"/>
    </row>
    <row r="13" spans="1:16" ht="13.5" customHeight="1" x14ac:dyDescent="0.35">
      <c r="B13" s="143" t="s">
        <v>102</v>
      </c>
      <c r="C13" s="143"/>
      <c r="D13" s="143"/>
      <c r="E13" s="143"/>
      <c r="F13" s="143"/>
      <c r="G13" s="143"/>
      <c r="H13" s="143"/>
      <c r="I13" s="143"/>
    </row>
    <row r="14" spans="1:16" ht="9" customHeight="1" x14ac:dyDescent="0.35">
      <c r="B14" s="144" t="s">
        <v>103</v>
      </c>
      <c r="C14" s="144"/>
      <c r="D14" s="144"/>
      <c r="E14" s="144"/>
      <c r="F14" s="144"/>
      <c r="G14" s="144"/>
      <c r="H14" s="144"/>
      <c r="J14" s="144" t="s">
        <v>104</v>
      </c>
      <c r="K14" s="144"/>
      <c r="L14" s="144"/>
      <c r="M14" s="144"/>
      <c r="N14" s="144"/>
      <c r="O14" s="144"/>
    </row>
    <row r="15" spans="1:16" ht="2.25" customHeight="1" x14ac:dyDescent="0.35">
      <c r="B15" s="144"/>
      <c r="C15" s="144"/>
      <c r="D15" s="144"/>
      <c r="E15" s="144"/>
      <c r="F15" s="144"/>
      <c r="G15" s="144"/>
      <c r="H15" s="144"/>
      <c r="J15" s="144"/>
      <c r="K15" s="144"/>
      <c r="L15" s="144"/>
      <c r="M15" s="144"/>
      <c r="N15" s="144"/>
      <c r="O15" s="144"/>
    </row>
    <row r="16" spans="1:16" ht="11.25" customHeight="1" x14ac:dyDescent="0.35">
      <c r="B16" s="138" t="s">
        <v>105</v>
      </c>
      <c r="C16" s="138"/>
      <c r="D16" s="138"/>
      <c r="E16" s="138"/>
      <c r="J16" s="138" t="s">
        <v>106</v>
      </c>
      <c r="K16" s="138"/>
      <c r="L16" s="138"/>
      <c r="M16" s="138"/>
    </row>
    <row r="17" spans="2:14" ht="11.25" customHeight="1" x14ac:dyDescent="0.35"/>
    <row r="18" spans="2:14" ht="14.25" customHeight="1" x14ac:dyDescent="0.35">
      <c r="B18" s="49" t="s">
        <v>1</v>
      </c>
      <c r="C18" s="139" t="s">
        <v>81</v>
      </c>
      <c r="D18" s="139"/>
      <c r="E18" s="139" t="s">
        <v>82</v>
      </c>
      <c r="F18" s="139"/>
      <c r="K18" s="139" t="s">
        <v>81</v>
      </c>
      <c r="L18" s="139"/>
      <c r="M18" s="139" t="s">
        <v>82</v>
      </c>
      <c r="N18" s="139"/>
    </row>
    <row r="19" spans="2:14" ht="12.5" x14ac:dyDescent="0.35">
      <c r="B19" s="50">
        <v>20</v>
      </c>
      <c r="C19" s="134">
        <v>22.011999999999997</v>
      </c>
      <c r="D19" s="134"/>
      <c r="E19" s="134">
        <v>22.171999999999997</v>
      </c>
      <c r="F19" s="134"/>
      <c r="K19" s="135">
        <v>264.14400000000001</v>
      </c>
      <c r="L19" s="135"/>
      <c r="M19" s="135">
        <v>266.06400000000002</v>
      </c>
      <c r="N19" s="135"/>
    </row>
    <row r="20" spans="2:14" ht="12.5" x14ac:dyDescent="0.35">
      <c r="B20" s="50">
        <v>21</v>
      </c>
      <c r="C20" s="134">
        <v>21.96</v>
      </c>
      <c r="D20" s="134"/>
      <c r="E20" s="134">
        <v>22.125</v>
      </c>
      <c r="F20" s="134"/>
      <c r="K20" s="135">
        <v>263.52</v>
      </c>
      <c r="L20" s="135"/>
      <c r="M20" s="135">
        <v>265.5</v>
      </c>
      <c r="N20" s="135"/>
    </row>
    <row r="21" spans="2:14" ht="12.5" x14ac:dyDescent="0.35">
      <c r="B21" s="50">
        <v>22</v>
      </c>
      <c r="C21" s="134">
        <v>21.905999999999999</v>
      </c>
      <c r="D21" s="134"/>
      <c r="E21" s="134">
        <v>22.076000000000001</v>
      </c>
      <c r="F21" s="134"/>
      <c r="K21" s="135">
        <v>262.87200000000001</v>
      </c>
      <c r="L21" s="135"/>
      <c r="M21" s="135">
        <v>264.91200000000003</v>
      </c>
      <c r="N21" s="135"/>
    </row>
    <row r="22" spans="2:14" ht="12.5" x14ac:dyDescent="0.35">
      <c r="B22" s="50">
        <v>23</v>
      </c>
      <c r="C22" s="134">
        <v>21.85</v>
      </c>
      <c r="D22" s="134"/>
      <c r="E22" s="134">
        <v>22.024000000000001</v>
      </c>
      <c r="F22" s="134"/>
      <c r="K22" s="135">
        <v>262.2</v>
      </c>
      <c r="L22" s="135"/>
      <c r="M22" s="135">
        <v>264.28800000000001</v>
      </c>
      <c r="N22" s="135"/>
    </row>
    <row r="23" spans="2:14" ht="12.5" x14ac:dyDescent="0.35">
      <c r="B23" s="50">
        <v>24</v>
      </c>
      <c r="C23" s="134">
        <v>21.791</v>
      </c>
      <c r="D23" s="134"/>
      <c r="E23" s="134">
        <v>21.971</v>
      </c>
      <c r="F23" s="134"/>
      <c r="K23" s="135">
        <v>261.49200000000002</v>
      </c>
      <c r="L23" s="135"/>
      <c r="M23" s="135">
        <v>263.65199999999999</v>
      </c>
      <c r="N23" s="135"/>
    </row>
    <row r="24" spans="2:14" ht="12.5" x14ac:dyDescent="0.35">
      <c r="B24" s="50">
        <v>25</v>
      </c>
      <c r="C24" s="134">
        <v>21.73</v>
      </c>
      <c r="D24" s="134"/>
      <c r="E24" s="134">
        <v>21.914000000000001</v>
      </c>
      <c r="F24" s="134"/>
      <c r="K24" s="135">
        <v>260.76</v>
      </c>
      <c r="L24" s="135"/>
      <c r="M24" s="135">
        <v>262.96800000000002</v>
      </c>
      <c r="N24" s="135"/>
    </row>
    <row r="25" spans="2:14" ht="12.5" x14ac:dyDescent="0.35">
      <c r="B25" s="50">
        <v>26</v>
      </c>
      <c r="C25" s="134">
        <v>21.666</v>
      </c>
      <c r="D25" s="134"/>
      <c r="E25" s="134">
        <v>21.855</v>
      </c>
      <c r="F25" s="134"/>
      <c r="K25" s="135">
        <v>259.99200000000002</v>
      </c>
      <c r="L25" s="135"/>
      <c r="M25" s="135">
        <v>262.26</v>
      </c>
      <c r="N25" s="135"/>
    </row>
    <row r="26" spans="2:14" ht="12.5" x14ac:dyDescent="0.35">
      <c r="B26" s="50">
        <v>27</v>
      </c>
      <c r="C26" s="134">
        <v>21.599</v>
      </c>
      <c r="D26" s="134"/>
      <c r="E26" s="134">
        <v>21.794</v>
      </c>
      <c r="F26" s="134"/>
      <c r="K26" s="135">
        <v>259.18799999999999</v>
      </c>
      <c r="L26" s="135"/>
      <c r="M26" s="135">
        <v>261.52800000000002</v>
      </c>
      <c r="N26" s="135"/>
    </row>
    <row r="27" spans="2:14" ht="12.5" x14ac:dyDescent="0.35">
      <c r="B27" s="50">
        <v>28</v>
      </c>
      <c r="C27" s="134">
        <v>21.529</v>
      </c>
      <c r="D27" s="134"/>
      <c r="E27" s="134">
        <v>21.728999999999999</v>
      </c>
      <c r="F27" s="134"/>
      <c r="K27" s="135">
        <v>258.34800000000001</v>
      </c>
      <c r="L27" s="135"/>
      <c r="M27" s="135">
        <v>260.74799999999999</v>
      </c>
      <c r="N27" s="135"/>
    </row>
    <row r="28" spans="2:14" ht="12.5" x14ac:dyDescent="0.35">
      <c r="B28" s="50">
        <v>29</v>
      </c>
      <c r="C28" s="134">
        <v>21.456999999999997</v>
      </c>
      <c r="D28" s="134"/>
      <c r="E28" s="134">
        <v>21.660999999999998</v>
      </c>
      <c r="F28" s="134"/>
      <c r="K28" s="135">
        <v>257.48400000000004</v>
      </c>
      <c r="L28" s="135"/>
      <c r="M28" s="135">
        <v>259.93200000000002</v>
      </c>
      <c r="N28" s="135"/>
    </row>
    <row r="29" spans="2:14" ht="12.5" x14ac:dyDescent="0.35">
      <c r="B29" s="50">
        <v>30</v>
      </c>
      <c r="C29" s="134">
        <v>21.381</v>
      </c>
      <c r="D29" s="134"/>
      <c r="E29" s="134">
        <v>21.590999999999998</v>
      </c>
      <c r="F29" s="134"/>
      <c r="K29" s="135">
        <v>256.572</v>
      </c>
      <c r="L29" s="135"/>
      <c r="M29" s="135">
        <v>259.09199999999998</v>
      </c>
      <c r="N29" s="135"/>
    </row>
    <row r="30" spans="2:14" ht="12.5" x14ac:dyDescent="0.35">
      <c r="B30" s="50">
        <v>31</v>
      </c>
      <c r="C30" s="134">
        <v>21.300999999999998</v>
      </c>
      <c r="D30" s="134"/>
      <c r="E30" s="134">
        <v>21.516999999999999</v>
      </c>
      <c r="F30" s="134"/>
      <c r="K30" s="135">
        <v>255.61199999999999</v>
      </c>
      <c r="L30" s="135"/>
      <c r="M30" s="135">
        <v>258.20400000000001</v>
      </c>
      <c r="N30" s="135"/>
    </row>
    <row r="31" spans="2:14" ht="12.5" x14ac:dyDescent="0.35">
      <c r="B31" s="50">
        <v>32</v>
      </c>
      <c r="C31" s="134">
        <v>21.218000000000004</v>
      </c>
      <c r="D31" s="134"/>
      <c r="E31" s="134">
        <v>21.44</v>
      </c>
      <c r="F31" s="134"/>
      <c r="K31" s="135">
        <v>254.61599999999999</v>
      </c>
      <c r="L31" s="135"/>
      <c r="M31" s="135">
        <v>257.27999999999997</v>
      </c>
      <c r="N31" s="135"/>
    </row>
    <row r="32" spans="2:14" ht="12.5" x14ac:dyDescent="0.35">
      <c r="B32" s="50">
        <v>33</v>
      </c>
      <c r="C32" s="134">
        <v>21.131</v>
      </c>
      <c r="D32" s="134"/>
      <c r="E32" s="134">
        <v>21.359000000000002</v>
      </c>
      <c r="F32" s="134"/>
      <c r="K32" s="135">
        <v>253.572</v>
      </c>
      <c r="L32" s="135"/>
      <c r="M32" s="135">
        <v>256.30799999999999</v>
      </c>
      <c r="N32" s="135"/>
    </row>
    <row r="33" spans="2:14" ht="12.5" x14ac:dyDescent="0.35">
      <c r="B33" s="50">
        <v>34</v>
      </c>
      <c r="C33" s="134">
        <v>21.041</v>
      </c>
      <c r="D33" s="134"/>
      <c r="E33" s="134">
        <v>21.274999999999999</v>
      </c>
      <c r="F33" s="134"/>
      <c r="K33" s="135">
        <v>252.49200000000002</v>
      </c>
      <c r="L33" s="135"/>
      <c r="M33" s="135">
        <v>255.3</v>
      </c>
      <c r="N33" s="135"/>
    </row>
    <row r="34" spans="2:14" ht="12.5" x14ac:dyDescent="0.35">
      <c r="B34" s="50">
        <v>35</v>
      </c>
      <c r="C34" s="134">
        <v>20.945999999999998</v>
      </c>
      <c r="D34" s="134"/>
      <c r="E34" s="134">
        <v>21.186999999999998</v>
      </c>
      <c r="F34" s="134"/>
      <c r="K34" s="135">
        <v>251.352</v>
      </c>
      <c r="L34" s="135"/>
      <c r="M34" s="135">
        <v>254.24400000000003</v>
      </c>
      <c r="N34" s="135"/>
    </row>
    <row r="35" spans="2:14" ht="12.5" x14ac:dyDescent="0.35">
      <c r="B35" s="50">
        <v>36</v>
      </c>
      <c r="C35" s="134">
        <v>20.846999999999998</v>
      </c>
      <c r="D35" s="134"/>
      <c r="E35" s="134">
        <v>21.094999999999999</v>
      </c>
      <c r="F35" s="134"/>
      <c r="K35" s="135">
        <v>250.16400000000002</v>
      </c>
      <c r="L35" s="135"/>
      <c r="M35" s="135">
        <v>253.14</v>
      </c>
      <c r="N35" s="135"/>
    </row>
    <row r="36" spans="2:14" ht="12.5" x14ac:dyDescent="0.35">
      <c r="B36" s="50">
        <v>37</v>
      </c>
      <c r="C36" s="134">
        <v>20.744</v>
      </c>
      <c r="D36" s="134"/>
      <c r="E36" s="134">
        <v>20.999000000000002</v>
      </c>
      <c r="F36" s="134"/>
      <c r="K36" s="135">
        <v>248.928</v>
      </c>
      <c r="L36" s="135"/>
      <c r="M36" s="135">
        <v>251.988</v>
      </c>
      <c r="N36" s="135"/>
    </row>
    <row r="37" spans="2:14" ht="12.5" x14ac:dyDescent="0.35">
      <c r="B37" s="50">
        <v>38</v>
      </c>
      <c r="C37" s="134">
        <v>20.635999999999999</v>
      </c>
      <c r="D37" s="134"/>
      <c r="E37" s="134">
        <v>20.899000000000001</v>
      </c>
      <c r="F37" s="134"/>
      <c r="K37" s="135">
        <v>247.63200000000001</v>
      </c>
      <c r="L37" s="135"/>
      <c r="M37" s="135">
        <v>250.78799999999998</v>
      </c>
      <c r="N37" s="135"/>
    </row>
    <row r="38" spans="2:14" ht="12.5" x14ac:dyDescent="0.35">
      <c r="B38" s="50">
        <v>39</v>
      </c>
      <c r="C38" s="134">
        <v>20.523000000000003</v>
      </c>
      <c r="D38" s="134"/>
      <c r="E38" s="134">
        <v>20.794</v>
      </c>
      <c r="F38" s="134"/>
      <c r="K38" s="135">
        <v>246.27599999999998</v>
      </c>
      <c r="L38" s="135"/>
      <c r="M38" s="135">
        <v>249.52799999999999</v>
      </c>
      <c r="N38" s="135"/>
    </row>
    <row r="39" spans="2:14" ht="12.5" x14ac:dyDescent="0.35">
      <c r="B39" s="50">
        <v>40</v>
      </c>
      <c r="C39" s="134">
        <v>20.405999999999999</v>
      </c>
      <c r="D39" s="134"/>
      <c r="E39" s="134">
        <v>20.684999999999999</v>
      </c>
      <c r="F39" s="134"/>
      <c r="K39" s="135">
        <v>244.87200000000001</v>
      </c>
      <c r="L39" s="135"/>
      <c r="M39" s="135">
        <v>248.22</v>
      </c>
      <c r="N39" s="135"/>
    </row>
    <row r="40" spans="2:14" ht="12.5" x14ac:dyDescent="0.35">
      <c r="B40" s="50">
        <v>41</v>
      </c>
      <c r="C40" s="134">
        <v>20.283000000000001</v>
      </c>
      <c r="D40" s="134"/>
      <c r="E40" s="134">
        <v>20.57</v>
      </c>
      <c r="F40" s="134"/>
      <c r="K40" s="135">
        <v>243.39599999999999</v>
      </c>
      <c r="L40" s="135"/>
      <c r="M40" s="135">
        <v>246.84</v>
      </c>
      <c r="N40" s="135"/>
    </row>
    <row r="41" spans="2:14" ht="12.5" x14ac:dyDescent="0.35">
      <c r="B41" s="50">
        <v>42</v>
      </c>
      <c r="C41" s="134">
        <v>20.155000000000001</v>
      </c>
      <c r="D41" s="134"/>
      <c r="E41" s="134">
        <v>20.451000000000001</v>
      </c>
      <c r="F41" s="134"/>
      <c r="K41" s="135">
        <v>241.86</v>
      </c>
      <c r="L41" s="135"/>
      <c r="M41" s="135">
        <v>245.41200000000001</v>
      </c>
      <c r="N41" s="135"/>
    </row>
    <row r="42" spans="2:14" ht="12.5" x14ac:dyDescent="0.35">
      <c r="B42" s="50">
        <v>43</v>
      </c>
      <c r="C42" s="134">
        <v>20.022000000000002</v>
      </c>
      <c r="D42" s="134"/>
      <c r="E42" s="134">
        <v>20.326000000000001</v>
      </c>
      <c r="F42" s="134"/>
      <c r="K42" s="135">
        <v>240.26400000000001</v>
      </c>
      <c r="L42" s="135"/>
      <c r="M42" s="135">
        <v>243.91200000000001</v>
      </c>
      <c r="N42" s="135"/>
    </row>
    <row r="43" spans="2:14" ht="12.5" x14ac:dyDescent="0.35">
      <c r="B43" s="50">
        <v>44</v>
      </c>
      <c r="C43" s="134">
        <v>19.882000000000001</v>
      </c>
      <c r="D43" s="134"/>
      <c r="E43" s="134">
        <v>20.195</v>
      </c>
      <c r="F43" s="134"/>
      <c r="K43" s="135">
        <v>238.584</v>
      </c>
      <c r="L43" s="135"/>
      <c r="M43" s="135">
        <v>242.34</v>
      </c>
      <c r="N43" s="135"/>
    </row>
    <row r="44" spans="2:14" ht="12.5" x14ac:dyDescent="0.35">
      <c r="B44" s="50">
        <v>45</v>
      </c>
      <c r="C44" s="134">
        <v>19.737000000000002</v>
      </c>
      <c r="D44" s="134"/>
      <c r="E44" s="134">
        <v>20.059000000000001</v>
      </c>
      <c r="F44" s="134"/>
      <c r="K44" s="135">
        <v>236.84400000000002</v>
      </c>
      <c r="L44" s="135"/>
      <c r="M44" s="135">
        <v>240.708</v>
      </c>
      <c r="N44" s="135"/>
    </row>
    <row r="45" spans="2:14" ht="12.5" x14ac:dyDescent="0.35">
      <c r="B45" s="50">
        <v>46</v>
      </c>
      <c r="C45" s="134">
        <v>19.585000000000001</v>
      </c>
      <c r="D45" s="134"/>
      <c r="E45" s="134">
        <v>19.917000000000002</v>
      </c>
      <c r="F45" s="134"/>
      <c r="K45" s="135">
        <v>235.02</v>
      </c>
      <c r="L45" s="135"/>
      <c r="M45" s="135">
        <v>239.00400000000002</v>
      </c>
      <c r="N45" s="135"/>
    </row>
    <row r="46" spans="2:14" ht="12.5" x14ac:dyDescent="0.35">
      <c r="B46" s="50">
        <v>47</v>
      </c>
      <c r="C46" s="134">
        <v>19.425999999999998</v>
      </c>
      <c r="D46" s="134"/>
      <c r="E46" s="134">
        <v>19.768000000000001</v>
      </c>
      <c r="F46" s="134"/>
      <c r="K46" s="135">
        <v>233.11199999999999</v>
      </c>
      <c r="L46" s="135"/>
      <c r="M46" s="135">
        <v>237.21599999999998</v>
      </c>
      <c r="N46" s="135"/>
    </row>
    <row r="47" spans="2:14" ht="12.5" x14ac:dyDescent="0.35">
      <c r="B47" s="50">
        <v>48</v>
      </c>
      <c r="C47" s="134">
        <v>19.260999999999999</v>
      </c>
      <c r="D47" s="134"/>
      <c r="E47" s="134">
        <v>19.613</v>
      </c>
      <c r="F47" s="134"/>
      <c r="K47" s="135">
        <v>231.13200000000001</v>
      </c>
      <c r="L47" s="135"/>
      <c r="M47" s="135">
        <v>235.35599999999999</v>
      </c>
      <c r="N47" s="135"/>
    </row>
    <row r="48" spans="2:14" ht="12.5" x14ac:dyDescent="0.35">
      <c r="B48" s="50">
        <v>49</v>
      </c>
      <c r="C48" s="134">
        <v>19.089000000000002</v>
      </c>
      <c r="D48" s="134"/>
      <c r="E48" s="134">
        <v>19.451000000000001</v>
      </c>
      <c r="F48" s="134"/>
      <c r="K48" s="135">
        <v>229.06799999999998</v>
      </c>
      <c r="L48" s="135"/>
      <c r="M48" s="135">
        <v>233.41200000000001</v>
      </c>
      <c r="N48" s="135"/>
    </row>
    <row r="49" spans="2:14" ht="12.5" x14ac:dyDescent="0.35">
      <c r="B49" s="50">
        <v>50</v>
      </c>
      <c r="C49" s="134">
        <v>18.91</v>
      </c>
      <c r="D49" s="134"/>
      <c r="E49" s="134">
        <v>19.280999999999999</v>
      </c>
      <c r="F49" s="134"/>
      <c r="K49" s="135">
        <v>226.92</v>
      </c>
      <c r="L49" s="135"/>
      <c r="M49" s="135">
        <v>231.37200000000001</v>
      </c>
      <c r="N49" s="135"/>
    </row>
    <row r="50" spans="2:14" ht="12.5" x14ac:dyDescent="0.35">
      <c r="B50" s="50">
        <v>51</v>
      </c>
      <c r="C50" s="134">
        <v>18.722999999999999</v>
      </c>
      <c r="D50" s="134"/>
      <c r="E50" s="134">
        <v>19.103999999999999</v>
      </c>
      <c r="F50" s="134"/>
      <c r="K50" s="135">
        <v>224.67599999999999</v>
      </c>
      <c r="L50" s="135"/>
      <c r="M50" s="135">
        <v>229.24799999999999</v>
      </c>
      <c r="N50" s="135"/>
    </row>
    <row r="51" spans="2:14" ht="12.5" x14ac:dyDescent="0.35">
      <c r="B51" s="50">
        <v>52</v>
      </c>
      <c r="C51" s="134">
        <v>18.529</v>
      </c>
      <c r="D51" s="134"/>
      <c r="E51" s="134">
        <v>18.920000000000002</v>
      </c>
      <c r="F51" s="134"/>
      <c r="K51" s="135">
        <v>222.34799999999998</v>
      </c>
      <c r="L51" s="135"/>
      <c r="M51" s="135">
        <v>227.04</v>
      </c>
      <c r="N51" s="135"/>
    </row>
    <row r="52" spans="2:14" ht="12.5" x14ac:dyDescent="0.35">
      <c r="B52" s="50">
        <v>53</v>
      </c>
      <c r="C52" s="134">
        <v>18.326000000000001</v>
      </c>
      <c r="D52" s="134"/>
      <c r="E52" s="134">
        <v>18.727</v>
      </c>
      <c r="F52" s="134"/>
      <c r="K52" s="135">
        <v>219.91200000000001</v>
      </c>
      <c r="L52" s="135"/>
      <c r="M52" s="135">
        <v>224.72400000000002</v>
      </c>
      <c r="N52" s="135"/>
    </row>
    <row r="53" spans="2:14" ht="12.5" x14ac:dyDescent="0.35">
      <c r="B53" s="50">
        <v>54</v>
      </c>
      <c r="C53" s="134">
        <v>18.114999999999998</v>
      </c>
      <c r="D53" s="134"/>
      <c r="E53" s="134">
        <v>18.524999999999999</v>
      </c>
      <c r="F53" s="134"/>
      <c r="K53" s="135">
        <v>217.38</v>
      </c>
      <c r="L53" s="135"/>
      <c r="M53" s="135">
        <v>222.3</v>
      </c>
      <c r="N53" s="135"/>
    </row>
    <row r="54" spans="2:14" ht="12.5" x14ac:dyDescent="0.35">
      <c r="B54" s="50">
        <v>55</v>
      </c>
      <c r="C54" s="134">
        <v>17.896000000000001</v>
      </c>
      <c r="D54" s="134"/>
      <c r="E54" s="134">
        <v>18.315000000000001</v>
      </c>
      <c r="F54" s="134"/>
      <c r="K54" s="135">
        <v>214.75200000000001</v>
      </c>
      <c r="L54" s="135"/>
      <c r="M54" s="135">
        <v>219.78</v>
      </c>
      <c r="N54" s="135"/>
    </row>
    <row r="55" spans="2:14" ht="12.5" x14ac:dyDescent="0.35">
      <c r="B55" s="50">
        <v>56</v>
      </c>
      <c r="C55" s="134">
        <v>17.670000000000002</v>
      </c>
      <c r="D55" s="134"/>
      <c r="E55" s="134">
        <v>18.094999999999999</v>
      </c>
      <c r="F55" s="134"/>
      <c r="K55" s="135">
        <v>212.04</v>
      </c>
      <c r="L55" s="135"/>
      <c r="M55" s="135">
        <v>217.14</v>
      </c>
      <c r="N55" s="135"/>
    </row>
    <row r="56" spans="2:14" ht="12.5" x14ac:dyDescent="0.35">
      <c r="B56" s="50">
        <v>57</v>
      </c>
      <c r="C56" s="134">
        <v>17.437000000000001</v>
      </c>
      <c r="D56" s="134"/>
      <c r="E56" s="134">
        <v>17.867000000000001</v>
      </c>
      <c r="F56" s="134"/>
      <c r="K56" s="135">
        <v>209.24400000000003</v>
      </c>
      <c r="L56" s="135"/>
      <c r="M56" s="135">
        <v>214.40400000000002</v>
      </c>
      <c r="N56" s="135"/>
    </row>
    <row r="57" spans="2:14" ht="12.5" x14ac:dyDescent="0.35">
      <c r="B57" s="50">
        <v>58</v>
      </c>
      <c r="C57" s="134">
        <v>17.195</v>
      </c>
      <c r="D57" s="134"/>
      <c r="E57" s="134">
        <v>17.63</v>
      </c>
      <c r="F57" s="134"/>
      <c r="K57" s="135">
        <v>206.34</v>
      </c>
      <c r="L57" s="135"/>
      <c r="M57" s="135">
        <v>211.56</v>
      </c>
      <c r="N57" s="135"/>
    </row>
    <row r="58" spans="2:14" ht="12.5" x14ac:dyDescent="0.35">
      <c r="B58" s="50">
        <v>59</v>
      </c>
      <c r="C58" s="134">
        <v>16.944000000000003</v>
      </c>
      <c r="D58" s="134"/>
      <c r="E58" s="134">
        <v>17.382000000000001</v>
      </c>
      <c r="F58" s="134"/>
      <c r="K58" s="135">
        <v>203.328</v>
      </c>
      <c r="L58" s="135"/>
      <c r="M58" s="135">
        <v>208.584</v>
      </c>
      <c r="N58" s="135"/>
    </row>
    <row r="59" spans="2:14" ht="12.5" x14ac:dyDescent="0.35">
      <c r="B59" s="50">
        <v>60</v>
      </c>
      <c r="C59" s="134">
        <v>16.684999999999999</v>
      </c>
      <c r="D59" s="134"/>
      <c r="E59" s="136">
        <v>17.124000000000002</v>
      </c>
      <c r="F59" s="136"/>
      <c r="K59" s="135">
        <v>200.22</v>
      </c>
      <c r="L59" s="135"/>
      <c r="M59" s="135">
        <v>205.488</v>
      </c>
      <c r="N59" s="135"/>
    </row>
    <row r="60" spans="2:14" ht="12.5" x14ac:dyDescent="0.35">
      <c r="B60" s="50">
        <v>61</v>
      </c>
      <c r="C60" s="134">
        <v>16.416</v>
      </c>
      <c r="D60" s="134"/>
      <c r="E60" s="134">
        <v>16.855999999999998</v>
      </c>
      <c r="F60" s="134"/>
      <c r="K60" s="135">
        <v>196.99200000000002</v>
      </c>
      <c r="L60" s="135"/>
      <c r="M60" s="135">
        <v>202.27200000000002</v>
      </c>
      <c r="N60" s="135"/>
    </row>
    <row r="61" spans="2:14" ht="12.5" x14ac:dyDescent="0.35">
      <c r="B61" s="50">
        <v>62</v>
      </c>
      <c r="C61" s="134">
        <v>16.137</v>
      </c>
      <c r="D61" s="134"/>
      <c r="E61" s="134">
        <v>16.577999999999999</v>
      </c>
      <c r="F61" s="134"/>
      <c r="K61" s="135">
        <v>193.64400000000001</v>
      </c>
      <c r="L61" s="135"/>
      <c r="M61" s="135">
        <v>198.93599999999998</v>
      </c>
      <c r="N61" s="135"/>
    </row>
    <row r="62" spans="2:14" ht="12.5" x14ac:dyDescent="0.35">
      <c r="B62" s="50">
        <v>63</v>
      </c>
      <c r="C62" s="134">
        <v>15.847999999999999</v>
      </c>
      <c r="D62" s="134"/>
      <c r="E62" s="134">
        <v>16.289000000000001</v>
      </c>
      <c r="F62" s="134"/>
      <c r="K62" s="135">
        <v>190.17599999999999</v>
      </c>
      <c r="L62" s="135"/>
      <c r="M62" s="135">
        <v>195.46799999999999</v>
      </c>
      <c r="N62" s="135"/>
    </row>
    <row r="63" spans="2:14" ht="12.5" x14ac:dyDescent="0.35">
      <c r="B63" s="50">
        <v>64</v>
      </c>
      <c r="C63" s="134">
        <v>15.548</v>
      </c>
      <c r="D63" s="134"/>
      <c r="E63" s="134">
        <v>15.991</v>
      </c>
      <c r="F63" s="134"/>
      <c r="K63" s="135">
        <v>186.57599999999999</v>
      </c>
      <c r="L63" s="135"/>
      <c r="M63" s="135">
        <v>191.892</v>
      </c>
      <c r="N63" s="135"/>
    </row>
    <row r="64" spans="2:14" ht="12.5" x14ac:dyDescent="0.35">
      <c r="B64" s="50">
        <v>65</v>
      </c>
      <c r="C64" s="136">
        <v>15.238</v>
      </c>
      <c r="D64" s="136"/>
      <c r="E64" s="134">
        <v>15.684000000000001</v>
      </c>
      <c r="F64" s="134"/>
      <c r="K64" s="135">
        <v>182.85599999999999</v>
      </c>
      <c r="L64" s="135"/>
      <c r="M64" s="135">
        <v>188.208</v>
      </c>
      <c r="N64" s="135"/>
    </row>
    <row r="65" spans="2:14" ht="12.5" x14ac:dyDescent="0.35">
      <c r="B65" s="50">
        <v>66</v>
      </c>
      <c r="C65" s="134">
        <v>14.917</v>
      </c>
      <c r="D65" s="134"/>
      <c r="E65" s="134">
        <v>15.366</v>
      </c>
      <c r="F65" s="134"/>
      <c r="K65" s="135">
        <v>179.00400000000002</v>
      </c>
      <c r="L65" s="135"/>
      <c r="M65" s="135">
        <v>184.392</v>
      </c>
      <c r="N65" s="135"/>
    </row>
    <row r="66" spans="2:14" ht="12.5" x14ac:dyDescent="0.35">
      <c r="B66" s="50">
        <v>67</v>
      </c>
      <c r="C66" s="134">
        <v>14.587999999999999</v>
      </c>
      <c r="D66" s="134"/>
      <c r="E66" s="134">
        <v>15.038</v>
      </c>
      <c r="F66" s="134"/>
      <c r="K66" s="135">
        <v>175.05599999999998</v>
      </c>
      <c r="L66" s="135"/>
      <c r="M66" s="135">
        <v>180.45599999999999</v>
      </c>
      <c r="N66" s="135"/>
    </row>
    <row r="67" spans="2:14" ht="12.5" x14ac:dyDescent="0.35">
      <c r="B67" s="50">
        <v>68</v>
      </c>
      <c r="C67" s="134">
        <v>14.250999999999999</v>
      </c>
      <c r="D67" s="134"/>
      <c r="E67" s="134">
        <v>14.700999999999999</v>
      </c>
      <c r="F67" s="134"/>
      <c r="K67" s="135">
        <v>171.012</v>
      </c>
      <c r="L67" s="135"/>
      <c r="M67" s="135">
        <v>176.41200000000001</v>
      </c>
      <c r="N67" s="135"/>
    </row>
    <row r="68" spans="2:14" ht="12.5" x14ac:dyDescent="0.35">
      <c r="B68" s="50">
        <v>69</v>
      </c>
      <c r="C68" s="134">
        <v>13.907999999999999</v>
      </c>
      <c r="D68" s="134"/>
      <c r="E68" s="134">
        <v>14.354000000000001</v>
      </c>
      <c r="F68" s="134"/>
      <c r="K68" s="135">
        <v>166.89599999999999</v>
      </c>
      <c r="L68" s="135"/>
      <c r="M68" s="135">
        <v>172.24799999999999</v>
      </c>
      <c r="N68" s="135"/>
    </row>
    <row r="69" spans="2:14" ht="12.5" x14ac:dyDescent="0.35">
      <c r="B69" s="50">
        <v>70</v>
      </c>
      <c r="C69" s="134">
        <v>13.558</v>
      </c>
      <c r="D69" s="134"/>
      <c r="E69" s="134">
        <v>13.997999999999999</v>
      </c>
      <c r="F69" s="134"/>
      <c r="K69" s="135">
        <v>162.696</v>
      </c>
      <c r="L69" s="135"/>
      <c r="M69" s="135">
        <v>167.976</v>
      </c>
      <c r="N69" s="135"/>
    </row>
    <row r="70" spans="2:14" ht="12.5" x14ac:dyDescent="0.35">
      <c r="B70" s="50">
        <v>71</v>
      </c>
      <c r="C70" s="134">
        <v>13.202</v>
      </c>
      <c r="D70" s="134"/>
      <c r="E70" s="134">
        <v>13.632999999999999</v>
      </c>
      <c r="F70" s="134"/>
      <c r="K70" s="135">
        <v>158.42400000000001</v>
      </c>
      <c r="L70" s="135"/>
      <c r="M70" s="135">
        <v>163.596</v>
      </c>
      <c r="N70" s="135"/>
    </row>
    <row r="71" spans="2:14" ht="12.5" x14ac:dyDescent="0.35">
      <c r="B71" s="50">
        <v>72</v>
      </c>
      <c r="C71" s="134">
        <v>12.839</v>
      </c>
      <c r="D71" s="134"/>
      <c r="E71" s="134">
        <v>13.26</v>
      </c>
      <c r="F71" s="134"/>
      <c r="K71" s="135">
        <v>154.06799999999998</v>
      </c>
      <c r="L71" s="135"/>
      <c r="M71" s="135">
        <v>159.12</v>
      </c>
      <c r="N71" s="135"/>
    </row>
    <row r="72" spans="2:14" ht="12.5" x14ac:dyDescent="0.35">
      <c r="B72" s="50">
        <v>73</v>
      </c>
      <c r="C72" s="134">
        <v>12.469000000000001</v>
      </c>
      <c r="D72" s="134"/>
      <c r="E72" s="134">
        <v>12.875999999999999</v>
      </c>
      <c r="F72" s="134"/>
      <c r="K72" s="135">
        <v>149.62799999999999</v>
      </c>
      <c r="L72" s="135"/>
      <c r="M72" s="135">
        <v>154.512</v>
      </c>
      <c r="N72" s="135"/>
    </row>
    <row r="73" spans="2:14" ht="12.5" x14ac:dyDescent="0.35">
      <c r="B73" s="50">
        <v>74</v>
      </c>
      <c r="C73" s="134">
        <v>12.090999999999999</v>
      </c>
      <c r="D73" s="134"/>
      <c r="E73" s="134">
        <v>12.482000000000001</v>
      </c>
      <c r="F73" s="134"/>
      <c r="K73" s="135">
        <v>145.09200000000001</v>
      </c>
      <c r="L73" s="135"/>
      <c r="M73" s="135">
        <v>149.78399999999999</v>
      </c>
      <c r="N73" s="135"/>
    </row>
    <row r="74" spans="2:14" ht="12.5" x14ac:dyDescent="0.35">
      <c r="B74" s="50">
        <v>75</v>
      </c>
      <c r="C74" s="134">
        <v>11.706</v>
      </c>
      <c r="D74" s="134"/>
      <c r="E74" s="134">
        <v>12.079000000000001</v>
      </c>
      <c r="F74" s="134"/>
      <c r="K74" s="135">
        <v>140.47200000000001</v>
      </c>
      <c r="L74" s="135"/>
      <c r="M74" s="135">
        <v>144.94799999999998</v>
      </c>
      <c r="N74" s="135"/>
    </row>
    <row r="75" spans="2:14" ht="12.5" x14ac:dyDescent="0.35">
      <c r="B75" s="50">
        <v>76</v>
      </c>
      <c r="C75" s="134">
        <v>11.315</v>
      </c>
      <c r="D75" s="134"/>
      <c r="E75" s="134">
        <v>11.667</v>
      </c>
      <c r="F75" s="134"/>
      <c r="K75" s="135">
        <v>135.78</v>
      </c>
      <c r="L75" s="135"/>
      <c r="M75" s="135">
        <v>140.00399999999999</v>
      </c>
      <c r="N75" s="135"/>
    </row>
    <row r="76" spans="2:14" ht="12.5" x14ac:dyDescent="0.35">
      <c r="B76" s="50">
        <v>77</v>
      </c>
      <c r="C76" s="134">
        <v>10.917</v>
      </c>
      <c r="D76" s="134"/>
      <c r="E76" s="134">
        <v>11.247999999999999</v>
      </c>
      <c r="F76" s="134"/>
      <c r="K76" s="135">
        <v>131.00399999999999</v>
      </c>
      <c r="L76" s="135"/>
      <c r="M76" s="135">
        <v>134.976</v>
      </c>
      <c r="N76" s="135"/>
    </row>
    <row r="77" spans="2:14" ht="12.5" x14ac:dyDescent="0.35">
      <c r="B77" s="50">
        <v>78</v>
      </c>
      <c r="C77" s="134">
        <v>10.514000000000001</v>
      </c>
      <c r="D77" s="134"/>
      <c r="E77" s="134">
        <v>10.824000000000002</v>
      </c>
      <c r="F77" s="134"/>
      <c r="K77" s="135">
        <v>126.16799999999999</v>
      </c>
      <c r="L77" s="135"/>
      <c r="M77" s="135">
        <v>129.88800000000001</v>
      </c>
      <c r="N77" s="135"/>
    </row>
    <row r="78" spans="2:14" ht="12.5" x14ac:dyDescent="0.35">
      <c r="B78" s="50">
        <v>79</v>
      </c>
      <c r="C78" s="134">
        <v>10.107999999999999</v>
      </c>
      <c r="D78" s="134"/>
      <c r="E78" s="134">
        <v>10.395999999999999</v>
      </c>
      <c r="F78" s="134"/>
      <c r="K78" s="135">
        <v>121.29600000000001</v>
      </c>
      <c r="L78" s="135"/>
      <c r="M78" s="135">
        <v>124.75200000000001</v>
      </c>
      <c r="N78" s="135"/>
    </row>
    <row r="79" spans="2:14" ht="12.5" x14ac:dyDescent="0.35">
      <c r="B79" s="50">
        <v>80</v>
      </c>
      <c r="C79" s="134">
        <v>9.7010000000000005</v>
      </c>
      <c r="D79" s="134"/>
      <c r="E79" s="134">
        <v>9.9660000000000011</v>
      </c>
      <c r="F79" s="134"/>
      <c r="K79" s="135">
        <v>116.41200000000001</v>
      </c>
      <c r="L79" s="135"/>
      <c r="M79" s="135">
        <v>119.59200000000001</v>
      </c>
      <c r="N79" s="135"/>
    </row>
    <row r="80" spans="2:14" ht="12.5" x14ac:dyDescent="0.35">
      <c r="B80" s="50">
        <v>81</v>
      </c>
      <c r="C80" s="134">
        <v>9.2949999999999999</v>
      </c>
      <c r="D80" s="134"/>
      <c r="E80" s="134">
        <v>9.5339999999999989</v>
      </c>
      <c r="F80" s="134"/>
      <c r="K80" s="135">
        <v>111.54</v>
      </c>
      <c r="L80" s="135"/>
      <c r="M80" s="135">
        <v>114.40799999999999</v>
      </c>
      <c r="N80" s="135"/>
    </row>
    <row r="81" spans="2:14" ht="12.5" x14ac:dyDescent="0.35">
      <c r="B81" s="50">
        <v>82</v>
      </c>
      <c r="C81" s="134">
        <v>8.89</v>
      </c>
      <c r="D81" s="134"/>
      <c r="E81" s="134">
        <v>9.1029999999999998</v>
      </c>
      <c r="F81" s="134"/>
      <c r="K81" s="135">
        <v>106.68</v>
      </c>
      <c r="L81" s="135"/>
      <c r="M81" s="135">
        <v>109.236</v>
      </c>
      <c r="N81" s="135"/>
    </row>
    <row r="82" spans="2:14" ht="12.5" x14ac:dyDescent="0.35">
      <c r="B82" s="50">
        <v>83</v>
      </c>
      <c r="C82" s="134">
        <v>8.488999999999999</v>
      </c>
      <c r="D82" s="134"/>
      <c r="E82" s="134">
        <v>8.6750000000000007</v>
      </c>
      <c r="F82" s="134"/>
      <c r="K82" s="135">
        <v>101.86799999999999</v>
      </c>
      <c r="L82" s="135"/>
      <c r="M82" s="135">
        <v>104.1</v>
      </c>
      <c r="N82" s="135"/>
    </row>
    <row r="83" spans="2:14" ht="12.5" x14ac:dyDescent="0.35">
      <c r="B83" s="50">
        <v>84</v>
      </c>
      <c r="C83" s="134">
        <v>8.0939999999999994</v>
      </c>
      <c r="D83" s="134"/>
      <c r="E83" s="134">
        <v>8.2509999999999994</v>
      </c>
      <c r="F83" s="134"/>
      <c r="K83" s="135">
        <v>97.127999999999986</v>
      </c>
      <c r="L83" s="135"/>
      <c r="M83" s="135">
        <v>99.012</v>
      </c>
      <c r="N83" s="135"/>
    </row>
    <row r="84" spans="2:14" ht="12.5" x14ac:dyDescent="0.35">
      <c r="B84" s="50">
        <v>85</v>
      </c>
      <c r="C84" s="134">
        <v>7.7029999999999994</v>
      </c>
      <c r="D84" s="134"/>
      <c r="E84" s="134">
        <v>7.8329999999999993</v>
      </c>
      <c r="F84" s="134"/>
      <c r="K84" s="135">
        <v>92.436000000000007</v>
      </c>
      <c r="L84" s="135"/>
      <c r="M84" s="135">
        <v>93.996000000000009</v>
      </c>
      <c r="N84" s="135"/>
    </row>
    <row r="85" spans="2:14" ht="12.5" x14ac:dyDescent="0.35">
      <c r="B85" s="50">
        <v>86</v>
      </c>
      <c r="C85" s="134">
        <v>7.319</v>
      </c>
      <c r="D85" s="134"/>
      <c r="E85" s="134">
        <v>7.4239999999999995</v>
      </c>
      <c r="F85" s="134"/>
      <c r="K85" s="135">
        <v>87.827999999999989</v>
      </c>
      <c r="L85" s="135"/>
      <c r="M85" s="135">
        <v>89.087999999999994</v>
      </c>
      <c r="N85" s="135"/>
    </row>
    <row r="86" spans="2:14" ht="12.5" x14ac:dyDescent="0.35">
      <c r="B86" s="50">
        <v>87</v>
      </c>
      <c r="C86" s="134">
        <v>6.9429999999999996</v>
      </c>
      <c r="D86" s="134"/>
      <c r="E86" s="134">
        <v>7.0250000000000004</v>
      </c>
      <c r="F86" s="134"/>
      <c r="K86" s="135">
        <v>83.316000000000003</v>
      </c>
      <c r="L86" s="135"/>
      <c r="M86" s="135">
        <v>84.3</v>
      </c>
      <c r="N86" s="135"/>
    </row>
    <row r="87" spans="2:14" ht="12.5" x14ac:dyDescent="0.35">
      <c r="B87" s="50">
        <v>88</v>
      </c>
      <c r="C87" s="134">
        <v>6.5739999999999998</v>
      </c>
      <c r="D87" s="134"/>
      <c r="E87" s="134">
        <v>6.6349999999999998</v>
      </c>
      <c r="F87" s="134"/>
      <c r="K87" s="135">
        <v>78.888000000000005</v>
      </c>
      <c r="L87" s="135"/>
      <c r="M87" s="135">
        <v>79.62</v>
      </c>
      <c r="N87" s="135"/>
    </row>
    <row r="88" spans="2:14" ht="12.5" x14ac:dyDescent="0.35">
      <c r="B88" s="50">
        <v>89</v>
      </c>
      <c r="C88" s="134">
        <v>6.2149999999999999</v>
      </c>
      <c r="D88" s="134"/>
      <c r="E88" s="134">
        <v>6.2549999999999999</v>
      </c>
      <c r="F88" s="134"/>
      <c r="K88" s="135">
        <v>74.58</v>
      </c>
      <c r="L88" s="135"/>
      <c r="M88" s="135">
        <v>75.06</v>
      </c>
      <c r="N88" s="135"/>
    </row>
    <row r="89" spans="2:14" ht="12.5" x14ac:dyDescent="0.35">
      <c r="B89" s="50">
        <v>90</v>
      </c>
      <c r="C89" s="134">
        <v>5.8650000000000002</v>
      </c>
      <c r="D89" s="134"/>
      <c r="E89" s="134">
        <v>5.8849999999999998</v>
      </c>
      <c r="F89" s="134"/>
      <c r="K89" s="135">
        <v>70.38</v>
      </c>
      <c r="L89" s="135"/>
      <c r="M89" s="135">
        <v>70.62</v>
      </c>
      <c r="N89" s="135"/>
    </row>
  </sheetData>
  <mergeCells count="299">
    <mergeCell ref="A1:F1"/>
    <mergeCell ref="A2:G3"/>
    <mergeCell ref="A4:G4"/>
    <mergeCell ref="A7:P7"/>
    <mergeCell ref="A9:E9"/>
    <mergeCell ref="B12:I12"/>
    <mergeCell ref="B13:I13"/>
    <mergeCell ref="B14:H15"/>
    <mergeCell ref="J14:O15"/>
    <mergeCell ref="B16:E16"/>
    <mergeCell ref="J16:M16"/>
    <mergeCell ref="C18:D18"/>
    <mergeCell ref="E18:F18"/>
    <mergeCell ref="K18:L18"/>
    <mergeCell ref="M18:N18"/>
    <mergeCell ref="C21:D21"/>
    <mergeCell ref="E21:F21"/>
    <mergeCell ref="K21:L21"/>
    <mergeCell ref="M21:N21"/>
    <mergeCell ref="C22:D22"/>
    <mergeCell ref="E22:F22"/>
    <mergeCell ref="K22:L22"/>
    <mergeCell ref="M22:N22"/>
    <mergeCell ref="C19:D19"/>
    <mergeCell ref="E19:F19"/>
    <mergeCell ref="K19:L19"/>
    <mergeCell ref="M19:N19"/>
    <mergeCell ref="C20:D20"/>
    <mergeCell ref="E20:F20"/>
    <mergeCell ref="K20:L20"/>
    <mergeCell ref="M20:N20"/>
    <mergeCell ref="C25:D25"/>
    <mergeCell ref="E25:F25"/>
    <mergeCell ref="K25:L25"/>
    <mergeCell ref="M25:N25"/>
    <mergeCell ref="C26:D26"/>
    <mergeCell ref="E26:F26"/>
    <mergeCell ref="K26:L26"/>
    <mergeCell ref="M26:N26"/>
    <mergeCell ref="C23:D23"/>
    <mergeCell ref="E23:F23"/>
    <mergeCell ref="K23:L23"/>
    <mergeCell ref="M23:N23"/>
    <mergeCell ref="C24:D24"/>
    <mergeCell ref="E24:F24"/>
    <mergeCell ref="K24:L24"/>
    <mergeCell ref="M24:N24"/>
    <mergeCell ref="C29:D29"/>
    <mergeCell ref="E29:F29"/>
    <mergeCell ref="K29:L29"/>
    <mergeCell ref="M29:N29"/>
    <mergeCell ref="C30:D30"/>
    <mergeCell ref="E30:F30"/>
    <mergeCell ref="K30:L30"/>
    <mergeCell ref="M30:N30"/>
    <mergeCell ref="C27:D27"/>
    <mergeCell ref="E27:F27"/>
    <mergeCell ref="K27:L27"/>
    <mergeCell ref="M27:N27"/>
    <mergeCell ref="C28:D28"/>
    <mergeCell ref="E28:F28"/>
    <mergeCell ref="K28:L28"/>
    <mergeCell ref="M28:N28"/>
    <mergeCell ref="C33:D33"/>
    <mergeCell ref="E33:F33"/>
    <mergeCell ref="K33:L33"/>
    <mergeCell ref="M33:N33"/>
    <mergeCell ref="C34:D34"/>
    <mergeCell ref="E34:F34"/>
    <mergeCell ref="K34:L34"/>
    <mergeCell ref="M34:N34"/>
    <mergeCell ref="C31:D31"/>
    <mergeCell ref="E31:F31"/>
    <mergeCell ref="K31:L31"/>
    <mergeCell ref="M31:N31"/>
    <mergeCell ref="C32:D32"/>
    <mergeCell ref="E32:F32"/>
    <mergeCell ref="K32:L32"/>
    <mergeCell ref="M32:N32"/>
    <mergeCell ref="C37:D37"/>
    <mergeCell ref="E37:F37"/>
    <mergeCell ref="K37:L37"/>
    <mergeCell ref="M37:N37"/>
    <mergeCell ref="C38:D38"/>
    <mergeCell ref="E38:F38"/>
    <mergeCell ref="K38:L38"/>
    <mergeCell ref="M38:N38"/>
    <mergeCell ref="C35:D35"/>
    <mergeCell ref="E35:F35"/>
    <mergeCell ref="K35:L35"/>
    <mergeCell ref="M35:N35"/>
    <mergeCell ref="C36:D36"/>
    <mergeCell ref="E36:F36"/>
    <mergeCell ref="K36:L36"/>
    <mergeCell ref="M36:N36"/>
    <mergeCell ref="C41:D41"/>
    <mergeCell ref="E41:F41"/>
    <mergeCell ref="K41:L41"/>
    <mergeCell ref="M41:N41"/>
    <mergeCell ref="C42:D42"/>
    <mergeCell ref="E42:F42"/>
    <mergeCell ref="K42:L42"/>
    <mergeCell ref="M42:N42"/>
    <mergeCell ref="C39:D39"/>
    <mergeCell ref="E39:F39"/>
    <mergeCell ref="K39:L39"/>
    <mergeCell ref="M39:N39"/>
    <mergeCell ref="C40:D40"/>
    <mergeCell ref="E40:F40"/>
    <mergeCell ref="K40:L40"/>
    <mergeCell ref="M40:N40"/>
    <mergeCell ref="C45:D45"/>
    <mergeCell ref="E45:F45"/>
    <mergeCell ref="K45:L45"/>
    <mergeCell ref="M45:N45"/>
    <mergeCell ref="C46:D46"/>
    <mergeCell ref="E46:F46"/>
    <mergeCell ref="K46:L46"/>
    <mergeCell ref="M46:N46"/>
    <mergeCell ref="C43:D43"/>
    <mergeCell ref="E43:F43"/>
    <mergeCell ref="K43:L43"/>
    <mergeCell ref="M43:N43"/>
    <mergeCell ref="C44:D44"/>
    <mergeCell ref="E44:F44"/>
    <mergeCell ref="K44:L44"/>
    <mergeCell ref="M44:N44"/>
    <mergeCell ref="C49:D49"/>
    <mergeCell ref="E49:F49"/>
    <mergeCell ref="K49:L49"/>
    <mergeCell ref="M49:N49"/>
    <mergeCell ref="C50:D50"/>
    <mergeCell ref="E50:F50"/>
    <mergeCell ref="K50:L50"/>
    <mergeCell ref="M50:N50"/>
    <mergeCell ref="C47:D47"/>
    <mergeCell ref="E47:F47"/>
    <mergeCell ref="K47:L47"/>
    <mergeCell ref="M47:N47"/>
    <mergeCell ref="C48:D48"/>
    <mergeCell ref="E48:F48"/>
    <mergeCell ref="K48:L48"/>
    <mergeCell ref="M48:N48"/>
    <mergeCell ref="C53:D53"/>
    <mergeCell ref="E53:F53"/>
    <mergeCell ref="K53:L53"/>
    <mergeCell ref="M53:N53"/>
    <mergeCell ref="C54:D54"/>
    <mergeCell ref="E54:F54"/>
    <mergeCell ref="K54:L54"/>
    <mergeCell ref="M54:N54"/>
    <mergeCell ref="C51:D51"/>
    <mergeCell ref="E51:F51"/>
    <mergeCell ref="K51:L51"/>
    <mergeCell ref="M51:N51"/>
    <mergeCell ref="C52:D52"/>
    <mergeCell ref="E52:F52"/>
    <mergeCell ref="K52:L52"/>
    <mergeCell ref="M52:N52"/>
    <mergeCell ref="C57:D57"/>
    <mergeCell ref="E57:F57"/>
    <mergeCell ref="K57:L57"/>
    <mergeCell ref="M57:N57"/>
    <mergeCell ref="C58:D58"/>
    <mergeCell ref="E58:F58"/>
    <mergeCell ref="K58:L58"/>
    <mergeCell ref="M58:N58"/>
    <mergeCell ref="C55:D55"/>
    <mergeCell ref="E55:F55"/>
    <mergeCell ref="K55:L55"/>
    <mergeCell ref="M55:N55"/>
    <mergeCell ref="C56:D56"/>
    <mergeCell ref="E56:F56"/>
    <mergeCell ref="K56:L56"/>
    <mergeCell ref="M56:N56"/>
    <mergeCell ref="C61:D61"/>
    <mergeCell ref="E61:F61"/>
    <mergeCell ref="K61:L61"/>
    <mergeCell ref="M61:N61"/>
    <mergeCell ref="C62:D62"/>
    <mergeCell ref="E62:F62"/>
    <mergeCell ref="K62:L62"/>
    <mergeCell ref="M62:N62"/>
    <mergeCell ref="C59:D59"/>
    <mergeCell ref="E59:F59"/>
    <mergeCell ref="K59:L59"/>
    <mergeCell ref="M59:N59"/>
    <mergeCell ref="C60:D60"/>
    <mergeCell ref="E60:F60"/>
    <mergeCell ref="K60:L60"/>
    <mergeCell ref="M60:N60"/>
    <mergeCell ref="C65:D65"/>
    <mergeCell ref="E65:F65"/>
    <mergeCell ref="K65:L65"/>
    <mergeCell ref="M65:N65"/>
    <mergeCell ref="C66:D66"/>
    <mergeCell ref="E66:F66"/>
    <mergeCell ref="K66:L66"/>
    <mergeCell ref="M66:N66"/>
    <mergeCell ref="C63:D63"/>
    <mergeCell ref="E63:F63"/>
    <mergeCell ref="K63:L63"/>
    <mergeCell ref="M63:N63"/>
    <mergeCell ref="C64:D64"/>
    <mergeCell ref="E64:F64"/>
    <mergeCell ref="K64:L64"/>
    <mergeCell ref="M64:N64"/>
    <mergeCell ref="C69:D69"/>
    <mergeCell ref="E69:F69"/>
    <mergeCell ref="K69:L69"/>
    <mergeCell ref="M69:N69"/>
    <mergeCell ref="C70:D70"/>
    <mergeCell ref="E70:F70"/>
    <mergeCell ref="K70:L70"/>
    <mergeCell ref="M70:N70"/>
    <mergeCell ref="C67:D67"/>
    <mergeCell ref="E67:F67"/>
    <mergeCell ref="K67:L67"/>
    <mergeCell ref="M67:N67"/>
    <mergeCell ref="C68:D68"/>
    <mergeCell ref="E68:F68"/>
    <mergeCell ref="K68:L68"/>
    <mergeCell ref="M68:N68"/>
    <mergeCell ref="C73:D73"/>
    <mergeCell ref="E73:F73"/>
    <mergeCell ref="K73:L73"/>
    <mergeCell ref="M73:N73"/>
    <mergeCell ref="C74:D74"/>
    <mergeCell ref="E74:F74"/>
    <mergeCell ref="K74:L74"/>
    <mergeCell ref="M74:N74"/>
    <mergeCell ref="C71:D71"/>
    <mergeCell ref="E71:F71"/>
    <mergeCell ref="K71:L71"/>
    <mergeCell ref="M71:N71"/>
    <mergeCell ref="C72:D72"/>
    <mergeCell ref="E72:F72"/>
    <mergeCell ref="K72:L72"/>
    <mergeCell ref="M72:N72"/>
    <mergeCell ref="C77:D77"/>
    <mergeCell ref="E77:F77"/>
    <mergeCell ref="K77:L77"/>
    <mergeCell ref="M77:N77"/>
    <mergeCell ref="C78:D78"/>
    <mergeCell ref="E78:F78"/>
    <mergeCell ref="K78:L78"/>
    <mergeCell ref="M78:N78"/>
    <mergeCell ref="C75:D75"/>
    <mergeCell ref="E75:F75"/>
    <mergeCell ref="K75:L75"/>
    <mergeCell ref="M75:N75"/>
    <mergeCell ref="C76:D76"/>
    <mergeCell ref="E76:F76"/>
    <mergeCell ref="K76:L76"/>
    <mergeCell ref="M76:N76"/>
    <mergeCell ref="C81:D81"/>
    <mergeCell ref="E81:F81"/>
    <mergeCell ref="K81:L81"/>
    <mergeCell ref="M81:N81"/>
    <mergeCell ref="C82:D82"/>
    <mergeCell ref="E82:F82"/>
    <mergeCell ref="K82:L82"/>
    <mergeCell ref="M82:N82"/>
    <mergeCell ref="C79:D79"/>
    <mergeCell ref="E79:F79"/>
    <mergeCell ref="K79:L79"/>
    <mergeCell ref="M79:N79"/>
    <mergeCell ref="C80:D80"/>
    <mergeCell ref="E80:F80"/>
    <mergeCell ref="K80:L80"/>
    <mergeCell ref="M80:N80"/>
    <mergeCell ref="C85:D85"/>
    <mergeCell ref="E85:F85"/>
    <mergeCell ref="K85:L85"/>
    <mergeCell ref="M85:N85"/>
    <mergeCell ref="C86:D86"/>
    <mergeCell ref="E86:F86"/>
    <mergeCell ref="K86:L86"/>
    <mergeCell ref="M86:N86"/>
    <mergeCell ref="C83:D83"/>
    <mergeCell ref="E83:F83"/>
    <mergeCell ref="K83:L83"/>
    <mergeCell ref="M83:N83"/>
    <mergeCell ref="C84:D84"/>
    <mergeCell ref="E84:F84"/>
    <mergeCell ref="K84:L84"/>
    <mergeCell ref="M84:N84"/>
    <mergeCell ref="C89:D89"/>
    <mergeCell ref="E89:F89"/>
    <mergeCell ref="K89:L89"/>
    <mergeCell ref="M89:N89"/>
    <mergeCell ref="C87:D87"/>
    <mergeCell ref="E87:F87"/>
    <mergeCell ref="K87:L87"/>
    <mergeCell ref="M87:N87"/>
    <mergeCell ref="C88:D88"/>
    <mergeCell ref="E88:F88"/>
    <mergeCell ref="K88:L88"/>
    <mergeCell ref="M88:N88"/>
  </mergeCells>
  <pageMargins left="0.25" right="0.25" top="0.25" bottom="0.25" header="0" footer="0"/>
  <pageSetup paperSize="0" scale="0" fitToWidth="0" fitToHeight="0" orientation="portrait" usePrinterDefaults="0" horizontalDpi="0" verticalDpi="0" copies="0"/>
  <headerFooter alignWithMargins="0">
    <oddFooter>&amp;C_x000D_&amp;1#&amp;"Calibri"&amp;10&amp;K000000 Uso Interno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E76F-34DB-477B-B58F-193F4A50B597}">
  <sheetPr codeName="Hoja4"/>
  <dimension ref="A1:N44"/>
  <sheetViews>
    <sheetView workbookViewId="0">
      <selection activeCell="B2" sqref="B2:F3"/>
    </sheetView>
  </sheetViews>
  <sheetFormatPr baseColWidth="10" defaultColWidth="11.453125" defaultRowHeight="14.5" x14ac:dyDescent="0.35"/>
  <cols>
    <col min="1" max="16384" width="11.453125" style="2"/>
  </cols>
  <sheetData>
    <row r="1" spans="1:14" x14ac:dyDescent="0.35">
      <c r="B1" s="2" t="s">
        <v>11</v>
      </c>
      <c r="H1" s="2" t="s">
        <v>12</v>
      </c>
    </row>
    <row r="2" spans="1:14" x14ac:dyDescent="0.35">
      <c r="A2" s="2" t="s">
        <v>10</v>
      </c>
      <c r="B2" s="2" t="s">
        <v>5</v>
      </c>
      <c r="C2" s="2" t="s">
        <v>6</v>
      </c>
      <c r="D2" s="2" t="s">
        <v>7</v>
      </c>
      <c r="E2" s="2" t="s">
        <v>8</v>
      </c>
      <c r="F2" s="2" t="s">
        <v>9</v>
      </c>
      <c r="G2" s="2" t="s">
        <v>26</v>
      </c>
      <c r="H2" s="2" t="s">
        <v>5</v>
      </c>
      <c r="I2" s="2" t="s">
        <v>6</v>
      </c>
      <c r="J2" s="2" t="s">
        <v>7</v>
      </c>
      <c r="K2" s="2" t="s">
        <v>8</v>
      </c>
      <c r="L2" s="2" t="s">
        <v>9</v>
      </c>
      <c r="M2" s="2" t="s">
        <v>26</v>
      </c>
      <c r="N2" s="7" t="s">
        <v>27</v>
      </c>
    </row>
    <row r="3" spans="1:14" x14ac:dyDescent="0.35">
      <c r="A3" s="2" t="s">
        <v>4</v>
      </c>
      <c r="B3" s="9">
        <v>4.4900000000000002E-2</v>
      </c>
      <c r="C3" s="9">
        <v>4.02E-2</v>
      </c>
      <c r="D3" s="9">
        <v>3.3799999999999997E-2</v>
      </c>
      <c r="E3" s="9">
        <v>2.81E-2</v>
      </c>
      <c r="F3" s="9">
        <v>2.1700000000000001E-2</v>
      </c>
      <c r="G3" s="9">
        <v>4.4900000000000002E-2</v>
      </c>
      <c r="H3" s="9">
        <v>4.4900000000000002E-2</v>
      </c>
      <c r="I3" s="9">
        <v>4.02E-2</v>
      </c>
      <c r="J3" s="9">
        <v>3.3799999999999997E-2</v>
      </c>
      <c r="K3" s="9">
        <v>2.81E-2</v>
      </c>
      <c r="L3" s="9">
        <v>2.1700000000000001E-2</v>
      </c>
      <c r="M3" s="9">
        <v>4.4900000000000002E-2</v>
      </c>
      <c r="N3" s="9">
        <v>2.81E-2</v>
      </c>
    </row>
    <row r="4" spans="1:14" x14ac:dyDescent="0.35">
      <c r="A4" s="2">
        <v>0</v>
      </c>
      <c r="B4" s="9">
        <v>0</v>
      </c>
      <c r="C4" s="9">
        <v>0</v>
      </c>
      <c r="D4" s="9">
        <v>0</v>
      </c>
      <c r="E4" s="9">
        <v>0</v>
      </c>
      <c r="F4" s="9">
        <v>0</v>
      </c>
      <c r="G4" s="9">
        <v>0</v>
      </c>
      <c r="H4" s="9">
        <v>0</v>
      </c>
      <c r="I4" s="9">
        <v>0</v>
      </c>
      <c r="J4" s="9">
        <v>0</v>
      </c>
      <c r="K4" s="9">
        <v>0</v>
      </c>
      <c r="L4" s="9">
        <v>0</v>
      </c>
      <c r="M4" s="9">
        <v>0</v>
      </c>
      <c r="N4" s="9">
        <v>0</v>
      </c>
    </row>
    <row r="5" spans="1:14" x14ac:dyDescent="0.35">
      <c r="A5" s="2">
        <v>1</v>
      </c>
      <c r="B5" s="2">
        <v>1.0449999999999999</v>
      </c>
      <c r="C5" s="2">
        <v>1.04</v>
      </c>
      <c r="D5" s="2">
        <v>1.034</v>
      </c>
      <c r="E5" s="2">
        <v>1.028</v>
      </c>
      <c r="F5" s="2">
        <v>1.022</v>
      </c>
      <c r="G5" s="2">
        <v>1.0449999999999999</v>
      </c>
      <c r="H5" s="2">
        <v>12.244999999999999</v>
      </c>
      <c r="I5" s="2">
        <v>12.22</v>
      </c>
      <c r="J5" s="2">
        <v>12.185</v>
      </c>
      <c r="K5" s="2">
        <v>12.154</v>
      </c>
      <c r="L5" s="2">
        <v>12.119</v>
      </c>
      <c r="M5" s="2">
        <v>1.0449999999999999</v>
      </c>
      <c r="N5" s="2">
        <v>1.028</v>
      </c>
    </row>
    <row r="6" spans="1:14" x14ac:dyDescent="0.35">
      <c r="A6" s="2">
        <v>2</v>
      </c>
      <c r="B6" s="2">
        <v>1.0920000000000001</v>
      </c>
      <c r="C6" s="2">
        <v>1.0820000000000001</v>
      </c>
      <c r="D6" s="2">
        <v>1.069</v>
      </c>
      <c r="E6" s="2">
        <v>1.0569999999999999</v>
      </c>
      <c r="F6" s="2">
        <v>1.044</v>
      </c>
      <c r="G6" s="2">
        <v>1.0920000000000001</v>
      </c>
      <c r="H6" s="2">
        <v>25.04</v>
      </c>
      <c r="I6" s="2">
        <v>24.93</v>
      </c>
      <c r="J6" s="2">
        <v>24.780999999999999</v>
      </c>
      <c r="K6" s="2">
        <v>24.649000000000001</v>
      </c>
      <c r="L6" s="2">
        <v>24.501000000000001</v>
      </c>
      <c r="M6" s="2">
        <v>1.0920000000000001</v>
      </c>
      <c r="N6" s="2">
        <v>1.0569999999999999</v>
      </c>
    </row>
    <row r="7" spans="1:14" x14ac:dyDescent="0.35">
      <c r="A7" s="2">
        <v>3</v>
      </c>
      <c r="B7" s="2">
        <v>1.141</v>
      </c>
      <c r="C7" s="2">
        <v>1.1259999999999999</v>
      </c>
      <c r="D7" s="2">
        <v>1.105</v>
      </c>
      <c r="E7" s="2">
        <v>1.087</v>
      </c>
      <c r="F7" s="2">
        <v>1.0669999999999999</v>
      </c>
      <c r="G7" s="2">
        <v>1.141</v>
      </c>
      <c r="H7" s="2">
        <v>38.408999999999999</v>
      </c>
      <c r="I7" s="2">
        <v>38.152000000000001</v>
      </c>
      <c r="J7" s="2">
        <v>37.804000000000002</v>
      </c>
      <c r="K7" s="2">
        <v>37.494999999999997</v>
      </c>
      <c r="L7" s="2">
        <v>37.151000000000003</v>
      </c>
      <c r="M7" s="2">
        <v>1.141</v>
      </c>
      <c r="N7" s="2">
        <v>1.087</v>
      </c>
    </row>
    <row r="8" spans="1:14" x14ac:dyDescent="0.35">
      <c r="A8" s="2">
        <v>4</v>
      </c>
      <c r="B8" s="2">
        <v>1.1919999999999999</v>
      </c>
      <c r="C8" s="2">
        <v>1.171</v>
      </c>
      <c r="D8" s="2">
        <v>1.1419999999999999</v>
      </c>
      <c r="E8" s="2">
        <v>1.117</v>
      </c>
      <c r="F8" s="2">
        <v>1.0900000000000001</v>
      </c>
      <c r="G8" s="2">
        <v>1.1919999999999999</v>
      </c>
      <c r="H8" s="2">
        <v>52.378999999999998</v>
      </c>
      <c r="I8" s="2">
        <v>51.905000000000001</v>
      </c>
      <c r="J8" s="2">
        <v>51.265999999999998</v>
      </c>
      <c r="K8" s="2">
        <v>50.703000000000003</v>
      </c>
      <c r="L8" s="2">
        <v>50.076000000000001</v>
      </c>
      <c r="M8" s="2">
        <v>1.1919999999999999</v>
      </c>
      <c r="N8" s="2">
        <v>1.117</v>
      </c>
    </row>
    <row r="9" spans="1:14" x14ac:dyDescent="0.35">
      <c r="A9" s="2">
        <v>5</v>
      </c>
      <c r="B9" s="2">
        <v>1.246</v>
      </c>
      <c r="C9" s="2">
        <v>1.218</v>
      </c>
      <c r="D9" s="2">
        <v>1.181</v>
      </c>
      <c r="E9" s="2">
        <v>1.149</v>
      </c>
      <c r="F9" s="2">
        <v>1.113</v>
      </c>
      <c r="G9" s="2">
        <v>1.246</v>
      </c>
      <c r="H9" s="2">
        <v>66.974999999999994</v>
      </c>
      <c r="I9" s="2">
        <v>66.210999999999999</v>
      </c>
      <c r="J9" s="2">
        <v>65.183999999999997</v>
      </c>
      <c r="K9" s="2">
        <v>64.281000000000006</v>
      </c>
      <c r="L9" s="2">
        <v>63.281999999999996</v>
      </c>
      <c r="M9" s="2">
        <v>1.246</v>
      </c>
      <c r="N9" s="2">
        <v>1.149</v>
      </c>
    </row>
    <row r="10" spans="1:14" x14ac:dyDescent="0.35">
      <c r="A10" s="2">
        <v>6</v>
      </c>
      <c r="B10" s="2">
        <v>1.302</v>
      </c>
      <c r="C10" s="2">
        <v>1.2669999999999999</v>
      </c>
      <c r="D10" s="2">
        <v>1.2210000000000001</v>
      </c>
      <c r="E10" s="2">
        <v>1.181</v>
      </c>
      <c r="F10" s="2">
        <v>1.137</v>
      </c>
      <c r="G10" s="2">
        <v>1.302</v>
      </c>
      <c r="H10" s="2">
        <v>82.227999999999994</v>
      </c>
      <c r="I10" s="2">
        <v>81.093000000000004</v>
      </c>
      <c r="J10" s="2">
        <v>79.572000000000003</v>
      </c>
      <c r="K10" s="2">
        <v>78.242000000000004</v>
      </c>
      <c r="L10" s="2">
        <v>76.774000000000001</v>
      </c>
      <c r="M10" s="2">
        <v>1.302</v>
      </c>
      <c r="N10" s="2">
        <v>1.181</v>
      </c>
    </row>
    <row r="11" spans="1:14" x14ac:dyDescent="0.35">
      <c r="A11" s="2">
        <v>7</v>
      </c>
      <c r="B11" s="2">
        <v>1.36</v>
      </c>
      <c r="C11" s="2">
        <v>1.3180000000000001</v>
      </c>
      <c r="D11" s="2">
        <v>1.262</v>
      </c>
      <c r="E11" s="2">
        <v>1.214</v>
      </c>
      <c r="F11" s="2">
        <v>1.1619999999999999</v>
      </c>
      <c r="G11" s="2">
        <v>1.36</v>
      </c>
      <c r="H11" s="2">
        <v>98.165000000000006</v>
      </c>
      <c r="I11" s="2">
        <v>96.572000000000003</v>
      </c>
      <c r="J11" s="2">
        <v>94.445999999999998</v>
      </c>
      <c r="K11" s="2">
        <v>92.593999999999994</v>
      </c>
      <c r="L11" s="2">
        <v>90.558999999999997</v>
      </c>
      <c r="M11" s="2">
        <v>1.36</v>
      </c>
      <c r="N11" s="2">
        <v>1.214</v>
      </c>
    </row>
    <row r="12" spans="1:14" x14ac:dyDescent="0.35">
      <c r="A12" s="2">
        <v>8</v>
      </c>
      <c r="B12" s="2">
        <v>1.421</v>
      </c>
      <c r="C12" s="2">
        <v>1.371</v>
      </c>
      <c r="D12" s="2">
        <v>1.3049999999999999</v>
      </c>
      <c r="E12" s="2">
        <v>1.248</v>
      </c>
      <c r="F12" s="2">
        <v>1.1870000000000001</v>
      </c>
      <c r="G12" s="2">
        <v>1.421</v>
      </c>
      <c r="H12" s="2">
        <v>114.81699999999999</v>
      </c>
      <c r="I12" s="2">
        <v>112.67400000000001</v>
      </c>
      <c r="J12" s="2">
        <v>109.82299999999999</v>
      </c>
      <c r="K12" s="2">
        <v>107.35</v>
      </c>
      <c r="L12" s="2">
        <v>104.643</v>
      </c>
      <c r="M12" s="2">
        <v>1.421</v>
      </c>
      <c r="N12" s="2">
        <v>1.248</v>
      </c>
    </row>
    <row r="13" spans="1:14" x14ac:dyDescent="0.35">
      <c r="A13" s="2">
        <v>9</v>
      </c>
      <c r="B13" s="2">
        <v>1.4850000000000001</v>
      </c>
      <c r="C13" s="2">
        <v>1.4259999999999999</v>
      </c>
      <c r="D13" s="2">
        <v>1.349</v>
      </c>
      <c r="E13" s="2">
        <v>1.2829999999999999</v>
      </c>
      <c r="F13" s="2">
        <v>1.2130000000000001</v>
      </c>
      <c r="G13" s="2">
        <v>1.4850000000000001</v>
      </c>
      <c r="H13" s="2">
        <v>132.21700000000001</v>
      </c>
      <c r="I13" s="2">
        <v>129.423</v>
      </c>
      <c r="J13" s="2">
        <v>125.72</v>
      </c>
      <c r="K13" s="2">
        <v>122.52</v>
      </c>
      <c r="L13" s="2">
        <v>119.033</v>
      </c>
      <c r="M13" s="2">
        <v>1.4850000000000001</v>
      </c>
      <c r="N13" s="2">
        <v>1.2829999999999999</v>
      </c>
    </row>
    <row r="14" spans="1:14" x14ac:dyDescent="0.35">
      <c r="A14" s="2">
        <v>10</v>
      </c>
      <c r="B14" s="2">
        <v>1.5509999999999999</v>
      </c>
      <c r="C14" s="2">
        <v>1.4830000000000001</v>
      </c>
      <c r="D14" s="2">
        <v>1.3939999999999999</v>
      </c>
      <c r="E14" s="2">
        <v>1.319</v>
      </c>
      <c r="F14" s="2">
        <v>1.2390000000000001</v>
      </c>
      <c r="G14" s="2">
        <v>1.5509999999999999</v>
      </c>
      <c r="H14" s="2">
        <v>150.399</v>
      </c>
      <c r="I14" s="2">
        <v>146.845</v>
      </c>
      <c r="J14" s="2">
        <v>142.154</v>
      </c>
      <c r="K14" s="2">
        <v>138.11600000000001</v>
      </c>
      <c r="L14" s="2">
        <v>133.73400000000001</v>
      </c>
      <c r="M14" s="2">
        <v>1.5509999999999999</v>
      </c>
      <c r="N14" s="2">
        <v>1.319</v>
      </c>
    </row>
    <row r="15" spans="1:14" x14ac:dyDescent="0.35">
      <c r="A15" s="2">
        <v>11</v>
      </c>
      <c r="B15" s="2">
        <v>1.621</v>
      </c>
      <c r="C15" s="2">
        <v>1.5429999999999999</v>
      </c>
      <c r="D15" s="2">
        <v>1.4410000000000001</v>
      </c>
      <c r="E15" s="2">
        <v>1.3560000000000001</v>
      </c>
      <c r="F15" s="2">
        <v>1.266</v>
      </c>
      <c r="G15" s="2">
        <v>1.621</v>
      </c>
      <c r="H15" s="2">
        <v>169.39699999999999</v>
      </c>
      <c r="I15" s="2">
        <v>164.96799999999999</v>
      </c>
      <c r="J15" s="2">
        <v>159.14400000000001</v>
      </c>
      <c r="K15" s="2">
        <v>154.15100000000001</v>
      </c>
      <c r="L15" s="2">
        <v>148.755</v>
      </c>
      <c r="M15" s="2">
        <v>1.621</v>
      </c>
      <c r="N15" s="2">
        <v>1.3560000000000001</v>
      </c>
    </row>
    <row r="16" spans="1:14" x14ac:dyDescent="0.35">
      <c r="A16" s="2">
        <v>12</v>
      </c>
      <c r="B16" s="2">
        <v>1.694</v>
      </c>
      <c r="C16" s="2">
        <v>1.605</v>
      </c>
      <c r="D16" s="2">
        <v>1.49</v>
      </c>
      <c r="E16" s="2">
        <v>1.395</v>
      </c>
      <c r="F16" s="2">
        <v>1.294</v>
      </c>
      <c r="G16" s="2">
        <v>1.694</v>
      </c>
      <c r="H16" s="2">
        <v>189.24799999999999</v>
      </c>
      <c r="I16" s="2">
        <v>183.81899999999999</v>
      </c>
      <c r="J16" s="2">
        <v>176.708</v>
      </c>
      <c r="K16" s="2">
        <v>170.637</v>
      </c>
      <c r="L16" s="2">
        <v>164.102</v>
      </c>
      <c r="M16" s="2">
        <v>1.694</v>
      </c>
      <c r="N16" s="2">
        <v>1.395</v>
      </c>
    </row>
    <row r="17" spans="1:14" x14ac:dyDescent="0.35">
      <c r="A17" s="2">
        <v>13</v>
      </c>
      <c r="B17" s="2">
        <v>1.77</v>
      </c>
      <c r="C17" s="2">
        <v>1.669</v>
      </c>
      <c r="D17" s="2">
        <v>1.5409999999999999</v>
      </c>
      <c r="E17" s="2">
        <v>1.4339999999999999</v>
      </c>
      <c r="F17" s="2">
        <v>1.3220000000000001</v>
      </c>
      <c r="G17" s="2">
        <v>1.77</v>
      </c>
      <c r="H17" s="2">
        <v>209.99</v>
      </c>
      <c r="I17" s="2">
        <v>203.428</v>
      </c>
      <c r="J17" s="2">
        <v>194.86500000000001</v>
      </c>
      <c r="K17" s="2">
        <v>187.58500000000001</v>
      </c>
      <c r="L17" s="2">
        <v>179.78200000000001</v>
      </c>
      <c r="M17" s="2">
        <v>1.77</v>
      </c>
      <c r="N17" s="2">
        <v>1.4339999999999999</v>
      </c>
    </row>
    <row r="18" spans="1:14" x14ac:dyDescent="0.35">
      <c r="A18" s="2">
        <v>14</v>
      </c>
      <c r="B18" s="2">
        <v>1.849</v>
      </c>
      <c r="C18" s="2">
        <v>1.736</v>
      </c>
      <c r="D18" s="2">
        <v>1.593</v>
      </c>
      <c r="E18" s="2">
        <v>1.474</v>
      </c>
      <c r="F18" s="2">
        <v>1.351</v>
      </c>
      <c r="G18" s="2">
        <v>1.849</v>
      </c>
      <c r="H18" s="2">
        <v>231.66399999999999</v>
      </c>
      <c r="I18" s="2">
        <v>223.82499999999999</v>
      </c>
      <c r="J18" s="2">
        <v>213.636</v>
      </c>
      <c r="K18" s="2">
        <v>205.01</v>
      </c>
      <c r="L18" s="2">
        <v>195.80199999999999</v>
      </c>
      <c r="M18" s="2">
        <v>1.849</v>
      </c>
      <c r="N18" s="2">
        <v>1.474</v>
      </c>
    </row>
    <row r="19" spans="1:14" x14ac:dyDescent="0.35">
      <c r="A19" s="2">
        <v>15</v>
      </c>
      <c r="B19" s="2">
        <v>1.9330000000000001</v>
      </c>
      <c r="C19" s="2">
        <v>1.806</v>
      </c>
      <c r="D19" s="2">
        <v>1.6459999999999999</v>
      </c>
      <c r="E19" s="2">
        <v>1.5149999999999999</v>
      </c>
      <c r="F19" s="2">
        <v>1.38</v>
      </c>
      <c r="G19" s="2">
        <v>1.9330000000000001</v>
      </c>
      <c r="H19" s="2">
        <v>254.31</v>
      </c>
      <c r="I19" s="2">
        <v>245.04300000000001</v>
      </c>
      <c r="J19" s="2">
        <v>233.042</v>
      </c>
      <c r="K19" s="2">
        <v>222.92500000000001</v>
      </c>
      <c r="L19" s="2">
        <v>212.17</v>
      </c>
      <c r="M19" s="2">
        <v>1.9330000000000001</v>
      </c>
      <c r="N19" s="2">
        <v>1.5149999999999999</v>
      </c>
    </row>
    <row r="20" spans="1:14" x14ac:dyDescent="0.35">
      <c r="A20" s="2">
        <v>16</v>
      </c>
      <c r="B20" s="2">
        <v>2.0190000000000001</v>
      </c>
      <c r="C20" s="2">
        <v>1.879</v>
      </c>
      <c r="D20" s="2">
        <v>1.702</v>
      </c>
      <c r="E20" s="2">
        <v>1.5580000000000001</v>
      </c>
      <c r="F20" s="2">
        <v>1.41</v>
      </c>
      <c r="G20" s="2">
        <v>2.0190000000000001</v>
      </c>
      <c r="H20" s="2">
        <v>277.97399999999999</v>
      </c>
      <c r="I20" s="2">
        <v>267.113</v>
      </c>
      <c r="J20" s="2">
        <v>253.10400000000001</v>
      </c>
      <c r="K20" s="2">
        <v>241.34299999999999</v>
      </c>
      <c r="L20" s="2">
        <v>228.893</v>
      </c>
      <c r="M20" s="2">
        <v>2.0190000000000001</v>
      </c>
      <c r="N20" s="2">
        <v>1.5580000000000001</v>
      </c>
    </row>
    <row r="21" spans="1:14" x14ac:dyDescent="0.35">
      <c r="A21" s="2">
        <v>17</v>
      </c>
      <c r="B21" s="2">
        <v>2.11</v>
      </c>
      <c r="C21" s="2">
        <v>1.954</v>
      </c>
      <c r="D21" s="2">
        <v>1.76</v>
      </c>
      <c r="E21" s="2">
        <v>1.6020000000000001</v>
      </c>
      <c r="F21" s="2">
        <v>1.44</v>
      </c>
      <c r="G21" s="2">
        <v>2.11</v>
      </c>
      <c r="H21" s="2">
        <v>302.7</v>
      </c>
      <c r="I21" s="2">
        <v>290.07</v>
      </c>
      <c r="J21" s="2">
        <v>273.84300000000002</v>
      </c>
      <c r="K21" s="2">
        <v>260.27800000000002</v>
      </c>
      <c r="L21" s="2">
        <v>245.97900000000001</v>
      </c>
      <c r="M21" s="2">
        <v>2.11</v>
      </c>
      <c r="N21" s="2">
        <v>1.6020000000000001</v>
      </c>
    </row>
    <row r="22" spans="1:14" x14ac:dyDescent="0.35">
      <c r="A22" s="2">
        <v>18</v>
      </c>
      <c r="B22" s="2">
        <v>2.2050000000000001</v>
      </c>
      <c r="C22" s="2">
        <v>2.0329999999999999</v>
      </c>
      <c r="D22" s="2">
        <v>1.819</v>
      </c>
      <c r="E22" s="2">
        <v>1.647</v>
      </c>
      <c r="F22" s="2">
        <v>1.472</v>
      </c>
      <c r="G22" s="2">
        <v>2.2050000000000001</v>
      </c>
      <c r="H22" s="2">
        <v>328.536</v>
      </c>
      <c r="I22" s="2">
        <v>313.95100000000002</v>
      </c>
      <c r="J22" s="2">
        <v>295.28399999999999</v>
      </c>
      <c r="K22" s="2">
        <v>279.74599999999998</v>
      </c>
      <c r="L22" s="2">
        <v>263.43599999999998</v>
      </c>
      <c r="M22" s="2">
        <v>2.2050000000000001</v>
      </c>
      <c r="N22" s="2">
        <v>1.647</v>
      </c>
    </row>
    <row r="23" spans="1:14" x14ac:dyDescent="0.35">
      <c r="A23" s="2">
        <v>19</v>
      </c>
      <c r="B23" s="2">
        <v>2.3039999999999998</v>
      </c>
      <c r="C23" s="2">
        <v>2.1150000000000002</v>
      </c>
      <c r="D23" s="2">
        <v>1.881</v>
      </c>
      <c r="E23" s="2">
        <v>1.6930000000000001</v>
      </c>
      <c r="F23" s="2">
        <v>1.504</v>
      </c>
      <c r="G23" s="2">
        <v>2.3039999999999998</v>
      </c>
      <c r="H23" s="2">
        <v>355.53199999999998</v>
      </c>
      <c r="I23" s="2">
        <v>338.791</v>
      </c>
      <c r="J23" s="2">
        <v>317.45</v>
      </c>
      <c r="K23" s="2">
        <v>299.76100000000002</v>
      </c>
      <c r="L23" s="2">
        <v>281.27100000000002</v>
      </c>
      <c r="M23" s="2">
        <v>2.3039999999999998</v>
      </c>
      <c r="N23" s="2">
        <v>1.6930000000000001</v>
      </c>
    </row>
    <row r="24" spans="1:14" x14ac:dyDescent="0.35">
      <c r="A24" s="2">
        <v>20</v>
      </c>
      <c r="B24" s="2">
        <v>2.407</v>
      </c>
      <c r="C24" s="2">
        <v>2.2000000000000002</v>
      </c>
      <c r="D24" s="2">
        <v>1.944</v>
      </c>
      <c r="E24" s="2">
        <v>1.7410000000000001</v>
      </c>
      <c r="F24" s="2">
        <v>1.536</v>
      </c>
      <c r="G24" s="2">
        <v>2.407</v>
      </c>
      <c r="H24" s="2">
        <v>383.74099999999999</v>
      </c>
      <c r="I24" s="2">
        <v>364.63</v>
      </c>
      <c r="J24" s="2">
        <v>340.36399999999998</v>
      </c>
      <c r="K24" s="2">
        <v>320.33800000000002</v>
      </c>
      <c r="L24" s="2">
        <v>299.49400000000003</v>
      </c>
      <c r="M24" s="2">
        <v>2.407</v>
      </c>
      <c r="N24" s="2">
        <v>1.7410000000000001</v>
      </c>
    </row>
    <row r="25" spans="1:14" x14ac:dyDescent="0.35">
      <c r="A25" s="2">
        <v>21</v>
      </c>
      <c r="B25" s="2">
        <v>2.5150000000000001</v>
      </c>
      <c r="C25" s="2">
        <v>2.2879999999999998</v>
      </c>
      <c r="D25" s="2">
        <v>2.0099999999999998</v>
      </c>
      <c r="E25" s="2">
        <v>1.79</v>
      </c>
      <c r="F25" s="2">
        <v>1.57</v>
      </c>
      <c r="G25" s="2">
        <v>2.5150000000000001</v>
      </c>
      <c r="H25" s="2">
        <v>413.21600000000001</v>
      </c>
      <c r="I25" s="2">
        <v>391.50799999999998</v>
      </c>
      <c r="J25" s="2">
        <v>364.053</v>
      </c>
      <c r="K25" s="2">
        <v>341.49299999999999</v>
      </c>
      <c r="L25" s="2">
        <v>318.11099999999999</v>
      </c>
      <c r="M25" s="2">
        <v>2.5150000000000001</v>
      </c>
      <c r="N25" s="2">
        <v>1.79</v>
      </c>
    </row>
    <row r="26" spans="1:14" x14ac:dyDescent="0.35">
      <c r="A26" s="2">
        <v>22</v>
      </c>
      <c r="B26" s="2">
        <v>2.6280000000000001</v>
      </c>
      <c r="C26" s="2">
        <v>2.38</v>
      </c>
      <c r="D26" s="2">
        <v>2.0779999999999998</v>
      </c>
      <c r="E26" s="2">
        <v>1.84</v>
      </c>
      <c r="F26" s="2">
        <v>1.6040000000000001</v>
      </c>
      <c r="G26" s="2">
        <v>2.6280000000000001</v>
      </c>
      <c r="H26" s="2">
        <v>444.01400000000001</v>
      </c>
      <c r="I26" s="2">
        <v>419.46600000000001</v>
      </c>
      <c r="J26" s="2">
        <v>388.54300000000001</v>
      </c>
      <c r="K26" s="2">
        <v>363.24299999999999</v>
      </c>
      <c r="L26" s="2">
        <v>337.13299999999998</v>
      </c>
      <c r="M26" s="2">
        <v>2.6280000000000001</v>
      </c>
      <c r="N26" s="2">
        <v>1.84</v>
      </c>
    </row>
    <row r="27" spans="1:14" x14ac:dyDescent="0.35">
      <c r="A27" s="2">
        <v>23</v>
      </c>
      <c r="B27" s="2">
        <v>2.746</v>
      </c>
      <c r="C27" s="2">
        <v>2.476</v>
      </c>
      <c r="D27" s="2">
        <v>2.1480000000000001</v>
      </c>
      <c r="E27" s="2">
        <v>1.8919999999999999</v>
      </c>
      <c r="F27" s="2">
        <v>1.6379999999999999</v>
      </c>
      <c r="G27" s="2">
        <v>2.746</v>
      </c>
      <c r="H27" s="2">
        <v>476.19499999999999</v>
      </c>
      <c r="I27" s="2">
        <v>448.548</v>
      </c>
      <c r="J27" s="2">
        <v>413.86099999999999</v>
      </c>
      <c r="K27" s="2">
        <v>385.60300000000001</v>
      </c>
      <c r="L27" s="2">
        <v>356.56799999999998</v>
      </c>
      <c r="M27" s="2">
        <v>2.746</v>
      </c>
      <c r="N27" s="2">
        <v>1.8919999999999999</v>
      </c>
    </row>
    <row r="28" spans="1:14" x14ac:dyDescent="0.35">
      <c r="A28" s="2">
        <v>24</v>
      </c>
      <c r="B28" s="2">
        <v>2.8690000000000002</v>
      </c>
      <c r="C28" s="2">
        <v>2.5750000000000002</v>
      </c>
      <c r="D28" s="2">
        <v>2.2210000000000001</v>
      </c>
      <c r="E28" s="2">
        <v>1.9450000000000001</v>
      </c>
      <c r="F28" s="2">
        <v>1.6739999999999999</v>
      </c>
      <c r="G28" s="2">
        <v>2.8690000000000002</v>
      </c>
      <c r="H28" s="2">
        <v>509.82100000000003</v>
      </c>
      <c r="I28" s="2">
        <v>478.79899999999998</v>
      </c>
      <c r="J28" s="2">
        <v>440.03399999999999</v>
      </c>
      <c r="K28" s="2">
        <v>408.59300000000002</v>
      </c>
      <c r="L28" s="2">
        <v>376.42399999999998</v>
      </c>
      <c r="M28" s="2">
        <v>2.8690000000000002</v>
      </c>
      <c r="N28" s="2">
        <v>1.9450000000000001</v>
      </c>
    </row>
    <row r="29" spans="1:14" x14ac:dyDescent="0.35">
      <c r="A29" s="2">
        <v>25</v>
      </c>
      <c r="B29" s="2">
        <v>2.9980000000000002</v>
      </c>
      <c r="C29" s="2">
        <v>2.6789999999999998</v>
      </c>
      <c r="D29" s="2">
        <v>2.2959999999999998</v>
      </c>
      <c r="E29" s="2">
        <v>1.9990000000000001</v>
      </c>
      <c r="F29" s="2">
        <v>1.71</v>
      </c>
      <c r="G29" s="2">
        <v>2.9980000000000002</v>
      </c>
      <c r="H29" s="2">
        <v>544.95699999999999</v>
      </c>
      <c r="I29" s="2">
        <v>510.26600000000002</v>
      </c>
      <c r="J29" s="2">
        <v>467.09199999999998</v>
      </c>
      <c r="K29" s="2">
        <v>432.22800000000001</v>
      </c>
      <c r="L29" s="2">
        <v>396.71199999999999</v>
      </c>
      <c r="M29" s="2">
        <v>2.9980000000000002</v>
      </c>
      <c r="N29" s="2">
        <v>1.9990000000000001</v>
      </c>
    </row>
    <row r="30" spans="1:14" x14ac:dyDescent="0.35">
      <c r="A30" s="2">
        <v>26</v>
      </c>
      <c r="B30" s="2">
        <v>3.133</v>
      </c>
      <c r="C30" s="2">
        <v>2.786</v>
      </c>
      <c r="D30" s="2">
        <v>2.3730000000000002</v>
      </c>
      <c r="E30" s="2">
        <v>2.056</v>
      </c>
      <c r="F30" s="2">
        <v>1.7470000000000001</v>
      </c>
      <c r="G30" s="2">
        <v>3.133</v>
      </c>
      <c r="H30" s="2">
        <v>581.67100000000005</v>
      </c>
      <c r="I30" s="2">
        <v>542.99900000000002</v>
      </c>
      <c r="J30" s="2">
        <v>495.06400000000002</v>
      </c>
      <c r="K30" s="2">
        <v>456.52699999999999</v>
      </c>
      <c r="L30" s="2">
        <v>417.43900000000002</v>
      </c>
      <c r="M30" s="2">
        <v>3.133</v>
      </c>
      <c r="N30" s="2">
        <v>2.056</v>
      </c>
    </row>
    <row r="31" spans="1:14" x14ac:dyDescent="0.35">
      <c r="A31" s="2">
        <v>27</v>
      </c>
      <c r="B31" s="2">
        <v>3.274</v>
      </c>
      <c r="C31" s="2">
        <v>2.8980000000000001</v>
      </c>
      <c r="D31" s="2">
        <v>2.4540000000000002</v>
      </c>
      <c r="E31" s="2">
        <v>2.113</v>
      </c>
      <c r="F31" s="2">
        <v>1.7849999999999999</v>
      </c>
      <c r="G31" s="2">
        <v>3.274</v>
      </c>
      <c r="H31" s="2">
        <v>620.03300000000002</v>
      </c>
      <c r="I31" s="2">
        <v>577.04700000000003</v>
      </c>
      <c r="J31" s="2">
        <v>523.98199999999997</v>
      </c>
      <c r="K31" s="2">
        <v>481.51</v>
      </c>
      <c r="L31" s="2">
        <v>438.61700000000002</v>
      </c>
      <c r="M31" s="2">
        <v>3.274</v>
      </c>
      <c r="N31" s="2">
        <v>2.113</v>
      </c>
    </row>
    <row r="32" spans="1:14" x14ac:dyDescent="0.35">
      <c r="A32" s="2">
        <v>28</v>
      </c>
      <c r="B32" s="2">
        <v>3.4209999999999998</v>
      </c>
      <c r="C32" s="2">
        <v>3.0150000000000001</v>
      </c>
      <c r="D32" s="2">
        <v>2.536</v>
      </c>
      <c r="E32" s="2">
        <v>2.173</v>
      </c>
      <c r="F32" s="2">
        <v>1.8240000000000001</v>
      </c>
      <c r="G32" s="2">
        <v>3.4209999999999998</v>
      </c>
      <c r="H32" s="2">
        <v>660.11699999999996</v>
      </c>
      <c r="I32" s="2">
        <v>612.46299999999997</v>
      </c>
      <c r="J32" s="2">
        <v>553.87800000000004</v>
      </c>
      <c r="K32" s="2">
        <v>507.19400000000002</v>
      </c>
      <c r="L32" s="2">
        <v>460.25299999999999</v>
      </c>
      <c r="M32" s="2">
        <v>3.4209999999999998</v>
      </c>
      <c r="N32" s="2">
        <v>2.173</v>
      </c>
    </row>
    <row r="33" spans="1:14" x14ac:dyDescent="0.35">
      <c r="A33" s="2">
        <v>29</v>
      </c>
      <c r="B33" s="2">
        <v>3.5739999999999998</v>
      </c>
      <c r="C33" s="2">
        <v>3.1360000000000001</v>
      </c>
      <c r="D33" s="2">
        <v>2.6219999999999999</v>
      </c>
      <c r="E33" s="2">
        <v>2.234</v>
      </c>
      <c r="F33" s="2">
        <v>1.8640000000000001</v>
      </c>
      <c r="G33" s="2">
        <v>3.5739999999999998</v>
      </c>
      <c r="H33" s="2">
        <v>702.00199999999995</v>
      </c>
      <c r="I33" s="2">
        <v>649.30399999999997</v>
      </c>
      <c r="J33" s="2">
        <v>584.78300000000002</v>
      </c>
      <c r="K33" s="2">
        <v>533.6</v>
      </c>
      <c r="L33" s="2">
        <v>482.36</v>
      </c>
      <c r="M33" s="2">
        <v>3.5739999999999998</v>
      </c>
      <c r="N33" s="2">
        <v>2.234</v>
      </c>
    </row>
    <row r="34" spans="1:14" x14ac:dyDescent="0.35">
      <c r="A34" s="2">
        <v>30</v>
      </c>
      <c r="B34" s="2">
        <v>3.7349999999999999</v>
      </c>
      <c r="C34" s="2">
        <v>3.262</v>
      </c>
      <c r="D34" s="2">
        <v>2.7109999999999999</v>
      </c>
      <c r="E34" s="2">
        <v>2.2959999999999998</v>
      </c>
      <c r="F34" s="2">
        <v>1.9039999999999999</v>
      </c>
      <c r="G34" s="2">
        <v>3.7349999999999999</v>
      </c>
      <c r="H34" s="2">
        <v>745.76700000000005</v>
      </c>
      <c r="I34" s="2">
        <v>687.625</v>
      </c>
      <c r="J34" s="2">
        <v>616.73400000000004</v>
      </c>
      <c r="K34" s="2">
        <v>560.74800000000005</v>
      </c>
      <c r="L34" s="2">
        <v>504.94600000000003</v>
      </c>
      <c r="M34" s="2">
        <v>3.7349999999999999</v>
      </c>
      <c r="N34" s="2">
        <v>2.2959999999999998</v>
      </c>
    </row>
    <row r="35" spans="1:14" x14ac:dyDescent="0.35">
      <c r="A35" s="2">
        <v>31</v>
      </c>
      <c r="B35" s="2">
        <v>3.9020000000000001</v>
      </c>
      <c r="C35" s="2">
        <v>3.3929999999999998</v>
      </c>
      <c r="D35" s="2">
        <v>2.802</v>
      </c>
      <c r="E35" s="2">
        <v>2.3610000000000002</v>
      </c>
      <c r="F35" s="2">
        <v>1.9450000000000001</v>
      </c>
      <c r="G35" s="2">
        <v>3.9020000000000001</v>
      </c>
      <c r="H35" s="2">
        <v>791.49699999999996</v>
      </c>
      <c r="I35" s="2">
        <v>727.48800000000006</v>
      </c>
      <c r="J35" s="2">
        <v>649.76400000000001</v>
      </c>
      <c r="K35" s="2">
        <v>588.65800000000002</v>
      </c>
      <c r="L35" s="2">
        <v>528.02200000000005</v>
      </c>
      <c r="M35" s="2">
        <v>3.9020000000000001</v>
      </c>
      <c r="N35" s="2">
        <v>2.3610000000000002</v>
      </c>
    </row>
    <row r="36" spans="1:14" x14ac:dyDescent="0.35">
      <c r="A36" s="2">
        <v>32</v>
      </c>
      <c r="B36" s="2">
        <v>4.077</v>
      </c>
      <c r="C36" s="2">
        <v>3.53</v>
      </c>
      <c r="D36" s="2">
        <v>2.8969999999999998</v>
      </c>
      <c r="E36" s="2">
        <v>2.427</v>
      </c>
      <c r="F36" s="2">
        <v>1.988</v>
      </c>
      <c r="G36" s="2">
        <v>4.077</v>
      </c>
      <c r="H36" s="2">
        <v>839.28</v>
      </c>
      <c r="I36" s="2">
        <v>768.952</v>
      </c>
      <c r="J36" s="2">
        <v>683.91099999999994</v>
      </c>
      <c r="K36" s="2">
        <v>617.35299999999995</v>
      </c>
      <c r="L36" s="2">
        <v>551.59900000000005</v>
      </c>
      <c r="M36" s="2">
        <v>4.077</v>
      </c>
      <c r="N36" s="2">
        <v>2.427</v>
      </c>
    </row>
    <row r="37" spans="1:14" x14ac:dyDescent="0.35">
      <c r="A37" s="2">
        <v>33</v>
      </c>
      <c r="B37" s="2">
        <v>4.2610000000000001</v>
      </c>
      <c r="C37" s="2">
        <v>3.6720000000000002</v>
      </c>
      <c r="D37" s="2">
        <v>2.9950000000000001</v>
      </c>
      <c r="E37" s="2">
        <v>2.496</v>
      </c>
      <c r="F37" s="2">
        <v>2.0310000000000001</v>
      </c>
      <c r="G37" s="2">
        <v>4.2610000000000001</v>
      </c>
      <c r="H37" s="2">
        <v>889.20799999999997</v>
      </c>
      <c r="I37" s="2">
        <v>812.08299999999997</v>
      </c>
      <c r="J37" s="2">
        <v>719.21199999999999</v>
      </c>
      <c r="K37" s="2">
        <v>646.85500000000002</v>
      </c>
      <c r="L37" s="2">
        <v>575.68799999999999</v>
      </c>
      <c r="M37" s="2">
        <v>4.2610000000000001</v>
      </c>
      <c r="N37" s="2">
        <v>2.496</v>
      </c>
    </row>
    <row r="38" spans="1:14" x14ac:dyDescent="0.35">
      <c r="A38" s="2">
        <v>34</v>
      </c>
      <c r="B38" s="2">
        <v>4.452</v>
      </c>
      <c r="C38" s="2">
        <v>3.819</v>
      </c>
      <c r="D38" s="2">
        <v>3.0960000000000001</v>
      </c>
      <c r="E38" s="2">
        <v>2.5659999999999998</v>
      </c>
      <c r="F38" s="2">
        <v>2.0750000000000002</v>
      </c>
      <c r="G38" s="2">
        <v>4.452</v>
      </c>
      <c r="H38" s="2">
        <v>941.37900000000002</v>
      </c>
      <c r="I38" s="2">
        <v>856.94899999999996</v>
      </c>
      <c r="J38" s="2">
        <v>755.70600000000002</v>
      </c>
      <c r="K38" s="2">
        <v>677.18499999999995</v>
      </c>
      <c r="L38" s="2">
        <v>600.29899999999998</v>
      </c>
      <c r="M38" s="2">
        <v>4.452</v>
      </c>
      <c r="N38" s="2">
        <v>2.5659999999999998</v>
      </c>
    </row>
    <row r="39" spans="1:14" x14ac:dyDescent="0.35">
      <c r="A39" s="2">
        <v>35</v>
      </c>
      <c r="B39" s="2">
        <v>4.6520000000000001</v>
      </c>
      <c r="C39" s="2">
        <v>3.9729999999999999</v>
      </c>
      <c r="D39" s="2">
        <v>3.2010000000000001</v>
      </c>
      <c r="E39" s="2">
        <v>2.6379999999999999</v>
      </c>
      <c r="F39" s="2">
        <v>2.12</v>
      </c>
      <c r="G39" s="2">
        <v>4.6520000000000001</v>
      </c>
      <c r="H39" s="2">
        <v>995.89200000000005</v>
      </c>
      <c r="I39" s="2">
        <v>903.61800000000005</v>
      </c>
      <c r="J39" s="2">
        <v>793.43399999999997</v>
      </c>
      <c r="K39" s="2">
        <v>708.36800000000005</v>
      </c>
      <c r="L39" s="2">
        <v>625.44399999999996</v>
      </c>
      <c r="M39" s="2">
        <v>4.6520000000000001</v>
      </c>
      <c r="N39" s="2">
        <v>2.6379999999999999</v>
      </c>
    </row>
    <row r="40" spans="1:14" x14ac:dyDescent="0.35">
      <c r="A40" s="2">
        <v>36</v>
      </c>
      <c r="B40" s="2">
        <v>4.8609999999999998</v>
      </c>
      <c r="C40" s="2">
        <v>4.1319999999999997</v>
      </c>
      <c r="D40" s="2">
        <v>3.3090000000000002</v>
      </c>
      <c r="E40" s="2">
        <v>2.7120000000000002</v>
      </c>
      <c r="F40" s="2">
        <v>2.1659999999999999</v>
      </c>
      <c r="G40" s="2">
        <v>4.8609999999999998</v>
      </c>
      <c r="H40" s="16">
        <v>1052.8520000000001</v>
      </c>
      <c r="I40" s="2">
        <v>952.16300000000001</v>
      </c>
      <c r="J40" s="2">
        <v>832.43700000000001</v>
      </c>
      <c r="K40" s="2">
        <v>740.42700000000002</v>
      </c>
      <c r="L40" s="2">
        <v>651.13499999999999</v>
      </c>
      <c r="M40" s="2">
        <v>4.8609999999999998</v>
      </c>
      <c r="N40" s="2">
        <v>2.7120000000000002</v>
      </c>
    </row>
    <row r="41" spans="1:14" x14ac:dyDescent="0.35">
      <c r="A41" s="2">
        <v>37</v>
      </c>
      <c r="B41" s="2">
        <v>5.0789999999999997</v>
      </c>
      <c r="C41" s="2">
        <v>4.2990000000000004</v>
      </c>
      <c r="D41" s="2">
        <v>3.4209999999999998</v>
      </c>
      <c r="E41" s="2">
        <v>2.7879999999999998</v>
      </c>
      <c r="F41" s="2">
        <v>2.2130000000000001</v>
      </c>
      <c r="G41" s="2">
        <v>5.0789999999999997</v>
      </c>
      <c r="H41" s="16">
        <v>1112.3699999999999</v>
      </c>
      <c r="I41" s="16">
        <v>1002.659</v>
      </c>
      <c r="J41" s="2">
        <v>872.75800000000004</v>
      </c>
      <c r="K41" s="2">
        <v>773.38699999999994</v>
      </c>
      <c r="L41" s="2">
        <v>677.38400000000001</v>
      </c>
      <c r="M41" s="2">
        <v>5.0789999999999997</v>
      </c>
      <c r="N41" s="2">
        <v>2.7879999999999998</v>
      </c>
    </row>
    <row r="42" spans="1:14" x14ac:dyDescent="0.35">
      <c r="A42" s="2">
        <v>38</v>
      </c>
      <c r="B42" s="2">
        <v>5.3070000000000004</v>
      </c>
      <c r="C42" s="2">
        <v>4.4710000000000001</v>
      </c>
      <c r="D42" s="2">
        <v>3.5369999999999999</v>
      </c>
      <c r="E42" s="2">
        <v>2.8660000000000001</v>
      </c>
      <c r="F42" s="2">
        <v>2.2610000000000001</v>
      </c>
      <c r="G42" s="2">
        <v>5.3070000000000004</v>
      </c>
      <c r="H42" s="16">
        <v>1174.5609999999999</v>
      </c>
      <c r="I42" s="16">
        <v>1055.1849999999999</v>
      </c>
      <c r="J42" s="2">
        <v>914.44200000000001</v>
      </c>
      <c r="K42" s="2">
        <v>807.27300000000002</v>
      </c>
      <c r="L42" s="2">
        <v>704.202</v>
      </c>
      <c r="M42" s="2">
        <v>5.3070000000000004</v>
      </c>
      <c r="N42" s="2">
        <v>2.8660000000000001</v>
      </c>
    </row>
    <row r="43" spans="1:14" x14ac:dyDescent="0.35">
      <c r="A43" s="2">
        <v>39</v>
      </c>
      <c r="B43" s="2">
        <v>5.5449999999999999</v>
      </c>
      <c r="C43" s="2">
        <v>4.6509999999999998</v>
      </c>
      <c r="D43" s="2">
        <v>3.6560000000000001</v>
      </c>
      <c r="E43" s="2">
        <v>2.9470000000000001</v>
      </c>
      <c r="F43" s="2">
        <v>2.31</v>
      </c>
      <c r="G43" s="2">
        <v>5.5449999999999999</v>
      </c>
      <c r="H43" s="16">
        <v>1239.5429999999999</v>
      </c>
      <c r="I43" s="16">
        <v>1109.8230000000001</v>
      </c>
      <c r="J43" s="2">
        <v>957.53499999999997</v>
      </c>
      <c r="K43" s="2">
        <v>842.11099999999999</v>
      </c>
      <c r="L43" s="2">
        <v>731.60199999999998</v>
      </c>
      <c r="M43" s="2">
        <v>5.5449999999999999</v>
      </c>
      <c r="N43" s="2">
        <v>2.9470000000000001</v>
      </c>
    </row>
    <row r="44" spans="1:14" x14ac:dyDescent="0.35">
      <c r="A44" s="2">
        <v>40</v>
      </c>
      <c r="B44" s="2">
        <v>5.7939999999999996</v>
      </c>
      <c r="C44" s="2">
        <v>4.8380000000000001</v>
      </c>
      <c r="D44" s="2">
        <v>3.78</v>
      </c>
      <c r="E44" s="2">
        <v>3.03</v>
      </c>
      <c r="F44" s="2">
        <v>2.36</v>
      </c>
      <c r="G44" s="2">
        <v>5.7939999999999996</v>
      </c>
      <c r="H44" s="16">
        <v>1307.444</v>
      </c>
      <c r="I44" s="16">
        <v>1166.6579999999999</v>
      </c>
      <c r="J44" s="16">
        <v>1002.0839999999999</v>
      </c>
      <c r="K44" s="2">
        <v>877.928</v>
      </c>
      <c r="L44" s="2">
        <v>759.59699999999998</v>
      </c>
      <c r="M44" s="2">
        <v>5.7939999999999996</v>
      </c>
      <c r="N44" s="2">
        <v>3.03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50B5F-CA3F-4A93-B68C-6282EEBE4C2F}">
  <sheetPr codeName="Hoja5"/>
  <dimension ref="B1:J47"/>
  <sheetViews>
    <sheetView zoomScaleNormal="100" workbookViewId="0">
      <selection activeCell="C3" sqref="C3"/>
    </sheetView>
  </sheetViews>
  <sheetFormatPr baseColWidth="10" defaultColWidth="11.453125" defaultRowHeight="14.5" x14ac:dyDescent="0.35"/>
  <cols>
    <col min="1" max="1" width="11.453125" style="2"/>
    <col min="2" max="2" width="14.26953125" style="2" bestFit="1" customWidth="1"/>
    <col min="3" max="5" width="13.81640625" style="2" bestFit="1" customWidth="1"/>
    <col min="6" max="10" width="12.1796875" style="2" bestFit="1" customWidth="1"/>
    <col min="11" max="16384" width="11.453125" style="2"/>
  </cols>
  <sheetData>
    <row r="1" spans="2:10" x14ac:dyDescent="0.35">
      <c r="B1" s="2" t="s">
        <v>15</v>
      </c>
      <c r="C1" s="9">
        <v>4.4900000000000002E-2</v>
      </c>
    </row>
    <row r="2" spans="2:10" x14ac:dyDescent="0.35">
      <c r="B2" s="2" t="s">
        <v>54</v>
      </c>
      <c r="C2" s="9">
        <f>(1+C1)^(1/12)-1</f>
        <v>3.6668052630131065E-3</v>
      </c>
    </row>
    <row r="3" spans="2:10" x14ac:dyDescent="0.35">
      <c r="B3" s="2" t="s">
        <v>56</v>
      </c>
      <c r="C3" s="2">
        <v>0</v>
      </c>
    </row>
    <row r="6" spans="2:10" x14ac:dyDescent="0.35">
      <c r="B6" s="2" t="s">
        <v>58</v>
      </c>
      <c r="C6" s="2">
        <f t="shared" ref="C6:J6" si="0">+C7*12</f>
        <v>60</v>
      </c>
      <c r="D6" s="2">
        <f t="shared" si="0"/>
        <v>120</v>
      </c>
      <c r="E6" s="2">
        <f t="shared" si="0"/>
        <v>180</v>
      </c>
      <c r="F6" s="2">
        <f t="shared" si="0"/>
        <v>240</v>
      </c>
      <c r="G6" s="2">
        <f t="shared" si="0"/>
        <v>300</v>
      </c>
      <c r="H6" s="2">
        <f t="shared" si="0"/>
        <v>360</v>
      </c>
      <c r="I6" s="2">
        <f t="shared" si="0"/>
        <v>420</v>
      </c>
      <c r="J6" s="2">
        <f t="shared" si="0"/>
        <v>480</v>
      </c>
    </row>
    <row r="7" spans="2:10" x14ac:dyDescent="0.35">
      <c r="B7" s="2" t="s">
        <v>55</v>
      </c>
      <c r="C7" s="2">
        <v>5</v>
      </c>
      <c r="D7" s="2">
        <v>10</v>
      </c>
      <c r="E7" s="2">
        <v>15</v>
      </c>
      <c r="F7" s="2">
        <v>20</v>
      </c>
      <c r="G7" s="2">
        <v>25</v>
      </c>
      <c r="H7" s="2">
        <v>30</v>
      </c>
      <c r="I7" s="2">
        <v>35</v>
      </c>
      <c r="J7" s="2">
        <v>40</v>
      </c>
    </row>
    <row r="8" spans="2:10" x14ac:dyDescent="0.35">
      <c r="B8" s="4">
        <v>1000000</v>
      </c>
      <c r="C8" s="10">
        <f t="shared" ref="C8:C47" si="1">+PMT($C$2,$C$6,$C$3,B8*-1)</f>
        <v>14930.852580296341</v>
      </c>
      <c r="D8" s="10">
        <f t="shared" ref="D8:D47" si="2">+PMT($C$2,$D$6,$C$3,B8*-1)</f>
        <v>6648.9789125134403</v>
      </c>
      <c r="E8" s="10">
        <f t="shared" ref="E8:E47" si="3">+PMT($C$2,$E$6,$C$3,B8*-1)</f>
        <v>3932.2039173926992</v>
      </c>
      <c r="F8" s="10">
        <f t="shared" ref="F8:F47" si="4">+PMT($C$2,$F$6,$C$3,B8*-1)</f>
        <v>2605.9261982983608</v>
      </c>
      <c r="G8" s="10">
        <f t="shared" ref="G8:G47" si="5">+PMT($C$2,$G$6,$C$3,B8*-1)</f>
        <v>1835.0058096581379</v>
      </c>
      <c r="H8" s="10">
        <f t="shared" ref="H8:H47" si="6">+PMT($C$2,$H$6,$C$3,B8*-1)</f>
        <v>1340.9020817515263</v>
      </c>
      <c r="I8" s="10">
        <f t="shared" ref="I8:I47" si="7">+PMT($C$2,$I$6,$C$3,B8*-1)</f>
        <v>1004.1252418676521</v>
      </c>
      <c r="J8" s="10">
        <f t="shared" ref="J8:J47" si="8">+PMT($C$2,$J$6,$C$3,B8*-1)</f>
        <v>764.85113080440283</v>
      </c>
    </row>
    <row r="9" spans="2:10" x14ac:dyDescent="0.35">
      <c r="B9" s="4">
        <v>2000000</v>
      </c>
      <c r="C9" s="10">
        <f t="shared" si="1"/>
        <v>29861.705160592683</v>
      </c>
      <c r="D9" s="10">
        <f t="shared" si="2"/>
        <v>13297.957825026881</v>
      </c>
      <c r="E9" s="10">
        <f t="shared" si="3"/>
        <v>7864.4078347853983</v>
      </c>
      <c r="F9" s="10">
        <f t="shared" si="4"/>
        <v>5211.8523965967215</v>
      </c>
      <c r="G9" s="10">
        <f t="shared" si="5"/>
        <v>3670.0116193162758</v>
      </c>
      <c r="H9" s="10">
        <f t="shared" si="6"/>
        <v>2681.8041635030527</v>
      </c>
      <c r="I9" s="10">
        <f t="shared" si="7"/>
        <v>2008.2504837353042</v>
      </c>
      <c r="J9" s="10">
        <f t="shared" si="8"/>
        <v>1529.7022616088057</v>
      </c>
    </row>
    <row r="10" spans="2:10" x14ac:dyDescent="0.35">
      <c r="B10" s="4">
        <v>3000000</v>
      </c>
      <c r="C10" s="10">
        <f t="shared" si="1"/>
        <v>44792.557740889024</v>
      </c>
      <c r="D10" s="10">
        <f t="shared" si="2"/>
        <v>19946.936737540316</v>
      </c>
      <c r="E10" s="10">
        <f t="shared" si="3"/>
        <v>11796.611752178098</v>
      </c>
      <c r="F10" s="10">
        <f t="shared" si="4"/>
        <v>7817.7785948950832</v>
      </c>
      <c r="G10" s="10">
        <f t="shared" si="5"/>
        <v>5505.0174289744145</v>
      </c>
      <c r="H10" s="10">
        <f t="shared" si="6"/>
        <v>4022.7062452545792</v>
      </c>
      <c r="I10" s="10">
        <f t="shared" si="7"/>
        <v>3012.3757256029544</v>
      </c>
      <c r="J10" s="10">
        <f t="shared" si="8"/>
        <v>2294.5533924132087</v>
      </c>
    </row>
    <row r="11" spans="2:10" x14ac:dyDescent="0.35">
      <c r="B11" s="4">
        <v>4000000</v>
      </c>
      <c r="C11" s="10">
        <f t="shared" si="1"/>
        <v>59723.410321185365</v>
      </c>
      <c r="D11" s="10">
        <f t="shared" si="2"/>
        <v>26595.915650053761</v>
      </c>
      <c r="E11" s="10">
        <f t="shared" si="3"/>
        <v>15728.815669570797</v>
      </c>
      <c r="F11" s="10">
        <f t="shared" si="4"/>
        <v>10423.704793193443</v>
      </c>
      <c r="G11" s="10">
        <f t="shared" si="5"/>
        <v>7340.0232386325515</v>
      </c>
      <c r="H11" s="10">
        <f t="shared" si="6"/>
        <v>5363.6083270061054</v>
      </c>
      <c r="I11" s="10">
        <f t="shared" si="7"/>
        <v>4016.5009674706084</v>
      </c>
      <c r="J11" s="10">
        <f t="shared" si="8"/>
        <v>3059.4045232176113</v>
      </c>
    </row>
    <row r="12" spans="2:10" x14ac:dyDescent="0.35">
      <c r="B12" s="4">
        <v>5000000</v>
      </c>
      <c r="C12" s="10">
        <f t="shared" si="1"/>
        <v>74654.262901481707</v>
      </c>
      <c r="D12" s="10">
        <f t="shared" si="2"/>
        <v>33244.894562567199</v>
      </c>
      <c r="E12" s="10">
        <f t="shared" si="3"/>
        <v>19661.019586963495</v>
      </c>
      <c r="F12" s="10">
        <f t="shared" si="4"/>
        <v>13029.630991491802</v>
      </c>
      <c r="G12" s="10">
        <f t="shared" si="5"/>
        <v>9175.0290482906894</v>
      </c>
      <c r="H12" s="10">
        <f t="shared" si="6"/>
        <v>6704.5104087576319</v>
      </c>
      <c r="I12" s="10">
        <f t="shared" si="7"/>
        <v>5020.6262093382584</v>
      </c>
      <c r="J12" s="10">
        <f t="shared" si="8"/>
        <v>3824.2556540220144</v>
      </c>
    </row>
    <row r="13" spans="2:10" x14ac:dyDescent="0.35">
      <c r="B13" s="4">
        <v>6000000</v>
      </c>
      <c r="C13" s="10">
        <f t="shared" si="1"/>
        <v>89585.115481778048</v>
      </c>
      <c r="D13" s="10">
        <f t="shared" si="2"/>
        <v>39893.873475080632</v>
      </c>
      <c r="E13" s="10">
        <f t="shared" si="3"/>
        <v>23593.223504356196</v>
      </c>
      <c r="F13" s="10">
        <f t="shared" si="4"/>
        <v>15635.557189790166</v>
      </c>
      <c r="G13" s="10">
        <f t="shared" si="5"/>
        <v>11010.034857948829</v>
      </c>
      <c r="H13" s="10">
        <f t="shared" si="6"/>
        <v>8045.4124905091585</v>
      </c>
      <c r="I13" s="10">
        <f t="shared" si="7"/>
        <v>6024.7514512059088</v>
      </c>
      <c r="J13" s="10">
        <f t="shared" si="8"/>
        <v>4589.1067848264174</v>
      </c>
    </row>
    <row r="14" spans="2:10" x14ac:dyDescent="0.35">
      <c r="B14" s="4">
        <v>7000000</v>
      </c>
      <c r="C14" s="10">
        <f t="shared" si="1"/>
        <v>104515.96806207439</v>
      </c>
      <c r="D14" s="10">
        <f t="shared" si="2"/>
        <v>46542.852387594081</v>
      </c>
      <c r="E14" s="10">
        <f t="shared" si="3"/>
        <v>27525.427421748893</v>
      </c>
      <c r="F14" s="10">
        <f t="shared" si="4"/>
        <v>18241.483388088523</v>
      </c>
      <c r="G14" s="10">
        <f t="shared" si="5"/>
        <v>12845.040667606967</v>
      </c>
      <c r="H14" s="10">
        <f t="shared" si="6"/>
        <v>9386.3145722606823</v>
      </c>
      <c r="I14" s="10">
        <f t="shared" si="7"/>
        <v>7028.8766930735628</v>
      </c>
      <c r="J14" s="10">
        <f t="shared" si="8"/>
        <v>5353.95791563082</v>
      </c>
    </row>
    <row r="15" spans="2:10" x14ac:dyDescent="0.35">
      <c r="B15" s="4">
        <v>8000000</v>
      </c>
      <c r="C15" s="10">
        <f t="shared" si="1"/>
        <v>119446.82064237073</v>
      </c>
      <c r="D15" s="10">
        <f t="shared" si="2"/>
        <v>53191.831300107522</v>
      </c>
      <c r="E15" s="10">
        <f t="shared" si="3"/>
        <v>31457.631339141593</v>
      </c>
      <c r="F15" s="10">
        <f t="shared" si="4"/>
        <v>20847.409586386886</v>
      </c>
      <c r="G15" s="10">
        <f t="shared" si="5"/>
        <v>14680.046477265103</v>
      </c>
      <c r="H15" s="10">
        <f t="shared" si="6"/>
        <v>10727.216654012211</v>
      </c>
      <c r="I15" s="10">
        <f t="shared" si="7"/>
        <v>8033.0019349412169</v>
      </c>
      <c r="J15" s="10">
        <f t="shared" si="8"/>
        <v>6118.8090464352226</v>
      </c>
    </row>
    <row r="16" spans="2:10" x14ac:dyDescent="0.35">
      <c r="B16" s="4">
        <v>9000000</v>
      </c>
      <c r="C16" s="10">
        <f t="shared" si="1"/>
        <v>134377.67322266707</v>
      </c>
      <c r="D16" s="10">
        <f t="shared" si="2"/>
        <v>59840.810212620956</v>
      </c>
      <c r="E16" s="10">
        <f t="shared" si="3"/>
        <v>35389.835256534301</v>
      </c>
      <c r="F16" s="10">
        <f t="shared" si="4"/>
        <v>23453.335784685241</v>
      </c>
      <c r="G16" s="10">
        <f t="shared" si="5"/>
        <v>16515.052286923241</v>
      </c>
      <c r="H16" s="10">
        <f t="shared" si="6"/>
        <v>12068.118735763734</v>
      </c>
      <c r="I16" s="10">
        <f t="shared" si="7"/>
        <v>9037.1271768088645</v>
      </c>
      <c r="J16" s="10">
        <f t="shared" si="8"/>
        <v>6883.6601772396252</v>
      </c>
    </row>
    <row r="17" spans="2:10" x14ac:dyDescent="0.35">
      <c r="B17" s="4">
        <v>10000000</v>
      </c>
      <c r="C17" s="10">
        <f t="shared" si="1"/>
        <v>149308.52580296341</v>
      </c>
      <c r="D17" s="10">
        <f t="shared" si="2"/>
        <v>66489.789125134397</v>
      </c>
      <c r="E17" s="10">
        <f t="shared" si="3"/>
        <v>39322.039173926991</v>
      </c>
      <c r="F17" s="10">
        <f t="shared" si="4"/>
        <v>26059.261982983604</v>
      </c>
      <c r="G17" s="10">
        <f t="shared" si="5"/>
        <v>18350.058096581379</v>
      </c>
      <c r="H17" s="10">
        <f t="shared" si="6"/>
        <v>13409.020817515264</v>
      </c>
      <c r="I17" s="10">
        <f t="shared" si="7"/>
        <v>10041.252418676517</v>
      </c>
      <c r="J17" s="10">
        <f t="shared" si="8"/>
        <v>7648.5113080440287</v>
      </c>
    </row>
    <row r="18" spans="2:10" x14ac:dyDescent="0.35">
      <c r="B18" s="4">
        <v>15000000</v>
      </c>
      <c r="C18" s="10">
        <f t="shared" si="1"/>
        <v>223962.78870444515</v>
      </c>
      <c r="D18" s="10">
        <f t="shared" si="2"/>
        <v>99734.683687701603</v>
      </c>
      <c r="E18" s="10">
        <f t="shared" si="3"/>
        <v>58983.05876089049</v>
      </c>
      <c r="F18" s="10">
        <f t="shared" si="4"/>
        <v>39088.892974475413</v>
      </c>
      <c r="G18" s="10">
        <f t="shared" si="5"/>
        <v>27525.087144872072</v>
      </c>
      <c r="H18" s="10">
        <f t="shared" si="6"/>
        <v>20113.531226272891</v>
      </c>
      <c r="I18" s="10">
        <f t="shared" si="7"/>
        <v>15061.878628014772</v>
      </c>
      <c r="J18" s="10">
        <f t="shared" si="8"/>
        <v>11472.766962066042</v>
      </c>
    </row>
    <row r="19" spans="2:10" x14ac:dyDescent="0.35">
      <c r="B19" s="4">
        <v>20000000</v>
      </c>
      <c r="C19" s="10">
        <f t="shared" si="1"/>
        <v>298617.05160592683</v>
      </c>
      <c r="D19" s="10">
        <f t="shared" si="2"/>
        <v>132979.57825026879</v>
      </c>
      <c r="E19" s="10">
        <f t="shared" si="3"/>
        <v>78644.078347853982</v>
      </c>
      <c r="F19" s="10">
        <f t="shared" si="4"/>
        <v>52118.523965967208</v>
      </c>
      <c r="G19" s="10">
        <f t="shared" si="5"/>
        <v>36700.116193162758</v>
      </c>
      <c r="H19" s="10">
        <f t="shared" si="6"/>
        <v>26818.041635030528</v>
      </c>
      <c r="I19" s="10">
        <f t="shared" si="7"/>
        <v>20082.504837353034</v>
      </c>
      <c r="J19" s="10">
        <f t="shared" si="8"/>
        <v>15297.022616088057</v>
      </c>
    </row>
    <row r="20" spans="2:10" x14ac:dyDescent="0.35">
      <c r="B20" s="4">
        <v>25000000</v>
      </c>
      <c r="C20" s="10">
        <f t="shared" si="1"/>
        <v>373271.31450740853</v>
      </c>
      <c r="D20" s="10">
        <f t="shared" si="2"/>
        <v>166224.47281283597</v>
      </c>
      <c r="E20" s="10">
        <f t="shared" si="3"/>
        <v>98305.097934817473</v>
      </c>
      <c r="F20" s="10">
        <f t="shared" si="4"/>
        <v>65148.154957459017</v>
      </c>
      <c r="G20" s="10">
        <f t="shared" si="5"/>
        <v>45875.145241453458</v>
      </c>
      <c r="H20" s="10">
        <f t="shared" si="6"/>
        <v>33522.55204378815</v>
      </c>
      <c r="I20" s="10">
        <f t="shared" si="7"/>
        <v>25103.131046691298</v>
      </c>
      <c r="J20" s="10">
        <f t="shared" si="8"/>
        <v>19121.27827011007</v>
      </c>
    </row>
    <row r="21" spans="2:10" x14ac:dyDescent="0.35">
      <c r="B21" s="4">
        <v>30000000</v>
      </c>
      <c r="C21" s="10">
        <f t="shared" si="1"/>
        <v>447925.5774088903</v>
      </c>
      <c r="D21" s="10">
        <f t="shared" si="2"/>
        <v>199469.36737540321</v>
      </c>
      <c r="E21" s="10">
        <f t="shared" si="3"/>
        <v>117966.11752178098</v>
      </c>
      <c r="F21" s="10">
        <f t="shared" si="4"/>
        <v>78177.785948950826</v>
      </c>
      <c r="G21" s="10">
        <f t="shared" si="5"/>
        <v>55050.174289744144</v>
      </c>
      <c r="H21" s="10">
        <f t="shared" si="6"/>
        <v>40227.062452545782</v>
      </c>
      <c r="I21" s="10">
        <f t="shared" si="7"/>
        <v>30123.757256029545</v>
      </c>
      <c r="J21" s="10">
        <f t="shared" si="8"/>
        <v>22945.533924132083</v>
      </c>
    </row>
    <row r="22" spans="2:10" x14ac:dyDescent="0.35">
      <c r="B22" s="4">
        <v>35000000</v>
      </c>
      <c r="C22" s="10">
        <f t="shared" si="1"/>
        <v>522579.84031037195</v>
      </c>
      <c r="D22" s="10">
        <f t="shared" si="2"/>
        <v>232714.26193797038</v>
      </c>
      <c r="E22" s="10">
        <f t="shared" si="3"/>
        <v>137627.13710874447</v>
      </c>
      <c r="F22" s="10">
        <f t="shared" si="4"/>
        <v>91207.416940442607</v>
      </c>
      <c r="G22" s="10">
        <f t="shared" si="5"/>
        <v>64225.203338034829</v>
      </c>
      <c r="H22" s="10">
        <f t="shared" si="6"/>
        <v>46931.572861303423</v>
      </c>
      <c r="I22" s="10">
        <f t="shared" si="7"/>
        <v>35144.383465367806</v>
      </c>
      <c r="J22" s="10">
        <f t="shared" si="8"/>
        <v>26769.789578154086</v>
      </c>
    </row>
    <row r="23" spans="2:10" x14ac:dyDescent="0.35">
      <c r="B23" s="4">
        <v>40000000</v>
      </c>
      <c r="C23" s="10">
        <f t="shared" si="1"/>
        <v>597234.10321185365</v>
      </c>
      <c r="D23" s="10">
        <f t="shared" si="2"/>
        <v>265959.15650053759</v>
      </c>
      <c r="E23" s="10">
        <f t="shared" si="3"/>
        <v>157288.15669570796</v>
      </c>
      <c r="F23" s="10">
        <f t="shared" si="4"/>
        <v>104237.04793193442</v>
      </c>
      <c r="G23" s="10">
        <f t="shared" si="5"/>
        <v>73400.232386325515</v>
      </c>
      <c r="H23" s="10">
        <f t="shared" si="6"/>
        <v>53636.083270061055</v>
      </c>
      <c r="I23" s="10">
        <f t="shared" si="7"/>
        <v>40165.009674706067</v>
      </c>
      <c r="J23" s="10">
        <f t="shared" si="8"/>
        <v>30594.045232176115</v>
      </c>
    </row>
    <row r="24" spans="2:10" x14ac:dyDescent="0.35">
      <c r="B24" s="4">
        <v>45000000</v>
      </c>
      <c r="C24" s="10">
        <f t="shared" si="1"/>
        <v>671888.36611333536</v>
      </c>
      <c r="D24" s="10">
        <f t="shared" si="2"/>
        <v>299204.05106310477</v>
      </c>
      <c r="E24" s="10">
        <f t="shared" si="3"/>
        <v>176949.17628267145</v>
      </c>
      <c r="F24" s="10">
        <f t="shared" si="4"/>
        <v>117266.6789234262</v>
      </c>
      <c r="G24" s="10">
        <f t="shared" si="5"/>
        <v>82575.261434616201</v>
      </c>
      <c r="H24" s="10">
        <f t="shared" si="6"/>
        <v>60340.593678818666</v>
      </c>
      <c r="I24" s="10">
        <f t="shared" si="7"/>
        <v>45185.635884044335</v>
      </c>
      <c r="J24" s="10">
        <f t="shared" si="8"/>
        <v>34418.300886198114</v>
      </c>
    </row>
    <row r="25" spans="2:10" x14ac:dyDescent="0.35">
      <c r="B25" s="4">
        <v>50000000</v>
      </c>
      <c r="C25" s="10">
        <f t="shared" si="1"/>
        <v>746542.62901481707</v>
      </c>
      <c r="D25" s="10">
        <f t="shared" si="2"/>
        <v>332448.94562567194</v>
      </c>
      <c r="E25" s="10">
        <f t="shared" si="3"/>
        <v>196610.19586963495</v>
      </c>
      <c r="F25" s="10">
        <f t="shared" si="4"/>
        <v>130296.30991491803</v>
      </c>
      <c r="G25" s="10">
        <f t="shared" si="5"/>
        <v>91750.290482906916</v>
      </c>
      <c r="H25" s="10">
        <f t="shared" si="6"/>
        <v>67045.104087576299</v>
      </c>
      <c r="I25" s="10">
        <f t="shared" si="7"/>
        <v>50206.262093382597</v>
      </c>
      <c r="J25" s="10">
        <f t="shared" si="8"/>
        <v>38242.556540220139</v>
      </c>
    </row>
    <row r="26" spans="2:10" x14ac:dyDescent="0.35">
      <c r="B26" s="4">
        <v>55000000</v>
      </c>
      <c r="C26" s="10">
        <f t="shared" si="1"/>
        <v>821196.89191629889</v>
      </c>
      <c r="D26" s="10">
        <f t="shared" si="2"/>
        <v>365693.84018823912</v>
      </c>
      <c r="E26" s="10">
        <f t="shared" si="3"/>
        <v>216271.21545659844</v>
      </c>
      <c r="F26" s="10">
        <f t="shared" si="4"/>
        <v>143325.94090640981</v>
      </c>
      <c r="G26" s="10">
        <f t="shared" si="5"/>
        <v>100925.31953119757</v>
      </c>
      <c r="H26" s="10">
        <f t="shared" si="6"/>
        <v>73749.614496333932</v>
      </c>
      <c r="I26" s="10">
        <f t="shared" si="7"/>
        <v>55226.888302720829</v>
      </c>
      <c r="J26" s="10">
        <f t="shared" si="8"/>
        <v>42066.812194242142</v>
      </c>
    </row>
    <row r="27" spans="2:10" x14ac:dyDescent="0.35">
      <c r="B27" s="4">
        <v>60000000</v>
      </c>
      <c r="C27" s="10">
        <f t="shared" si="1"/>
        <v>895851.1548177806</v>
      </c>
      <c r="D27" s="10">
        <f t="shared" si="2"/>
        <v>398938.73475080641</v>
      </c>
      <c r="E27" s="10">
        <f t="shared" si="3"/>
        <v>235932.23504356196</v>
      </c>
      <c r="F27" s="10">
        <f t="shared" si="4"/>
        <v>156355.57189790165</v>
      </c>
      <c r="G27" s="10">
        <f t="shared" si="5"/>
        <v>110100.34857948829</v>
      </c>
      <c r="H27" s="10">
        <f t="shared" si="6"/>
        <v>80454.124905091565</v>
      </c>
      <c r="I27" s="10">
        <f t="shared" si="7"/>
        <v>60247.51451205909</v>
      </c>
      <c r="J27" s="10">
        <f t="shared" si="8"/>
        <v>45891.067848264167</v>
      </c>
    </row>
    <row r="28" spans="2:10" x14ac:dyDescent="0.35">
      <c r="B28" s="4">
        <v>70000000</v>
      </c>
      <c r="C28" s="10">
        <f t="shared" si="1"/>
        <v>1045159.6806207439</v>
      </c>
      <c r="D28" s="10">
        <f t="shared" si="2"/>
        <v>465428.52387594077</v>
      </c>
      <c r="E28" s="10">
        <f t="shared" si="3"/>
        <v>275254.27421748894</v>
      </c>
      <c r="F28" s="10">
        <f t="shared" si="4"/>
        <v>182414.83388088521</v>
      </c>
      <c r="G28" s="10">
        <f t="shared" si="5"/>
        <v>128450.40667606966</v>
      </c>
      <c r="H28" s="10">
        <f t="shared" si="6"/>
        <v>93863.145722606845</v>
      </c>
      <c r="I28" s="10">
        <f t="shared" si="7"/>
        <v>70288.766930735612</v>
      </c>
      <c r="J28" s="10">
        <f t="shared" si="8"/>
        <v>53539.579156308173</v>
      </c>
    </row>
    <row r="29" spans="2:10" x14ac:dyDescent="0.35">
      <c r="B29" s="4">
        <v>80000000</v>
      </c>
      <c r="C29" s="10">
        <f t="shared" si="1"/>
        <v>1194468.2064237073</v>
      </c>
      <c r="D29" s="10">
        <f t="shared" si="2"/>
        <v>531918.31300107518</v>
      </c>
      <c r="E29" s="10">
        <f t="shared" si="3"/>
        <v>314576.31339141593</v>
      </c>
      <c r="F29" s="10">
        <f t="shared" si="4"/>
        <v>208474.09586386883</v>
      </c>
      <c r="G29" s="10">
        <f t="shared" si="5"/>
        <v>146800.46477265103</v>
      </c>
      <c r="H29" s="10">
        <f t="shared" si="6"/>
        <v>107272.16654012211</v>
      </c>
      <c r="I29" s="10">
        <f t="shared" si="7"/>
        <v>80330.019349412134</v>
      </c>
      <c r="J29" s="10">
        <f t="shared" si="8"/>
        <v>61188.09046435223</v>
      </c>
    </row>
    <row r="30" spans="2:10" x14ac:dyDescent="0.35">
      <c r="B30" s="4">
        <v>90000000</v>
      </c>
      <c r="C30" s="10">
        <f t="shared" si="1"/>
        <v>1343776.7322266707</v>
      </c>
      <c r="D30" s="10">
        <f t="shared" si="2"/>
        <v>598408.10212620953</v>
      </c>
      <c r="E30" s="10">
        <f t="shared" si="3"/>
        <v>353898.35256534291</v>
      </c>
      <c r="F30" s="10">
        <f t="shared" si="4"/>
        <v>234533.35784685239</v>
      </c>
      <c r="G30" s="10">
        <f t="shared" si="5"/>
        <v>165150.5228692324</v>
      </c>
      <c r="H30" s="10">
        <f t="shared" si="6"/>
        <v>120681.18735763733</v>
      </c>
      <c r="I30" s="10">
        <f t="shared" si="7"/>
        <v>90371.271768088671</v>
      </c>
      <c r="J30" s="10">
        <f t="shared" si="8"/>
        <v>68836.601772396229</v>
      </c>
    </row>
    <row r="31" spans="2:10" x14ac:dyDescent="0.35">
      <c r="B31" s="4">
        <v>100000000</v>
      </c>
      <c r="C31" s="10">
        <f t="shared" si="1"/>
        <v>1493085.2580296341</v>
      </c>
      <c r="D31" s="10">
        <f t="shared" si="2"/>
        <v>664897.89125134388</v>
      </c>
      <c r="E31" s="10">
        <f t="shared" si="3"/>
        <v>393220.39173926989</v>
      </c>
      <c r="F31" s="10">
        <f t="shared" si="4"/>
        <v>260592.61982983607</v>
      </c>
      <c r="G31" s="10">
        <f t="shared" si="5"/>
        <v>183500.58096581383</v>
      </c>
      <c r="H31" s="10">
        <f t="shared" si="6"/>
        <v>134090.2081751526</v>
      </c>
      <c r="I31" s="10">
        <f t="shared" si="7"/>
        <v>100412.52418676519</v>
      </c>
      <c r="J31" s="10">
        <f t="shared" si="8"/>
        <v>76485.113080440278</v>
      </c>
    </row>
    <row r="32" spans="2:10" x14ac:dyDescent="0.35">
      <c r="B32" s="4">
        <v>110000000</v>
      </c>
      <c r="C32" s="10">
        <f t="shared" si="1"/>
        <v>1642393.7838325978</v>
      </c>
      <c r="D32" s="10">
        <f t="shared" si="2"/>
        <v>731387.68037647824</v>
      </c>
      <c r="E32" s="10">
        <f t="shared" si="3"/>
        <v>432542.43091319688</v>
      </c>
      <c r="F32" s="10">
        <f t="shared" si="4"/>
        <v>286651.88181281963</v>
      </c>
      <c r="G32" s="10">
        <f t="shared" si="5"/>
        <v>201850.63906239514</v>
      </c>
      <c r="H32" s="10">
        <f t="shared" si="6"/>
        <v>147499.22899266786</v>
      </c>
      <c r="I32" s="10">
        <f t="shared" si="7"/>
        <v>110453.77660544166</v>
      </c>
      <c r="J32" s="10">
        <f t="shared" si="8"/>
        <v>84133.624388484284</v>
      </c>
    </row>
    <row r="33" spans="2:10" x14ac:dyDescent="0.35">
      <c r="B33" s="4">
        <v>120000000</v>
      </c>
      <c r="C33" s="10">
        <f t="shared" si="1"/>
        <v>1791702.3096355612</v>
      </c>
      <c r="D33" s="10">
        <f t="shared" si="2"/>
        <v>797877.46950161282</v>
      </c>
      <c r="E33" s="10">
        <f t="shared" si="3"/>
        <v>471864.47008712392</v>
      </c>
      <c r="F33" s="10">
        <f t="shared" si="4"/>
        <v>312711.14379580331</v>
      </c>
      <c r="G33" s="10">
        <f t="shared" si="5"/>
        <v>220200.69715897657</v>
      </c>
      <c r="H33" s="10">
        <f t="shared" si="6"/>
        <v>160908.24981018313</v>
      </c>
      <c r="I33" s="10">
        <f t="shared" si="7"/>
        <v>120495.02902411818</v>
      </c>
      <c r="J33" s="10">
        <f t="shared" si="8"/>
        <v>91782.135696528334</v>
      </c>
    </row>
    <row r="34" spans="2:10" x14ac:dyDescent="0.35">
      <c r="B34" s="4">
        <v>130000000</v>
      </c>
      <c r="C34" s="10">
        <f t="shared" si="1"/>
        <v>1941010.8354385246</v>
      </c>
      <c r="D34" s="10">
        <f t="shared" si="2"/>
        <v>864367.25862674718</v>
      </c>
      <c r="E34" s="10">
        <f t="shared" si="3"/>
        <v>511186.50926105079</v>
      </c>
      <c r="F34" s="10">
        <f t="shared" si="4"/>
        <v>338770.40577878687</v>
      </c>
      <c r="G34" s="10">
        <f t="shared" si="5"/>
        <v>238550.75525555798</v>
      </c>
      <c r="H34" s="10">
        <f t="shared" si="6"/>
        <v>174317.27062769842</v>
      </c>
      <c r="I34" s="10">
        <f t="shared" si="7"/>
        <v>130536.2814427947</v>
      </c>
      <c r="J34" s="10">
        <f t="shared" si="8"/>
        <v>99430.647004572398</v>
      </c>
    </row>
    <row r="35" spans="2:10" x14ac:dyDescent="0.35">
      <c r="B35" s="4">
        <v>140000000</v>
      </c>
      <c r="C35" s="10">
        <f t="shared" si="1"/>
        <v>2090319.3612414878</v>
      </c>
      <c r="D35" s="10">
        <f t="shared" si="2"/>
        <v>930857.04775188153</v>
      </c>
      <c r="E35" s="10">
        <f t="shared" si="3"/>
        <v>550508.54843497789</v>
      </c>
      <c r="F35" s="10">
        <f t="shared" si="4"/>
        <v>364829.66776177043</v>
      </c>
      <c r="G35" s="10">
        <f t="shared" si="5"/>
        <v>256900.81335213932</v>
      </c>
      <c r="H35" s="10">
        <f t="shared" si="6"/>
        <v>187726.29144521369</v>
      </c>
      <c r="I35" s="10">
        <f t="shared" si="7"/>
        <v>140577.53386147122</v>
      </c>
      <c r="J35" s="10">
        <f t="shared" si="8"/>
        <v>107079.15831261635</v>
      </c>
    </row>
    <row r="36" spans="2:10" x14ac:dyDescent="0.35">
      <c r="B36" s="4">
        <v>150000000</v>
      </c>
      <c r="C36" s="10">
        <f t="shared" si="1"/>
        <v>2239627.8870444512</v>
      </c>
      <c r="D36" s="10">
        <f t="shared" si="2"/>
        <v>997346.83687701588</v>
      </c>
      <c r="E36" s="10">
        <f t="shared" si="3"/>
        <v>589830.58760890481</v>
      </c>
      <c r="F36" s="10">
        <f t="shared" si="4"/>
        <v>390888.9297447541</v>
      </c>
      <c r="G36" s="10">
        <f t="shared" si="5"/>
        <v>275250.87144872075</v>
      </c>
      <c r="H36" s="10">
        <f t="shared" si="6"/>
        <v>201135.31226272896</v>
      </c>
      <c r="I36" s="10">
        <f t="shared" si="7"/>
        <v>150618.78628014776</v>
      </c>
      <c r="J36" s="10">
        <f t="shared" si="8"/>
        <v>114727.6696206604</v>
      </c>
    </row>
    <row r="37" spans="2:10" x14ac:dyDescent="0.35">
      <c r="B37" s="4">
        <v>160000000</v>
      </c>
      <c r="C37" s="10">
        <f t="shared" si="1"/>
        <v>2388936.4128474146</v>
      </c>
      <c r="D37" s="10">
        <f t="shared" si="2"/>
        <v>1063836.6260021504</v>
      </c>
      <c r="E37" s="10">
        <f t="shared" si="3"/>
        <v>629152.62678283185</v>
      </c>
      <c r="F37" s="10">
        <f t="shared" si="4"/>
        <v>416948.19172773766</v>
      </c>
      <c r="G37" s="10">
        <f t="shared" si="5"/>
        <v>293600.92954530206</v>
      </c>
      <c r="H37" s="10">
        <f t="shared" si="6"/>
        <v>214544.33308024422</v>
      </c>
      <c r="I37" s="10">
        <f t="shared" si="7"/>
        <v>160660.03869882427</v>
      </c>
      <c r="J37" s="10">
        <f t="shared" si="8"/>
        <v>122376.18092870446</v>
      </c>
    </row>
    <row r="38" spans="2:10" x14ac:dyDescent="0.35">
      <c r="B38" s="4">
        <v>170000000</v>
      </c>
      <c r="C38" s="10">
        <f t="shared" si="1"/>
        <v>2538244.938650378</v>
      </c>
      <c r="D38" s="10">
        <f t="shared" si="2"/>
        <v>1130326.4151272846</v>
      </c>
      <c r="E38" s="10">
        <f t="shared" si="3"/>
        <v>668474.66595675889</v>
      </c>
      <c r="F38" s="10">
        <f t="shared" si="4"/>
        <v>443007.45371072122</v>
      </c>
      <c r="G38" s="10">
        <f t="shared" si="5"/>
        <v>311950.98764188349</v>
      </c>
      <c r="H38" s="10">
        <f t="shared" si="6"/>
        <v>227953.35389775949</v>
      </c>
      <c r="I38" s="10">
        <f t="shared" si="7"/>
        <v>170701.2911175008</v>
      </c>
      <c r="J38" s="10">
        <f t="shared" si="8"/>
        <v>130024.69223674839</v>
      </c>
    </row>
    <row r="39" spans="2:10" x14ac:dyDescent="0.35">
      <c r="B39" s="4">
        <v>180000000</v>
      </c>
      <c r="C39" s="10">
        <f t="shared" si="1"/>
        <v>2687553.4644533414</v>
      </c>
      <c r="D39" s="10">
        <f t="shared" si="2"/>
        <v>1196816.2042524191</v>
      </c>
      <c r="E39" s="10">
        <f t="shared" si="3"/>
        <v>707796.70513068582</v>
      </c>
      <c r="F39" s="10">
        <f t="shared" si="4"/>
        <v>469066.71569370478</v>
      </c>
      <c r="G39" s="10">
        <f t="shared" si="5"/>
        <v>330301.0457384648</v>
      </c>
      <c r="H39" s="10">
        <f t="shared" si="6"/>
        <v>241362.37471527467</v>
      </c>
      <c r="I39" s="10">
        <f t="shared" si="7"/>
        <v>180742.54353617734</v>
      </c>
      <c r="J39" s="10">
        <f t="shared" si="8"/>
        <v>137673.20354479246</v>
      </c>
    </row>
    <row r="40" spans="2:10" x14ac:dyDescent="0.35">
      <c r="B40" s="4">
        <v>190000000</v>
      </c>
      <c r="C40" s="10">
        <f t="shared" si="1"/>
        <v>2836861.9902563049</v>
      </c>
      <c r="D40" s="10">
        <f t="shared" si="2"/>
        <v>1263305.9933775535</v>
      </c>
      <c r="E40" s="10">
        <f t="shared" si="3"/>
        <v>747118.74430461286</v>
      </c>
      <c r="F40" s="10">
        <f t="shared" si="4"/>
        <v>495125.97767668858</v>
      </c>
      <c r="G40" s="10">
        <f t="shared" si="5"/>
        <v>348651.10383504635</v>
      </c>
      <c r="H40" s="10">
        <f t="shared" si="6"/>
        <v>254771.39553278993</v>
      </c>
      <c r="I40" s="10">
        <f t="shared" si="7"/>
        <v>190783.79595485385</v>
      </c>
      <c r="J40" s="10">
        <f t="shared" si="8"/>
        <v>145321.71485283651</v>
      </c>
    </row>
    <row r="41" spans="2:10" x14ac:dyDescent="0.35">
      <c r="B41" s="4">
        <v>200000000</v>
      </c>
      <c r="C41" s="10">
        <f t="shared" si="1"/>
        <v>2986170.5160592683</v>
      </c>
      <c r="D41" s="10">
        <f t="shared" si="2"/>
        <v>1329795.7825026878</v>
      </c>
      <c r="E41" s="10">
        <f t="shared" si="3"/>
        <v>786440.78347853979</v>
      </c>
      <c r="F41" s="10">
        <f t="shared" si="4"/>
        <v>521185.23965967214</v>
      </c>
      <c r="G41" s="10">
        <f t="shared" si="5"/>
        <v>367001.16193162766</v>
      </c>
      <c r="H41" s="10">
        <f t="shared" si="6"/>
        <v>268180.4163503052</v>
      </c>
      <c r="I41" s="10">
        <f t="shared" si="7"/>
        <v>200825.04837353039</v>
      </c>
      <c r="J41" s="10">
        <f t="shared" si="8"/>
        <v>152970.22616088056</v>
      </c>
    </row>
    <row r="42" spans="2:10" x14ac:dyDescent="0.35">
      <c r="B42" s="4">
        <v>210000000</v>
      </c>
      <c r="C42" s="10">
        <f t="shared" si="1"/>
        <v>3135479.0418622321</v>
      </c>
      <c r="D42" s="10">
        <f t="shared" si="2"/>
        <v>1396285.571627822</v>
      </c>
      <c r="E42" s="10">
        <f t="shared" si="3"/>
        <v>825762.82265246683</v>
      </c>
      <c r="F42" s="10">
        <f t="shared" si="4"/>
        <v>547244.5016426557</v>
      </c>
      <c r="G42" s="10">
        <f t="shared" si="5"/>
        <v>385351.22002820898</v>
      </c>
      <c r="H42" s="10">
        <f t="shared" si="6"/>
        <v>281589.43716782046</v>
      </c>
      <c r="I42" s="10">
        <f t="shared" si="7"/>
        <v>210866.30079220689</v>
      </c>
      <c r="J42" s="10">
        <f t="shared" si="8"/>
        <v>160618.73746892452</v>
      </c>
    </row>
    <row r="43" spans="2:10" x14ac:dyDescent="0.35">
      <c r="B43" s="4">
        <v>220000000</v>
      </c>
      <c r="C43" s="10">
        <f t="shared" si="1"/>
        <v>3284787.5676651956</v>
      </c>
      <c r="D43" s="10">
        <f t="shared" si="2"/>
        <v>1462775.3607529565</v>
      </c>
      <c r="E43" s="10">
        <f t="shared" si="3"/>
        <v>865084.86182639375</v>
      </c>
      <c r="F43" s="10">
        <f t="shared" si="4"/>
        <v>573303.76362563926</v>
      </c>
      <c r="G43" s="10">
        <f t="shared" si="5"/>
        <v>403701.27812479029</v>
      </c>
      <c r="H43" s="10">
        <f t="shared" si="6"/>
        <v>294998.45798533573</v>
      </c>
      <c r="I43" s="10">
        <f t="shared" si="7"/>
        <v>220907.55321088331</v>
      </c>
      <c r="J43" s="10">
        <f t="shared" si="8"/>
        <v>168267.24877696857</v>
      </c>
    </row>
    <row r="44" spans="2:10" x14ac:dyDescent="0.35">
      <c r="B44" s="4">
        <v>230000000</v>
      </c>
      <c r="C44" s="10">
        <f t="shared" si="1"/>
        <v>3434096.0934681585</v>
      </c>
      <c r="D44" s="10">
        <f t="shared" si="2"/>
        <v>1529265.1498780912</v>
      </c>
      <c r="E44" s="10">
        <f t="shared" si="3"/>
        <v>904406.90100032079</v>
      </c>
      <c r="F44" s="10">
        <f t="shared" si="4"/>
        <v>599363.02560862282</v>
      </c>
      <c r="G44" s="10">
        <f t="shared" si="5"/>
        <v>422051.33622137178</v>
      </c>
      <c r="H44" s="10">
        <f t="shared" si="6"/>
        <v>308407.47880285099</v>
      </c>
      <c r="I44" s="10">
        <f t="shared" si="7"/>
        <v>230948.80562955985</v>
      </c>
      <c r="J44" s="10">
        <f t="shared" si="8"/>
        <v>175915.76008501262</v>
      </c>
    </row>
    <row r="45" spans="2:10" x14ac:dyDescent="0.35">
      <c r="B45" s="4">
        <v>240000000</v>
      </c>
      <c r="C45" s="10">
        <f t="shared" si="1"/>
        <v>3583404.6192711224</v>
      </c>
      <c r="D45" s="10">
        <f t="shared" si="2"/>
        <v>1595754.9390032256</v>
      </c>
      <c r="E45" s="10">
        <f t="shared" si="3"/>
        <v>943728.94017424784</v>
      </c>
      <c r="F45" s="10">
        <f t="shared" si="4"/>
        <v>625422.28759160661</v>
      </c>
      <c r="G45" s="10">
        <f t="shared" si="5"/>
        <v>440401.39431795315</v>
      </c>
      <c r="H45" s="10">
        <f t="shared" si="6"/>
        <v>321816.49962036626</v>
      </c>
      <c r="I45" s="10">
        <f t="shared" si="7"/>
        <v>240990.05804823636</v>
      </c>
      <c r="J45" s="10">
        <f t="shared" si="8"/>
        <v>183564.27139305667</v>
      </c>
    </row>
    <row r="46" spans="2:10" x14ac:dyDescent="0.35">
      <c r="B46" s="4">
        <v>250000000</v>
      </c>
      <c r="C46" s="10">
        <f t="shared" si="1"/>
        <v>3732713.1450740853</v>
      </c>
      <c r="D46" s="10">
        <f t="shared" si="2"/>
        <v>1662244.7281283599</v>
      </c>
      <c r="E46" s="10">
        <f t="shared" si="3"/>
        <v>983050.97934817476</v>
      </c>
      <c r="F46" s="10">
        <f t="shared" si="4"/>
        <v>651481.54957459017</v>
      </c>
      <c r="G46" s="10">
        <f t="shared" si="5"/>
        <v>458751.45241453446</v>
      </c>
      <c r="H46" s="10">
        <f t="shared" si="6"/>
        <v>335225.52043788158</v>
      </c>
      <c r="I46" s="10">
        <f t="shared" si="7"/>
        <v>251031.3104669129</v>
      </c>
      <c r="J46" s="10">
        <f t="shared" si="8"/>
        <v>191212.78270110075</v>
      </c>
    </row>
    <row r="47" spans="2:10" x14ac:dyDescent="0.35">
      <c r="B47" s="4">
        <v>260000000</v>
      </c>
      <c r="C47" s="10">
        <f t="shared" si="1"/>
        <v>3882021.6708770492</v>
      </c>
      <c r="D47" s="10">
        <f t="shared" si="2"/>
        <v>1728734.5172534944</v>
      </c>
      <c r="E47" s="10">
        <f t="shared" si="3"/>
        <v>1022373.0185221016</v>
      </c>
      <c r="F47" s="10">
        <f t="shared" si="4"/>
        <v>677540.81155757373</v>
      </c>
      <c r="G47" s="10">
        <f t="shared" si="5"/>
        <v>477101.51051111595</v>
      </c>
      <c r="H47" s="10">
        <f t="shared" si="6"/>
        <v>348634.54125539685</v>
      </c>
      <c r="I47" s="10">
        <f t="shared" si="7"/>
        <v>261072.5628855894</v>
      </c>
      <c r="J47" s="10">
        <f t="shared" si="8"/>
        <v>198861.2940091448</v>
      </c>
    </row>
  </sheetData>
  <pageMargins left="0.7" right="0.7" top="0.75" bottom="0.75" header="0.3" footer="0.3"/>
  <pageSetup orientation="portrait" r:id="rId1"/>
  <headerFooter>
    <oddFooter>&amp;C&amp;1#&amp;"Calibri"&amp;10&amp;K000000Uso Interno</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9F0E-EA7F-4BF1-AE70-270D41913741}">
  <sheetPr codeName="Hoja2"/>
  <dimension ref="B3:S64"/>
  <sheetViews>
    <sheetView topLeftCell="B14" workbookViewId="0">
      <selection activeCell="C17" sqref="C17"/>
    </sheetView>
  </sheetViews>
  <sheetFormatPr baseColWidth="10" defaultColWidth="11.453125" defaultRowHeight="14.5" x14ac:dyDescent="0.35"/>
  <cols>
    <col min="1" max="1" width="11.453125" style="2"/>
    <col min="2" max="2" width="25.453125" style="2" bestFit="1" customWidth="1"/>
    <col min="3" max="3" width="15.453125" style="2" customWidth="1"/>
    <col min="4" max="4" width="11.453125" style="2"/>
    <col min="5" max="5" width="13" style="2" bestFit="1" customWidth="1"/>
    <col min="6" max="7" width="11.453125" style="2"/>
    <col min="8" max="8" width="11.81640625" style="2" bestFit="1" customWidth="1"/>
    <col min="9" max="9" width="15.1796875" style="2" bestFit="1" customWidth="1"/>
    <col min="10" max="10" width="15.453125" style="2" bestFit="1" customWidth="1"/>
    <col min="11" max="11" width="17.54296875" style="2" bestFit="1" customWidth="1"/>
    <col min="12" max="12" width="8" style="2" bestFit="1" customWidth="1"/>
    <col min="13" max="13" width="11.81640625" style="2" bestFit="1" customWidth="1"/>
    <col min="14" max="14" width="15.453125" style="2" bestFit="1" customWidth="1"/>
    <col min="15" max="15" width="17.54296875" style="2" bestFit="1" customWidth="1"/>
    <col min="16" max="16384" width="11.453125" style="2"/>
  </cols>
  <sheetData>
    <row r="3" spans="2:19" x14ac:dyDescent="0.35">
      <c r="B3" s="2" t="str">
        <f>+C8</f>
        <v>Mujer</v>
      </c>
      <c r="C3" s="2">
        <f>+VLOOKUP(B3,$B$4:$C$5,2,FALSE)</f>
        <v>3</v>
      </c>
      <c r="I3" s="2">
        <v>2</v>
      </c>
      <c r="J3" s="2">
        <v>3</v>
      </c>
      <c r="K3" s="2">
        <v>4</v>
      </c>
      <c r="L3" s="2">
        <v>5</v>
      </c>
      <c r="M3" s="2">
        <v>6</v>
      </c>
      <c r="N3" s="2">
        <v>7</v>
      </c>
    </row>
    <row r="4" spans="2:19" x14ac:dyDescent="0.35">
      <c r="B4" s="2" t="s">
        <v>3</v>
      </c>
      <c r="C4" s="2">
        <v>3</v>
      </c>
      <c r="H4" s="2" t="s">
        <v>21</v>
      </c>
      <c r="I4" s="2" t="s">
        <v>28</v>
      </c>
      <c r="J4" s="2" t="s">
        <v>29</v>
      </c>
      <c r="K4" s="2" t="s">
        <v>60</v>
      </c>
      <c r="L4" s="2" t="s">
        <v>61</v>
      </c>
      <c r="M4" s="2" t="s">
        <v>62</v>
      </c>
      <c r="N4" s="2" t="s">
        <v>25</v>
      </c>
      <c r="R4" s="2" t="s">
        <v>3</v>
      </c>
      <c r="S4" s="2" t="s">
        <v>2</v>
      </c>
    </row>
    <row r="5" spans="2:19" x14ac:dyDescent="0.35">
      <c r="B5" s="2" t="s">
        <v>2</v>
      </c>
      <c r="C5" s="2">
        <v>2</v>
      </c>
      <c r="G5" s="2">
        <v>2</v>
      </c>
      <c r="H5" s="2" t="s">
        <v>3</v>
      </c>
      <c r="I5" s="2">
        <v>25</v>
      </c>
      <c r="J5" s="2">
        <v>40</v>
      </c>
      <c r="K5" s="2" t="s">
        <v>5</v>
      </c>
      <c r="L5" s="2" t="s">
        <v>6</v>
      </c>
      <c r="M5" s="2" t="s">
        <v>6</v>
      </c>
      <c r="N5" s="2" t="s">
        <v>26</v>
      </c>
      <c r="R5" s="3">
        <f>+COUNTIF(C8,$R$4)</f>
        <v>1</v>
      </c>
      <c r="S5" s="3">
        <f>+COUNTIF(C8,$S$4)</f>
        <v>0</v>
      </c>
    </row>
    <row r="6" spans="2:19" x14ac:dyDescent="0.35">
      <c r="G6" s="2">
        <v>3</v>
      </c>
      <c r="H6" s="2" t="s">
        <v>3</v>
      </c>
      <c r="I6" s="2">
        <v>41</v>
      </c>
      <c r="J6" s="2">
        <v>50</v>
      </c>
      <c r="K6" s="2" t="s">
        <v>7</v>
      </c>
      <c r="L6" s="2" t="s">
        <v>7</v>
      </c>
      <c r="M6" s="2" t="s">
        <v>7</v>
      </c>
      <c r="N6" s="2" t="s">
        <v>7</v>
      </c>
      <c r="R6" s="3">
        <v>1</v>
      </c>
      <c r="S6" s="3">
        <v>1</v>
      </c>
    </row>
    <row r="7" spans="2:19" x14ac:dyDescent="0.35">
      <c r="G7" s="2">
        <v>4</v>
      </c>
      <c r="H7" s="2" t="s">
        <v>3</v>
      </c>
      <c r="I7" s="2">
        <v>51</v>
      </c>
      <c r="J7" s="2">
        <v>60</v>
      </c>
      <c r="K7" s="2" t="s">
        <v>8</v>
      </c>
      <c r="L7" s="2" t="s">
        <v>9</v>
      </c>
      <c r="M7" s="2" t="s">
        <v>9</v>
      </c>
      <c r="N7" s="2" t="s">
        <v>27</v>
      </c>
    </row>
    <row r="8" spans="2:19" x14ac:dyDescent="0.35">
      <c r="B8" s="2" t="s">
        <v>21</v>
      </c>
      <c r="C8" s="2" t="str">
        <f>+Portada!AX18</f>
        <v>Mujer</v>
      </c>
      <c r="G8" s="2">
        <v>5</v>
      </c>
      <c r="H8" s="2" t="s">
        <v>2</v>
      </c>
      <c r="I8" s="2">
        <v>25</v>
      </c>
      <c r="J8" s="2">
        <v>40</v>
      </c>
      <c r="K8" s="2" t="s">
        <v>5</v>
      </c>
      <c r="L8" s="2" t="s">
        <v>6</v>
      </c>
      <c r="M8" s="2" t="s">
        <v>6</v>
      </c>
      <c r="N8" s="2" t="s">
        <v>26</v>
      </c>
    </row>
    <row r="9" spans="2:19" x14ac:dyDescent="0.35">
      <c r="B9" s="2" t="s">
        <v>30</v>
      </c>
      <c r="C9" s="2">
        <f>+Portada!BO18</f>
        <v>0</v>
      </c>
      <c r="G9" s="2">
        <v>6</v>
      </c>
      <c r="H9" s="2" t="s">
        <v>2</v>
      </c>
      <c r="I9" s="2">
        <v>41</v>
      </c>
      <c r="J9" s="2">
        <v>55</v>
      </c>
      <c r="K9" s="2" t="s">
        <v>7</v>
      </c>
      <c r="L9" s="2" t="s">
        <v>7</v>
      </c>
      <c r="M9" s="2" t="s">
        <v>7</v>
      </c>
      <c r="N9" s="2" t="s">
        <v>7</v>
      </c>
    </row>
    <row r="10" spans="2:19" x14ac:dyDescent="0.35">
      <c r="B10" s="2" t="s">
        <v>20</v>
      </c>
      <c r="C10" s="2">
        <f>+Portada!BO22</f>
        <v>0</v>
      </c>
      <c r="G10" s="2">
        <v>7</v>
      </c>
      <c r="H10" s="2" t="s">
        <v>2</v>
      </c>
      <c r="I10" s="2">
        <v>56</v>
      </c>
      <c r="J10" s="2">
        <v>65</v>
      </c>
      <c r="K10" s="2" t="s">
        <v>8</v>
      </c>
      <c r="L10" s="2" t="s">
        <v>9</v>
      </c>
      <c r="M10" s="2" t="s">
        <v>9</v>
      </c>
      <c r="N10" s="2" t="s">
        <v>27</v>
      </c>
    </row>
    <row r="11" spans="2:19" x14ac:dyDescent="0.35">
      <c r="B11" s="2" t="s">
        <v>31</v>
      </c>
      <c r="C11" s="2">
        <f>+C10-C9</f>
        <v>0</v>
      </c>
    </row>
    <row r="12" spans="2:19" x14ac:dyDescent="0.35">
      <c r="B12" s="2" t="s">
        <v>22</v>
      </c>
      <c r="C12" s="4">
        <f>+Portada!BO24</f>
        <v>0</v>
      </c>
      <c r="H12" s="2" t="s">
        <v>21</v>
      </c>
      <c r="I12" s="2" t="s">
        <v>1</v>
      </c>
      <c r="J12" s="2" t="s">
        <v>24</v>
      </c>
      <c r="K12" s="2" t="s">
        <v>10</v>
      </c>
      <c r="N12" s="2" t="str">
        <f>+J13</f>
        <v>Moderado</v>
      </c>
      <c r="O12" s="2">
        <f>+VLOOKUP(N12,N13:O16,2,FALSE)</f>
        <v>4</v>
      </c>
    </row>
    <row r="13" spans="2:19" x14ac:dyDescent="0.35">
      <c r="B13" s="2" t="s">
        <v>0</v>
      </c>
      <c r="C13" s="5" t="e">
        <f>+VLOOKUP(C10,'1.CNU'!$A$3:$C$73,'Motor I'!$C$3)</f>
        <v>#N/A</v>
      </c>
      <c r="H13" s="6" t="str">
        <f>+C8</f>
        <v>Mujer</v>
      </c>
      <c r="I13" s="6">
        <f>+HLOOKUP(I12,$I$15:$I$17,$L$15,FALSE)</f>
        <v>0</v>
      </c>
      <c r="J13" s="6" t="str">
        <f>+HLOOKUP(J12,$J$15:$J$17,$L$15,FALSE)</f>
        <v>Moderado</v>
      </c>
      <c r="K13" s="6" t="e">
        <f>+HLOOKUP(K12,$K$15:$K$17,$L$15,FALSE)</f>
        <v>#N/A</v>
      </c>
      <c r="N13" s="2" t="s">
        <v>60</v>
      </c>
      <c r="O13" s="2">
        <v>3</v>
      </c>
    </row>
    <row r="14" spans="2:19" x14ac:dyDescent="0.35">
      <c r="B14" s="2" t="s">
        <v>23</v>
      </c>
      <c r="C14" s="4" t="e">
        <f>+C12*C13</f>
        <v>#N/A</v>
      </c>
      <c r="N14" s="2" t="s">
        <v>61</v>
      </c>
      <c r="O14" s="2">
        <v>4</v>
      </c>
    </row>
    <row r="15" spans="2:19" x14ac:dyDescent="0.35">
      <c r="B15" s="2" t="s">
        <v>70</v>
      </c>
      <c r="C15" s="4">
        <f>+Portada!BO20</f>
        <v>0</v>
      </c>
      <c r="I15" s="6" t="s">
        <v>1</v>
      </c>
      <c r="J15" s="6" t="s">
        <v>24</v>
      </c>
      <c r="K15" s="6" t="s">
        <v>10</v>
      </c>
      <c r="L15" s="2">
        <f>+VLOOKUP($H$13,$H$16:$L$17,5,FALSE)</f>
        <v>2</v>
      </c>
      <c r="N15" s="2" t="s">
        <v>62</v>
      </c>
      <c r="O15" s="2">
        <v>5</v>
      </c>
    </row>
    <row r="16" spans="2:19" x14ac:dyDescent="0.35">
      <c r="B16" s="2" t="s">
        <v>41</v>
      </c>
      <c r="C16" s="2">
        <v>87.8</v>
      </c>
      <c r="H16" s="6" t="s">
        <v>3</v>
      </c>
      <c r="I16" s="6">
        <f>+C9</f>
        <v>0</v>
      </c>
      <c r="J16" s="6" t="str">
        <f>+Portada!CH18</f>
        <v>Moderado</v>
      </c>
      <c r="K16" s="6" t="e">
        <f>+VLOOKUP(I16,I5:N7,$O$12,TRUE)</f>
        <v>#N/A</v>
      </c>
      <c r="L16" s="2">
        <v>2</v>
      </c>
      <c r="N16" s="2" t="s">
        <v>25</v>
      </c>
      <c r="O16" s="2">
        <v>6</v>
      </c>
    </row>
    <row r="17" spans="2:14" x14ac:dyDescent="0.35">
      <c r="B17" s="2" t="s">
        <v>42</v>
      </c>
      <c r="C17" s="4">
        <v>39179.01</v>
      </c>
      <c r="H17" s="6" t="s">
        <v>2</v>
      </c>
      <c r="I17" s="6">
        <f>+C9</f>
        <v>0</v>
      </c>
      <c r="J17" s="6" t="str">
        <f>+Portada!CH18</f>
        <v>Moderado</v>
      </c>
      <c r="K17" s="6" t="e">
        <f>+VLOOKUP(I17,I8:N10,$O$12,TRUE)</f>
        <v>#N/A</v>
      </c>
      <c r="L17" s="2">
        <v>3</v>
      </c>
    </row>
    <row r="18" spans="2:14" x14ac:dyDescent="0.35">
      <c r="B18" s="2" t="s">
        <v>43</v>
      </c>
      <c r="C18" s="7">
        <f>+C16*C17</f>
        <v>3439917.0780000002</v>
      </c>
    </row>
    <row r="19" spans="2:14" x14ac:dyDescent="0.35">
      <c r="B19" s="2" t="s">
        <v>44</v>
      </c>
      <c r="C19" s="4">
        <f>+MIN((C18*10%),(C15*10%))</f>
        <v>0</v>
      </c>
    </row>
    <row r="20" spans="2:14" x14ac:dyDescent="0.35">
      <c r="C20" s="4"/>
    </row>
    <row r="21" spans="2:14" x14ac:dyDescent="0.35">
      <c r="B21" s="2" t="s">
        <v>10</v>
      </c>
      <c r="C21" s="4" t="e">
        <f>+C33</f>
        <v>#N/A</v>
      </c>
      <c r="E21" s="7" t="e">
        <f>+C21</f>
        <v>#N/A</v>
      </c>
      <c r="F21" s="2" t="e">
        <f>+VLOOKUP(E21,$H$38:$I$44,2,FALSE)</f>
        <v>#N/A</v>
      </c>
      <c r="G21" s="2" t="e">
        <f>+VLOOKUP(E21,$E$22:$F$26,2,FALSE)</f>
        <v>#N/A</v>
      </c>
      <c r="H21" s="2" t="s">
        <v>3</v>
      </c>
      <c r="I21" s="2">
        <v>2</v>
      </c>
      <c r="J21" s="2">
        <v>2</v>
      </c>
      <c r="K21" s="2">
        <v>2</v>
      </c>
      <c r="L21" s="2">
        <v>2</v>
      </c>
      <c r="M21" s="2">
        <v>2</v>
      </c>
      <c r="N21" s="2">
        <v>2</v>
      </c>
    </row>
    <row r="22" spans="2:14" x14ac:dyDescent="0.35">
      <c r="B22" s="2" t="s">
        <v>15</v>
      </c>
      <c r="C22" s="8" t="e">
        <f>+HLOOKUP(C21,'2.VF'!$B$2:$F$3,2,FALSE)</f>
        <v>#N/A</v>
      </c>
      <c r="E22" s="2" t="s">
        <v>5</v>
      </c>
      <c r="F22" s="2">
        <v>2</v>
      </c>
      <c r="H22" s="2" t="s">
        <v>3</v>
      </c>
      <c r="I22" s="2">
        <v>3</v>
      </c>
      <c r="J22" s="2">
        <v>3</v>
      </c>
      <c r="K22" s="2">
        <v>3</v>
      </c>
      <c r="L22" s="2">
        <v>3</v>
      </c>
      <c r="M22" s="2">
        <v>3</v>
      </c>
      <c r="N22" s="2">
        <v>3</v>
      </c>
    </row>
    <row r="23" spans="2:14" x14ac:dyDescent="0.35">
      <c r="B23" s="2" t="s">
        <v>39</v>
      </c>
      <c r="E23" s="2" t="s">
        <v>6</v>
      </c>
      <c r="F23" s="2">
        <v>3</v>
      </c>
      <c r="H23" s="2" t="s">
        <v>3</v>
      </c>
      <c r="I23" s="2">
        <v>4</v>
      </c>
      <c r="J23" s="2">
        <v>4</v>
      </c>
      <c r="K23" s="2">
        <v>4</v>
      </c>
      <c r="L23" s="2">
        <v>4</v>
      </c>
      <c r="M23" s="2">
        <v>4</v>
      </c>
      <c r="N23" s="2">
        <v>4</v>
      </c>
    </row>
    <row r="24" spans="2:14" x14ac:dyDescent="0.35">
      <c r="B24" s="2" t="s">
        <v>45</v>
      </c>
      <c r="C24" s="18" t="e">
        <f>+VLOOKUP($C$11,'2.VF'!$A$4:$G$44,'Motor I'!$G$21,FALSE)</f>
        <v>#REF!</v>
      </c>
      <c r="E24" s="2" t="s">
        <v>7</v>
      </c>
      <c r="F24" s="2">
        <v>4</v>
      </c>
      <c r="H24" s="2" t="s">
        <v>2</v>
      </c>
      <c r="I24" s="2">
        <v>5</v>
      </c>
      <c r="J24" s="2">
        <v>5</v>
      </c>
      <c r="K24" s="2">
        <v>5</v>
      </c>
      <c r="L24" s="2">
        <v>5</v>
      </c>
      <c r="M24" s="2">
        <v>5</v>
      </c>
      <c r="N24" s="2">
        <v>5</v>
      </c>
    </row>
    <row r="25" spans="2:14" x14ac:dyDescent="0.35">
      <c r="B25" s="2" t="s">
        <v>32</v>
      </c>
      <c r="C25" s="4">
        <v>0</v>
      </c>
      <c r="E25" s="2" t="s">
        <v>8</v>
      </c>
      <c r="F25" s="2">
        <v>5</v>
      </c>
      <c r="H25" s="2" t="s">
        <v>2</v>
      </c>
      <c r="I25" s="2">
        <v>6</v>
      </c>
      <c r="J25" s="2">
        <v>6</v>
      </c>
      <c r="K25" s="2">
        <v>6</v>
      </c>
      <c r="L25" s="2">
        <v>6</v>
      </c>
      <c r="M25" s="2">
        <v>6</v>
      </c>
      <c r="N25" s="2">
        <v>6</v>
      </c>
    </row>
    <row r="26" spans="2:14" x14ac:dyDescent="0.35">
      <c r="B26" s="2" t="s">
        <v>33</v>
      </c>
      <c r="C26" s="4">
        <v>0</v>
      </c>
      <c r="E26" s="2" t="s">
        <v>9</v>
      </c>
      <c r="F26" s="2">
        <v>6</v>
      </c>
      <c r="H26" s="2" t="s">
        <v>2</v>
      </c>
      <c r="I26" s="2">
        <v>7</v>
      </c>
      <c r="J26" s="2">
        <v>7</v>
      </c>
      <c r="K26" s="2">
        <v>7</v>
      </c>
      <c r="L26" s="2">
        <v>7</v>
      </c>
      <c r="M26" s="2">
        <v>7</v>
      </c>
      <c r="N26" s="2">
        <v>7</v>
      </c>
    </row>
    <row r="27" spans="2:14" x14ac:dyDescent="0.35">
      <c r="B27" s="2" t="s">
        <v>34</v>
      </c>
      <c r="C27" s="4">
        <v>0</v>
      </c>
    </row>
    <row r="28" spans="2:14" x14ac:dyDescent="0.35">
      <c r="B28" s="2" t="s">
        <v>35</v>
      </c>
      <c r="C28" s="4">
        <v>0</v>
      </c>
      <c r="H28" s="2" t="s">
        <v>21</v>
      </c>
      <c r="I28" s="2" t="s">
        <v>28</v>
      </c>
      <c r="J28" s="2" t="s">
        <v>29</v>
      </c>
      <c r="K28" s="2" t="s">
        <v>60</v>
      </c>
      <c r="L28" s="2" t="s">
        <v>61</v>
      </c>
      <c r="M28" s="2" t="s">
        <v>62</v>
      </c>
      <c r="N28" s="2" t="s">
        <v>25</v>
      </c>
    </row>
    <row r="29" spans="2:14" x14ac:dyDescent="0.35">
      <c r="B29" s="2" t="s">
        <v>36</v>
      </c>
      <c r="C29" s="4">
        <v>0</v>
      </c>
      <c r="H29" s="2" t="s">
        <v>2</v>
      </c>
      <c r="I29" s="2">
        <f>+IF($H$29=$H$13,I24,I21)</f>
        <v>2</v>
      </c>
      <c r="J29" s="2">
        <f>+IF($H$29=$H$13,J24,J21)</f>
        <v>2</v>
      </c>
      <c r="K29" s="2">
        <f>+IF($H$31=$H$13,K24,K21)</f>
        <v>2</v>
      </c>
      <c r="L29" s="2">
        <f>+IF($H$31=$H$13,L24,L21)</f>
        <v>2</v>
      </c>
      <c r="M29" s="2">
        <f>+IF($H$29=$H$13,M24,M21)</f>
        <v>2</v>
      </c>
      <c r="N29" s="2">
        <f>+IF($H$29=$H$13,N24,N21)</f>
        <v>2</v>
      </c>
    </row>
    <row r="30" spans="2:14" x14ac:dyDescent="0.35">
      <c r="B30" s="2" t="s">
        <v>37</v>
      </c>
      <c r="C30" s="4">
        <f>SUM(C25:C29)</f>
        <v>0</v>
      </c>
      <c r="H30" s="2" t="s">
        <v>2</v>
      </c>
      <c r="I30" s="2">
        <f t="shared" ref="I30:N30" si="0">+IF($H$30=$H$13,I25,I22)</f>
        <v>3</v>
      </c>
      <c r="J30" s="2">
        <f t="shared" si="0"/>
        <v>3</v>
      </c>
      <c r="K30" s="2">
        <f t="shared" si="0"/>
        <v>3</v>
      </c>
      <c r="L30" s="2">
        <f t="shared" si="0"/>
        <v>3</v>
      </c>
      <c r="M30" s="2">
        <f t="shared" si="0"/>
        <v>3</v>
      </c>
      <c r="N30" s="2">
        <f t="shared" si="0"/>
        <v>3</v>
      </c>
    </row>
    <row r="31" spans="2:14" x14ac:dyDescent="0.35">
      <c r="H31" s="2" t="s">
        <v>2</v>
      </c>
      <c r="I31" s="2">
        <f t="shared" ref="I31:N31" si="1">+IF($H$31=$H$13,I26,I23)</f>
        <v>4</v>
      </c>
      <c r="J31" s="2">
        <f t="shared" si="1"/>
        <v>4</v>
      </c>
      <c r="K31" s="2">
        <f t="shared" si="1"/>
        <v>4</v>
      </c>
      <c r="L31" s="2">
        <f t="shared" si="1"/>
        <v>4</v>
      </c>
      <c r="M31" s="2">
        <f t="shared" si="1"/>
        <v>4</v>
      </c>
      <c r="N31" s="2">
        <f t="shared" si="1"/>
        <v>4</v>
      </c>
    </row>
    <row r="33" spans="2:14" x14ac:dyDescent="0.35">
      <c r="B33" s="2" t="s">
        <v>10</v>
      </c>
      <c r="C33" s="2" t="e">
        <f>+J38</f>
        <v>#N/A</v>
      </c>
      <c r="E33" s="7" t="e">
        <f>+C33</f>
        <v>#N/A</v>
      </c>
      <c r="F33" s="2" t="e">
        <f>+VLOOKUP(E33,$E$34:$F$38,2,FALSE)</f>
        <v>#N/A</v>
      </c>
      <c r="H33" s="2" t="s">
        <v>21</v>
      </c>
      <c r="I33" s="2" t="s">
        <v>28</v>
      </c>
      <c r="J33" s="2" t="s">
        <v>29</v>
      </c>
      <c r="K33" s="2" t="s">
        <v>60</v>
      </c>
      <c r="L33" s="2" t="s">
        <v>61</v>
      </c>
      <c r="M33" s="2" t="s">
        <v>62</v>
      </c>
      <c r="N33" s="2" t="s">
        <v>25</v>
      </c>
    </row>
    <row r="34" spans="2:14" x14ac:dyDescent="0.35">
      <c r="B34" s="2" t="s">
        <v>15</v>
      </c>
      <c r="C34" s="8" t="e">
        <f>+HLOOKUP(C33,'2.VF'!$H$2:$L$3,2,FALSE)</f>
        <v>#N/A</v>
      </c>
      <c r="E34" s="2" t="s">
        <v>5</v>
      </c>
      <c r="F34" s="2">
        <v>7</v>
      </c>
      <c r="H34" s="2" t="str">
        <f>+HLOOKUP(H33,H4:H10,5,FALSE)</f>
        <v>Hombre</v>
      </c>
      <c r="I34" s="2">
        <f t="shared" ref="I34:N34" si="2">+HLOOKUP(I33,I4:I10,I29,FALSE)</f>
        <v>25</v>
      </c>
      <c r="J34" s="2">
        <f t="shared" si="2"/>
        <v>40</v>
      </c>
      <c r="K34" s="2" t="str">
        <f t="shared" si="2"/>
        <v>A</v>
      </c>
      <c r="L34" s="2" t="str">
        <f t="shared" si="2"/>
        <v>B</v>
      </c>
      <c r="M34" s="2" t="str">
        <f t="shared" si="2"/>
        <v>B</v>
      </c>
      <c r="N34" s="2" t="str">
        <f t="shared" si="2"/>
        <v>A-B</v>
      </c>
    </row>
    <row r="35" spans="2:14" x14ac:dyDescent="0.35">
      <c r="B35" s="2" t="s">
        <v>38</v>
      </c>
      <c r="E35" s="2" t="s">
        <v>6</v>
      </c>
      <c r="F35" s="2">
        <v>8</v>
      </c>
      <c r="H35" s="2" t="str">
        <f>+HLOOKUP(H33,H4:H10,6,FALSE)</f>
        <v>Hombre</v>
      </c>
      <c r="I35" s="2">
        <f t="shared" ref="I35:N35" si="3">+HLOOKUP(I33,I4:I10,I30,FALSE)</f>
        <v>41</v>
      </c>
      <c r="J35" s="2">
        <f t="shared" si="3"/>
        <v>50</v>
      </c>
      <c r="K35" s="2" t="str">
        <f t="shared" si="3"/>
        <v>C</v>
      </c>
      <c r="L35" s="2" t="str">
        <f t="shared" si="3"/>
        <v>C</v>
      </c>
      <c r="M35" s="2" t="str">
        <f t="shared" si="3"/>
        <v>C</v>
      </c>
      <c r="N35" s="2" t="str">
        <f t="shared" si="3"/>
        <v>C</v>
      </c>
    </row>
    <row r="36" spans="2:14" x14ac:dyDescent="0.35">
      <c r="B36" s="2" t="s">
        <v>45</v>
      </c>
      <c r="C36" s="2" t="e">
        <f>+VLOOKUP(C11,'2.VF'!$A$5:$L$44,'Motor I'!$F$33)</f>
        <v>#N/A</v>
      </c>
      <c r="E36" s="2" t="s">
        <v>7</v>
      </c>
      <c r="F36" s="2">
        <v>9</v>
      </c>
      <c r="H36" s="2" t="str">
        <f>+HLOOKUP(H33,H4:H10,7,FALSE)</f>
        <v>Hombre</v>
      </c>
      <c r="I36" s="2">
        <f t="shared" ref="I36:N36" si="4">+HLOOKUP(I33,I4:I10,I31,FALSE)</f>
        <v>51</v>
      </c>
      <c r="J36" s="2">
        <f t="shared" si="4"/>
        <v>60</v>
      </c>
      <c r="K36" s="2" t="str">
        <f t="shared" si="4"/>
        <v>D</v>
      </c>
      <c r="L36" s="2" t="str">
        <f t="shared" si="4"/>
        <v>E</v>
      </c>
      <c r="M36" s="2" t="str">
        <f t="shared" si="4"/>
        <v>E</v>
      </c>
      <c r="N36" s="2" t="str">
        <f t="shared" si="4"/>
        <v>D-E</v>
      </c>
    </row>
    <row r="37" spans="2:14" x14ac:dyDescent="0.35">
      <c r="B37" s="2" t="s">
        <v>32</v>
      </c>
      <c r="C37" s="7">
        <f>+C19</f>
        <v>0</v>
      </c>
      <c r="E37" s="2" t="s">
        <v>8</v>
      </c>
      <c r="F37" s="2">
        <v>10</v>
      </c>
    </row>
    <row r="38" spans="2:14" x14ac:dyDescent="0.35">
      <c r="B38" s="2" t="s">
        <v>33</v>
      </c>
      <c r="C38" s="7">
        <v>0</v>
      </c>
      <c r="E38" s="2" t="s">
        <v>9</v>
      </c>
      <c r="F38" s="2">
        <v>11</v>
      </c>
      <c r="H38" s="2" t="s">
        <v>5</v>
      </c>
      <c r="I38" s="9">
        <v>4.4900000000000002E-2</v>
      </c>
      <c r="J38" s="2" t="e">
        <f>+K13</f>
        <v>#N/A</v>
      </c>
      <c r="K38" s="9" t="e">
        <f>+VLOOKUP(J38,$H$38:$I$44,2,FALSE)</f>
        <v>#N/A</v>
      </c>
    </row>
    <row r="39" spans="2:14" x14ac:dyDescent="0.35">
      <c r="B39" s="2" t="s">
        <v>34</v>
      </c>
      <c r="C39" s="7">
        <v>0</v>
      </c>
      <c r="E39" s="2" t="s">
        <v>26</v>
      </c>
      <c r="F39" s="2">
        <v>7</v>
      </c>
      <c r="H39" s="2" t="s">
        <v>6</v>
      </c>
      <c r="I39" s="9">
        <v>4.02E-2</v>
      </c>
    </row>
    <row r="40" spans="2:14" x14ac:dyDescent="0.35">
      <c r="B40" s="2" t="s">
        <v>35</v>
      </c>
      <c r="C40" s="7">
        <v>0</v>
      </c>
      <c r="E40" s="7" t="s">
        <v>27</v>
      </c>
      <c r="F40" s="2">
        <v>10</v>
      </c>
      <c r="H40" s="2" t="s">
        <v>7</v>
      </c>
      <c r="I40" s="9">
        <v>3.3799999999999997E-2</v>
      </c>
    </row>
    <row r="41" spans="2:14" x14ac:dyDescent="0.35">
      <c r="B41" s="2" t="s">
        <v>36</v>
      </c>
      <c r="C41" s="7">
        <v>0</v>
      </c>
      <c r="H41" s="2" t="s">
        <v>8</v>
      </c>
      <c r="I41" s="9">
        <v>2.81E-2</v>
      </c>
    </row>
    <row r="42" spans="2:14" x14ac:dyDescent="0.35">
      <c r="B42" s="2" t="s">
        <v>40</v>
      </c>
      <c r="C42" s="7">
        <f>SUM(C37:C41)</f>
        <v>0</v>
      </c>
      <c r="H42" s="2" t="s">
        <v>9</v>
      </c>
      <c r="I42" s="9">
        <v>2.1700000000000001E-2</v>
      </c>
    </row>
    <row r="43" spans="2:14" x14ac:dyDescent="0.35">
      <c r="H43" s="2" t="s">
        <v>26</v>
      </c>
      <c r="I43" s="9">
        <v>4.4900000000000002E-2</v>
      </c>
    </row>
    <row r="44" spans="2:14" x14ac:dyDescent="0.35">
      <c r="H44" s="2" t="s">
        <v>27</v>
      </c>
      <c r="I44" s="9">
        <v>2.1700000000000001E-2</v>
      </c>
    </row>
    <row r="45" spans="2:14" x14ac:dyDescent="0.35">
      <c r="B45" s="2" t="s">
        <v>50</v>
      </c>
    </row>
    <row r="46" spans="2:14" x14ac:dyDescent="0.35">
      <c r="B46" s="2" t="str">
        <f>+B30</f>
        <v>Total saldos</v>
      </c>
      <c r="C46" s="7">
        <f>+C30</f>
        <v>0</v>
      </c>
    </row>
    <row r="47" spans="2:14" x14ac:dyDescent="0.35">
      <c r="B47" s="2" t="str">
        <f>+B42</f>
        <v>Total flujos</v>
      </c>
      <c r="C47" s="7">
        <f>+C42</f>
        <v>0</v>
      </c>
    </row>
    <row r="50" spans="2:6" x14ac:dyDescent="0.35">
      <c r="B50" s="2" t="s">
        <v>51</v>
      </c>
      <c r="C50" s="7">
        <f>+VLOOKUP(C11,'Pension proyectada I'!$A$2:$J$42,10,FALSE)</f>
        <v>0</v>
      </c>
    </row>
    <row r="51" spans="2:6" x14ac:dyDescent="0.35">
      <c r="B51" s="2" t="s">
        <v>0</v>
      </c>
      <c r="C51" s="5" t="e">
        <f>+C13</f>
        <v>#N/A</v>
      </c>
    </row>
    <row r="53" spans="2:6" x14ac:dyDescent="0.35">
      <c r="B53" s="2" t="s">
        <v>16</v>
      </c>
      <c r="C53" s="4" t="e">
        <f>+C50/C51</f>
        <v>#N/A</v>
      </c>
    </row>
    <row r="54" spans="2:6" x14ac:dyDescent="0.35">
      <c r="B54" s="2" t="s">
        <v>52</v>
      </c>
      <c r="C54" s="8" t="e">
        <f>+C53/C15</f>
        <v>#N/A</v>
      </c>
    </row>
    <row r="56" spans="2:6" x14ac:dyDescent="0.35">
      <c r="B56" s="2" t="s">
        <v>53</v>
      </c>
      <c r="C56" s="7" t="e">
        <f>+C50-C14</f>
        <v>#N/A</v>
      </c>
    </row>
    <row r="58" spans="2:6" x14ac:dyDescent="0.35">
      <c r="B58" s="2" t="s">
        <v>10</v>
      </c>
      <c r="C58" s="2" t="e">
        <f>+Portada!CZ18</f>
        <v>#N/A</v>
      </c>
      <c r="E58" s="7" t="e">
        <f>+C58</f>
        <v>#N/A</v>
      </c>
      <c r="F58" s="2" t="e">
        <f>+VLOOKUP(E58,$E$34:$F$40,2,FALSE)</f>
        <v>#N/A</v>
      </c>
    </row>
    <row r="59" spans="2:6" x14ac:dyDescent="0.35">
      <c r="B59" s="2" t="s">
        <v>15</v>
      </c>
      <c r="C59" s="9" t="e">
        <f>+HLOOKUP(C58,'2.VF'!$H$2:$N$3,2,FALSE)</f>
        <v>#N/A</v>
      </c>
      <c r="E59" s="2" t="s">
        <v>5</v>
      </c>
      <c r="F59" s="2">
        <v>7</v>
      </c>
    </row>
    <row r="60" spans="2:6" x14ac:dyDescent="0.35">
      <c r="B60" s="2" t="s">
        <v>14</v>
      </c>
      <c r="C60" s="8" t="e">
        <f>(1+$C$59)^(1/12)-1</f>
        <v>#N/A</v>
      </c>
      <c r="E60" s="2" t="s">
        <v>6</v>
      </c>
      <c r="F60" s="2">
        <v>8</v>
      </c>
    </row>
    <row r="61" spans="2:6" x14ac:dyDescent="0.35">
      <c r="B61" s="2" t="s">
        <v>57</v>
      </c>
      <c r="C61" s="2">
        <f>+C11</f>
        <v>0</v>
      </c>
      <c r="E61" s="2" t="s">
        <v>7</v>
      </c>
      <c r="F61" s="2">
        <v>9</v>
      </c>
    </row>
    <row r="62" spans="2:6" x14ac:dyDescent="0.35">
      <c r="B62" s="2" t="s">
        <v>13</v>
      </c>
      <c r="C62" s="2">
        <f>+C61*12</f>
        <v>0</v>
      </c>
      <c r="E62" s="2" t="s">
        <v>8</v>
      </c>
      <c r="F62" s="2">
        <v>10</v>
      </c>
    </row>
    <row r="63" spans="2:6" x14ac:dyDescent="0.35">
      <c r="B63" s="2" t="s">
        <v>59</v>
      </c>
      <c r="C63" s="10">
        <f>IFERROR((PMT($C$60,C62,0,C56)),0)</f>
        <v>0</v>
      </c>
      <c r="E63" s="2" t="s">
        <v>9</v>
      </c>
      <c r="F63" s="2">
        <v>11</v>
      </c>
    </row>
    <row r="64" spans="2:6" x14ac:dyDescent="0.35">
      <c r="E64" s="2" t="s">
        <v>26</v>
      </c>
      <c r="F64" s="2">
        <v>7</v>
      </c>
    </row>
  </sheetData>
  <phoneticPr fontId="5"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07A3-AA8F-4ADB-95FB-90C6AFB04EDC}">
  <sheetPr codeName="Hoja6"/>
  <dimension ref="A1:N42"/>
  <sheetViews>
    <sheetView zoomScale="115" zoomScaleNormal="115" workbookViewId="0">
      <selection activeCell="A17" sqref="A17:XFD17"/>
    </sheetView>
  </sheetViews>
  <sheetFormatPr baseColWidth="10" defaultColWidth="11.453125" defaultRowHeight="14.5" x14ac:dyDescent="0.35"/>
  <cols>
    <col min="1" max="1" width="5.7265625" style="2" bestFit="1" customWidth="1"/>
    <col min="2" max="2" width="6.7265625" style="2" bestFit="1" customWidth="1"/>
    <col min="3" max="3" width="16.7265625" style="2" bestFit="1" customWidth="1"/>
    <col min="4" max="4" width="8.54296875" style="2" bestFit="1" customWidth="1"/>
    <col min="5" max="5" width="12.26953125" style="2" bestFit="1" customWidth="1"/>
    <col min="6" max="6" width="11.1796875" style="2" bestFit="1" customWidth="1"/>
    <col min="7" max="7" width="12.81640625" style="2" customWidth="1"/>
    <col min="8" max="8" width="10.26953125" style="2" bestFit="1" customWidth="1"/>
    <col min="9" max="9" width="12.81640625" style="2" customWidth="1"/>
    <col min="10" max="10" width="16.7265625" style="14" bestFit="1" customWidth="1"/>
    <col min="11" max="11" width="12.26953125" style="2" bestFit="1" customWidth="1"/>
    <col min="12" max="12" width="12.26953125" style="2" customWidth="1"/>
    <col min="13" max="13" width="11.7265625" style="2" bestFit="1" customWidth="1"/>
    <col min="14" max="14" width="12.26953125" style="2" bestFit="1" customWidth="1"/>
    <col min="15" max="16384" width="11.453125" style="2"/>
  </cols>
  <sheetData>
    <row r="1" spans="1:14" ht="29" x14ac:dyDescent="0.35">
      <c r="A1" s="6" t="s">
        <v>46</v>
      </c>
      <c r="B1" s="6" t="s">
        <v>13</v>
      </c>
      <c r="C1" s="11" t="s">
        <v>47</v>
      </c>
      <c r="D1" s="11" t="s">
        <v>14</v>
      </c>
      <c r="E1" s="11" t="s">
        <v>15</v>
      </c>
      <c r="F1" s="11" t="s">
        <v>63</v>
      </c>
      <c r="G1" s="11" t="s">
        <v>64</v>
      </c>
      <c r="H1" s="11" t="s">
        <v>65</v>
      </c>
      <c r="I1" s="11" t="s">
        <v>66</v>
      </c>
      <c r="J1" s="11" t="s">
        <v>17</v>
      </c>
      <c r="K1" s="11" t="s">
        <v>18</v>
      </c>
      <c r="L1" s="12" t="s">
        <v>19</v>
      </c>
      <c r="M1" s="12" t="s">
        <v>48</v>
      </c>
      <c r="N1" s="12" t="s">
        <v>49</v>
      </c>
    </row>
    <row r="2" spans="1:14" x14ac:dyDescent="0.35">
      <c r="A2" s="6">
        <v>0</v>
      </c>
      <c r="B2" s="6">
        <v>0</v>
      </c>
      <c r="C2" s="17">
        <f>+Portada!DS19</f>
        <v>0</v>
      </c>
      <c r="D2" s="11">
        <v>0</v>
      </c>
      <c r="E2" s="11">
        <v>0</v>
      </c>
      <c r="F2" s="11">
        <v>0</v>
      </c>
      <c r="G2" s="11">
        <v>0</v>
      </c>
      <c r="H2" s="11">
        <v>0</v>
      </c>
      <c r="I2" s="11">
        <v>0</v>
      </c>
      <c r="J2" s="17">
        <f>+C2</f>
        <v>0</v>
      </c>
      <c r="K2" s="11">
        <v>0</v>
      </c>
      <c r="L2" s="12">
        <v>0</v>
      </c>
      <c r="M2" s="12">
        <v>0</v>
      </c>
      <c r="N2" s="12">
        <v>0</v>
      </c>
    </row>
    <row r="3" spans="1:14" x14ac:dyDescent="0.35">
      <c r="A3" s="13">
        <v>1</v>
      </c>
      <c r="B3" s="2">
        <v>12</v>
      </c>
      <c r="C3" s="14">
        <f>+Portada!$DS$19</f>
        <v>0</v>
      </c>
      <c r="D3" s="9" t="e">
        <f>(1+E3)^(1/12)-1</f>
        <v>#N/A</v>
      </c>
      <c r="E3" s="9" t="e">
        <f>+'Motor I'!$C$59</f>
        <v>#N/A</v>
      </c>
      <c r="F3" s="14">
        <f>+'Motor I'!$C$19*-1</f>
        <v>0</v>
      </c>
      <c r="G3" s="14">
        <v>0</v>
      </c>
      <c r="H3" s="14">
        <v>0</v>
      </c>
      <c r="I3" s="14">
        <f>+F3+G3+H3</f>
        <v>0</v>
      </c>
      <c r="J3" s="14" t="e">
        <f>FV(D3,B3,I3,-C3)</f>
        <v>#N/A</v>
      </c>
      <c r="K3" s="15" t="e">
        <f t="shared" ref="K3:K42" si="0">(C3*D3)</f>
        <v>#N/A</v>
      </c>
      <c r="L3" s="15" t="e">
        <f>(K3*12)</f>
        <v>#N/A</v>
      </c>
      <c r="M3" s="15">
        <f t="shared" ref="M3:M42" si="1">(F3*12)</f>
        <v>0</v>
      </c>
      <c r="N3" s="15" t="e">
        <f>(L3-M3)</f>
        <v>#N/A</v>
      </c>
    </row>
    <row r="4" spans="1:14" x14ac:dyDescent="0.35">
      <c r="A4" s="13">
        <v>2</v>
      </c>
      <c r="B4" s="2">
        <v>12</v>
      </c>
      <c r="C4" s="14" t="e">
        <f>+J3</f>
        <v>#N/A</v>
      </c>
      <c r="D4" s="9" t="e">
        <f t="shared" ref="D4:D42" si="2">(1+E4)^(1/12)-1</f>
        <v>#N/A</v>
      </c>
      <c r="E4" s="9" t="e">
        <f>+'Motor I'!$C$59</f>
        <v>#N/A</v>
      </c>
      <c r="F4" s="14">
        <f>+'Motor I'!$C$19*-1</f>
        <v>0</v>
      </c>
      <c r="G4" s="14">
        <v>0</v>
      </c>
      <c r="H4" s="14">
        <v>0</v>
      </c>
      <c r="I4" s="14">
        <f t="shared" ref="I4:I42" si="3">+F4+G4+H4</f>
        <v>0</v>
      </c>
      <c r="J4" s="14" t="e">
        <f>FV(D4,B4,I4,-C4)</f>
        <v>#N/A</v>
      </c>
      <c r="K4" s="15" t="e">
        <f t="shared" si="0"/>
        <v>#N/A</v>
      </c>
      <c r="L4" s="15" t="e">
        <f t="shared" ref="L4:L42" si="4">(K4*12)</f>
        <v>#N/A</v>
      </c>
      <c r="M4" s="15">
        <f t="shared" si="1"/>
        <v>0</v>
      </c>
      <c r="N4" s="15" t="e">
        <f t="shared" ref="N4:N42" si="5">(L4-M4)</f>
        <v>#N/A</v>
      </c>
    </row>
    <row r="5" spans="1:14" x14ac:dyDescent="0.35">
      <c r="A5" s="13">
        <v>3</v>
      </c>
      <c r="B5" s="2">
        <v>12</v>
      </c>
      <c r="C5" s="14" t="e">
        <f t="shared" ref="C5:C42" si="6">+J4</f>
        <v>#N/A</v>
      </c>
      <c r="D5" s="9" t="e">
        <f t="shared" si="2"/>
        <v>#N/A</v>
      </c>
      <c r="E5" s="9" t="e">
        <f>+'Motor I'!$C$59</f>
        <v>#N/A</v>
      </c>
      <c r="F5" s="14">
        <f>+'Motor I'!$C$19*-1</f>
        <v>0</v>
      </c>
      <c r="G5" s="14">
        <v>0</v>
      </c>
      <c r="H5" s="14">
        <v>0</v>
      </c>
      <c r="I5" s="14">
        <f t="shared" si="3"/>
        <v>0</v>
      </c>
      <c r="J5" s="14" t="e">
        <f t="shared" ref="J5:J41" si="7">FV(D5,B5,I5,-C5)</f>
        <v>#N/A</v>
      </c>
      <c r="K5" s="15" t="e">
        <f t="shared" si="0"/>
        <v>#N/A</v>
      </c>
      <c r="L5" s="15" t="e">
        <f t="shared" si="4"/>
        <v>#N/A</v>
      </c>
      <c r="M5" s="15">
        <f t="shared" si="1"/>
        <v>0</v>
      </c>
      <c r="N5" s="15" t="e">
        <f t="shared" si="5"/>
        <v>#N/A</v>
      </c>
    </row>
    <row r="6" spans="1:14" x14ac:dyDescent="0.35">
      <c r="A6" s="13">
        <v>4</v>
      </c>
      <c r="B6" s="2">
        <v>12</v>
      </c>
      <c r="C6" s="14" t="e">
        <f t="shared" si="6"/>
        <v>#N/A</v>
      </c>
      <c r="D6" s="9" t="e">
        <f t="shared" si="2"/>
        <v>#N/A</v>
      </c>
      <c r="E6" s="9" t="e">
        <f>+'Motor I'!$C$59</f>
        <v>#N/A</v>
      </c>
      <c r="F6" s="14">
        <f>+'Motor I'!$C$19*-1</f>
        <v>0</v>
      </c>
      <c r="G6" s="14">
        <v>0</v>
      </c>
      <c r="H6" s="14">
        <v>0</v>
      </c>
      <c r="I6" s="14">
        <f t="shared" si="3"/>
        <v>0</v>
      </c>
      <c r="J6" s="14" t="e">
        <f t="shared" si="7"/>
        <v>#N/A</v>
      </c>
      <c r="K6" s="15" t="e">
        <f t="shared" si="0"/>
        <v>#N/A</v>
      </c>
      <c r="L6" s="15" t="e">
        <f t="shared" si="4"/>
        <v>#N/A</v>
      </c>
      <c r="M6" s="15">
        <f t="shared" si="1"/>
        <v>0</v>
      </c>
      <c r="N6" s="15" t="e">
        <f t="shared" si="5"/>
        <v>#N/A</v>
      </c>
    </row>
    <row r="7" spans="1:14" x14ac:dyDescent="0.35">
      <c r="A7" s="13">
        <v>5</v>
      </c>
      <c r="B7" s="2">
        <v>12</v>
      </c>
      <c r="C7" s="14" t="e">
        <f t="shared" si="6"/>
        <v>#N/A</v>
      </c>
      <c r="D7" s="9" t="e">
        <f t="shared" si="2"/>
        <v>#N/A</v>
      </c>
      <c r="E7" s="9" t="e">
        <f>+'Motor I'!$C$59</f>
        <v>#N/A</v>
      </c>
      <c r="F7" s="14">
        <f>+'Motor I'!$C$19*-1</f>
        <v>0</v>
      </c>
      <c r="G7" s="14">
        <v>0</v>
      </c>
      <c r="H7" s="14">
        <v>0</v>
      </c>
      <c r="I7" s="14">
        <f t="shared" si="3"/>
        <v>0</v>
      </c>
      <c r="J7" s="14" t="e">
        <f t="shared" si="7"/>
        <v>#N/A</v>
      </c>
      <c r="K7" s="15" t="e">
        <f t="shared" si="0"/>
        <v>#N/A</v>
      </c>
      <c r="L7" s="15" t="e">
        <f t="shared" si="4"/>
        <v>#N/A</v>
      </c>
      <c r="M7" s="15">
        <f t="shared" si="1"/>
        <v>0</v>
      </c>
      <c r="N7" s="15" t="e">
        <f t="shared" si="5"/>
        <v>#N/A</v>
      </c>
    </row>
    <row r="8" spans="1:14" x14ac:dyDescent="0.35">
      <c r="A8" s="13">
        <v>6</v>
      </c>
      <c r="B8" s="2">
        <v>12</v>
      </c>
      <c r="C8" s="14" t="e">
        <f t="shared" si="6"/>
        <v>#N/A</v>
      </c>
      <c r="D8" s="9" t="e">
        <f t="shared" si="2"/>
        <v>#N/A</v>
      </c>
      <c r="E8" s="9" t="e">
        <f>+'Motor I'!$C$59</f>
        <v>#N/A</v>
      </c>
      <c r="F8" s="14">
        <f>+'Motor I'!$C$19*-1</f>
        <v>0</v>
      </c>
      <c r="G8" s="14">
        <v>0</v>
      </c>
      <c r="H8" s="14">
        <v>0</v>
      </c>
      <c r="I8" s="14">
        <f t="shared" si="3"/>
        <v>0</v>
      </c>
      <c r="J8" s="14" t="e">
        <f t="shared" si="7"/>
        <v>#N/A</v>
      </c>
      <c r="K8" s="15" t="e">
        <f t="shared" si="0"/>
        <v>#N/A</v>
      </c>
      <c r="L8" s="15" t="e">
        <f t="shared" si="4"/>
        <v>#N/A</v>
      </c>
      <c r="M8" s="15">
        <f t="shared" si="1"/>
        <v>0</v>
      </c>
      <c r="N8" s="15" t="e">
        <f t="shared" si="5"/>
        <v>#N/A</v>
      </c>
    </row>
    <row r="9" spans="1:14" x14ac:dyDescent="0.35">
      <c r="A9" s="13">
        <v>7</v>
      </c>
      <c r="B9" s="2">
        <v>12</v>
      </c>
      <c r="C9" s="14" t="e">
        <f t="shared" si="6"/>
        <v>#N/A</v>
      </c>
      <c r="D9" s="9" t="e">
        <f t="shared" si="2"/>
        <v>#N/A</v>
      </c>
      <c r="E9" s="9" t="e">
        <f>+'Motor I'!$C$59</f>
        <v>#N/A</v>
      </c>
      <c r="F9" s="14">
        <f>+'Motor I'!$C$19*-1</f>
        <v>0</v>
      </c>
      <c r="G9" s="14">
        <v>0</v>
      </c>
      <c r="H9" s="14">
        <v>0</v>
      </c>
      <c r="I9" s="14">
        <f t="shared" si="3"/>
        <v>0</v>
      </c>
      <c r="J9" s="14" t="e">
        <f t="shared" si="7"/>
        <v>#N/A</v>
      </c>
      <c r="K9" s="15" t="e">
        <f t="shared" si="0"/>
        <v>#N/A</v>
      </c>
      <c r="L9" s="15" t="e">
        <f t="shared" si="4"/>
        <v>#N/A</v>
      </c>
      <c r="M9" s="15">
        <f t="shared" si="1"/>
        <v>0</v>
      </c>
      <c r="N9" s="15" t="e">
        <f t="shared" si="5"/>
        <v>#N/A</v>
      </c>
    </row>
    <row r="10" spans="1:14" x14ac:dyDescent="0.35">
      <c r="A10" s="13">
        <v>8</v>
      </c>
      <c r="B10" s="2">
        <v>12</v>
      </c>
      <c r="C10" s="14" t="e">
        <f t="shared" si="6"/>
        <v>#N/A</v>
      </c>
      <c r="D10" s="9" t="e">
        <f t="shared" si="2"/>
        <v>#N/A</v>
      </c>
      <c r="E10" s="9" t="e">
        <f>+'Motor I'!$C$59</f>
        <v>#N/A</v>
      </c>
      <c r="F10" s="14">
        <f>+'Motor I'!$C$19*-1</f>
        <v>0</v>
      </c>
      <c r="G10" s="14">
        <v>0</v>
      </c>
      <c r="H10" s="14">
        <v>0</v>
      </c>
      <c r="I10" s="14">
        <f t="shared" si="3"/>
        <v>0</v>
      </c>
      <c r="J10" s="14" t="e">
        <f t="shared" si="7"/>
        <v>#N/A</v>
      </c>
      <c r="K10" s="15" t="e">
        <f t="shared" si="0"/>
        <v>#N/A</v>
      </c>
      <c r="L10" s="15" t="e">
        <f t="shared" si="4"/>
        <v>#N/A</v>
      </c>
      <c r="M10" s="15">
        <f t="shared" si="1"/>
        <v>0</v>
      </c>
      <c r="N10" s="15" t="e">
        <f t="shared" si="5"/>
        <v>#N/A</v>
      </c>
    </row>
    <row r="11" spans="1:14" x14ac:dyDescent="0.35">
      <c r="A11" s="13">
        <v>9</v>
      </c>
      <c r="B11" s="2">
        <v>12</v>
      </c>
      <c r="C11" s="14" t="e">
        <f t="shared" si="6"/>
        <v>#N/A</v>
      </c>
      <c r="D11" s="9" t="e">
        <f t="shared" si="2"/>
        <v>#N/A</v>
      </c>
      <c r="E11" s="9" t="e">
        <f>+'Motor I'!$C$59</f>
        <v>#N/A</v>
      </c>
      <c r="F11" s="14">
        <f>+'Motor I'!$C$19*-1</f>
        <v>0</v>
      </c>
      <c r="G11" s="14">
        <v>0</v>
      </c>
      <c r="H11" s="14">
        <v>0</v>
      </c>
      <c r="I11" s="14">
        <f t="shared" si="3"/>
        <v>0</v>
      </c>
      <c r="J11" s="14" t="e">
        <f t="shared" si="7"/>
        <v>#N/A</v>
      </c>
      <c r="K11" s="15" t="e">
        <f t="shared" si="0"/>
        <v>#N/A</v>
      </c>
      <c r="L11" s="15" t="e">
        <f t="shared" si="4"/>
        <v>#N/A</v>
      </c>
      <c r="M11" s="15">
        <f t="shared" si="1"/>
        <v>0</v>
      </c>
      <c r="N11" s="15" t="e">
        <f t="shared" si="5"/>
        <v>#N/A</v>
      </c>
    </row>
    <row r="12" spans="1:14" x14ac:dyDescent="0.35">
      <c r="A12" s="13">
        <v>10</v>
      </c>
      <c r="B12" s="2">
        <v>12</v>
      </c>
      <c r="C12" s="14" t="e">
        <f t="shared" si="6"/>
        <v>#N/A</v>
      </c>
      <c r="D12" s="9" t="e">
        <f t="shared" si="2"/>
        <v>#N/A</v>
      </c>
      <c r="E12" s="9" t="e">
        <f>+'Motor I'!$C$59</f>
        <v>#N/A</v>
      </c>
      <c r="F12" s="14">
        <f>+'Motor I'!$C$19*-1</f>
        <v>0</v>
      </c>
      <c r="G12" s="14">
        <v>0</v>
      </c>
      <c r="H12" s="14">
        <v>0</v>
      </c>
      <c r="I12" s="14">
        <f t="shared" si="3"/>
        <v>0</v>
      </c>
      <c r="J12" s="14" t="e">
        <f t="shared" si="7"/>
        <v>#N/A</v>
      </c>
      <c r="K12" s="15" t="e">
        <f t="shared" si="0"/>
        <v>#N/A</v>
      </c>
      <c r="L12" s="15" t="e">
        <f t="shared" si="4"/>
        <v>#N/A</v>
      </c>
      <c r="M12" s="15">
        <f t="shared" si="1"/>
        <v>0</v>
      </c>
      <c r="N12" s="15" t="e">
        <f t="shared" si="5"/>
        <v>#N/A</v>
      </c>
    </row>
    <row r="13" spans="1:14" x14ac:dyDescent="0.35">
      <c r="A13" s="13">
        <v>11</v>
      </c>
      <c r="B13" s="2">
        <v>12</v>
      </c>
      <c r="C13" s="14" t="e">
        <f t="shared" si="6"/>
        <v>#N/A</v>
      </c>
      <c r="D13" s="9" t="e">
        <f t="shared" si="2"/>
        <v>#N/A</v>
      </c>
      <c r="E13" s="9" t="e">
        <f>+'Motor I'!$C$59</f>
        <v>#N/A</v>
      </c>
      <c r="F13" s="14">
        <f>+'Motor I'!$C$19*-1</f>
        <v>0</v>
      </c>
      <c r="G13" s="14">
        <v>0</v>
      </c>
      <c r="H13" s="14">
        <v>0</v>
      </c>
      <c r="I13" s="14">
        <f t="shared" si="3"/>
        <v>0</v>
      </c>
      <c r="J13" s="14" t="e">
        <f t="shared" si="7"/>
        <v>#N/A</v>
      </c>
      <c r="K13" s="15" t="e">
        <f t="shared" si="0"/>
        <v>#N/A</v>
      </c>
      <c r="L13" s="15" t="e">
        <f t="shared" si="4"/>
        <v>#N/A</v>
      </c>
      <c r="M13" s="15">
        <f t="shared" si="1"/>
        <v>0</v>
      </c>
      <c r="N13" s="15" t="e">
        <f t="shared" si="5"/>
        <v>#N/A</v>
      </c>
    </row>
    <row r="14" spans="1:14" x14ac:dyDescent="0.35">
      <c r="A14" s="13">
        <v>12</v>
      </c>
      <c r="B14" s="2">
        <v>12</v>
      </c>
      <c r="C14" s="14" t="e">
        <f t="shared" si="6"/>
        <v>#N/A</v>
      </c>
      <c r="D14" s="9" t="e">
        <f t="shared" si="2"/>
        <v>#N/A</v>
      </c>
      <c r="E14" s="9" t="e">
        <f>+'Motor I'!$C$59</f>
        <v>#N/A</v>
      </c>
      <c r="F14" s="14">
        <f>+'Motor I'!$C$19*-1</f>
        <v>0</v>
      </c>
      <c r="G14" s="14">
        <v>0</v>
      </c>
      <c r="H14" s="14">
        <v>0</v>
      </c>
      <c r="I14" s="14">
        <f t="shared" si="3"/>
        <v>0</v>
      </c>
      <c r="J14" s="14" t="e">
        <f t="shared" si="7"/>
        <v>#N/A</v>
      </c>
      <c r="K14" s="15" t="e">
        <f t="shared" si="0"/>
        <v>#N/A</v>
      </c>
      <c r="L14" s="15" t="e">
        <f t="shared" si="4"/>
        <v>#N/A</v>
      </c>
      <c r="M14" s="15">
        <f t="shared" si="1"/>
        <v>0</v>
      </c>
      <c r="N14" s="15" t="e">
        <f t="shared" si="5"/>
        <v>#N/A</v>
      </c>
    </row>
    <row r="15" spans="1:14" x14ac:dyDescent="0.35">
      <c r="A15" s="13">
        <v>13</v>
      </c>
      <c r="B15" s="2">
        <v>12</v>
      </c>
      <c r="C15" s="14" t="e">
        <f t="shared" si="6"/>
        <v>#N/A</v>
      </c>
      <c r="D15" s="9" t="e">
        <f t="shared" si="2"/>
        <v>#N/A</v>
      </c>
      <c r="E15" s="9" t="e">
        <f>+'Motor I'!$C$59</f>
        <v>#N/A</v>
      </c>
      <c r="F15" s="14">
        <f>+'Motor I'!$C$19*-1</f>
        <v>0</v>
      </c>
      <c r="G15" s="14">
        <v>0</v>
      </c>
      <c r="H15" s="14">
        <v>0</v>
      </c>
      <c r="I15" s="14">
        <f t="shared" si="3"/>
        <v>0</v>
      </c>
      <c r="J15" s="14" t="e">
        <f t="shared" si="7"/>
        <v>#N/A</v>
      </c>
      <c r="K15" s="15" t="e">
        <f t="shared" si="0"/>
        <v>#N/A</v>
      </c>
      <c r="L15" s="15" t="e">
        <f t="shared" si="4"/>
        <v>#N/A</v>
      </c>
      <c r="M15" s="15">
        <f t="shared" si="1"/>
        <v>0</v>
      </c>
      <c r="N15" s="15" t="e">
        <f t="shared" si="5"/>
        <v>#N/A</v>
      </c>
    </row>
    <row r="16" spans="1:14" x14ac:dyDescent="0.35">
      <c r="A16" s="13">
        <v>14</v>
      </c>
      <c r="B16" s="2">
        <v>12</v>
      </c>
      <c r="C16" s="14" t="e">
        <f t="shared" si="6"/>
        <v>#N/A</v>
      </c>
      <c r="D16" s="9" t="e">
        <f t="shared" si="2"/>
        <v>#N/A</v>
      </c>
      <c r="E16" s="9" t="e">
        <f>+'Motor I'!$C$59</f>
        <v>#N/A</v>
      </c>
      <c r="F16" s="14">
        <f>+'Motor I'!$C$19*-1</f>
        <v>0</v>
      </c>
      <c r="G16" s="14">
        <v>0</v>
      </c>
      <c r="H16" s="14">
        <v>0</v>
      </c>
      <c r="I16" s="14">
        <f t="shared" si="3"/>
        <v>0</v>
      </c>
      <c r="J16" s="14" t="e">
        <f t="shared" si="7"/>
        <v>#N/A</v>
      </c>
      <c r="K16" s="15" t="e">
        <f t="shared" si="0"/>
        <v>#N/A</v>
      </c>
      <c r="L16" s="15" t="e">
        <f t="shared" si="4"/>
        <v>#N/A</v>
      </c>
      <c r="M16" s="15">
        <f t="shared" si="1"/>
        <v>0</v>
      </c>
      <c r="N16" s="15" t="e">
        <f t="shared" si="5"/>
        <v>#N/A</v>
      </c>
    </row>
    <row r="17" spans="1:14" x14ac:dyDescent="0.35">
      <c r="A17" s="13">
        <v>15</v>
      </c>
      <c r="B17" s="2">
        <v>12</v>
      </c>
      <c r="C17" s="14" t="e">
        <f t="shared" si="6"/>
        <v>#N/A</v>
      </c>
      <c r="D17" s="9" t="e">
        <f t="shared" si="2"/>
        <v>#N/A</v>
      </c>
      <c r="E17" s="9" t="e">
        <f>+'Motor I'!$C$59</f>
        <v>#N/A</v>
      </c>
      <c r="F17" s="14">
        <f>+'Motor I'!$C$19*-1</f>
        <v>0</v>
      </c>
      <c r="G17" s="14">
        <v>0</v>
      </c>
      <c r="H17" s="14">
        <v>0</v>
      </c>
      <c r="I17" s="14">
        <f t="shared" si="3"/>
        <v>0</v>
      </c>
      <c r="J17" s="14" t="e">
        <f t="shared" si="7"/>
        <v>#N/A</v>
      </c>
      <c r="K17" s="15" t="e">
        <f t="shared" si="0"/>
        <v>#N/A</v>
      </c>
      <c r="L17" s="15" t="e">
        <f t="shared" si="4"/>
        <v>#N/A</v>
      </c>
      <c r="M17" s="15">
        <f t="shared" si="1"/>
        <v>0</v>
      </c>
      <c r="N17" s="15" t="e">
        <f t="shared" si="5"/>
        <v>#N/A</v>
      </c>
    </row>
    <row r="18" spans="1:14" x14ac:dyDescent="0.35">
      <c r="A18" s="13">
        <v>16</v>
      </c>
      <c r="B18" s="2">
        <v>12</v>
      </c>
      <c r="C18" s="14" t="e">
        <f t="shared" si="6"/>
        <v>#N/A</v>
      </c>
      <c r="D18" s="9" t="e">
        <f t="shared" si="2"/>
        <v>#N/A</v>
      </c>
      <c r="E18" s="9" t="e">
        <f>+'Motor I'!$C$59</f>
        <v>#N/A</v>
      </c>
      <c r="F18" s="14">
        <f>+'Motor I'!$C$19*-1</f>
        <v>0</v>
      </c>
      <c r="G18" s="14">
        <v>0</v>
      </c>
      <c r="H18" s="14">
        <v>0</v>
      </c>
      <c r="I18" s="14">
        <f t="shared" si="3"/>
        <v>0</v>
      </c>
      <c r="J18" s="14" t="e">
        <f t="shared" si="7"/>
        <v>#N/A</v>
      </c>
      <c r="K18" s="15" t="e">
        <f t="shared" si="0"/>
        <v>#N/A</v>
      </c>
      <c r="L18" s="15" t="e">
        <f t="shared" si="4"/>
        <v>#N/A</v>
      </c>
      <c r="M18" s="15">
        <f t="shared" si="1"/>
        <v>0</v>
      </c>
      <c r="N18" s="15" t="e">
        <f t="shared" si="5"/>
        <v>#N/A</v>
      </c>
    </row>
    <row r="19" spans="1:14" x14ac:dyDescent="0.35">
      <c r="A19" s="13">
        <v>17</v>
      </c>
      <c r="B19" s="2">
        <v>12</v>
      </c>
      <c r="C19" s="14" t="e">
        <f t="shared" si="6"/>
        <v>#N/A</v>
      </c>
      <c r="D19" s="9" t="e">
        <f t="shared" si="2"/>
        <v>#N/A</v>
      </c>
      <c r="E19" s="9" t="e">
        <f>+'Motor I'!$C$59</f>
        <v>#N/A</v>
      </c>
      <c r="F19" s="14">
        <f>+'Motor I'!$C$19*-1</f>
        <v>0</v>
      </c>
      <c r="G19" s="14">
        <v>0</v>
      </c>
      <c r="H19" s="14">
        <v>0</v>
      </c>
      <c r="I19" s="14">
        <f t="shared" si="3"/>
        <v>0</v>
      </c>
      <c r="J19" s="14" t="e">
        <f t="shared" si="7"/>
        <v>#N/A</v>
      </c>
      <c r="K19" s="15" t="e">
        <f t="shared" si="0"/>
        <v>#N/A</v>
      </c>
      <c r="L19" s="15" t="e">
        <f t="shared" si="4"/>
        <v>#N/A</v>
      </c>
      <c r="M19" s="15">
        <f t="shared" si="1"/>
        <v>0</v>
      </c>
      <c r="N19" s="15" t="e">
        <f t="shared" si="5"/>
        <v>#N/A</v>
      </c>
    </row>
    <row r="20" spans="1:14" x14ac:dyDescent="0.35">
      <c r="A20" s="13">
        <v>18</v>
      </c>
      <c r="B20" s="2">
        <v>12</v>
      </c>
      <c r="C20" s="14" t="e">
        <f t="shared" si="6"/>
        <v>#N/A</v>
      </c>
      <c r="D20" s="9" t="e">
        <f t="shared" si="2"/>
        <v>#N/A</v>
      </c>
      <c r="E20" s="9" t="e">
        <f>+'Motor I'!$C$59</f>
        <v>#N/A</v>
      </c>
      <c r="F20" s="14">
        <f>+'Motor I'!$C$19*-1</f>
        <v>0</v>
      </c>
      <c r="G20" s="14">
        <v>0</v>
      </c>
      <c r="H20" s="14">
        <v>0</v>
      </c>
      <c r="I20" s="14">
        <f t="shared" si="3"/>
        <v>0</v>
      </c>
      <c r="J20" s="14" t="e">
        <f t="shared" si="7"/>
        <v>#N/A</v>
      </c>
      <c r="K20" s="15" t="e">
        <f t="shared" si="0"/>
        <v>#N/A</v>
      </c>
      <c r="L20" s="15" t="e">
        <f t="shared" si="4"/>
        <v>#N/A</v>
      </c>
      <c r="M20" s="15">
        <f t="shared" si="1"/>
        <v>0</v>
      </c>
      <c r="N20" s="15" t="e">
        <f t="shared" si="5"/>
        <v>#N/A</v>
      </c>
    </row>
    <row r="21" spans="1:14" x14ac:dyDescent="0.35">
      <c r="A21" s="13">
        <v>19</v>
      </c>
      <c r="B21" s="2">
        <v>12</v>
      </c>
      <c r="C21" s="14" t="e">
        <f t="shared" si="6"/>
        <v>#N/A</v>
      </c>
      <c r="D21" s="9" t="e">
        <f t="shared" si="2"/>
        <v>#N/A</v>
      </c>
      <c r="E21" s="9" t="e">
        <f>+'Motor I'!$C$59</f>
        <v>#N/A</v>
      </c>
      <c r="F21" s="14">
        <f>+'Motor I'!$C$19*-1</f>
        <v>0</v>
      </c>
      <c r="G21" s="14">
        <v>0</v>
      </c>
      <c r="H21" s="14">
        <v>0</v>
      </c>
      <c r="I21" s="14">
        <f t="shared" si="3"/>
        <v>0</v>
      </c>
      <c r="J21" s="14" t="e">
        <f t="shared" si="7"/>
        <v>#N/A</v>
      </c>
      <c r="K21" s="15" t="e">
        <f t="shared" si="0"/>
        <v>#N/A</v>
      </c>
      <c r="L21" s="15" t="e">
        <f t="shared" si="4"/>
        <v>#N/A</v>
      </c>
      <c r="M21" s="15">
        <f t="shared" si="1"/>
        <v>0</v>
      </c>
      <c r="N21" s="15" t="e">
        <f t="shared" si="5"/>
        <v>#N/A</v>
      </c>
    </row>
    <row r="22" spans="1:14" x14ac:dyDescent="0.35">
      <c r="A22" s="13">
        <v>20</v>
      </c>
      <c r="B22" s="2">
        <v>12</v>
      </c>
      <c r="C22" s="14" t="e">
        <f t="shared" si="6"/>
        <v>#N/A</v>
      </c>
      <c r="D22" s="9" t="e">
        <f t="shared" si="2"/>
        <v>#N/A</v>
      </c>
      <c r="E22" s="9" t="e">
        <f>+'Motor I'!$C$59</f>
        <v>#N/A</v>
      </c>
      <c r="F22" s="14">
        <f>+'Motor I'!$C$19*-1</f>
        <v>0</v>
      </c>
      <c r="G22" s="14">
        <v>0</v>
      </c>
      <c r="H22" s="14">
        <v>0</v>
      </c>
      <c r="I22" s="14">
        <f t="shared" si="3"/>
        <v>0</v>
      </c>
      <c r="J22" s="14" t="e">
        <f t="shared" si="7"/>
        <v>#N/A</v>
      </c>
      <c r="K22" s="15" t="e">
        <f t="shared" si="0"/>
        <v>#N/A</v>
      </c>
      <c r="L22" s="15" t="e">
        <f t="shared" si="4"/>
        <v>#N/A</v>
      </c>
      <c r="M22" s="15">
        <f t="shared" si="1"/>
        <v>0</v>
      </c>
      <c r="N22" s="15" t="e">
        <f t="shared" si="5"/>
        <v>#N/A</v>
      </c>
    </row>
    <row r="23" spans="1:14" x14ac:dyDescent="0.35">
      <c r="A23" s="13">
        <v>21</v>
      </c>
      <c r="B23" s="2">
        <v>12</v>
      </c>
      <c r="C23" s="14" t="e">
        <f t="shared" si="6"/>
        <v>#N/A</v>
      </c>
      <c r="D23" s="9" t="e">
        <f t="shared" si="2"/>
        <v>#N/A</v>
      </c>
      <c r="E23" s="9" t="e">
        <f>+'Motor I'!$C$59</f>
        <v>#N/A</v>
      </c>
      <c r="F23" s="14">
        <f>+'Motor I'!$C$19*-1</f>
        <v>0</v>
      </c>
      <c r="G23" s="14">
        <v>0</v>
      </c>
      <c r="H23" s="14">
        <v>0</v>
      </c>
      <c r="I23" s="14">
        <f t="shared" si="3"/>
        <v>0</v>
      </c>
      <c r="J23" s="14" t="e">
        <f t="shared" si="7"/>
        <v>#N/A</v>
      </c>
      <c r="K23" s="15" t="e">
        <f t="shared" si="0"/>
        <v>#N/A</v>
      </c>
      <c r="L23" s="15" t="e">
        <f t="shared" si="4"/>
        <v>#N/A</v>
      </c>
      <c r="M23" s="15">
        <f t="shared" si="1"/>
        <v>0</v>
      </c>
      <c r="N23" s="15" t="e">
        <f t="shared" si="5"/>
        <v>#N/A</v>
      </c>
    </row>
    <row r="24" spans="1:14" x14ac:dyDescent="0.35">
      <c r="A24" s="13">
        <v>22</v>
      </c>
      <c r="B24" s="2">
        <v>12</v>
      </c>
      <c r="C24" s="14" t="e">
        <f t="shared" si="6"/>
        <v>#N/A</v>
      </c>
      <c r="D24" s="9" t="e">
        <f t="shared" si="2"/>
        <v>#N/A</v>
      </c>
      <c r="E24" s="9" t="e">
        <f>+'Motor I'!$C$59</f>
        <v>#N/A</v>
      </c>
      <c r="F24" s="14">
        <f>+'Motor I'!$C$19*-1</f>
        <v>0</v>
      </c>
      <c r="G24" s="14">
        <v>0</v>
      </c>
      <c r="H24" s="14">
        <v>0</v>
      </c>
      <c r="I24" s="14">
        <f t="shared" si="3"/>
        <v>0</v>
      </c>
      <c r="J24" s="14" t="e">
        <f t="shared" si="7"/>
        <v>#N/A</v>
      </c>
      <c r="K24" s="15" t="e">
        <f t="shared" si="0"/>
        <v>#N/A</v>
      </c>
      <c r="L24" s="15" t="e">
        <f t="shared" si="4"/>
        <v>#N/A</v>
      </c>
      <c r="M24" s="15">
        <f t="shared" si="1"/>
        <v>0</v>
      </c>
      <c r="N24" s="15" t="e">
        <f t="shared" si="5"/>
        <v>#N/A</v>
      </c>
    </row>
    <row r="25" spans="1:14" x14ac:dyDescent="0.35">
      <c r="A25" s="13">
        <v>23</v>
      </c>
      <c r="B25" s="2">
        <v>12</v>
      </c>
      <c r="C25" s="14" t="e">
        <f t="shared" si="6"/>
        <v>#N/A</v>
      </c>
      <c r="D25" s="9" t="e">
        <f t="shared" si="2"/>
        <v>#N/A</v>
      </c>
      <c r="E25" s="9" t="e">
        <f>+'Motor I'!$C$59</f>
        <v>#N/A</v>
      </c>
      <c r="F25" s="14">
        <f>+'Motor I'!$C$19*-1</f>
        <v>0</v>
      </c>
      <c r="G25" s="14">
        <v>0</v>
      </c>
      <c r="H25" s="14">
        <v>0</v>
      </c>
      <c r="I25" s="14">
        <f t="shared" si="3"/>
        <v>0</v>
      </c>
      <c r="J25" s="14" t="e">
        <f t="shared" si="7"/>
        <v>#N/A</v>
      </c>
      <c r="K25" s="15" t="e">
        <f t="shared" si="0"/>
        <v>#N/A</v>
      </c>
      <c r="L25" s="15" t="e">
        <f t="shared" si="4"/>
        <v>#N/A</v>
      </c>
      <c r="M25" s="15">
        <f t="shared" si="1"/>
        <v>0</v>
      </c>
      <c r="N25" s="15" t="e">
        <f t="shared" si="5"/>
        <v>#N/A</v>
      </c>
    </row>
    <row r="26" spans="1:14" x14ac:dyDescent="0.35">
      <c r="A26" s="13">
        <v>24</v>
      </c>
      <c r="B26" s="2">
        <v>12</v>
      </c>
      <c r="C26" s="14" t="e">
        <f t="shared" si="6"/>
        <v>#N/A</v>
      </c>
      <c r="D26" s="9" t="e">
        <f t="shared" si="2"/>
        <v>#N/A</v>
      </c>
      <c r="E26" s="9" t="e">
        <f>+'Motor I'!$C$59</f>
        <v>#N/A</v>
      </c>
      <c r="F26" s="14">
        <f>+'Motor I'!$C$19*-1</f>
        <v>0</v>
      </c>
      <c r="G26" s="14">
        <v>0</v>
      </c>
      <c r="H26" s="14">
        <v>0</v>
      </c>
      <c r="I26" s="14">
        <f t="shared" si="3"/>
        <v>0</v>
      </c>
      <c r="J26" s="14" t="e">
        <f t="shared" si="7"/>
        <v>#N/A</v>
      </c>
      <c r="K26" s="15" t="e">
        <f t="shared" si="0"/>
        <v>#N/A</v>
      </c>
      <c r="L26" s="15" t="e">
        <f t="shared" si="4"/>
        <v>#N/A</v>
      </c>
      <c r="M26" s="15">
        <f t="shared" si="1"/>
        <v>0</v>
      </c>
      <c r="N26" s="15" t="e">
        <f t="shared" si="5"/>
        <v>#N/A</v>
      </c>
    </row>
    <row r="27" spans="1:14" x14ac:dyDescent="0.35">
      <c r="A27" s="13">
        <v>25</v>
      </c>
      <c r="B27" s="2">
        <v>12</v>
      </c>
      <c r="C27" s="14" t="e">
        <f t="shared" si="6"/>
        <v>#N/A</v>
      </c>
      <c r="D27" s="9" t="e">
        <f t="shared" si="2"/>
        <v>#N/A</v>
      </c>
      <c r="E27" s="9" t="e">
        <f>+'Motor I'!$C$59</f>
        <v>#N/A</v>
      </c>
      <c r="F27" s="14">
        <f>+'Motor I'!$C$19*-1</f>
        <v>0</v>
      </c>
      <c r="G27" s="14">
        <v>0</v>
      </c>
      <c r="H27" s="14">
        <v>0</v>
      </c>
      <c r="I27" s="14">
        <f t="shared" si="3"/>
        <v>0</v>
      </c>
      <c r="J27" s="14" t="e">
        <f t="shared" si="7"/>
        <v>#N/A</v>
      </c>
      <c r="K27" s="15" t="e">
        <f t="shared" si="0"/>
        <v>#N/A</v>
      </c>
      <c r="L27" s="15" t="e">
        <f t="shared" si="4"/>
        <v>#N/A</v>
      </c>
      <c r="M27" s="15">
        <f t="shared" si="1"/>
        <v>0</v>
      </c>
      <c r="N27" s="15" t="e">
        <f t="shared" si="5"/>
        <v>#N/A</v>
      </c>
    </row>
    <row r="28" spans="1:14" x14ac:dyDescent="0.35">
      <c r="A28" s="13">
        <v>26</v>
      </c>
      <c r="B28" s="2">
        <v>12</v>
      </c>
      <c r="C28" s="14" t="e">
        <f t="shared" si="6"/>
        <v>#N/A</v>
      </c>
      <c r="D28" s="9" t="e">
        <f t="shared" si="2"/>
        <v>#N/A</v>
      </c>
      <c r="E28" s="9" t="e">
        <f>+'Motor I'!$C$59</f>
        <v>#N/A</v>
      </c>
      <c r="F28" s="14">
        <f>+'Motor I'!$C$19*-1</f>
        <v>0</v>
      </c>
      <c r="G28" s="14">
        <v>0</v>
      </c>
      <c r="H28" s="14">
        <v>0</v>
      </c>
      <c r="I28" s="14">
        <f t="shared" si="3"/>
        <v>0</v>
      </c>
      <c r="J28" s="14" t="e">
        <f t="shared" si="7"/>
        <v>#N/A</v>
      </c>
      <c r="K28" s="15" t="e">
        <f t="shared" si="0"/>
        <v>#N/A</v>
      </c>
      <c r="L28" s="15" t="e">
        <f t="shared" si="4"/>
        <v>#N/A</v>
      </c>
      <c r="M28" s="15">
        <f t="shared" si="1"/>
        <v>0</v>
      </c>
      <c r="N28" s="15" t="e">
        <f t="shared" si="5"/>
        <v>#N/A</v>
      </c>
    </row>
    <row r="29" spans="1:14" x14ac:dyDescent="0.35">
      <c r="A29" s="13">
        <v>27</v>
      </c>
      <c r="B29" s="2">
        <v>12</v>
      </c>
      <c r="C29" s="14" t="e">
        <f t="shared" si="6"/>
        <v>#N/A</v>
      </c>
      <c r="D29" s="9" t="e">
        <f t="shared" si="2"/>
        <v>#N/A</v>
      </c>
      <c r="E29" s="9" t="e">
        <f>+'Motor I'!$C$59</f>
        <v>#N/A</v>
      </c>
      <c r="F29" s="14">
        <f>+'Motor I'!$C$19*-1</f>
        <v>0</v>
      </c>
      <c r="G29" s="14">
        <v>0</v>
      </c>
      <c r="H29" s="14">
        <v>0</v>
      </c>
      <c r="I29" s="14">
        <f t="shared" si="3"/>
        <v>0</v>
      </c>
      <c r="J29" s="14" t="e">
        <f t="shared" si="7"/>
        <v>#N/A</v>
      </c>
      <c r="K29" s="15" t="e">
        <f t="shared" si="0"/>
        <v>#N/A</v>
      </c>
      <c r="L29" s="15" t="e">
        <f t="shared" si="4"/>
        <v>#N/A</v>
      </c>
      <c r="M29" s="15">
        <f t="shared" si="1"/>
        <v>0</v>
      </c>
      <c r="N29" s="15" t="e">
        <f t="shared" si="5"/>
        <v>#N/A</v>
      </c>
    </row>
    <row r="30" spans="1:14" x14ac:dyDescent="0.35">
      <c r="A30" s="13">
        <v>28</v>
      </c>
      <c r="B30" s="2">
        <v>12</v>
      </c>
      <c r="C30" s="14" t="e">
        <f t="shared" si="6"/>
        <v>#N/A</v>
      </c>
      <c r="D30" s="9" t="e">
        <f t="shared" si="2"/>
        <v>#N/A</v>
      </c>
      <c r="E30" s="9" t="e">
        <f>+'Motor I'!$C$59</f>
        <v>#N/A</v>
      </c>
      <c r="F30" s="14">
        <f>+'Motor I'!$C$19*-1</f>
        <v>0</v>
      </c>
      <c r="G30" s="14">
        <v>0</v>
      </c>
      <c r="H30" s="14">
        <v>0</v>
      </c>
      <c r="I30" s="14">
        <f t="shared" si="3"/>
        <v>0</v>
      </c>
      <c r="J30" s="14" t="e">
        <f t="shared" si="7"/>
        <v>#N/A</v>
      </c>
      <c r="K30" s="15" t="e">
        <f t="shared" si="0"/>
        <v>#N/A</v>
      </c>
      <c r="L30" s="15" t="e">
        <f t="shared" si="4"/>
        <v>#N/A</v>
      </c>
      <c r="M30" s="15">
        <f t="shared" si="1"/>
        <v>0</v>
      </c>
      <c r="N30" s="15" t="e">
        <f t="shared" si="5"/>
        <v>#N/A</v>
      </c>
    </row>
    <row r="31" spans="1:14" x14ac:dyDescent="0.35">
      <c r="A31" s="13">
        <v>29</v>
      </c>
      <c r="B31" s="2">
        <v>12</v>
      </c>
      <c r="C31" s="14" t="e">
        <f t="shared" si="6"/>
        <v>#N/A</v>
      </c>
      <c r="D31" s="9" t="e">
        <f t="shared" si="2"/>
        <v>#N/A</v>
      </c>
      <c r="E31" s="9" t="e">
        <f>+'Motor I'!$C$59</f>
        <v>#N/A</v>
      </c>
      <c r="F31" s="14">
        <f>+'Motor I'!$C$19*-1</f>
        <v>0</v>
      </c>
      <c r="G31" s="14">
        <v>0</v>
      </c>
      <c r="H31" s="14">
        <v>0</v>
      </c>
      <c r="I31" s="14">
        <f t="shared" si="3"/>
        <v>0</v>
      </c>
      <c r="J31" s="14" t="e">
        <f t="shared" si="7"/>
        <v>#N/A</v>
      </c>
      <c r="K31" s="15" t="e">
        <f t="shared" si="0"/>
        <v>#N/A</v>
      </c>
      <c r="L31" s="15" t="e">
        <f t="shared" si="4"/>
        <v>#N/A</v>
      </c>
      <c r="M31" s="15">
        <f t="shared" si="1"/>
        <v>0</v>
      </c>
      <c r="N31" s="15" t="e">
        <f t="shared" si="5"/>
        <v>#N/A</v>
      </c>
    </row>
    <row r="32" spans="1:14" x14ac:dyDescent="0.35">
      <c r="A32" s="13">
        <v>30</v>
      </c>
      <c r="B32" s="2">
        <v>12</v>
      </c>
      <c r="C32" s="14" t="e">
        <f t="shared" si="6"/>
        <v>#N/A</v>
      </c>
      <c r="D32" s="9" t="e">
        <f t="shared" si="2"/>
        <v>#N/A</v>
      </c>
      <c r="E32" s="9" t="e">
        <f>+'Motor I'!$C$59</f>
        <v>#N/A</v>
      </c>
      <c r="F32" s="14">
        <f>+'Motor I'!$C$19*-1</f>
        <v>0</v>
      </c>
      <c r="G32" s="14">
        <v>0</v>
      </c>
      <c r="H32" s="14">
        <v>0</v>
      </c>
      <c r="I32" s="14">
        <f t="shared" si="3"/>
        <v>0</v>
      </c>
      <c r="J32" s="14" t="e">
        <f t="shared" si="7"/>
        <v>#N/A</v>
      </c>
      <c r="K32" s="15" t="e">
        <f t="shared" si="0"/>
        <v>#N/A</v>
      </c>
      <c r="L32" s="15" t="e">
        <f t="shared" si="4"/>
        <v>#N/A</v>
      </c>
      <c r="M32" s="15">
        <f t="shared" si="1"/>
        <v>0</v>
      </c>
      <c r="N32" s="15" t="e">
        <f t="shared" si="5"/>
        <v>#N/A</v>
      </c>
    </row>
    <row r="33" spans="1:14" x14ac:dyDescent="0.35">
      <c r="A33" s="13">
        <v>31</v>
      </c>
      <c r="B33" s="2">
        <v>12</v>
      </c>
      <c r="C33" s="14" t="e">
        <f t="shared" si="6"/>
        <v>#N/A</v>
      </c>
      <c r="D33" s="9" t="e">
        <f t="shared" si="2"/>
        <v>#N/A</v>
      </c>
      <c r="E33" s="9" t="e">
        <f>+'Motor I'!$C$59</f>
        <v>#N/A</v>
      </c>
      <c r="F33" s="14">
        <f>+'Motor I'!$C$19*-1</f>
        <v>0</v>
      </c>
      <c r="G33" s="14">
        <v>0</v>
      </c>
      <c r="H33" s="14">
        <v>0</v>
      </c>
      <c r="I33" s="14">
        <f t="shared" si="3"/>
        <v>0</v>
      </c>
      <c r="J33" s="14" t="e">
        <f t="shared" si="7"/>
        <v>#N/A</v>
      </c>
      <c r="K33" s="15" t="e">
        <f t="shared" si="0"/>
        <v>#N/A</v>
      </c>
      <c r="L33" s="15" t="e">
        <f t="shared" si="4"/>
        <v>#N/A</v>
      </c>
      <c r="M33" s="15">
        <f t="shared" si="1"/>
        <v>0</v>
      </c>
      <c r="N33" s="15" t="e">
        <f t="shared" si="5"/>
        <v>#N/A</v>
      </c>
    </row>
    <row r="34" spans="1:14" x14ac:dyDescent="0.35">
      <c r="A34" s="13">
        <v>32</v>
      </c>
      <c r="B34" s="2">
        <v>12</v>
      </c>
      <c r="C34" s="14" t="e">
        <f t="shared" si="6"/>
        <v>#N/A</v>
      </c>
      <c r="D34" s="9" t="e">
        <f t="shared" si="2"/>
        <v>#N/A</v>
      </c>
      <c r="E34" s="9" t="e">
        <f>+'Motor I'!$C$59</f>
        <v>#N/A</v>
      </c>
      <c r="F34" s="14">
        <f>+'Motor I'!$C$19*-1</f>
        <v>0</v>
      </c>
      <c r="G34" s="14">
        <v>0</v>
      </c>
      <c r="H34" s="14">
        <v>0</v>
      </c>
      <c r="I34" s="14">
        <f t="shared" si="3"/>
        <v>0</v>
      </c>
      <c r="J34" s="14" t="e">
        <f t="shared" si="7"/>
        <v>#N/A</v>
      </c>
      <c r="K34" s="15" t="e">
        <f t="shared" si="0"/>
        <v>#N/A</v>
      </c>
      <c r="L34" s="15" t="e">
        <f t="shared" si="4"/>
        <v>#N/A</v>
      </c>
      <c r="M34" s="15">
        <f t="shared" si="1"/>
        <v>0</v>
      </c>
      <c r="N34" s="15" t="e">
        <f t="shared" si="5"/>
        <v>#N/A</v>
      </c>
    </row>
    <row r="35" spans="1:14" x14ac:dyDescent="0.35">
      <c r="A35" s="13">
        <v>33</v>
      </c>
      <c r="B35" s="2">
        <v>12</v>
      </c>
      <c r="C35" s="14" t="e">
        <f t="shared" si="6"/>
        <v>#N/A</v>
      </c>
      <c r="D35" s="9" t="e">
        <f t="shared" si="2"/>
        <v>#N/A</v>
      </c>
      <c r="E35" s="9" t="e">
        <f>+'Motor I'!$C$59</f>
        <v>#N/A</v>
      </c>
      <c r="F35" s="14">
        <f>+'Motor I'!$C$19*-1</f>
        <v>0</v>
      </c>
      <c r="G35" s="14">
        <v>0</v>
      </c>
      <c r="H35" s="14">
        <v>0</v>
      </c>
      <c r="I35" s="14">
        <f t="shared" si="3"/>
        <v>0</v>
      </c>
      <c r="J35" s="14" t="e">
        <f t="shared" si="7"/>
        <v>#N/A</v>
      </c>
      <c r="K35" s="15" t="e">
        <f t="shared" si="0"/>
        <v>#N/A</v>
      </c>
      <c r="L35" s="15" t="e">
        <f t="shared" si="4"/>
        <v>#N/A</v>
      </c>
      <c r="M35" s="15">
        <f t="shared" si="1"/>
        <v>0</v>
      </c>
      <c r="N35" s="15" t="e">
        <f t="shared" si="5"/>
        <v>#N/A</v>
      </c>
    </row>
    <row r="36" spans="1:14" x14ac:dyDescent="0.35">
      <c r="A36" s="13">
        <v>34</v>
      </c>
      <c r="B36" s="2">
        <v>12</v>
      </c>
      <c r="C36" s="14" t="e">
        <f t="shared" si="6"/>
        <v>#N/A</v>
      </c>
      <c r="D36" s="9" t="e">
        <f t="shared" si="2"/>
        <v>#N/A</v>
      </c>
      <c r="E36" s="9" t="e">
        <f>+'Motor I'!$C$59</f>
        <v>#N/A</v>
      </c>
      <c r="F36" s="14">
        <f>+'Motor I'!$C$19*-1</f>
        <v>0</v>
      </c>
      <c r="G36" s="14">
        <v>0</v>
      </c>
      <c r="H36" s="14">
        <v>0</v>
      </c>
      <c r="I36" s="14">
        <f t="shared" si="3"/>
        <v>0</v>
      </c>
      <c r="J36" s="14" t="e">
        <f t="shared" si="7"/>
        <v>#N/A</v>
      </c>
      <c r="K36" s="15" t="e">
        <f t="shared" si="0"/>
        <v>#N/A</v>
      </c>
      <c r="L36" s="15" t="e">
        <f t="shared" si="4"/>
        <v>#N/A</v>
      </c>
      <c r="M36" s="15">
        <f t="shared" si="1"/>
        <v>0</v>
      </c>
      <c r="N36" s="15" t="e">
        <f t="shared" si="5"/>
        <v>#N/A</v>
      </c>
    </row>
    <row r="37" spans="1:14" x14ac:dyDescent="0.35">
      <c r="A37" s="13">
        <v>35</v>
      </c>
      <c r="B37" s="2">
        <v>12</v>
      </c>
      <c r="C37" s="14" t="e">
        <f t="shared" si="6"/>
        <v>#N/A</v>
      </c>
      <c r="D37" s="9" t="e">
        <f t="shared" si="2"/>
        <v>#N/A</v>
      </c>
      <c r="E37" s="9" t="e">
        <f>+'Motor I'!$C$59</f>
        <v>#N/A</v>
      </c>
      <c r="F37" s="14">
        <f>+'Motor I'!$C$19*-1</f>
        <v>0</v>
      </c>
      <c r="G37" s="14">
        <v>0</v>
      </c>
      <c r="H37" s="14">
        <v>0</v>
      </c>
      <c r="I37" s="14">
        <f t="shared" si="3"/>
        <v>0</v>
      </c>
      <c r="J37" s="14" t="e">
        <f t="shared" si="7"/>
        <v>#N/A</v>
      </c>
      <c r="K37" s="15" t="e">
        <f t="shared" si="0"/>
        <v>#N/A</v>
      </c>
      <c r="L37" s="15" t="e">
        <f t="shared" si="4"/>
        <v>#N/A</v>
      </c>
      <c r="M37" s="15">
        <f t="shared" si="1"/>
        <v>0</v>
      </c>
      <c r="N37" s="15" t="e">
        <f t="shared" si="5"/>
        <v>#N/A</v>
      </c>
    </row>
    <row r="38" spans="1:14" x14ac:dyDescent="0.35">
      <c r="A38" s="13">
        <v>36</v>
      </c>
      <c r="B38" s="2">
        <v>12</v>
      </c>
      <c r="C38" s="14" t="e">
        <f t="shared" si="6"/>
        <v>#N/A</v>
      </c>
      <c r="D38" s="9" t="e">
        <f t="shared" si="2"/>
        <v>#N/A</v>
      </c>
      <c r="E38" s="9" t="e">
        <f>+'Motor I'!$C$59</f>
        <v>#N/A</v>
      </c>
      <c r="F38" s="14">
        <f>+'Motor I'!$C$19*-1</f>
        <v>0</v>
      </c>
      <c r="G38" s="14">
        <v>0</v>
      </c>
      <c r="H38" s="14">
        <v>0</v>
      </c>
      <c r="I38" s="14">
        <f t="shared" si="3"/>
        <v>0</v>
      </c>
      <c r="J38" s="14" t="e">
        <f t="shared" si="7"/>
        <v>#N/A</v>
      </c>
      <c r="K38" s="15" t="e">
        <f t="shared" si="0"/>
        <v>#N/A</v>
      </c>
      <c r="L38" s="15" t="e">
        <f t="shared" si="4"/>
        <v>#N/A</v>
      </c>
      <c r="M38" s="15">
        <f t="shared" si="1"/>
        <v>0</v>
      </c>
      <c r="N38" s="15" t="e">
        <f t="shared" si="5"/>
        <v>#N/A</v>
      </c>
    </row>
    <row r="39" spans="1:14" x14ac:dyDescent="0.35">
      <c r="A39" s="13">
        <v>37</v>
      </c>
      <c r="B39" s="2">
        <v>12</v>
      </c>
      <c r="C39" s="14" t="e">
        <f t="shared" si="6"/>
        <v>#N/A</v>
      </c>
      <c r="D39" s="9" t="e">
        <f t="shared" si="2"/>
        <v>#N/A</v>
      </c>
      <c r="E39" s="9" t="e">
        <f>+'Motor I'!$C$59</f>
        <v>#N/A</v>
      </c>
      <c r="F39" s="14">
        <f>+'Motor I'!$C$19*-1</f>
        <v>0</v>
      </c>
      <c r="G39" s="14">
        <v>0</v>
      </c>
      <c r="H39" s="14">
        <v>0</v>
      </c>
      <c r="I39" s="14">
        <f t="shared" si="3"/>
        <v>0</v>
      </c>
      <c r="J39" s="14" t="e">
        <f t="shared" si="7"/>
        <v>#N/A</v>
      </c>
      <c r="K39" s="15" t="e">
        <f t="shared" si="0"/>
        <v>#N/A</v>
      </c>
      <c r="L39" s="15" t="e">
        <f t="shared" si="4"/>
        <v>#N/A</v>
      </c>
      <c r="M39" s="15">
        <f t="shared" si="1"/>
        <v>0</v>
      </c>
      <c r="N39" s="15" t="e">
        <f t="shared" si="5"/>
        <v>#N/A</v>
      </c>
    </row>
    <row r="40" spans="1:14" x14ac:dyDescent="0.35">
      <c r="A40" s="13">
        <v>38</v>
      </c>
      <c r="B40" s="2">
        <v>12</v>
      </c>
      <c r="C40" s="14" t="e">
        <f t="shared" si="6"/>
        <v>#N/A</v>
      </c>
      <c r="D40" s="9" t="e">
        <f t="shared" si="2"/>
        <v>#N/A</v>
      </c>
      <c r="E40" s="9" t="e">
        <f>+'Motor I'!$C$59</f>
        <v>#N/A</v>
      </c>
      <c r="F40" s="14">
        <f>+'Motor I'!$C$19*-1</f>
        <v>0</v>
      </c>
      <c r="G40" s="14">
        <v>0</v>
      </c>
      <c r="H40" s="14">
        <v>0</v>
      </c>
      <c r="I40" s="14">
        <f t="shared" si="3"/>
        <v>0</v>
      </c>
      <c r="J40" s="14" t="e">
        <f t="shared" si="7"/>
        <v>#N/A</v>
      </c>
      <c r="K40" s="15" t="e">
        <f t="shared" si="0"/>
        <v>#N/A</v>
      </c>
      <c r="L40" s="15" t="e">
        <f t="shared" si="4"/>
        <v>#N/A</v>
      </c>
      <c r="M40" s="15">
        <f t="shared" si="1"/>
        <v>0</v>
      </c>
      <c r="N40" s="15" t="e">
        <f t="shared" si="5"/>
        <v>#N/A</v>
      </c>
    </row>
    <row r="41" spans="1:14" x14ac:dyDescent="0.35">
      <c r="A41" s="13">
        <v>39</v>
      </c>
      <c r="B41" s="2">
        <v>12</v>
      </c>
      <c r="C41" s="14" t="e">
        <f t="shared" si="6"/>
        <v>#N/A</v>
      </c>
      <c r="D41" s="9" t="e">
        <f t="shared" si="2"/>
        <v>#N/A</v>
      </c>
      <c r="E41" s="9" t="e">
        <f>+'Motor I'!$C$59</f>
        <v>#N/A</v>
      </c>
      <c r="F41" s="14">
        <f>+'Motor I'!$C$19*-1</f>
        <v>0</v>
      </c>
      <c r="G41" s="14">
        <v>0</v>
      </c>
      <c r="H41" s="14">
        <v>0</v>
      </c>
      <c r="I41" s="14">
        <f t="shared" si="3"/>
        <v>0</v>
      </c>
      <c r="J41" s="14" t="e">
        <f t="shared" si="7"/>
        <v>#N/A</v>
      </c>
      <c r="K41" s="15" t="e">
        <f t="shared" si="0"/>
        <v>#N/A</v>
      </c>
      <c r="L41" s="15" t="e">
        <f t="shared" si="4"/>
        <v>#N/A</v>
      </c>
      <c r="M41" s="15">
        <f t="shared" si="1"/>
        <v>0</v>
      </c>
      <c r="N41" s="15" t="e">
        <f t="shared" si="5"/>
        <v>#N/A</v>
      </c>
    </row>
    <row r="42" spans="1:14" x14ac:dyDescent="0.35">
      <c r="A42" s="13">
        <v>40</v>
      </c>
      <c r="B42" s="2">
        <v>12</v>
      </c>
      <c r="C42" s="14" t="e">
        <f t="shared" si="6"/>
        <v>#N/A</v>
      </c>
      <c r="D42" s="9" t="e">
        <f t="shared" si="2"/>
        <v>#N/A</v>
      </c>
      <c r="E42" s="9" t="e">
        <f>+'Motor I'!$C$59</f>
        <v>#N/A</v>
      </c>
      <c r="F42" s="14">
        <f>+'Motor I'!$C$19*-1</f>
        <v>0</v>
      </c>
      <c r="G42" s="14">
        <v>0</v>
      </c>
      <c r="H42" s="14">
        <v>0</v>
      </c>
      <c r="I42" s="14">
        <f t="shared" si="3"/>
        <v>0</v>
      </c>
      <c r="J42" s="14" t="e">
        <f>FV(D42,B42,I42,-C42)</f>
        <v>#N/A</v>
      </c>
      <c r="K42" s="15" t="e">
        <f t="shared" si="0"/>
        <v>#N/A</v>
      </c>
      <c r="L42" s="15" t="e">
        <f t="shared" si="4"/>
        <v>#N/A</v>
      </c>
      <c r="M42" s="15">
        <f t="shared" si="1"/>
        <v>0</v>
      </c>
      <c r="N42" s="15" t="e">
        <f t="shared" si="5"/>
        <v>#N/A</v>
      </c>
    </row>
  </sheetData>
  <pageMargins left="0.7" right="0.7" top="0.75" bottom="0.75" header="0.3" footer="0.3"/>
  <pageSetup orientation="portrait" r:id="rId1"/>
  <headerFooter>
    <oddFooter>&amp;C&amp;1#&amp;"Calibri"&amp;10&amp;K000000Uso Interno</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B5FF-76CE-4DE5-B0DB-E6EB1F2408FA}">
  <sheetPr codeName="Hoja11"/>
  <dimension ref="B3:S64"/>
  <sheetViews>
    <sheetView topLeftCell="B44" workbookViewId="0">
      <selection activeCell="C50" sqref="C50"/>
    </sheetView>
  </sheetViews>
  <sheetFormatPr baseColWidth="10" defaultColWidth="11.453125" defaultRowHeight="14.5" x14ac:dyDescent="0.35"/>
  <cols>
    <col min="1" max="1" width="11.453125" style="2"/>
    <col min="2" max="2" width="25.453125" style="2" bestFit="1" customWidth="1"/>
    <col min="3" max="3" width="15.453125" style="2" customWidth="1"/>
    <col min="4" max="4" width="11.453125" style="2"/>
    <col min="5" max="5" width="13" style="2" bestFit="1" customWidth="1"/>
    <col min="6" max="7" width="11.453125" style="2"/>
    <col min="8" max="8" width="11.81640625" style="2" bestFit="1" customWidth="1"/>
    <col min="9" max="9" width="15.1796875" style="2" bestFit="1" customWidth="1"/>
    <col min="10" max="10" width="15.453125" style="2" bestFit="1" customWidth="1"/>
    <col min="11" max="11" width="17.54296875" style="2" bestFit="1" customWidth="1"/>
    <col min="12" max="12" width="8" style="2" bestFit="1" customWidth="1"/>
    <col min="13" max="13" width="11.81640625" style="2" bestFit="1" customWidth="1"/>
    <col min="14" max="14" width="15.453125" style="2" bestFit="1" customWidth="1"/>
    <col min="15" max="15" width="17.54296875" style="2" bestFit="1" customWidth="1"/>
    <col min="16" max="16384" width="11.453125" style="2"/>
  </cols>
  <sheetData>
    <row r="3" spans="2:19" x14ac:dyDescent="0.35">
      <c r="B3" s="2" t="str">
        <f>+C8</f>
        <v>Mujer</v>
      </c>
      <c r="C3" s="2">
        <f>+VLOOKUP(B3,$B$4:$C$5,2,FALSE)</f>
        <v>3</v>
      </c>
      <c r="I3" s="2">
        <v>2</v>
      </c>
      <c r="J3" s="2">
        <v>3</v>
      </c>
      <c r="K3" s="2">
        <v>4</v>
      </c>
      <c r="L3" s="2">
        <v>5</v>
      </c>
      <c r="M3" s="2">
        <v>6</v>
      </c>
      <c r="N3" s="2">
        <v>7</v>
      </c>
    </row>
    <row r="4" spans="2:19" x14ac:dyDescent="0.35">
      <c r="B4" s="2" t="s">
        <v>3</v>
      </c>
      <c r="C4" s="2">
        <v>3</v>
      </c>
      <c r="H4" s="2" t="s">
        <v>21</v>
      </c>
      <c r="I4" s="2" t="s">
        <v>28</v>
      </c>
      <c r="J4" s="2" t="s">
        <v>29</v>
      </c>
      <c r="K4" s="2" t="s">
        <v>60</v>
      </c>
      <c r="L4" s="2" t="s">
        <v>61</v>
      </c>
      <c r="M4" s="2" t="s">
        <v>62</v>
      </c>
      <c r="N4" s="2" t="s">
        <v>25</v>
      </c>
      <c r="R4" s="2" t="s">
        <v>3</v>
      </c>
      <c r="S4" s="2" t="s">
        <v>2</v>
      </c>
    </row>
    <row r="5" spans="2:19" x14ac:dyDescent="0.35">
      <c r="B5" s="2" t="s">
        <v>2</v>
      </c>
      <c r="C5" s="2">
        <v>2</v>
      </c>
      <c r="G5" s="2">
        <v>2</v>
      </c>
      <c r="H5" s="2" t="s">
        <v>3</v>
      </c>
      <c r="I5" s="2">
        <v>25</v>
      </c>
      <c r="J5" s="2">
        <v>40</v>
      </c>
      <c r="K5" s="2" t="s">
        <v>5</v>
      </c>
      <c r="L5" s="2" t="s">
        <v>6</v>
      </c>
      <c r="M5" s="2" t="s">
        <v>6</v>
      </c>
      <c r="N5" s="2" t="s">
        <v>26</v>
      </c>
      <c r="R5" s="3">
        <f>+COUNTIF(C8,$R$4)</f>
        <v>1</v>
      </c>
      <c r="S5" s="3">
        <f>+COUNTIF(C8,$S$4)</f>
        <v>0</v>
      </c>
    </row>
    <row r="6" spans="2:19" x14ac:dyDescent="0.35">
      <c r="G6" s="2">
        <v>3</v>
      </c>
      <c r="H6" s="2" t="s">
        <v>3</v>
      </c>
      <c r="I6" s="2">
        <v>41</v>
      </c>
      <c r="J6" s="2">
        <v>50</v>
      </c>
      <c r="K6" s="2" t="s">
        <v>7</v>
      </c>
      <c r="L6" s="2" t="s">
        <v>7</v>
      </c>
      <c r="M6" s="2" t="s">
        <v>7</v>
      </c>
      <c r="N6" s="2" t="s">
        <v>7</v>
      </c>
      <c r="R6" s="3">
        <v>1</v>
      </c>
      <c r="S6" s="3">
        <v>1</v>
      </c>
    </row>
    <row r="7" spans="2:19" x14ac:dyDescent="0.35">
      <c r="G7" s="2">
        <v>4</v>
      </c>
      <c r="H7" s="2" t="s">
        <v>3</v>
      </c>
      <c r="I7" s="2">
        <v>51</v>
      </c>
      <c r="J7" s="2">
        <v>60</v>
      </c>
      <c r="K7" s="2" t="s">
        <v>8</v>
      </c>
      <c r="L7" s="2" t="s">
        <v>9</v>
      </c>
      <c r="M7" s="2" t="s">
        <v>9</v>
      </c>
      <c r="N7" s="2" t="s">
        <v>27</v>
      </c>
    </row>
    <row r="8" spans="2:19" x14ac:dyDescent="0.35">
      <c r="B8" s="2" t="s">
        <v>21</v>
      </c>
      <c r="C8" s="2" t="str">
        <f>+Portada!AX18</f>
        <v>Mujer</v>
      </c>
      <c r="G8" s="2">
        <v>5</v>
      </c>
      <c r="H8" s="2" t="s">
        <v>2</v>
      </c>
      <c r="I8" s="2">
        <v>25</v>
      </c>
      <c r="J8" s="2">
        <v>40</v>
      </c>
      <c r="K8" s="2" t="s">
        <v>5</v>
      </c>
      <c r="L8" s="2" t="s">
        <v>6</v>
      </c>
      <c r="M8" s="2" t="s">
        <v>6</v>
      </c>
      <c r="N8" s="2" t="s">
        <v>26</v>
      </c>
    </row>
    <row r="9" spans="2:19" x14ac:dyDescent="0.35">
      <c r="B9" s="2" t="s">
        <v>30</v>
      </c>
      <c r="C9" s="2">
        <f>+Portada!BO18</f>
        <v>0</v>
      </c>
      <c r="G9" s="2">
        <v>6</v>
      </c>
      <c r="H9" s="2" t="s">
        <v>2</v>
      </c>
      <c r="I9" s="2">
        <v>41</v>
      </c>
      <c r="J9" s="2">
        <v>55</v>
      </c>
      <c r="K9" s="2" t="s">
        <v>7</v>
      </c>
      <c r="L9" s="2" t="s">
        <v>7</v>
      </c>
      <c r="M9" s="2" t="s">
        <v>7</v>
      </c>
      <c r="N9" s="2" t="s">
        <v>7</v>
      </c>
    </row>
    <row r="10" spans="2:19" x14ac:dyDescent="0.35">
      <c r="B10" s="2" t="s">
        <v>20</v>
      </c>
      <c r="C10" s="2">
        <f>+Portada!BO22</f>
        <v>0</v>
      </c>
      <c r="G10" s="2">
        <v>7</v>
      </c>
      <c r="H10" s="2" t="s">
        <v>2</v>
      </c>
      <c r="I10" s="2">
        <v>56</v>
      </c>
      <c r="J10" s="2">
        <v>65</v>
      </c>
      <c r="K10" s="2" t="s">
        <v>8</v>
      </c>
      <c r="L10" s="2" t="s">
        <v>9</v>
      </c>
      <c r="M10" s="2" t="s">
        <v>9</v>
      </c>
      <c r="N10" s="2" t="s">
        <v>27</v>
      </c>
    </row>
    <row r="11" spans="2:19" x14ac:dyDescent="0.35">
      <c r="B11" s="2" t="s">
        <v>31</v>
      </c>
      <c r="C11" s="2">
        <f>+C10-C9</f>
        <v>0</v>
      </c>
    </row>
    <row r="12" spans="2:19" x14ac:dyDescent="0.35">
      <c r="B12" s="2" t="s">
        <v>22</v>
      </c>
      <c r="C12" s="4">
        <f>+Portada!BO24</f>
        <v>0</v>
      </c>
      <c r="H12" s="2" t="s">
        <v>21</v>
      </c>
      <c r="I12" s="2" t="s">
        <v>1</v>
      </c>
      <c r="J12" s="2" t="s">
        <v>24</v>
      </c>
      <c r="K12" s="2" t="s">
        <v>10</v>
      </c>
      <c r="N12" s="2" t="str">
        <f>+J13</f>
        <v>Moderado</v>
      </c>
      <c r="O12" s="2">
        <f>+VLOOKUP(N12,N13:O16,2,FALSE)</f>
        <v>4</v>
      </c>
    </row>
    <row r="13" spans="2:19" x14ac:dyDescent="0.35">
      <c r="B13" s="2" t="s">
        <v>0</v>
      </c>
      <c r="C13" s="5" t="e">
        <f>+VLOOKUP(C10,'1.CNU'!$A$3:$C$73,'Motor II'!$C$3)</f>
        <v>#N/A</v>
      </c>
      <c r="H13" s="6" t="str">
        <f>+C8</f>
        <v>Mujer</v>
      </c>
      <c r="I13" s="6">
        <f>+HLOOKUP(I12,$I$15:$I$17,$L$15,FALSE)</f>
        <v>0</v>
      </c>
      <c r="J13" s="6" t="str">
        <f>+HLOOKUP(J12,$J$15:$J$17,$L$15,FALSE)</f>
        <v>Moderado</v>
      </c>
      <c r="K13" s="6" t="e">
        <f>+HLOOKUP(K12,$K$15:$K$17,$L$15,FALSE)</f>
        <v>#N/A</v>
      </c>
      <c r="N13" s="2" t="s">
        <v>60</v>
      </c>
      <c r="O13" s="2">
        <v>3</v>
      </c>
    </row>
    <row r="14" spans="2:19" x14ac:dyDescent="0.35">
      <c r="B14" s="2" t="s">
        <v>23</v>
      </c>
      <c r="C14" s="4" t="e">
        <f>+C12*C13</f>
        <v>#N/A</v>
      </c>
      <c r="N14" s="2" t="s">
        <v>61</v>
      </c>
      <c r="O14" s="2">
        <v>4</v>
      </c>
    </row>
    <row r="15" spans="2:19" x14ac:dyDescent="0.35">
      <c r="B15" s="2" t="s">
        <v>70</v>
      </c>
      <c r="C15" s="4">
        <f>+Portada!BO20</f>
        <v>0</v>
      </c>
      <c r="I15" s="6" t="s">
        <v>1</v>
      </c>
      <c r="J15" s="6" t="s">
        <v>24</v>
      </c>
      <c r="K15" s="6" t="s">
        <v>10</v>
      </c>
      <c r="L15" s="2">
        <f>+VLOOKUP($H$13,$H$16:$L$17,5,FALSE)</f>
        <v>2</v>
      </c>
      <c r="N15" s="2" t="s">
        <v>62</v>
      </c>
      <c r="O15" s="2">
        <v>5</v>
      </c>
    </row>
    <row r="16" spans="2:19" x14ac:dyDescent="0.35">
      <c r="B16" s="2" t="s">
        <v>41</v>
      </c>
      <c r="C16" s="2">
        <v>87.8</v>
      </c>
      <c r="H16" s="6" t="s">
        <v>3</v>
      </c>
      <c r="I16" s="6">
        <f>+C9</f>
        <v>0</v>
      </c>
      <c r="J16" s="6" t="str">
        <f>+Portada!CH18</f>
        <v>Moderado</v>
      </c>
      <c r="K16" s="6" t="e">
        <f>+VLOOKUP(I16,I5:N7,$O$12,TRUE)</f>
        <v>#N/A</v>
      </c>
      <c r="L16" s="2">
        <v>2</v>
      </c>
      <c r="N16" s="2" t="s">
        <v>25</v>
      </c>
      <c r="O16" s="2">
        <v>6</v>
      </c>
    </row>
    <row r="17" spans="2:14" x14ac:dyDescent="0.35">
      <c r="B17" s="2" t="s">
        <v>42</v>
      </c>
      <c r="C17" s="4">
        <v>37754.47</v>
      </c>
      <c r="H17" s="6" t="s">
        <v>2</v>
      </c>
      <c r="I17" s="6">
        <f>+C9</f>
        <v>0</v>
      </c>
      <c r="J17" s="6" t="str">
        <f>+Portada!CH18</f>
        <v>Moderado</v>
      </c>
      <c r="K17" s="6" t="e">
        <f>+VLOOKUP(I17,I8:N10,$O$12,TRUE)</f>
        <v>#N/A</v>
      </c>
      <c r="L17" s="2">
        <v>3</v>
      </c>
    </row>
    <row r="18" spans="2:14" x14ac:dyDescent="0.35">
      <c r="B18" s="2" t="s">
        <v>43</v>
      </c>
      <c r="C18" s="7">
        <f>+C16*C17</f>
        <v>3314842.466</v>
      </c>
    </row>
    <row r="19" spans="2:14" x14ac:dyDescent="0.35">
      <c r="B19" s="2" t="s">
        <v>44</v>
      </c>
      <c r="C19" s="4">
        <f>+MIN((C18*10%),(C15*10%))</f>
        <v>0</v>
      </c>
    </row>
    <row r="20" spans="2:14" x14ac:dyDescent="0.35">
      <c r="C20" s="4"/>
    </row>
    <row r="21" spans="2:14" x14ac:dyDescent="0.35">
      <c r="B21" s="2" t="s">
        <v>10</v>
      </c>
      <c r="C21" s="4" t="e">
        <f>+C33</f>
        <v>#N/A</v>
      </c>
      <c r="E21" s="7" t="e">
        <f>+C21</f>
        <v>#N/A</v>
      </c>
      <c r="F21" s="2" t="e">
        <f>+VLOOKUP(E21,$H$38:$I$44,2,FALSE)</f>
        <v>#N/A</v>
      </c>
      <c r="G21" s="2" t="e">
        <f>+VLOOKUP(E21,$E$22:$F$26,2,FALSE)</f>
        <v>#N/A</v>
      </c>
      <c r="H21" s="2" t="s">
        <v>3</v>
      </c>
      <c r="I21" s="2">
        <v>2</v>
      </c>
      <c r="J21" s="2">
        <v>2</v>
      </c>
      <c r="K21" s="2">
        <v>2</v>
      </c>
      <c r="L21" s="2">
        <v>2</v>
      </c>
      <c r="M21" s="2">
        <v>2</v>
      </c>
      <c r="N21" s="2">
        <v>2</v>
      </c>
    </row>
    <row r="22" spans="2:14" x14ac:dyDescent="0.35">
      <c r="B22" s="2" t="s">
        <v>15</v>
      </c>
      <c r="C22" s="8" t="e">
        <f>+HLOOKUP(C21,'2.VF'!$B$2:$F$3,2,FALSE)</f>
        <v>#N/A</v>
      </c>
      <c r="E22" s="2" t="s">
        <v>5</v>
      </c>
      <c r="F22" s="2">
        <v>2</v>
      </c>
      <c r="H22" s="2" t="s">
        <v>3</v>
      </c>
      <c r="I22" s="2">
        <v>3</v>
      </c>
      <c r="J22" s="2">
        <v>3</v>
      </c>
      <c r="K22" s="2">
        <v>3</v>
      </c>
      <c r="L22" s="2">
        <v>3</v>
      </c>
      <c r="M22" s="2">
        <v>3</v>
      </c>
      <c r="N22" s="2">
        <v>3</v>
      </c>
    </row>
    <row r="23" spans="2:14" x14ac:dyDescent="0.35">
      <c r="B23" s="2" t="s">
        <v>39</v>
      </c>
      <c r="E23" s="2" t="s">
        <v>6</v>
      </c>
      <c r="F23" s="2">
        <v>3</v>
      </c>
      <c r="H23" s="2" t="s">
        <v>3</v>
      </c>
      <c r="I23" s="2">
        <v>4</v>
      </c>
      <c r="J23" s="2">
        <v>4</v>
      </c>
      <c r="K23" s="2">
        <v>4</v>
      </c>
      <c r="L23" s="2">
        <v>4</v>
      </c>
      <c r="M23" s="2">
        <v>4</v>
      </c>
      <c r="N23" s="2">
        <v>4</v>
      </c>
    </row>
    <row r="24" spans="2:14" x14ac:dyDescent="0.35">
      <c r="B24" s="2" t="s">
        <v>45</v>
      </c>
      <c r="C24" s="18" t="e">
        <f>+VLOOKUP($C$11,'2.VF'!$A$4:$G$44,'Motor II'!$G$21,FALSE)</f>
        <v>#REF!</v>
      </c>
      <c r="E24" s="2" t="s">
        <v>7</v>
      </c>
      <c r="F24" s="2">
        <v>4</v>
      </c>
      <c r="H24" s="2" t="s">
        <v>2</v>
      </c>
      <c r="I24" s="2">
        <v>5</v>
      </c>
      <c r="J24" s="2">
        <v>5</v>
      </c>
      <c r="K24" s="2">
        <v>5</v>
      </c>
      <c r="L24" s="2">
        <v>5</v>
      </c>
      <c r="M24" s="2">
        <v>5</v>
      </c>
      <c r="N24" s="2">
        <v>5</v>
      </c>
    </row>
    <row r="25" spans="2:14" x14ac:dyDescent="0.35">
      <c r="B25" s="2" t="s">
        <v>32</v>
      </c>
      <c r="C25" s="4">
        <v>0</v>
      </c>
      <c r="E25" s="2" t="s">
        <v>8</v>
      </c>
      <c r="F25" s="2">
        <v>5</v>
      </c>
      <c r="H25" s="2" t="s">
        <v>2</v>
      </c>
      <c r="I25" s="2">
        <v>6</v>
      </c>
      <c r="J25" s="2">
        <v>6</v>
      </c>
      <c r="K25" s="2">
        <v>6</v>
      </c>
      <c r="L25" s="2">
        <v>6</v>
      </c>
      <c r="M25" s="2">
        <v>6</v>
      </c>
      <c r="N25" s="2">
        <v>6</v>
      </c>
    </row>
    <row r="26" spans="2:14" x14ac:dyDescent="0.35">
      <c r="B26" s="2" t="s">
        <v>33</v>
      </c>
      <c r="C26" s="4">
        <v>0</v>
      </c>
      <c r="E26" s="2" t="s">
        <v>9</v>
      </c>
      <c r="F26" s="2">
        <v>6</v>
      </c>
      <c r="H26" s="2" t="s">
        <v>2</v>
      </c>
      <c r="I26" s="2">
        <v>7</v>
      </c>
      <c r="J26" s="2">
        <v>7</v>
      </c>
      <c r="K26" s="2">
        <v>7</v>
      </c>
      <c r="L26" s="2">
        <v>7</v>
      </c>
      <c r="M26" s="2">
        <v>7</v>
      </c>
      <c r="N26" s="2">
        <v>7</v>
      </c>
    </row>
    <row r="27" spans="2:14" x14ac:dyDescent="0.35">
      <c r="B27" s="2" t="s">
        <v>34</v>
      </c>
      <c r="C27" s="4">
        <v>0</v>
      </c>
    </row>
    <row r="28" spans="2:14" x14ac:dyDescent="0.35">
      <c r="B28" s="2" t="s">
        <v>35</v>
      </c>
      <c r="C28" s="4">
        <v>0</v>
      </c>
      <c r="H28" s="2" t="s">
        <v>21</v>
      </c>
      <c r="I28" s="2" t="s">
        <v>28</v>
      </c>
      <c r="J28" s="2" t="s">
        <v>29</v>
      </c>
      <c r="K28" s="2" t="s">
        <v>60</v>
      </c>
      <c r="L28" s="2" t="s">
        <v>61</v>
      </c>
      <c r="M28" s="2" t="s">
        <v>62</v>
      </c>
      <c r="N28" s="2" t="s">
        <v>25</v>
      </c>
    </row>
    <row r="29" spans="2:14" x14ac:dyDescent="0.35">
      <c r="B29" s="2" t="s">
        <v>36</v>
      </c>
      <c r="C29" s="4">
        <v>0</v>
      </c>
      <c r="H29" s="2" t="s">
        <v>2</v>
      </c>
      <c r="I29" s="2">
        <f>+IF($H$29=$H$13,I24,I21)</f>
        <v>2</v>
      </c>
      <c r="J29" s="2">
        <f>+IF($H$29=$H$13,J24,J21)</f>
        <v>2</v>
      </c>
      <c r="K29" s="2">
        <f>+IF($H$31=$H$13,K24,K21)</f>
        <v>2</v>
      </c>
      <c r="L29" s="2">
        <f>+IF($H$31=$H$13,L24,L21)</f>
        <v>2</v>
      </c>
      <c r="M29" s="2">
        <f>+IF($H$29=$H$13,M24,M21)</f>
        <v>2</v>
      </c>
      <c r="N29" s="2">
        <f>+IF($H$29=$H$13,N24,N21)</f>
        <v>2</v>
      </c>
    </row>
    <row r="30" spans="2:14" x14ac:dyDescent="0.35">
      <c r="B30" s="2" t="s">
        <v>37</v>
      </c>
      <c r="C30" s="4">
        <f>SUM(C25:C29)</f>
        <v>0</v>
      </c>
      <c r="H30" s="2" t="s">
        <v>2</v>
      </c>
      <c r="I30" s="2">
        <f t="shared" ref="I30:N30" si="0">+IF($H$30=$H$13,I25,I22)</f>
        <v>3</v>
      </c>
      <c r="J30" s="2">
        <f t="shared" si="0"/>
        <v>3</v>
      </c>
      <c r="K30" s="2">
        <f t="shared" si="0"/>
        <v>3</v>
      </c>
      <c r="L30" s="2">
        <f t="shared" si="0"/>
        <v>3</v>
      </c>
      <c r="M30" s="2">
        <f t="shared" si="0"/>
        <v>3</v>
      </c>
      <c r="N30" s="2">
        <f t="shared" si="0"/>
        <v>3</v>
      </c>
    </row>
    <row r="31" spans="2:14" x14ac:dyDescent="0.35">
      <c r="H31" s="2" t="s">
        <v>2</v>
      </c>
      <c r="I31" s="2">
        <f t="shared" ref="I31:N31" si="1">+IF($H$31=$H$13,I26,I23)</f>
        <v>4</v>
      </c>
      <c r="J31" s="2">
        <f t="shared" si="1"/>
        <v>4</v>
      </c>
      <c r="K31" s="2">
        <f t="shared" si="1"/>
        <v>4</v>
      </c>
      <c r="L31" s="2">
        <f t="shared" si="1"/>
        <v>4</v>
      </c>
      <c r="M31" s="2">
        <f t="shared" si="1"/>
        <v>4</v>
      </c>
      <c r="N31" s="2">
        <f t="shared" si="1"/>
        <v>4</v>
      </c>
    </row>
    <row r="33" spans="2:14" x14ac:dyDescent="0.35">
      <c r="B33" s="2" t="s">
        <v>10</v>
      </c>
      <c r="C33" s="2" t="e">
        <f>+J38</f>
        <v>#N/A</v>
      </c>
      <c r="E33" s="7" t="e">
        <f>+C33</f>
        <v>#N/A</v>
      </c>
      <c r="F33" s="2" t="e">
        <f>+VLOOKUP(E33,$E$34:$F$38,2,FALSE)</f>
        <v>#N/A</v>
      </c>
      <c r="H33" s="2" t="s">
        <v>21</v>
      </c>
      <c r="I33" s="2" t="s">
        <v>28</v>
      </c>
      <c r="J33" s="2" t="s">
        <v>29</v>
      </c>
      <c r="K33" s="2" t="s">
        <v>60</v>
      </c>
      <c r="L33" s="2" t="s">
        <v>61</v>
      </c>
      <c r="M33" s="2" t="s">
        <v>62</v>
      </c>
      <c r="N33" s="2" t="s">
        <v>25</v>
      </c>
    </row>
    <row r="34" spans="2:14" x14ac:dyDescent="0.35">
      <c r="B34" s="2" t="s">
        <v>15</v>
      </c>
      <c r="C34" s="8" t="e">
        <f>+HLOOKUP(C33,'2.VF'!$H$2:$L$3,2,FALSE)</f>
        <v>#N/A</v>
      </c>
      <c r="E34" s="2" t="s">
        <v>5</v>
      </c>
      <c r="F34" s="2">
        <v>7</v>
      </c>
      <c r="H34" s="2" t="str">
        <f>+HLOOKUP(H33,H4:H10,5,FALSE)</f>
        <v>Hombre</v>
      </c>
      <c r="I34" s="2">
        <f t="shared" ref="I34:N34" si="2">+HLOOKUP(I33,I4:I10,I29,FALSE)</f>
        <v>25</v>
      </c>
      <c r="J34" s="2">
        <f t="shared" si="2"/>
        <v>40</v>
      </c>
      <c r="K34" s="2" t="str">
        <f t="shared" si="2"/>
        <v>A</v>
      </c>
      <c r="L34" s="2" t="str">
        <f t="shared" si="2"/>
        <v>B</v>
      </c>
      <c r="M34" s="2" t="str">
        <f t="shared" si="2"/>
        <v>B</v>
      </c>
      <c r="N34" s="2" t="str">
        <f t="shared" si="2"/>
        <v>A-B</v>
      </c>
    </row>
    <row r="35" spans="2:14" x14ac:dyDescent="0.35">
      <c r="B35" s="2" t="s">
        <v>38</v>
      </c>
      <c r="E35" s="2" t="s">
        <v>6</v>
      </c>
      <c r="F35" s="2">
        <v>8</v>
      </c>
      <c r="H35" s="2" t="str">
        <f>+HLOOKUP(H33,H4:H10,6,FALSE)</f>
        <v>Hombre</v>
      </c>
      <c r="I35" s="2">
        <f t="shared" ref="I35:N35" si="3">+HLOOKUP(I33,I4:I10,I30,FALSE)</f>
        <v>41</v>
      </c>
      <c r="J35" s="2">
        <f t="shared" si="3"/>
        <v>50</v>
      </c>
      <c r="K35" s="2" t="str">
        <f t="shared" si="3"/>
        <v>C</v>
      </c>
      <c r="L35" s="2" t="str">
        <f t="shared" si="3"/>
        <v>C</v>
      </c>
      <c r="M35" s="2" t="str">
        <f t="shared" si="3"/>
        <v>C</v>
      </c>
      <c r="N35" s="2" t="str">
        <f t="shared" si="3"/>
        <v>C</v>
      </c>
    </row>
    <row r="36" spans="2:14" x14ac:dyDescent="0.35">
      <c r="B36" s="2" t="s">
        <v>45</v>
      </c>
      <c r="C36" s="2" t="e">
        <f>+VLOOKUP(C11,'2.VF'!$A$5:$L$44,'Motor II'!$F$33)</f>
        <v>#N/A</v>
      </c>
      <c r="E36" s="2" t="s">
        <v>7</v>
      </c>
      <c r="F36" s="2">
        <v>9</v>
      </c>
      <c r="H36" s="2" t="str">
        <f>+HLOOKUP(H33,H4:H10,7,FALSE)</f>
        <v>Hombre</v>
      </c>
      <c r="I36" s="2">
        <f t="shared" ref="I36:N36" si="4">+HLOOKUP(I33,I4:I10,I31,FALSE)</f>
        <v>51</v>
      </c>
      <c r="J36" s="2">
        <f t="shared" si="4"/>
        <v>60</v>
      </c>
      <c r="K36" s="2" t="str">
        <f t="shared" si="4"/>
        <v>D</v>
      </c>
      <c r="L36" s="2" t="str">
        <f t="shared" si="4"/>
        <v>E</v>
      </c>
      <c r="M36" s="2" t="str">
        <f t="shared" si="4"/>
        <v>E</v>
      </c>
      <c r="N36" s="2" t="str">
        <f t="shared" si="4"/>
        <v>D-E</v>
      </c>
    </row>
    <row r="37" spans="2:14" x14ac:dyDescent="0.35">
      <c r="B37" s="2" t="s">
        <v>32</v>
      </c>
      <c r="C37" s="7">
        <f>+C19</f>
        <v>0</v>
      </c>
      <c r="E37" s="2" t="s">
        <v>8</v>
      </c>
      <c r="F37" s="2">
        <v>10</v>
      </c>
    </row>
    <row r="38" spans="2:14" x14ac:dyDescent="0.35">
      <c r="B38" s="2" t="s">
        <v>33</v>
      </c>
      <c r="C38" s="7">
        <v>0</v>
      </c>
      <c r="E38" s="2" t="s">
        <v>9</v>
      </c>
      <c r="F38" s="2">
        <v>11</v>
      </c>
      <c r="H38" s="2" t="s">
        <v>5</v>
      </c>
      <c r="I38" s="9">
        <v>4.4900000000000002E-2</v>
      </c>
      <c r="J38" s="2" t="e">
        <f>+K13</f>
        <v>#N/A</v>
      </c>
      <c r="K38" s="9" t="e">
        <f>+VLOOKUP(J38,$H$38:$I$44,2,FALSE)</f>
        <v>#N/A</v>
      </c>
    </row>
    <row r="39" spans="2:14" x14ac:dyDescent="0.35">
      <c r="B39" s="2" t="s">
        <v>34</v>
      </c>
      <c r="C39" s="7">
        <v>0</v>
      </c>
      <c r="E39" s="2" t="s">
        <v>26</v>
      </c>
      <c r="F39" s="2">
        <v>7</v>
      </c>
      <c r="H39" s="2" t="s">
        <v>6</v>
      </c>
      <c r="I39" s="9">
        <v>4.02E-2</v>
      </c>
    </row>
    <row r="40" spans="2:14" x14ac:dyDescent="0.35">
      <c r="B40" s="2" t="s">
        <v>35</v>
      </c>
      <c r="C40" s="7">
        <v>0</v>
      </c>
      <c r="E40" s="7" t="s">
        <v>27</v>
      </c>
      <c r="F40" s="2">
        <v>10</v>
      </c>
      <c r="H40" s="2" t="s">
        <v>7</v>
      </c>
      <c r="I40" s="9">
        <v>3.3799999999999997E-2</v>
      </c>
    </row>
    <row r="41" spans="2:14" x14ac:dyDescent="0.35">
      <c r="B41" s="2" t="s">
        <v>36</v>
      </c>
      <c r="C41" s="7">
        <v>0</v>
      </c>
      <c r="H41" s="2" t="s">
        <v>8</v>
      </c>
      <c r="I41" s="9">
        <v>2.81E-2</v>
      </c>
    </row>
    <row r="42" spans="2:14" x14ac:dyDescent="0.35">
      <c r="B42" s="2" t="s">
        <v>40</v>
      </c>
      <c r="C42" s="7">
        <f>SUM(C37:C41)</f>
        <v>0</v>
      </c>
      <c r="H42" s="2" t="s">
        <v>9</v>
      </c>
      <c r="I42" s="9">
        <v>2.1700000000000001E-2</v>
      </c>
    </row>
    <row r="43" spans="2:14" x14ac:dyDescent="0.35">
      <c r="H43" s="2" t="s">
        <v>26</v>
      </c>
      <c r="I43" s="9">
        <v>4.4900000000000002E-2</v>
      </c>
    </row>
    <row r="44" spans="2:14" x14ac:dyDescent="0.35">
      <c r="H44" s="2" t="s">
        <v>27</v>
      </c>
      <c r="I44" s="9">
        <v>2.1700000000000001E-2</v>
      </c>
    </row>
    <row r="45" spans="2:14" x14ac:dyDescent="0.35">
      <c r="B45" s="2" t="s">
        <v>50</v>
      </c>
    </row>
    <row r="46" spans="2:14" x14ac:dyDescent="0.35">
      <c r="B46" s="2" t="str">
        <f>+B30</f>
        <v>Total saldos</v>
      </c>
      <c r="C46" s="7">
        <f>+C30</f>
        <v>0</v>
      </c>
    </row>
    <row r="47" spans="2:14" x14ac:dyDescent="0.35">
      <c r="B47" s="2" t="str">
        <f>+B42</f>
        <v>Total flujos</v>
      </c>
      <c r="C47" s="7">
        <f>+C42</f>
        <v>0</v>
      </c>
    </row>
    <row r="50" spans="2:6" x14ac:dyDescent="0.35">
      <c r="B50" s="2" t="s">
        <v>51</v>
      </c>
      <c r="C50" s="7">
        <f>+VLOOKUP(C11,'Pension proyectada II'!$A$2:$J$42,10,FALSE)</f>
        <v>0</v>
      </c>
    </row>
    <row r="51" spans="2:6" x14ac:dyDescent="0.35">
      <c r="B51" s="2" t="s">
        <v>0</v>
      </c>
      <c r="C51" s="5" t="e">
        <f>+C13</f>
        <v>#N/A</v>
      </c>
    </row>
    <row r="53" spans="2:6" x14ac:dyDescent="0.35">
      <c r="B53" s="2" t="s">
        <v>16</v>
      </c>
      <c r="C53" s="4" t="e">
        <f>+C50/C51</f>
        <v>#N/A</v>
      </c>
    </row>
    <row r="54" spans="2:6" x14ac:dyDescent="0.35">
      <c r="B54" s="2" t="s">
        <v>52</v>
      </c>
      <c r="C54" s="8" t="e">
        <f>+C53/C15</f>
        <v>#N/A</v>
      </c>
    </row>
    <row r="56" spans="2:6" x14ac:dyDescent="0.35">
      <c r="B56" s="2" t="s">
        <v>53</v>
      </c>
      <c r="C56" s="7" t="e">
        <f>+C50-C14</f>
        <v>#N/A</v>
      </c>
    </row>
    <row r="58" spans="2:6" x14ac:dyDescent="0.35">
      <c r="B58" s="2" t="s">
        <v>10</v>
      </c>
      <c r="C58" s="2" t="e">
        <f>+Portada!CZ18</f>
        <v>#N/A</v>
      </c>
      <c r="E58" s="7" t="e">
        <f>+C58</f>
        <v>#N/A</v>
      </c>
      <c r="F58" s="2" t="e">
        <f>+VLOOKUP(E58,$E$34:$F$40,2,FALSE)</f>
        <v>#N/A</v>
      </c>
    </row>
    <row r="59" spans="2:6" x14ac:dyDescent="0.35">
      <c r="B59" s="2" t="s">
        <v>15</v>
      </c>
      <c r="C59" s="9" t="e">
        <f>+HLOOKUP(C58,'2.VF'!$H$2:$N$3,2,FALSE)</f>
        <v>#N/A</v>
      </c>
      <c r="E59" s="2" t="s">
        <v>5</v>
      </c>
      <c r="F59" s="2">
        <v>7</v>
      </c>
    </row>
    <row r="60" spans="2:6" x14ac:dyDescent="0.35">
      <c r="B60" s="2" t="s">
        <v>14</v>
      </c>
      <c r="C60" s="8" t="e">
        <f>(1+$C$59)^(1/12)-1</f>
        <v>#N/A</v>
      </c>
      <c r="E60" s="2" t="s">
        <v>6</v>
      </c>
      <c r="F60" s="2">
        <v>8</v>
      </c>
    </row>
    <row r="61" spans="2:6" x14ac:dyDescent="0.35">
      <c r="B61" s="2" t="s">
        <v>57</v>
      </c>
      <c r="C61" s="2">
        <f>+C11</f>
        <v>0</v>
      </c>
      <c r="E61" s="2" t="s">
        <v>7</v>
      </c>
      <c r="F61" s="2">
        <v>9</v>
      </c>
    </row>
    <row r="62" spans="2:6" x14ac:dyDescent="0.35">
      <c r="B62" s="2" t="s">
        <v>13</v>
      </c>
      <c r="C62" s="2">
        <f>+C61*12</f>
        <v>0</v>
      </c>
      <c r="E62" s="2" t="s">
        <v>8</v>
      </c>
      <c r="F62" s="2">
        <v>10</v>
      </c>
    </row>
    <row r="63" spans="2:6" x14ac:dyDescent="0.35">
      <c r="B63" s="2" t="s">
        <v>59</v>
      </c>
      <c r="C63" s="10">
        <f>IFERROR((PMT($C$60,C62,0,C56)),0)</f>
        <v>0</v>
      </c>
      <c r="E63" s="2" t="s">
        <v>9</v>
      </c>
      <c r="F63" s="2">
        <v>11</v>
      </c>
    </row>
    <row r="64" spans="2:6" x14ac:dyDescent="0.35">
      <c r="E64" s="2" t="s">
        <v>26</v>
      </c>
      <c r="F64" s="2">
        <v>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E01D-41B7-424F-9C24-568A9D8FCC86}">
  <sheetPr codeName="Hoja12"/>
  <dimension ref="A1:N42"/>
  <sheetViews>
    <sheetView zoomScale="115" zoomScaleNormal="115" workbookViewId="0">
      <selection activeCell="J4" sqref="J4"/>
    </sheetView>
  </sheetViews>
  <sheetFormatPr baseColWidth="10" defaultColWidth="11.453125" defaultRowHeight="14.5" x14ac:dyDescent="0.35"/>
  <cols>
    <col min="1" max="1" width="5.7265625" style="2" bestFit="1" customWidth="1"/>
    <col min="2" max="2" width="6.7265625" style="2" bestFit="1" customWidth="1"/>
    <col min="3" max="3" width="16.7265625" style="2" bestFit="1" customWidth="1"/>
    <col min="4" max="4" width="8.54296875" style="2" bestFit="1" customWidth="1"/>
    <col min="5" max="5" width="12.26953125" style="2" bestFit="1" customWidth="1"/>
    <col min="6" max="8" width="11.1796875" style="2" bestFit="1" customWidth="1"/>
    <col min="9" max="9" width="12" style="2" bestFit="1" customWidth="1"/>
    <col min="10" max="10" width="16.7265625" style="14" bestFit="1" customWidth="1"/>
    <col min="11" max="11" width="12.26953125" style="2" bestFit="1" customWidth="1"/>
    <col min="12" max="12" width="12.26953125" style="2" customWidth="1"/>
    <col min="13" max="13" width="11.7265625" style="2" bestFit="1" customWidth="1"/>
    <col min="14" max="14" width="12.26953125" style="2" bestFit="1" customWidth="1"/>
    <col min="15" max="16384" width="11.453125" style="2"/>
  </cols>
  <sheetData>
    <row r="1" spans="1:14" ht="29" x14ac:dyDescent="0.35">
      <c r="A1" s="6" t="s">
        <v>46</v>
      </c>
      <c r="B1" s="6" t="s">
        <v>13</v>
      </c>
      <c r="C1" s="11" t="s">
        <v>47</v>
      </c>
      <c r="D1" s="11" t="s">
        <v>14</v>
      </c>
      <c r="E1" s="11" t="s">
        <v>15</v>
      </c>
      <c r="F1" s="11" t="s">
        <v>63</v>
      </c>
      <c r="G1" s="11" t="s">
        <v>64</v>
      </c>
      <c r="H1" s="11" t="s">
        <v>65</v>
      </c>
      <c r="I1" s="11" t="s">
        <v>66</v>
      </c>
      <c r="J1" s="11" t="s">
        <v>17</v>
      </c>
      <c r="K1" s="11" t="s">
        <v>18</v>
      </c>
      <c r="L1" s="12" t="s">
        <v>19</v>
      </c>
      <c r="M1" s="12" t="s">
        <v>48</v>
      </c>
      <c r="N1" s="12" t="s">
        <v>49</v>
      </c>
    </row>
    <row r="2" spans="1:14" x14ac:dyDescent="0.35">
      <c r="A2" s="6">
        <v>0</v>
      </c>
      <c r="B2" s="6">
        <v>0</v>
      </c>
      <c r="C2" s="17">
        <f>+Portada!DS19</f>
        <v>0</v>
      </c>
      <c r="D2" s="11">
        <v>0</v>
      </c>
      <c r="E2" s="11">
        <v>0</v>
      </c>
      <c r="F2" s="11">
        <v>0</v>
      </c>
      <c r="G2" s="11">
        <v>0</v>
      </c>
      <c r="H2" s="11">
        <v>0</v>
      </c>
      <c r="I2" s="11">
        <v>0</v>
      </c>
      <c r="J2" s="17">
        <f>+C2</f>
        <v>0</v>
      </c>
      <c r="K2" s="11">
        <v>0</v>
      </c>
      <c r="L2" s="12">
        <v>0</v>
      </c>
      <c r="M2" s="12">
        <v>0</v>
      </c>
      <c r="N2" s="12">
        <v>0</v>
      </c>
    </row>
    <row r="3" spans="1:14" x14ac:dyDescent="0.35">
      <c r="A3" s="13">
        <v>1</v>
      </c>
      <c r="B3" s="2">
        <v>12</v>
      </c>
      <c r="C3" s="14">
        <f>+Portada!$DS$19</f>
        <v>0</v>
      </c>
      <c r="D3" s="9" t="e">
        <f>(1+E3)^(1/12)-1</f>
        <v>#N/A</v>
      </c>
      <c r="E3" s="9" t="e">
        <f>+'Motor I'!$C$59</f>
        <v>#N/A</v>
      </c>
      <c r="F3" s="14">
        <f>+'Motor I'!$C$19*-1</f>
        <v>0</v>
      </c>
      <c r="G3" s="14">
        <f>+Portada!$EK$15*-1</f>
        <v>-40000</v>
      </c>
      <c r="H3" s="14">
        <f>+Portada!$EK$17*-1</f>
        <v>0</v>
      </c>
      <c r="I3" s="14">
        <f>+F3+G3+H3</f>
        <v>-40000</v>
      </c>
      <c r="J3" s="14" t="e">
        <f>FV(D3,B3,I3,-C3)</f>
        <v>#N/A</v>
      </c>
      <c r="K3" s="15" t="e">
        <f t="shared" ref="K3:K42" si="0">(C3*D3)</f>
        <v>#N/A</v>
      </c>
      <c r="L3" s="15" t="e">
        <f>(K3*12)</f>
        <v>#N/A</v>
      </c>
      <c r="M3" s="15">
        <f t="shared" ref="M3:M42" si="1">(F3*12)</f>
        <v>0</v>
      </c>
      <c r="N3" s="15" t="e">
        <f>(L3-M3)</f>
        <v>#N/A</v>
      </c>
    </row>
    <row r="4" spans="1:14" x14ac:dyDescent="0.35">
      <c r="A4" s="13">
        <v>2</v>
      </c>
      <c r="B4" s="2">
        <v>12</v>
      </c>
      <c r="C4" s="14" t="e">
        <f>+J3</f>
        <v>#N/A</v>
      </c>
      <c r="D4" s="9" t="e">
        <f t="shared" ref="D4:D42" si="2">(1+E4)^(1/12)-1</f>
        <v>#N/A</v>
      </c>
      <c r="E4" s="9" t="e">
        <f>+'Motor I'!$C$59</f>
        <v>#N/A</v>
      </c>
      <c r="F4" s="14">
        <f>+'Motor I'!$C$19*-1</f>
        <v>0</v>
      </c>
      <c r="G4" s="14">
        <f>+Portada!$EK$15*-1</f>
        <v>-40000</v>
      </c>
      <c r="H4" s="14">
        <f>+Portada!$EK$17*-1</f>
        <v>0</v>
      </c>
      <c r="I4" s="14">
        <f t="shared" ref="I4:I42" si="3">+F4+G4+H4</f>
        <v>-40000</v>
      </c>
      <c r="J4" s="14" t="e">
        <f>FV(D4,B4,I4,-C4)</f>
        <v>#N/A</v>
      </c>
      <c r="K4" s="15" t="e">
        <f t="shared" si="0"/>
        <v>#N/A</v>
      </c>
      <c r="L4" s="15" t="e">
        <f t="shared" ref="L4:L42" si="4">(K4*12)</f>
        <v>#N/A</v>
      </c>
      <c r="M4" s="15">
        <f t="shared" si="1"/>
        <v>0</v>
      </c>
      <c r="N4" s="15" t="e">
        <f t="shared" ref="N4:N42" si="5">(L4-M4)</f>
        <v>#N/A</v>
      </c>
    </row>
    <row r="5" spans="1:14" x14ac:dyDescent="0.35">
      <c r="A5" s="13">
        <v>3</v>
      </c>
      <c r="B5" s="2">
        <v>12</v>
      </c>
      <c r="C5" s="14" t="e">
        <f t="shared" ref="C5:C42" si="6">+J4</f>
        <v>#N/A</v>
      </c>
      <c r="D5" s="9" t="e">
        <f t="shared" si="2"/>
        <v>#N/A</v>
      </c>
      <c r="E5" s="9" t="e">
        <f>+'Motor I'!$C$59</f>
        <v>#N/A</v>
      </c>
      <c r="F5" s="14">
        <f>+'Motor I'!$C$19*-1</f>
        <v>0</v>
      </c>
      <c r="G5" s="14">
        <f>+Portada!$EK$15*-1</f>
        <v>-40000</v>
      </c>
      <c r="H5" s="14">
        <f>+Portada!$EK$17*-1</f>
        <v>0</v>
      </c>
      <c r="I5" s="14">
        <f t="shared" si="3"/>
        <v>-40000</v>
      </c>
      <c r="J5" s="14" t="e">
        <f t="shared" ref="J5:J41" si="7">FV(D5,B5,I5,-C5)</f>
        <v>#N/A</v>
      </c>
      <c r="K5" s="15" t="e">
        <f t="shared" si="0"/>
        <v>#N/A</v>
      </c>
      <c r="L5" s="15" t="e">
        <f t="shared" si="4"/>
        <v>#N/A</v>
      </c>
      <c r="M5" s="15">
        <f t="shared" si="1"/>
        <v>0</v>
      </c>
      <c r="N5" s="15" t="e">
        <f t="shared" si="5"/>
        <v>#N/A</v>
      </c>
    </row>
    <row r="6" spans="1:14" x14ac:dyDescent="0.35">
      <c r="A6" s="13">
        <v>4</v>
      </c>
      <c r="B6" s="2">
        <v>12</v>
      </c>
      <c r="C6" s="14" t="e">
        <f t="shared" si="6"/>
        <v>#N/A</v>
      </c>
      <c r="D6" s="9" t="e">
        <f t="shared" si="2"/>
        <v>#N/A</v>
      </c>
      <c r="E6" s="9" t="e">
        <f>+'Motor I'!$C$59</f>
        <v>#N/A</v>
      </c>
      <c r="F6" s="14">
        <f>+'Motor I'!$C$19*-1</f>
        <v>0</v>
      </c>
      <c r="G6" s="14">
        <f>+Portada!$EK$15*-1</f>
        <v>-40000</v>
      </c>
      <c r="H6" s="14">
        <f>+Portada!$EK$17*-1</f>
        <v>0</v>
      </c>
      <c r="I6" s="14">
        <f t="shared" si="3"/>
        <v>-40000</v>
      </c>
      <c r="J6" s="14" t="e">
        <f t="shared" si="7"/>
        <v>#N/A</v>
      </c>
      <c r="K6" s="15" t="e">
        <f t="shared" si="0"/>
        <v>#N/A</v>
      </c>
      <c r="L6" s="15" t="e">
        <f t="shared" si="4"/>
        <v>#N/A</v>
      </c>
      <c r="M6" s="15">
        <f t="shared" si="1"/>
        <v>0</v>
      </c>
      <c r="N6" s="15" t="e">
        <f t="shared" si="5"/>
        <v>#N/A</v>
      </c>
    </row>
    <row r="7" spans="1:14" x14ac:dyDescent="0.35">
      <c r="A7" s="13">
        <v>5</v>
      </c>
      <c r="B7" s="2">
        <v>12</v>
      </c>
      <c r="C7" s="14" t="e">
        <f t="shared" si="6"/>
        <v>#N/A</v>
      </c>
      <c r="D7" s="9" t="e">
        <f t="shared" si="2"/>
        <v>#N/A</v>
      </c>
      <c r="E7" s="9" t="e">
        <f>+'Motor I'!$C$59</f>
        <v>#N/A</v>
      </c>
      <c r="F7" s="14">
        <f>+'Motor I'!$C$19*-1</f>
        <v>0</v>
      </c>
      <c r="G7" s="14">
        <f>+Portada!$EK$15*-1</f>
        <v>-40000</v>
      </c>
      <c r="H7" s="14">
        <f>+Portada!$EK$17*-1</f>
        <v>0</v>
      </c>
      <c r="I7" s="14">
        <f t="shared" si="3"/>
        <v>-40000</v>
      </c>
      <c r="J7" s="14" t="e">
        <f t="shared" si="7"/>
        <v>#N/A</v>
      </c>
      <c r="K7" s="15" t="e">
        <f t="shared" si="0"/>
        <v>#N/A</v>
      </c>
      <c r="L7" s="15" t="e">
        <f t="shared" si="4"/>
        <v>#N/A</v>
      </c>
      <c r="M7" s="15">
        <f t="shared" si="1"/>
        <v>0</v>
      </c>
      <c r="N7" s="15" t="e">
        <f t="shared" si="5"/>
        <v>#N/A</v>
      </c>
    </row>
    <row r="8" spans="1:14" x14ac:dyDescent="0.35">
      <c r="A8" s="13">
        <v>6</v>
      </c>
      <c r="B8" s="2">
        <v>12</v>
      </c>
      <c r="C8" s="14" t="e">
        <f t="shared" si="6"/>
        <v>#N/A</v>
      </c>
      <c r="D8" s="9" t="e">
        <f t="shared" si="2"/>
        <v>#N/A</v>
      </c>
      <c r="E8" s="9" t="e">
        <f>+'Motor I'!$C$59</f>
        <v>#N/A</v>
      </c>
      <c r="F8" s="14">
        <f>+'Motor I'!$C$19*-1</f>
        <v>0</v>
      </c>
      <c r="G8" s="14">
        <f>+Portada!$EK$15*-1</f>
        <v>-40000</v>
      </c>
      <c r="H8" s="14">
        <f>+Portada!$EK$17*-1</f>
        <v>0</v>
      </c>
      <c r="I8" s="14">
        <f t="shared" si="3"/>
        <v>-40000</v>
      </c>
      <c r="J8" s="14" t="e">
        <f t="shared" si="7"/>
        <v>#N/A</v>
      </c>
      <c r="K8" s="15" t="e">
        <f t="shared" si="0"/>
        <v>#N/A</v>
      </c>
      <c r="L8" s="15" t="e">
        <f t="shared" si="4"/>
        <v>#N/A</v>
      </c>
      <c r="M8" s="15">
        <f t="shared" si="1"/>
        <v>0</v>
      </c>
      <c r="N8" s="15" t="e">
        <f t="shared" si="5"/>
        <v>#N/A</v>
      </c>
    </row>
    <row r="9" spans="1:14" x14ac:dyDescent="0.35">
      <c r="A9" s="13">
        <v>7</v>
      </c>
      <c r="B9" s="2">
        <v>12</v>
      </c>
      <c r="C9" s="14" t="e">
        <f t="shared" si="6"/>
        <v>#N/A</v>
      </c>
      <c r="D9" s="9" t="e">
        <f t="shared" si="2"/>
        <v>#N/A</v>
      </c>
      <c r="E9" s="9" t="e">
        <f>+'Motor I'!$C$59</f>
        <v>#N/A</v>
      </c>
      <c r="F9" s="14">
        <f>+'Motor I'!$C$19*-1</f>
        <v>0</v>
      </c>
      <c r="G9" s="14">
        <f>+Portada!$EK$15*-1</f>
        <v>-40000</v>
      </c>
      <c r="H9" s="14">
        <f>+Portada!$EK$17*-1</f>
        <v>0</v>
      </c>
      <c r="I9" s="14">
        <f t="shared" si="3"/>
        <v>-40000</v>
      </c>
      <c r="J9" s="14" t="e">
        <f t="shared" si="7"/>
        <v>#N/A</v>
      </c>
      <c r="K9" s="15" t="e">
        <f t="shared" si="0"/>
        <v>#N/A</v>
      </c>
      <c r="L9" s="15" t="e">
        <f t="shared" si="4"/>
        <v>#N/A</v>
      </c>
      <c r="M9" s="15">
        <f t="shared" si="1"/>
        <v>0</v>
      </c>
      <c r="N9" s="15" t="e">
        <f t="shared" si="5"/>
        <v>#N/A</v>
      </c>
    </row>
    <row r="10" spans="1:14" x14ac:dyDescent="0.35">
      <c r="A10" s="13">
        <v>8</v>
      </c>
      <c r="B10" s="2">
        <v>12</v>
      </c>
      <c r="C10" s="14" t="e">
        <f t="shared" si="6"/>
        <v>#N/A</v>
      </c>
      <c r="D10" s="9" t="e">
        <f t="shared" si="2"/>
        <v>#N/A</v>
      </c>
      <c r="E10" s="9" t="e">
        <f>+'Motor I'!$C$59</f>
        <v>#N/A</v>
      </c>
      <c r="F10" s="14">
        <f>+'Motor I'!$C$19*-1</f>
        <v>0</v>
      </c>
      <c r="G10" s="14">
        <f>+Portada!$EK$15*-1</f>
        <v>-40000</v>
      </c>
      <c r="H10" s="14">
        <f>+Portada!$EK$17*-1</f>
        <v>0</v>
      </c>
      <c r="I10" s="14">
        <f t="shared" si="3"/>
        <v>-40000</v>
      </c>
      <c r="J10" s="14" t="e">
        <f t="shared" si="7"/>
        <v>#N/A</v>
      </c>
      <c r="K10" s="15" t="e">
        <f t="shared" si="0"/>
        <v>#N/A</v>
      </c>
      <c r="L10" s="15" t="e">
        <f t="shared" si="4"/>
        <v>#N/A</v>
      </c>
      <c r="M10" s="15">
        <f t="shared" si="1"/>
        <v>0</v>
      </c>
      <c r="N10" s="15" t="e">
        <f t="shared" si="5"/>
        <v>#N/A</v>
      </c>
    </row>
    <row r="11" spans="1:14" x14ac:dyDescent="0.35">
      <c r="A11" s="13">
        <v>9</v>
      </c>
      <c r="B11" s="2">
        <v>12</v>
      </c>
      <c r="C11" s="14" t="e">
        <f t="shared" si="6"/>
        <v>#N/A</v>
      </c>
      <c r="D11" s="9" t="e">
        <f t="shared" si="2"/>
        <v>#N/A</v>
      </c>
      <c r="E11" s="9" t="e">
        <f>+'Motor I'!$C$59</f>
        <v>#N/A</v>
      </c>
      <c r="F11" s="14">
        <f>+'Motor I'!$C$19*-1</f>
        <v>0</v>
      </c>
      <c r="G11" s="14">
        <f>+Portada!$EK$15*-1</f>
        <v>-40000</v>
      </c>
      <c r="H11" s="14">
        <f>+Portada!$EK$17*-1</f>
        <v>0</v>
      </c>
      <c r="I11" s="14">
        <f t="shared" si="3"/>
        <v>-40000</v>
      </c>
      <c r="J11" s="14" t="e">
        <f t="shared" si="7"/>
        <v>#N/A</v>
      </c>
      <c r="K11" s="15" t="e">
        <f t="shared" si="0"/>
        <v>#N/A</v>
      </c>
      <c r="L11" s="15" t="e">
        <f t="shared" si="4"/>
        <v>#N/A</v>
      </c>
      <c r="M11" s="15">
        <f t="shared" si="1"/>
        <v>0</v>
      </c>
      <c r="N11" s="15" t="e">
        <f t="shared" si="5"/>
        <v>#N/A</v>
      </c>
    </row>
    <row r="12" spans="1:14" x14ac:dyDescent="0.35">
      <c r="A12" s="13">
        <v>10</v>
      </c>
      <c r="B12" s="2">
        <v>12</v>
      </c>
      <c r="C12" s="14" t="e">
        <f t="shared" si="6"/>
        <v>#N/A</v>
      </c>
      <c r="D12" s="9" t="e">
        <f t="shared" si="2"/>
        <v>#N/A</v>
      </c>
      <c r="E12" s="9" t="e">
        <f>+'Motor I'!$C$59</f>
        <v>#N/A</v>
      </c>
      <c r="F12" s="14">
        <f>+'Motor I'!$C$19*-1</f>
        <v>0</v>
      </c>
      <c r="G12" s="14">
        <f>+Portada!$EK$15*-1</f>
        <v>-40000</v>
      </c>
      <c r="H12" s="14">
        <f>+Portada!$EK$17*-1</f>
        <v>0</v>
      </c>
      <c r="I12" s="14">
        <f t="shared" si="3"/>
        <v>-40000</v>
      </c>
      <c r="J12" s="14" t="e">
        <f t="shared" si="7"/>
        <v>#N/A</v>
      </c>
      <c r="K12" s="15" t="e">
        <f t="shared" si="0"/>
        <v>#N/A</v>
      </c>
      <c r="L12" s="15" t="e">
        <f t="shared" si="4"/>
        <v>#N/A</v>
      </c>
      <c r="M12" s="15">
        <f t="shared" si="1"/>
        <v>0</v>
      </c>
      <c r="N12" s="15" t="e">
        <f t="shared" si="5"/>
        <v>#N/A</v>
      </c>
    </row>
    <row r="13" spans="1:14" x14ac:dyDescent="0.35">
      <c r="A13" s="13">
        <v>11</v>
      </c>
      <c r="B13" s="2">
        <v>12</v>
      </c>
      <c r="C13" s="14" t="e">
        <f t="shared" si="6"/>
        <v>#N/A</v>
      </c>
      <c r="D13" s="9" t="e">
        <f t="shared" si="2"/>
        <v>#N/A</v>
      </c>
      <c r="E13" s="9" t="e">
        <f>+'Motor I'!$C$59</f>
        <v>#N/A</v>
      </c>
      <c r="F13" s="14">
        <f>+'Motor I'!$C$19*-1</f>
        <v>0</v>
      </c>
      <c r="G13" s="14">
        <f>+Portada!$EK$15*-1</f>
        <v>-40000</v>
      </c>
      <c r="H13" s="14">
        <f>+Portada!$EK$17*-1</f>
        <v>0</v>
      </c>
      <c r="I13" s="14">
        <f t="shared" si="3"/>
        <v>-40000</v>
      </c>
      <c r="J13" s="14" t="e">
        <f t="shared" si="7"/>
        <v>#N/A</v>
      </c>
      <c r="K13" s="15" t="e">
        <f t="shared" si="0"/>
        <v>#N/A</v>
      </c>
      <c r="L13" s="15" t="e">
        <f t="shared" si="4"/>
        <v>#N/A</v>
      </c>
      <c r="M13" s="15">
        <f t="shared" si="1"/>
        <v>0</v>
      </c>
      <c r="N13" s="15" t="e">
        <f t="shared" si="5"/>
        <v>#N/A</v>
      </c>
    </row>
    <row r="14" spans="1:14" x14ac:dyDescent="0.35">
      <c r="A14" s="13">
        <v>12</v>
      </c>
      <c r="B14" s="2">
        <v>12</v>
      </c>
      <c r="C14" s="14" t="e">
        <f t="shared" si="6"/>
        <v>#N/A</v>
      </c>
      <c r="D14" s="9" t="e">
        <f t="shared" si="2"/>
        <v>#N/A</v>
      </c>
      <c r="E14" s="9" t="e">
        <f>+'Motor I'!$C$59</f>
        <v>#N/A</v>
      </c>
      <c r="F14" s="14">
        <f>+'Motor I'!$C$19*-1</f>
        <v>0</v>
      </c>
      <c r="G14" s="14">
        <f>+Portada!$EK$15*-1</f>
        <v>-40000</v>
      </c>
      <c r="H14" s="14">
        <f>+Portada!$EK$17*-1</f>
        <v>0</v>
      </c>
      <c r="I14" s="14">
        <f t="shared" si="3"/>
        <v>-40000</v>
      </c>
      <c r="J14" s="14" t="e">
        <f t="shared" si="7"/>
        <v>#N/A</v>
      </c>
      <c r="K14" s="15" t="e">
        <f t="shared" si="0"/>
        <v>#N/A</v>
      </c>
      <c r="L14" s="15" t="e">
        <f t="shared" si="4"/>
        <v>#N/A</v>
      </c>
      <c r="M14" s="15">
        <f t="shared" si="1"/>
        <v>0</v>
      </c>
      <c r="N14" s="15" t="e">
        <f t="shared" si="5"/>
        <v>#N/A</v>
      </c>
    </row>
    <row r="15" spans="1:14" x14ac:dyDescent="0.35">
      <c r="A15" s="13">
        <v>13</v>
      </c>
      <c r="B15" s="2">
        <v>12</v>
      </c>
      <c r="C15" s="14" t="e">
        <f t="shared" si="6"/>
        <v>#N/A</v>
      </c>
      <c r="D15" s="9" t="e">
        <f t="shared" si="2"/>
        <v>#N/A</v>
      </c>
      <c r="E15" s="9" t="e">
        <f>+'Motor I'!$C$59</f>
        <v>#N/A</v>
      </c>
      <c r="F15" s="14">
        <f>+'Motor I'!$C$19*-1</f>
        <v>0</v>
      </c>
      <c r="G15" s="14">
        <f>+Portada!$EK$15*-1</f>
        <v>-40000</v>
      </c>
      <c r="H15" s="14">
        <f>+Portada!$EK$17*-1</f>
        <v>0</v>
      </c>
      <c r="I15" s="14">
        <f t="shared" si="3"/>
        <v>-40000</v>
      </c>
      <c r="J15" s="14" t="e">
        <f t="shared" si="7"/>
        <v>#N/A</v>
      </c>
      <c r="K15" s="15" t="e">
        <f t="shared" si="0"/>
        <v>#N/A</v>
      </c>
      <c r="L15" s="15" t="e">
        <f t="shared" si="4"/>
        <v>#N/A</v>
      </c>
      <c r="M15" s="15">
        <f t="shared" si="1"/>
        <v>0</v>
      </c>
      <c r="N15" s="15" t="e">
        <f t="shared" si="5"/>
        <v>#N/A</v>
      </c>
    </row>
    <row r="16" spans="1:14" x14ac:dyDescent="0.35">
      <c r="A16" s="13">
        <v>14</v>
      </c>
      <c r="B16" s="2">
        <v>12</v>
      </c>
      <c r="C16" s="14" t="e">
        <f t="shared" si="6"/>
        <v>#N/A</v>
      </c>
      <c r="D16" s="9" t="e">
        <f t="shared" si="2"/>
        <v>#N/A</v>
      </c>
      <c r="E16" s="9" t="e">
        <f>+'Motor I'!$C$59</f>
        <v>#N/A</v>
      </c>
      <c r="F16" s="14">
        <f>+'Motor I'!$C$19*-1</f>
        <v>0</v>
      </c>
      <c r="G16" s="14">
        <f>+Portada!$EK$15*-1</f>
        <v>-40000</v>
      </c>
      <c r="H16" s="14">
        <f>+Portada!$EK$17*-1</f>
        <v>0</v>
      </c>
      <c r="I16" s="14">
        <f t="shared" si="3"/>
        <v>-40000</v>
      </c>
      <c r="J16" s="14" t="e">
        <f t="shared" si="7"/>
        <v>#N/A</v>
      </c>
      <c r="K16" s="15" t="e">
        <f t="shared" si="0"/>
        <v>#N/A</v>
      </c>
      <c r="L16" s="15" t="e">
        <f t="shared" si="4"/>
        <v>#N/A</v>
      </c>
      <c r="M16" s="15">
        <f t="shared" si="1"/>
        <v>0</v>
      </c>
      <c r="N16" s="15" t="e">
        <f t="shared" si="5"/>
        <v>#N/A</v>
      </c>
    </row>
    <row r="17" spans="1:14" x14ac:dyDescent="0.35">
      <c r="A17" s="13">
        <v>15</v>
      </c>
      <c r="B17" s="2">
        <v>12</v>
      </c>
      <c r="C17" s="14" t="e">
        <f t="shared" si="6"/>
        <v>#N/A</v>
      </c>
      <c r="D17" s="9" t="e">
        <f t="shared" si="2"/>
        <v>#N/A</v>
      </c>
      <c r="E17" s="9" t="e">
        <f>+'Motor I'!$C$59</f>
        <v>#N/A</v>
      </c>
      <c r="F17" s="14">
        <f>+'Motor I'!$C$19*-1</f>
        <v>0</v>
      </c>
      <c r="G17" s="14">
        <f>+Portada!$EK$15*-1</f>
        <v>-40000</v>
      </c>
      <c r="H17" s="14">
        <f>+Portada!$EK$17*-1</f>
        <v>0</v>
      </c>
      <c r="I17" s="14">
        <f t="shared" si="3"/>
        <v>-40000</v>
      </c>
      <c r="J17" s="14" t="e">
        <f>FV(D17,B17,I17,-C17)</f>
        <v>#N/A</v>
      </c>
      <c r="K17" s="15" t="e">
        <f t="shared" si="0"/>
        <v>#N/A</v>
      </c>
      <c r="L17" s="15" t="e">
        <f t="shared" si="4"/>
        <v>#N/A</v>
      </c>
      <c r="M17" s="15">
        <f t="shared" si="1"/>
        <v>0</v>
      </c>
      <c r="N17" s="15" t="e">
        <f t="shared" si="5"/>
        <v>#N/A</v>
      </c>
    </row>
    <row r="18" spans="1:14" x14ac:dyDescent="0.35">
      <c r="A18" s="13">
        <v>16</v>
      </c>
      <c r="B18" s="2">
        <v>12</v>
      </c>
      <c r="C18" s="14" t="e">
        <f t="shared" si="6"/>
        <v>#N/A</v>
      </c>
      <c r="D18" s="9" t="e">
        <f t="shared" si="2"/>
        <v>#N/A</v>
      </c>
      <c r="E18" s="9" t="e">
        <f>+'Motor I'!$C$59</f>
        <v>#N/A</v>
      </c>
      <c r="F18" s="14">
        <f>+'Motor I'!$C$19*-1</f>
        <v>0</v>
      </c>
      <c r="G18" s="14">
        <f>+Portada!$EK$15*-1</f>
        <v>-40000</v>
      </c>
      <c r="H18" s="14">
        <f>+Portada!$EK$17*-1</f>
        <v>0</v>
      </c>
      <c r="I18" s="14">
        <f t="shared" si="3"/>
        <v>-40000</v>
      </c>
      <c r="J18" s="14" t="e">
        <f t="shared" si="7"/>
        <v>#N/A</v>
      </c>
      <c r="K18" s="15" t="e">
        <f t="shared" si="0"/>
        <v>#N/A</v>
      </c>
      <c r="L18" s="15" t="e">
        <f t="shared" si="4"/>
        <v>#N/A</v>
      </c>
      <c r="M18" s="15">
        <f t="shared" si="1"/>
        <v>0</v>
      </c>
      <c r="N18" s="15" t="e">
        <f t="shared" si="5"/>
        <v>#N/A</v>
      </c>
    </row>
    <row r="19" spans="1:14" x14ac:dyDescent="0.35">
      <c r="A19" s="13">
        <v>17</v>
      </c>
      <c r="B19" s="2">
        <v>12</v>
      </c>
      <c r="C19" s="14" t="e">
        <f t="shared" si="6"/>
        <v>#N/A</v>
      </c>
      <c r="D19" s="9" t="e">
        <f t="shared" si="2"/>
        <v>#N/A</v>
      </c>
      <c r="E19" s="9" t="e">
        <f>+'Motor I'!$C$59</f>
        <v>#N/A</v>
      </c>
      <c r="F19" s="14">
        <f>+'Motor I'!$C$19*-1</f>
        <v>0</v>
      </c>
      <c r="G19" s="14">
        <f>+Portada!$EK$15*-1</f>
        <v>-40000</v>
      </c>
      <c r="H19" s="14">
        <f>+Portada!$EK$17*-1</f>
        <v>0</v>
      </c>
      <c r="I19" s="14">
        <f t="shared" si="3"/>
        <v>-40000</v>
      </c>
      <c r="J19" s="14" t="e">
        <f t="shared" si="7"/>
        <v>#N/A</v>
      </c>
      <c r="K19" s="15" t="e">
        <f t="shared" si="0"/>
        <v>#N/A</v>
      </c>
      <c r="L19" s="15" t="e">
        <f t="shared" si="4"/>
        <v>#N/A</v>
      </c>
      <c r="M19" s="15">
        <f t="shared" si="1"/>
        <v>0</v>
      </c>
      <c r="N19" s="15" t="e">
        <f t="shared" si="5"/>
        <v>#N/A</v>
      </c>
    </row>
    <row r="20" spans="1:14" x14ac:dyDescent="0.35">
      <c r="A20" s="13">
        <v>18</v>
      </c>
      <c r="B20" s="2">
        <v>12</v>
      </c>
      <c r="C20" s="14" t="e">
        <f t="shared" si="6"/>
        <v>#N/A</v>
      </c>
      <c r="D20" s="9" t="e">
        <f t="shared" si="2"/>
        <v>#N/A</v>
      </c>
      <c r="E20" s="9" t="e">
        <f>+'Motor I'!$C$59</f>
        <v>#N/A</v>
      </c>
      <c r="F20" s="14">
        <f>+'Motor I'!$C$19*-1</f>
        <v>0</v>
      </c>
      <c r="G20" s="14">
        <f>+Portada!$EK$15*-1</f>
        <v>-40000</v>
      </c>
      <c r="H20" s="14">
        <f>+Portada!$EK$17*-1</f>
        <v>0</v>
      </c>
      <c r="I20" s="14">
        <f t="shared" si="3"/>
        <v>-40000</v>
      </c>
      <c r="J20" s="14" t="e">
        <f t="shared" si="7"/>
        <v>#N/A</v>
      </c>
      <c r="K20" s="15" t="e">
        <f t="shared" si="0"/>
        <v>#N/A</v>
      </c>
      <c r="L20" s="15" t="e">
        <f t="shared" si="4"/>
        <v>#N/A</v>
      </c>
      <c r="M20" s="15">
        <f t="shared" si="1"/>
        <v>0</v>
      </c>
      <c r="N20" s="15" t="e">
        <f t="shared" si="5"/>
        <v>#N/A</v>
      </c>
    </row>
    <row r="21" spans="1:14" x14ac:dyDescent="0.35">
      <c r="A21" s="13">
        <v>19</v>
      </c>
      <c r="B21" s="2">
        <v>12</v>
      </c>
      <c r="C21" s="14" t="e">
        <f t="shared" si="6"/>
        <v>#N/A</v>
      </c>
      <c r="D21" s="9" t="e">
        <f t="shared" si="2"/>
        <v>#N/A</v>
      </c>
      <c r="E21" s="9" t="e">
        <f>+'Motor I'!$C$59</f>
        <v>#N/A</v>
      </c>
      <c r="F21" s="14">
        <f>+'Motor I'!$C$19*-1</f>
        <v>0</v>
      </c>
      <c r="G21" s="14">
        <f>+Portada!$EK$15*-1</f>
        <v>-40000</v>
      </c>
      <c r="H21" s="14">
        <f>+Portada!$EK$17*-1</f>
        <v>0</v>
      </c>
      <c r="I21" s="14">
        <f t="shared" si="3"/>
        <v>-40000</v>
      </c>
      <c r="J21" s="14" t="e">
        <f t="shared" si="7"/>
        <v>#N/A</v>
      </c>
      <c r="K21" s="15" t="e">
        <f t="shared" si="0"/>
        <v>#N/A</v>
      </c>
      <c r="L21" s="15" t="e">
        <f t="shared" si="4"/>
        <v>#N/A</v>
      </c>
      <c r="M21" s="15">
        <f t="shared" si="1"/>
        <v>0</v>
      </c>
      <c r="N21" s="15" t="e">
        <f t="shared" si="5"/>
        <v>#N/A</v>
      </c>
    </row>
    <row r="22" spans="1:14" x14ac:dyDescent="0.35">
      <c r="A22" s="13">
        <v>20</v>
      </c>
      <c r="B22" s="2">
        <v>12</v>
      </c>
      <c r="C22" s="14" t="e">
        <f t="shared" si="6"/>
        <v>#N/A</v>
      </c>
      <c r="D22" s="9" t="e">
        <f t="shared" si="2"/>
        <v>#N/A</v>
      </c>
      <c r="E22" s="9" t="e">
        <f>+'Motor I'!$C$59</f>
        <v>#N/A</v>
      </c>
      <c r="F22" s="14">
        <f>+'Motor I'!$C$19*-1</f>
        <v>0</v>
      </c>
      <c r="G22" s="14">
        <f>+Portada!$EK$15*-1</f>
        <v>-40000</v>
      </c>
      <c r="H22" s="14">
        <f>+Portada!$EK$17*-1</f>
        <v>0</v>
      </c>
      <c r="I22" s="14">
        <f t="shared" si="3"/>
        <v>-40000</v>
      </c>
      <c r="J22" s="14" t="e">
        <f t="shared" si="7"/>
        <v>#N/A</v>
      </c>
      <c r="K22" s="15" t="e">
        <f t="shared" si="0"/>
        <v>#N/A</v>
      </c>
      <c r="L22" s="15" t="e">
        <f t="shared" si="4"/>
        <v>#N/A</v>
      </c>
      <c r="M22" s="15">
        <f t="shared" si="1"/>
        <v>0</v>
      </c>
      <c r="N22" s="15" t="e">
        <f t="shared" si="5"/>
        <v>#N/A</v>
      </c>
    </row>
    <row r="23" spans="1:14" x14ac:dyDescent="0.35">
      <c r="A23" s="13">
        <v>21</v>
      </c>
      <c r="B23" s="2">
        <v>12</v>
      </c>
      <c r="C23" s="14" t="e">
        <f t="shared" si="6"/>
        <v>#N/A</v>
      </c>
      <c r="D23" s="9" t="e">
        <f t="shared" si="2"/>
        <v>#N/A</v>
      </c>
      <c r="E23" s="9" t="e">
        <f>+'Motor I'!$C$59</f>
        <v>#N/A</v>
      </c>
      <c r="F23" s="14">
        <f>+'Motor I'!$C$19*-1</f>
        <v>0</v>
      </c>
      <c r="G23" s="14">
        <f>+Portada!$EK$15*-1</f>
        <v>-40000</v>
      </c>
      <c r="H23" s="14">
        <f>+Portada!$EK$17*-1</f>
        <v>0</v>
      </c>
      <c r="I23" s="14">
        <f t="shared" si="3"/>
        <v>-40000</v>
      </c>
      <c r="J23" s="14" t="e">
        <f t="shared" si="7"/>
        <v>#N/A</v>
      </c>
      <c r="K23" s="15" t="e">
        <f t="shared" si="0"/>
        <v>#N/A</v>
      </c>
      <c r="L23" s="15" t="e">
        <f t="shared" si="4"/>
        <v>#N/A</v>
      </c>
      <c r="M23" s="15">
        <f t="shared" si="1"/>
        <v>0</v>
      </c>
      <c r="N23" s="15" t="e">
        <f t="shared" si="5"/>
        <v>#N/A</v>
      </c>
    </row>
    <row r="24" spans="1:14" x14ac:dyDescent="0.35">
      <c r="A24" s="13">
        <v>22</v>
      </c>
      <c r="B24" s="2">
        <v>12</v>
      </c>
      <c r="C24" s="14" t="e">
        <f t="shared" si="6"/>
        <v>#N/A</v>
      </c>
      <c r="D24" s="9" t="e">
        <f t="shared" si="2"/>
        <v>#N/A</v>
      </c>
      <c r="E24" s="9" t="e">
        <f>+'Motor I'!$C$59</f>
        <v>#N/A</v>
      </c>
      <c r="F24" s="14">
        <f>+'Motor I'!$C$19*-1</f>
        <v>0</v>
      </c>
      <c r="G24" s="14">
        <f>+Portada!$EK$15*-1</f>
        <v>-40000</v>
      </c>
      <c r="H24" s="14">
        <f>+Portada!$EK$17*-1</f>
        <v>0</v>
      </c>
      <c r="I24" s="14">
        <f t="shared" si="3"/>
        <v>-40000</v>
      </c>
      <c r="J24" s="14" t="e">
        <f t="shared" si="7"/>
        <v>#N/A</v>
      </c>
      <c r="K24" s="15" t="e">
        <f t="shared" si="0"/>
        <v>#N/A</v>
      </c>
      <c r="L24" s="15" t="e">
        <f t="shared" si="4"/>
        <v>#N/A</v>
      </c>
      <c r="M24" s="15">
        <f t="shared" si="1"/>
        <v>0</v>
      </c>
      <c r="N24" s="15" t="e">
        <f t="shared" si="5"/>
        <v>#N/A</v>
      </c>
    </row>
    <row r="25" spans="1:14" x14ac:dyDescent="0.35">
      <c r="A25" s="13">
        <v>23</v>
      </c>
      <c r="B25" s="2">
        <v>12</v>
      </c>
      <c r="C25" s="14" t="e">
        <f t="shared" si="6"/>
        <v>#N/A</v>
      </c>
      <c r="D25" s="9" t="e">
        <f t="shared" si="2"/>
        <v>#N/A</v>
      </c>
      <c r="E25" s="9" t="e">
        <f>+'Motor I'!$C$59</f>
        <v>#N/A</v>
      </c>
      <c r="F25" s="14">
        <f>+'Motor I'!$C$19*-1</f>
        <v>0</v>
      </c>
      <c r="G25" s="14">
        <f>+Portada!$EK$15*-1</f>
        <v>-40000</v>
      </c>
      <c r="H25" s="14">
        <f>+Portada!$EK$17*-1</f>
        <v>0</v>
      </c>
      <c r="I25" s="14">
        <f t="shared" si="3"/>
        <v>-40000</v>
      </c>
      <c r="J25" s="14" t="e">
        <f t="shared" si="7"/>
        <v>#N/A</v>
      </c>
      <c r="K25" s="15" t="e">
        <f t="shared" si="0"/>
        <v>#N/A</v>
      </c>
      <c r="L25" s="15" t="e">
        <f t="shared" si="4"/>
        <v>#N/A</v>
      </c>
      <c r="M25" s="15">
        <f t="shared" si="1"/>
        <v>0</v>
      </c>
      <c r="N25" s="15" t="e">
        <f t="shared" si="5"/>
        <v>#N/A</v>
      </c>
    </row>
    <row r="26" spans="1:14" x14ac:dyDescent="0.35">
      <c r="A26" s="13">
        <v>24</v>
      </c>
      <c r="B26" s="2">
        <v>12</v>
      </c>
      <c r="C26" s="14" t="e">
        <f t="shared" si="6"/>
        <v>#N/A</v>
      </c>
      <c r="D26" s="9" t="e">
        <f t="shared" si="2"/>
        <v>#N/A</v>
      </c>
      <c r="E26" s="9" t="e">
        <f>+'Motor I'!$C$59</f>
        <v>#N/A</v>
      </c>
      <c r="F26" s="14">
        <f>+'Motor I'!$C$19*-1</f>
        <v>0</v>
      </c>
      <c r="G26" s="14">
        <f>+Portada!$EK$15*-1</f>
        <v>-40000</v>
      </c>
      <c r="H26" s="14">
        <f>+Portada!$EK$17*-1</f>
        <v>0</v>
      </c>
      <c r="I26" s="14">
        <f t="shared" si="3"/>
        <v>-40000</v>
      </c>
      <c r="J26" s="14" t="e">
        <f t="shared" si="7"/>
        <v>#N/A</v>
      </c>
      <c r="K26" s="15" t="e">
        <f t="shared" si="0"/>
        <v>#N/A</v>
      </c>
      <c r="L26" s="15" t="e">
        <f t="shared" si="4"/>
        <v>#N/A</v>
      </c>
      <c r="M26" s="15">
        <f t="shared" si="1"/>
        <v>0</v>
      </c>
      <c r="N26" s="15" t="e">
        <f t="shared" si="5"/>
        <v>#N/A</v>
      </c>
    </row>
    <row r="27" spans="1:14" x14ac:dyDescent="0.35">
      <c r="A27" s="13">
        <v>25</v>
      </c>
      <c r="B27" s="2">
        <v>12</v>
      </c>
      <c r="C27" s="14" t="e">
        <f t="shared" si="6"/>
        <v>#N/A</v>
      </c>
      <c r="D27" s="9" t="e">
        <f t="shared" si="2"/>
        <v>#N/A</v>
      </c>
      <c r="E27" s="9" t="e">
        <f>+'Motor I'!$C$59</f>
        <v>#N/A</v>
      </c>
      <c r="F27" s="14">
        <f>+'Motor I'!$C$19*-1</f>
        <v>0</v>
      </c>
      <c r="G27" s="14">
        <f>+Portada!$EK$15*-1</f>
        <v>-40000</v>
      </c>
      <c r="H27" s="14">
        <f>+Portada!$EK$17*-1</f>
        <v>0</v>
      </c>
      <c r="I27" s="14">
        <f t="shared" si="3"/>
        <v>-40000</v>
      </c>
      <c r="J27" s="14" t="e">
        <f t="shared" si="7"/>
        <v>#N/A</v>
      </c>
      <c r="K27" s="15" t="e">
        <f t="shared" si="0"/>
        <v>#N/A</v>
      </c>
      <c r="L27" s="15" t="e">
        <f t="shared" si="4"/>
        <v>#N/A</v>
      </c>
      <c r="M27" s="15">
        <f t="shared" si="1"/>
        <v>0</v>
      </c>
      <c r="N27" s="15" t="e">
        <f t="shared" si="5"/>
        <v>#N/A</v>
      </c>
    </row>
    <row r="28" spans="1:14" x14ac:dyDescent="0.35">
      <c r="A28" s="13">
        <v>26</v>
      </c>
      <c r="B28" s="2">
        <v>12</v>
      </c>
      <c r="C28" s="14" t="e">
        <f t="shared" si="6"/>
        <v>#N/A</v>
      </c>
      <c r="D28" s="9" t="e">
        <f t="shared" si="2"/>
        <v>#N/A</v>
      </c>
      <c r="E28" s="9" t="e">
        <f>+'Motor I'!$C$59</f>
        <v>#N/A</v>
      </c>
      <c r="F28" s="14">
        <f>+'Motor I'!$C$19*-1</f>
        <v>0</v>
      </c>
      <c r="G28" s="14">
        <f>+Portada!$EK$15*-1</f>
        <v>-40000</v>
      </c>
      <c r="H28" s="14">
        <f>+Portada!$EK$17*-1</f>
        <v>0</v>
      </c>
      <c r="I28" s="14">
        <f t="shared" si="3"/>
        <v>-40000</v>
      </c>
      <c r="J28" s="14" t="e">
        <f t="shared" si="7"/>
        <v>#N/A</v>
      </c>
      <c r="K28" s="15" t="e">
        <f t="shared" si="0"/>
        <v>#N/A</v>
      </c>
      <c r="L28" s="15" t="e">
        <f t="shared" si="4"/>
        <v>#N/A</v>
      </c>
      <c r="M28" s="15">
        <f t="shared" si="1"/>
        <v>0</v>
      </c>
      <c r="N28" s="15" t="e">
        <f t="shared" si="5"/>
        <v>#N/A</v>
      </c>
    </row>
    <row r="29" spans="1:14" x14ac:dyDescent="0.35">
      <c r="A29" s="13">
        <v>27</v>
      </c>
      <c r="B29" s="2">
        <v>12</v>
      </c>
      <c r="C29" s="14" t="e">
        <f t="shared" si="6"/>
        <v>#N/A</v>
      </c>
      <c r="D29" s="9" t="e">
        <f t="shared" si="2"/>
        <v>#N/A</v>
      </c>
      <c r="E29" s="9" t="e">
        <f>+'Motor I'!$C$59</f>
        <v>#N/A</v>
      </c>
      <c r="F29" s="14">
        <f>+'Motor I'!$C$19*-1</f>
        <v>0</v>
      </c>
      <c r="G29" s="14">
        <f>+Portada!$EK$15*-1</f>
        <v>-40000</v>
      </c>
      <c r="H29" s="14">
        <f>+Portada!$EK$17*-1</f>
        <v>0</v>
      </c>
      <c r="I29" s="14">
        <f t="shared" si="3"/>
        <v>-40000</v>
      </c>
      <c r="J29" s="14" t="e">
        <f t="shared" si="7"/>
        <v>#N/A</v>
      </c>
      <c r="K29" s="15" t="e">
        <f t="shared" si="0"/>
        <v>#N/A</v>
      </c>
      <c r="L29" s="15" t="e">
        <f t="shared" si="4"/>
        <v>#N/A</v>
      </c>
      <c r="M29" s="15">
        <f t="shared" si="1"/>
        <v>0</v>
      </c>
      <c r="N29" s="15" t="e">
        <f t="shared" si="5"/>
        <v>#N/A</v>
      </c>
    </row>
    <row r="30" spans="1:14" x14ac:dyDescent="0.35">
      <c r="A30" s="13">
        <v>28</v>
      </c>
      <c r="B30" s="2">
        <v>12</v>
      </c>
      <c r="C30" s="14" t="e">
        <f t="shared" si="6"/>
        <v>#N/A</v>
      </c>
      <c r="D30" s="9" t="e">
        <f t="shared" si="2"/>
        <v>#N/A</v>
      </c>
      <c r="E30" s="9" t="e">
        <f>+'Motor I'!$C$59</f>
        <v>#N/A</v>
      </c>
      <c r="F30" s="14">
        <f>+'Motor I'!$C$19*-1</f>
        <v>0</v>
      </c>
      <c r="G30" s="14">
        <f>+Portada!$EK$15*-1</f>
        <v>-40000</v>
      </c>
      <c r="H30" s="14">
        <f>+Portada!$EK$17*-1</f>
        <v>0</v>
      </c>
      <c r="I30" s="14">
        <f t="shared" si="3"/>
        <v>-40000</v>
      </c>
      <c r="J30" s="14" t="e">
        <f t="shared" si="7"/>
        <v>#N/A</v>
      </c>
      <c r="K30" s="15" t="e">
        <f t="shared" si="0"/>
        <v>#N/A</v>
      </c>
      <c r="L30" s="15" t="e">
        <f t="shared" si="4"/>
        <v>#N/A</v>
      </c>
      <c r="M30" s="15">
        <f t="shared" si="1"/>
        <v>0</v>
      </c>
      <c r="N30" s="15" t="e">
        <f t="shared" si="5"/>
        <v>#N/A</v>
      </c>
    </row>
    <row r="31" spans="1:14" x14ac:dyDescent="0.35">
      <c r="A31" s="13">
        <v>29</v>
      </c>
      <c r="B31" s="2">
        <v>12</v>
      </c>
      <c r="C31" s="14" t="e">
        <f t="shared" si="6"/>
        <v>#N/A</v>
      </c>
      <c r="D31" s="9" t="e">
        <f t="shared" si="2"/>
        <v>#N/A</v>
      </c>
      <c r="E31" s="9" t="e">
        <f>+'Motor I'!$C$59</f>
        <v>#N/A</v>
      </c>
      <c r="F31" s="14">
        <f>+'Motor I'!$C$19*-1</f>
        <v>0</v>
      </c>
      <c r="G31" s="14">
        <f>+Portada!$EK$15*-1</f>
        <v>-40000</v>
      </c>
      <c r="H31" s="14">
        <f>+Portada!$EK$17*-1</f>
        <v>0</v>
      </c>
      <c r="I31" s="14">
        <f t="shared" si="3"/>
        <v>-40000</v>
      </c>
      <c r="J31" s="14" t="e">
        <f t="shared" si="7"/>
        <v>#N/A</v>
      </c>
      <c r="K31" s="15" t="e">
        <f t="shared" si="0"/>
        <v>#N/A</v>
      </c>
      <c r="L31" s="15" t="e">
        <f t="shared" si="4"/>
        <v>#N/A</v>
      </c>
      <c r="M31" s="15">
        <f t="shared" si="1"/>
        <v>0</v>
      </c>
      <c r="N31" s="15" t="e">
        <f t="shared" si="5"/>
        <v>#N/A</v>
      </c>
    </row>
    <row r="32" spans="1:14" x14ac:dyDescent="0.35">
      <c r="A32" s="13">
        <v>30</v>
      </c>
      <c r="B32" s="2">
        <v>12</v>
      </c>
      <c r="C32" s="14" t="e">
        <f t="shared" si="6"/>
        <v>#N/A</v>
      </c>
      <c r="D32" s="9" t="e">
        <f t="shared" si="2"/>
        <v>#N/A</v>
      </c>
      <c r="E32" s="9" t="e">
        <f>+'Motor I'!$C$59</f>
        <v>#N/A</v>
      </c>
      <c r="F32" s="14">
        <f>+'Motor I'!$C$19*-1</f>
        <v>0</v>
      </c>
      <c r="G32" s="14">
        <f>+Portada!$EK$15*-1</f>
        <v>-40000</v>
      </c>
      <c r="H32" s="14">
        <f>+Portada!$EK$17*-1</f>
        <v>0</v>
      </c>
      <c r="I32" s="14">
        <f t="shared" si="3"/>
        <v>-40000</v>
      </c>
      <c r="J32" s="14" t="e">
        <f t="shared" si="7"/>
        <v>#N/A</v>
      </c>
      <c r="K32" s="15" t="e">
        <f t="shared" si="0"/>
        <v>#N/A</v>
      </c>
      <c r="L32" s="15" t="e">
        <f t="shared" si="4"/>
        <v>#N/A</v>
      </c>
      <c r="M32" s="15">
        <f t="shared" si="1"/>
        <v>0</v>
      </c>
      <c r="N32" s="15" t="e">
        <f t="shared" si="5"/>
        <v>#N/A</v>
      </c>
    </row>
    <row r="33" spans="1:14" x14ac:dyDescent="0.35">
      <c r="A33" s="13">
        <v>31</v>
      </c>
      <c r="B33" s="2">
        <v>12</v>
      </c>
      <c r="C33" s="14" t="e">
        <f t="shared" si="6"/>
        <v>#N/A</v>
      </c>
      <c r="D33" s="9" t="e">
        <f t="shared" si="2"/>
        <v>#N/A</v>
      </c>
      <c r="E33" s="9" t="e">
        <f>+'Motor I'!$C$59</f>
        <v>#N/A</v>
      </c>
      <c r="F33" s="14">
        <f>+'Motor I'!$C$19*-1</f>
        <v>0</v>
      </c>
      <c r="G33" s="14">
        <f>+Portada!$EK$15*-1</f>
        <v>-40000</v>
      </c>
      <c r="H33" s="14">
        <f>+Portada!$EK$17*-1</f>
        <v>0</v>
      </c>
      <c r="I33" s="14">
        <f t="shared" si="3"/>
        <v>-40000</v>
      </c>
      <c r="J33" s="14" t="e">
        <f t="shared" si="7"/>
        <v>#N/A</v>
      </c>
      <c r="K33" s="15" t="e">
        <f t="shared" si="0"/>
        <v>#N/A</v>
      </c>
      <c r="L33" s="15" t="e">
        <f t="shared" si="4"/>
        <v>#N/A</v>
      </c>
      <c r="M33" s="15">
        <f t="shared" si="1"/>
        <v>0</v>
      </c>
      <c r="N33" s="15" t="e">
        <f t="shared" si="5"/>
        <v>#N/A</v>
      </c>
    </row>
    <row r="34" spans="1:14" x14ac:dyDescent="0.35">
      <c r="A34" s="13">
        <v>32</v>
      </c>
      <c r="B34" s="2">
        <v>12</v>
      </c>
      <c r="C34" s="14" t="e">
        <f t="shared" si="6"/>
        <v>#N/A</v>
      </c>
      <c r="D34" s="9" t="e">
        <f t="shared" si="2"/>
        <v>#N/A</v>
      </c>
      <c r="E34" s="9" t="e">
        <f>+'Motor I'!$C$59</f>
        <v>#N/A</v>
      </c>
      <c r="F34" s="14">
        <f>+'Motor I'!$C$19*-1</f>
        <v>0</v>
      </c>
      <c r="G34" s="14">
        <f>+Portada!$EK$15*-1</f>
        <v>-40000</v>
      </c>
      <c r="H34" s="14">
        <f>+Portada!$EK$17*-1</f>
        <v>0</v>
      </c>
      <c r="I34" s="14">
        <f t="shared" si="3"/>
        <v>-40000</v>
      </c>
      <c r="J34" s="14" t="e">
        <f t="shared" si="7"/>
        <v>#N/A</v>
      </c>
      <c r="K34" s="15" t="e">
        <f t="shared" si="0"/>
        <v>#N/A</v>
      </c>
      <c r="L34" s="15" t="e">
        <f t="shared" si="4"/>
        <v>#N/A</v>
      </c>
      <c r="M34" s="15">
        <f t="shared" si="1"/>
        <v>0</v>
      </c>
      <c r="N34" s="15" t="e">
        <f t="shared" si="5"/>
        <v>#N/A</v>
      </c>
    </row>
    <row r="35" spans="1:14" x14ac:dyDescent="0.35">
      <c r="A35" s="13">
        <v>33</v>
      </c>
      <c r="B35" s="2">
        <v>12</v>
      </c>
      <c r="C35" s="14" t="e">
        <f t="shared" si="6"/>
        <v>#N/A</v>
      </c>
      <c r="D35" s="9" t="e">
        <f t="shared" si="2"/>
        <v>#N/A</v>
      </c>
      <c r="E35" s="9" t="e">
        <f>+'Motor I'!$C$59</f>
        <v>#N/A</v>
      </c>
      <c r="F35" s="14">
        <f>+'Motor I'!$C$19*-1</f>
        <v>0</v>
      </c>
      <c r="G35" s="14">
        <f>+Portada!$EK$15*-1</f>
        <v>-40000</v>
      </c>
      <c r="H35" s="14">
        <f>+Portada!$EK$17*-1</f>
        <v>0</v>
      </c>
      <c r="I35" s="14">
        <f t="shared" si="3"/>
        <v>-40000</v>
      </c>
      <c r="J35" s="14" t="e">
        <f t="shared" si="7"/>
        <v>#N/A</v>
      </c>
      <c r="K35" s="15" t="e">
        <f t="shared" si="0"/>
        <v>#N/A</v>
      </c>
      <c r="L35" s="15" t="e">
        <f t="shared" si="4"/>
        <v>#N/A</v>
      </c>
      <c r="M35" s="15">
        <f t="shared" si="1"/>
        <v>0</v>
      </c>
      <c r="N35" s="15" t="e">
        <f t="shared" si="5"/>
        <v>#N/A</v>
      </c>
    </row>
    <row r="36" spans="1:14" x14ac:dyDescent="0.35">
      <c r="A36" s="13">
        <v>34</v>
      </c>
      <c r="B36" s="2">
        <v>12</v>
      </c>
      <c r="C36" s="14" t="e">
        <f t="shared" si="6"/>
        <v>#N/A</v>
      </c>
      <c r="D36" s="9" t="e">
        <f t="shared" si="2"/>
        <v>#N/A</v>
      </c>
      <c r="E36" s="9" t="e">
        <f>+'Motor I'!$C$59</f>
        <v>#N/A</v>
      </c>
      <c r="F36" s="14">
        <f>+'Motor I'!$C$19*-1</f>
        <v>0</v>
      </c>
      <c r="G36" s="14">
        <f>+Portada!$EK$15*-1</f>
        <v>-40000</v>
      </c>
      <c r="H36" s="14">
        <f>+Portada!$EK$17*-1</f>
        <v>0</v>
      </c>
      <c r="I36" s="14">
        <f t="shared" si="3"/>
        <v>-40000</v>
      </c>
      <c r="J36" s="14" t="e">
        <f t="shared" si="7"/>
        <v>#N/A</v>
      </c>
      <c r="K36" s="15" t="e">
        <f t="shared" si="0"/>
        <v>#N/A</v>
      </c>
      <c r="L36" s="15" t="e">
        <f t="shared" si="4"/>
        <v>#N/A</v>
      </c>
      <c r="M36" s="15">
        <f t="shared" si="1"/>
        <v>0</v>
      </c>
      <c r="N36" s="15" t="e">
        <f t="shared" si="5"/>
        <v>#N/A</v>
      </c>
    </row>
    <row r="37" spans="1:14" x14ac:dyDescent="0.35">
      <c r="A37" s="13">
        <v>35</v>
      </c>
      <c r="B37" s="2">
        <v>12</v>
      </c>
      <c r="C37" s="14" t="e">
        <f t="shared" si="6"/>
        <v>#N/A</v>
      </c>
      <c r="D37" s="9" t="e">
        <f t="shared" si="2"/>
        <v>#N/A</v>
      </c>
      <c r="E37" s="9" t="e">
        <f>+'Motor I'!$C$59</f>
        <v>#N/A</v>
      </c>
      <c r="F37" s="14">
        <f>+'Motor I'!$C$19*-1</f>
        <v>0</v>
      </c>
      <c r="G37" s="14">
        <f>+Portada!$EK$15*-1</f>
        <v>-40000</v>
      </c>
      <c r="H37" s="14">
        <f>+Portada!$EK$17*-1</f>
        <v>0</v>
      </c>
      <c r="I37" s="14">
        <f t="shared" si="3"/>
        <v>-40000</v>
      </c>
      <c r="J37" s="14" t="e">
        <f t="shared" si="7"/>
        <v>#N/A</v>
      </c>
      <c r="K37" s="15" t="e">
        <f t="shared" si="0"/>
        <v>#N/A</v>
      </c>
      <c r="L37" s="15" t="e">
        <f t="shared" si="4"/>
        <v>#N/A</v>
      </c>
      <c r="M37" s="15">
        <f t="shared" si="1"/>
        <v>0</v>
      </c>
      <c r="N37" s="15" t="e">
        <f t="shared" si="5"/>
        <v>#N/A</v>
      </c>
    </row>
    <row r="38" spans="1:14" x14ac:dyDescent="0.35">
      <c r="A38" s="13">
        <v>36</v>
      </c>
      <c r="B38" s="2">
        <v>12</v>
      </c>
      <c r="C38" s="14" t="e">
        <f t="shared" si="6"/>
        <v>#N/A</v>
      </c>
      <c r="D38" s="9" t="e">
        <f t="shared" si="2"/>
        <v>#N/A</v>
      </c>
      <c r="E38" s="9" t="e">
        <f>+'Motor I'!$C$59</f>
        <v>#N/A</v>
      </c>
      <c r="F38" s="14">
        <f>+'Motor I'!$C$19*-1</f>
        <v>0</v>
      </c>
      <c r="G38" s="14">
        <f>+Portada!$EK$15*-1</f>
        <v>-40000</v>
      </c>
      <c r="H38" s="14">
        <f>+Portada!$EK$17*-1</f>
        <v>0</v>
      </c>
      <c r="I38" s="14">
        <f t="shared" si="3"/>
        <v>-40000</v>
      </c>
      <c r="J38" s="14" t="e">
        <f t="shared" si="7"/>
        <v>#N/A</v>
      </c>
      <c r="K38" s="15" t="e">
        <f t="shared" si="0"/>
        <v>#N/A</v>
      </c>
      <c r="L38" s="15" t="e">
        <f t="shared" si="4"/>
        <v>#N/A</v>
      </c>
      <c r="M38" s="15">
        <f t="shared" si="1"/>
        <v>0</v>
      </c>
      <c r="N38" s="15" t="e">
        <f t="shared" si="5"/>
        <v>#N/A</v>
      </c>
    </row>
    <row r="39" spans="1:14" x14ac:dyDescent="0.35">
      <c r="A39" s="13">
        <v>37</v>
      </c>
      <c r="B39" s="2">
        <v>12</v>
      </c>
      <c r="C39" s="14" t="e">
        <f t="shared" si="6"/>
        <v>#N/A</v>
      </c>
      <c r="D39" s="9" t="e">
        <f t="shared" si="2"/>
        <v>#N/A</v>
      </c>
      <c r="E39" s="9" t="e">
        <f>+'Motor I'!$C$59</f>
        <v>#N/A</v>
      </c>
      <c r="F39" s="14">
        <f>+'Motor I'!$C$19*-1</f>
        <v>0</v>
      </c>
      <c r="G39" s="14">
        <f>+Portada!$EK$15*-1</f>
        <v>-40000</v>
      </c>
      <c r="H39" s="14">
        <f>+Portada!$EK$17*-1</f>
        <v>0</v>
      </c>
      <c r="I39" s="14">
        <f t="shared" si="3"/>
        <v>-40000</v>
      </c>
      <c r="J39" s="14" t="e">
        <f t="shared" si="7"/>
        <v>#N/A</v>
      </c>
      <c r="K39" s="15" t="e">
        <f t="shared" si="0"/>
        <v>#N/A</v>
      </c>
      <c r="L39" s="15" t="e">
        <f t="shared" si="4"/>
        <v>#N/A</v>
      </c>
      <c r="M39" s="15">
        <f t="shared" si="1"/>
        <v>0</v>
      </c>
      <c r="N39" s="15" t="e">
        <f t="shared" si="5"/>
        <v>#N/A</v>
      </c>
    </row>
    <row r="40" spans="1:14" x14ac:dyDescent="0.35">
      <c r="A40" s="13">
        <v>38</v>
      </c>
      <c r="B40" s="2">
        <v>12</v>
      </c>
      <c r="C40" s="14" t="e">
        <f t="shared" si="6"/>
        <v>#N/A</v>
      </c>
      <c r="D40" s="9" t="e">
        <f t="shared" si="2"/>
        <v>#N/A</v>
      </c>
      <c r="E40" s="9" t="e">
        <f>+'Motor I'!$C$59</f>
        <v>#N/A</v>
      </c>
      <c r="F40" s="14">
        <f>+'Motor I'!$C$19*-1</f>
        <v>0</v>
      </c>
      <c r="G40" s="14">
        <f>+Portada!$EK$15*-1</f>
        <v>-40000</v>
      </c>
      <c r="H40" s="14">
        <f>+Portada!$EK$17*-1</f>
        <v>0</v>
      </c>
      <c r="I40" s="14">
        <f t="shared" si="3"/>
        <v>-40000</v>
      </c>
      <c r="J40" s="14" t="e">
        <f t="shared" si="7"/>
        <v>#N/A</v>
      </c>
      <c r="K40" s="15" t="e">
        <f t="shared" si="0"/>
        <v>#N/A</v>
      </c>
      <c r="L40" s="15" t="e">
        <f t="shared" si="4"/>
        <v>#N/A</v>
      </c>
      <c r="M40" s="15">
        <f t="shared" si="1"/>
        <v>0</v>
      </c>
      <c r="N40" s="15" t="e">
        <f t="shared" si="5"/>
        <v>#N/A</v>
      </c>
    </row>
    <row r="41" spans="1:14" x14ac:dyDescent="0.35">
      <c r="A41" s="13">
        <v>39</v>
      </c>
      <c r="B41" s="2">
        <v>12</v>
      </c>
      <c r="C41" s="14" t="e">
        <f t="shared" si="6"/>
        <v>#N/A</v>
      </c>
      <c r="D41" s="9" t="e">
        <f t="shared" si="2"/>
        <v>#N/A</v>
      </c>
      <c r="E41" s="9" t="e">
        <f>+'Motor I'!$C$59</f>
        <v>#N/A</v>
      </c>
      <c r="F41" s="14">
        <f>+'Motor I'!$C$19*-1</f>
        <v>0</v>
      </c>
      <c r="G41" s="14">
        <f>+Portada!$EK$15*-1</f>
        <v>-40000</v>
      </c>
      <c r="H41" s="14">
        <f>+Portada!$EK$17*-1</f>
        <v>0</v>
      </c>
      <c r="I41" s="14">
        <f t="shared" si="3"/>
        <v>-40000</v>
      </c>
      <c r="J41" s="14" t="e">
        <f t="shared" si="7"/>
        <v>#N/A</v>
      </c>
      <c r="K41" s="15" t="e">
        <f t="shared" si="0"/>
        <v>#N/A</v>
      </c>
      <c r="L41" s="15" t="e">
        <f t="shared" si="4"/>
        <v>#N/A</v>
      </c>
      <c r="M41" s="15">
        <f t="shared" si="1"/>
        <v>0</v>
      </c>
      <c r="N41" s="15" t="e">
        <f t="shared" si="5"/>
        <v>#N/A</v>
      </c>
    </row>
    <row r="42" spans="1:14" x14ac:dyDescent="0.35">
      <c r="A42" s="13">
        <v>40</v>
      </c>
      <c r="B42" s="2">
        <v>12</v>
      </c>
      <c r="C42" s="14" t="e">
        <f t="shared" si="6"/>
        <v>#N/A</v>
      </c>
      <c r="D42" s="9" t="e">
        <f t="shared" si="2"/>
        <v>#N/A</v>
      </c>
      <c r="E42" s="9" t="e">
        <f>+'Motor I'!$C$59</f>
        <v>#N/A</v>
      </c>
      <c r="F42" s="14">
        <f>+'Motor I'!$C$19*-1</f>
        <v>0</v>
      </c>
      <c r="G42" s="14">
        <f>+Portada!$EK$15*-1</f>
        <v>-40000</v>
      </c>
      <c r="H42" s="14">
        <f>+Portada!$EK$17*-1</f>
        <v>0</v>
      </c>
      <c r="I42" s="14">
        <f t="shared" si="3"/>
        <v>-40000</v>
      </c>
      <c r="J42" s="14" t="e">
        <f>FV(D42,B42,I42,-C42)</f>
        <v>#N/A</v>
      </c>
      <c r="K42" s="15" t="e">
        <f t="shared" si="0"/>
        <v>#N/A</v>
      </c>
      <c r="L42" s="15" t="e">
        <f t="shared" si="4"/>
        <v>#N/A</v>
      </c>
      <c r="M42" s="15">
        <f t="shared" si="1"/>
        <v>0</v>
      </c>
      <c r="N42" s="15" t="e">
        <f t="shared" si="5"/>
        <v>#N/A</v>
      </c>
    </row>
  </sheetData>
  <pageMargins left="0.7" right="0.7" top="0.75" bottom="0.75" header="0.3" footer="0.3"/>
  <pageSetup orientation="portrait" r:id="rId1"/>
  <headerFooter>
    <oddFooter>&amp;C&amp;1#&amp;"Calibri"&amp;10&amp;K000000Uso Interno</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7AA8-E71D-4100-B5CD-1227CAA556D8}">
  <sheetPr codeName="Hoja13"/>
  <dimension ref="B8:O53"/>
  <sheetViews>
    <sheetView topLeftCell="G28" workbookViewId="0">
      <selection activeCell="N50" sqref="N50"/>
    </sheetView>
  </sheetViews>
  <sheetFormatPr baseColWidth="10" defaultColWidth="11.453125" defaultRowHeight="14.5" x14ac:dyDescent="0.35"/>
  <cols>
    <col min="1" max="1" width="11.453125" style="2"/>
    <col min="2" max="2" width="25.453125" style="2" bestFit="1" customWidth="1"/>
    <col min="3" max="3" width="15.453125" style="2" customWidth="1"/>
    <col min="4" max="4" width="11.453125" style="2"/>
    <col min="5" max="5" width="13" style="2" bestFit="1" customWidth="1"/>
    <col min="6" max="7" width="11.453125" style="2"/>
    <col min="8" max="8" width="11.81640625" style="2" bestFit="1" customWidth="1"/>
    <col min="9" max="9" width="15.1796875" style="2" bestFit="1" customWidth="1"/>
    <col min="10" max="10" width="15.453125" style="2" bestFit="1" customWidth="1"/>
    <col min="11" max="11" width="17.54296875" style="2" bestFit="1" customWidth="1"/>
    <col min="12" max="12" width="8" style="2" bestFit="1" customWidth="1"/>
    <col min="13" max="13" width="11.81640625" style="2" bestFit="1" customWidth="1"/>
    <col min="14" max="14" width="15.453125" style="2" bestFit="1" customWidth="1"/>
    <col min="15" max="15" width="17.54296875" style="2" bestFit="1" customWidth="1"/>
    <col min="16" max="16384" width="11.453125" style="2"/>
  </cols>
  <sheetData>
    <row r="8" spans="2:3" x14ac:dyDescent="0.35">
      <c r="B8" s="2" t="s">
        <v>21</v>
      </c>
      <c r="C8" s="2" t="str">
        <f>+Portada!AX18</f>
        <v>Mujer</v>
      </c>
    </row>
    <row r="9" spans="2:3" x14ac:dyDescent="0.35">
      <c r="B9" s="2" t="s">
        <v>30</v>
      </c>
      <c r="C9" s="2">
        <f>+Portada!BO18</f>
        <v>0</v>
      </c>
    </row>
    <row r="10" spans="2:3" x14ac:dyDescent="0.35">
      <c r="B10" s="2" t="s">
        <v>20</v>
      </c>
      <c r="C10" s="2">
        <f>+Portada!BO22</f>
        <v>0</v>
      </c>
    </row>
    <row r="11" spans="2:3" x14ac:dyDescent="0.35">
      <c r="B11" s="2" t="s">
        <v>31</v>
      </c>
      <c r="C11" s="2">
        <f>+C10-C9</f>
        <v>0</v>
      </c>
    </row>
    <row r="12" spans="2:3" x14ac:dyDescent="0.35">
      <c r="B12" s="2" t="s">
        <v>22</v>
      </c>
      <c r="C12" s="4">
        <f>+Portada!BO24</f>
        <v>0</v>
      </c>
    </row>
    <row r="13" spans="2:3" x14ac:dyDescent="0.35">
      <c r="B13" s="2" t="s">
        <v>0</v>
      </c>
      <c r="C13" s="5" t="e">
        <f>+'Motor I'!C13</f>
        <v>#N/A</v>
      </c>
    </row>
    <row r="14" spans="2:3" x14ac:dyDescent="0.35">
      <c r="B14" s="2" t="s">
        <v>23</v>
      </c>
      <c r="C14" s="4" t="e">
        <f>+C12*C13</f>
        <v>#N/A</v>
      </c>
    </row>
    <row r="15" spans="2:3" x14ac:dyDescent="0.35">
      <c r="B15" s="2" t="s">
        <v>70</v>
      </c>
      <c r="C15" s="4">
        <f>+Portada!BO20</f>
        <v>0</v>
      </c>
    </row>
    <row r="16" spans="2:3" x14ac:dyDescent="0.35">
      <c r="B16" s="2" t="s">
        <v>41</v>
      </c>
      <c r="C16" s="2">
        <v>87.8</v>
      </c>
    </row>
    <row r="17" spans="2:13" x14ac:dyDescent="0.35">
      <c r="B17" s="2" t="s">
        <v>42</v>
      </c>
      <c r="C17" s="4">
        <v>37754.47</v>
      </c>
    </row>
    <row r="18" spans="2:13" x14ac:dyDescent="0.35">
      <c r="B18" s="2" t="s">
        <v>43</v>
      </c>
      <c r="C18" s="7">
        <f>+C16*C17</f>
        <v>3314842.466</v>
      </c>
    </row>
    <row r="19" spans="2:13" x14ac:dyDescent="0.35">
      <c r="B19" s="2" t="s">
        <v>44</v>
      </c>
      <c r="C19" s="4">
        <f>+MIN((C18*10%),(C15*10%))</f>
        <v>0</v>
      </c>
    </row>
    <row r="20" spans="2:13" x14ac:dyDescent="0.35">
      <c r="C20" s="4"/>
    </row>
    <row r="22" spans="2:13" x14ac:dyDescent="0.35">
      <c r="B22" s="2" t="s">
        <v>51</v>
      </c>
      <c r="C22" s="7">
        <f>+VLOOKUP(C11,'Pension proyectada III'!$A$2:$AM$42,39,FALSE)</f>
        <v>0</v>
      </c>
    </row>
    <row r="23" spans="2:13" x14ac:dyDescent="0.35">
      <c r="B23" s="2" t="s">
        <v>0</v>
      </c>
      <c r="C23" s="5" t="e">
        <f>+C13</f>
        <v>#N/A</v>
      </c>
    </row>
    <row r="25" spans="2:13" x14ac:dyDescent="0.35">
      <c r="B25" s="2" t="s">
        <v>16</v>
      </c>
      <c r="C25" s="4" t="e">
        <f>+C22/C23</f>
        <v>#N/A</v>
      </c>
    </row>
    <row r="26" spans="2:13" x14ac:dyDescent="0.35">
      <c r="B26" s="2" t="s">
        <v>52</v>
      </c>
      <c r="C26" s="8" t="e">
        <f>+C25/C15</f>
        <v>#N/A</v>
      </c>
    </row>
    <row r="28" spans="2:13" x14ac:dyDescent="0.35">
      <c r="B28" s="2" t="s">
        <v>53</v>
      </c>
      <c r="C28" s="7" t="e">
        <f>+C22-C14</f>
        <v>#N/A</v>
      </c>
    </row>
    <row r="32" spans="2:13" x14ac:dyDescent="0.35">
      <c r="C32" s="6" t="s">
        <v>115</v>
      </c>
      <c r="D32" s="6"/>
      <c r="E32" s="6"/>
      <c r="F32" s="6"/>
      <c r="G32" s="6"/>
      <c r="H32" s="6"/>
      <c r="I32" s="6"/>
      <c r="L32" s="2" t="s">
        <v>3</v>
      </c>
      <c r="M32" s="2">
        <v>1</v>
      </c>
    </row>
    <row r="33" spans="3:15" x14ac:dyDescent="0.35">
      <c r="C33" s="53" t="s">
        <v>3</v>
      </c>
      <c r="D33" s="53"/>
      <c r="L33" s="2" t="s">
        <v>2</v>
      </c>
      <c r="M33" s="2">
        <v>2</v>
      </c>
    </row>
    <row r="34" spans="3:15" x14ac:dyDescent="0.35">
      <c r="C34" s="44" t="s">
        <v>28</v>
      </c>
      <c r="D34" s="44" t="s">
        <v>29</v>
      </c>
      <c r="E34" s="53" t="s">
        <v>112</v>
      </c>
      <c r="F34" s="53"/>
      <c r="G34" s="53" t="s">
        <v>113</v>
      </c>
      <c r="H34" s="53"/>
      <c r="I34" s="53" t="s">
        <v>114</v>
      </c>
      <c r="L34" s="2" t="s">
        <v>3</v>
      </c>
      <c r="M34" s="2" t="s">
        <v>2</v>
      </c>
      <c r="N34" s="2" t="str">
        <f>+Portada!AX18</f>
        <v>Mujer</v>
      </c>
      <c r="O34" s="2">
        <f>+VLOOKUP(N34,L32:M33,2,FALSE)</f>
        <v>1</v>
      </c>
    </row>
    <row r="35" spans="3:15" x14ac:dyDescent="0.35">
      <c r="C35" s="53">
        <v>0</v>
      </c>
      <c r="D35" s="53">
        <v>50</v>
      </c>
      <c r="E35" s="53" t="s">
        <v>5</v>
      </c>
      <c r="F35" s="53" t="s">
        <v>6</v>
      </c>
      <c r="G35" s="53" t="s">
        <v>7</v>
      </c>
      <c r="H35" s="53" t="s">
        <v>8</v>
      </c>
      <c r="I35" s="53" t="s">
        <v>9</v>
      </c>
      <c r="L35" s="2" t="str">
        <f>+VLOOKUP(Portada!$BO$18,'Motor III'!$C$35:$I$36,3,TRUE)</f>
        <v>A</v>
      </c>
      <c r="M35" s="2" t="str">
        <f>+VLOOKUP(Portada!$BO$18,'Motor III'!$C$38:$I$39,3,TRUE)</f>
        <v>A</v>
      </c>
      <c r="N35" s="2" t="str">
        <f>+HLOOKUP($N$34,$L$34:$M$39,O35,FALSE)</f>
        <v>A</v>
      </c>
      <c r="O35" s="2">
        <v>2</v>
      </c>
    </row>
    <row r="36" spans="3:15" x14ac:dyDescent="0.35">
      <c r="C36" s="53">
        <v>51</v>
      </c>
      <c r="D36" s="53">
        <v>100</v>
      </c>
      <c r="E36" s="53" t="s">
        <v>111</v>
      </c>
      <c r="F36" s="53" t="s">
        <v>6</v>
      </c>
      <c r="G36" s="53" t="s">
        <v>7</v>
      </c>
      <c r="H36" s="53" t="s">
        <v>8</v>
      </c>
      <c r="I36" s="53" t="s">
        <v>9</v>
      </c>
      <c r="L36" s="2" t="str">
        <f>+VLOOKUP(Portada!$BO$18,'Motor III'!$C$35:$I$36,4,TRUE)</f>
        <v>B</v>
      </c>
      <c r="M36" s="2" t="str">
        <f>+VLOOKUP(Portada!$BO$18,'Motor III'!$C$38:$I$39,4,TRUE)</f>
        <v>B</v>
      </c>
      <c r="N36" s="2" t="str">
        <f>+HLOOKUP($N$34,$L$34:$M$39,O36,FALSE)</f>
        <v>B</v>
      </c>
      <c r="O36" s="2">
        <v>3</v>
      </c>
    </row>
    <row r="37" spans="3:15" x14ac:dyDescent="0.35">
      <c r="C37" s="53" t="s">
        <v>2</v>
      </c>
      <c r="D37" s="53"/>
      <c r="E37" s="53"/>
      <c r="F37" s="53"/>
      <c r="G37" s="53"/>
      <c r="H37" s="53"/>
      <c r="I37" s="53"/>
      <c r="L37" s="2" t="str">
        <f>+VLOOKUP(Portada!$BO$18,'Motor III'!$C$35:$I$36,5,TRUE)</f>
        <v>C</v>
      </c>
      <c r="M37" s="2" t="str">
        <f>+VLOOKUP(Portada!$BO$18,'Motor III'!$C$38:$I$39,5,TRUE)</f>
        <v>C</v>
      </c>
      <c r="N37" s="2" t="str">
        <f>+HLOOKUP($N$34,$L$34:$M$39,O37,FALSE)</f>
        <v>C</v>
      </c>
      <c r="O37" s="2">
        <v>4</v>
      </c>
    </row>
    <row r="38" spans="3:15" x14ac:dyDescent="0.35">
      <c r="C38" s="53">
        <v>0</v>
      </c>
      <c r="D38" s="53">
        <v>55</v>
      </c>
      <c r="E38" s="53" t="s">
        <v>5</v>
      </c>
      <c r="F38" s="53" t="s">
        <v>6</v>
      </c>
      <c r="G38" s="53" t="s">
        <v>7</v>
      </c>
      <c r="H38" s="53" t="s">
        <v>8</v>
      </c>
      <c r="I38" s="53" t="s">
        <v>9</v>
      </c>
      <c r="L38" s="2" t="str">
        <f>+VLOOKUP(Portada!$BO$18,'Motor III'!$C$35:$I$36,6,TRUE)</f>
        <v>D</v>
      </c>
      <c r="M38" s="2" t="str">
        <f>+VLOOKUP(Portada!$BO$18,'Motor III'!$C$38:$I$39,6,TRUE)</f>
        <v>D</v>
      </c>
      <c r="N38" s="2" t="str">
        <f>+HLOOKUP($N$34,$L$34:$M$39,O38,FALSE)</f>
        <v>D</v>
      </c>
      <c r="O38" s="2">
        <v>5</v>
      </c>
    </row>
    <row r="39" spans="3:15" x14ac:dyDescent="0.35">
      <c r="C39" s="53">
        <v>56</v>
      </c>
      <c r="D39" s="53">
        <v>100</v>
      </c>
      <c r="E39" s="53" t="s">
        <v>111</v>
      </c>
      <c r="F39" s="53" t="s">
        <v>6</v>
      </c>
      <c r="G39" s="53" t="s">
        <v>7</v>
      </c>
      <c r="H39" s="53" t="s">
        <v>8</v>
      </c>
      <c r="I39" s="53" t="s">
        <v>9</v>
      </c>
      <c r="L39" s="2" t="str">
        <f>+VLOOKUP(Portada!$BO$18,'Motor III'!$C$35:$I$36,7,TRUE)</f>
        <v>E</v>
      </c>
      <c r="M39" s="2" t="str">
        <f>+VLOOKUP(Portada!$BO$18,'Motor III'!$C$38:$I$39,7,TRUE)</f>
        <v>E</v>
      </c>
      <c r="N39" s="2" t="str">
        <f>+HLOOKUP($N$34,$L$34:$M$39,O39,FALSE)</f>
        <v>E</v>
      </c>
      <c r="O39" s="2">
        <v>6</v>
      </c>
    </row>
    <row r="40" spans="3:15" x14ac:dyDescent="0.35">
      <c r="C40" s="6" t="s">
        <v>116</v>
      </c>
      <c r="D40" s="6"/>
      <c r="E40" s="6"/>
      <c r="F40" s="6"/>
      <c r="G40" s="6"/>
      <c r="H40" s="6"/>
      <c r="I40" s="6"/>
    </row>
    <row r="41" spans="3:15" x14ac:dyDescent="0.35">
      <c r="C41" s="53" t="s">
        <v>3</v>
      </c>
      <c r="D41" s="53"/>
      <c r="E41" s="53" t="s">
        <v>112</v>
      </c>
      <c r="F41" s="53"/>
      <c r="G41" s="53" t="s">
        <v>113</v>
      </c>
      <c r="H41" s="53"/>
      <c r="I41" s="53" t="s">
        <v>114</v>
      </c>
      <c r="L41" s="2" t="s">
        <v>5</v>
      </c>
      <c r="M41" s="8">
        <v>4.4900000000000002E-2</v>
      </c>
      <c r="N41" s="2" t="str">
        <f>+L41</f>
        <v>A</v>
      </c>
    </row>
    <row r="42" spans="3:15" x14ac:dyDescent="0.35">
      <c r="C42" s="53">
        <v>0</v>
      </c>
      <c r="D42" s="53">
        <v>50</v>
      </c>
      <c r="E42" s="53" t="s">
        <v>5</v>
      </c>
      <c r="F42" s="53" t="s">
        <v>6</v>
      </c>
      <c r="G42" s="53" t="s">
        <v>7</v>
      </c>
      <c r="H42" s="53" t="s">
        <v>8</v>
      </c>
      <c r="I42" s="53" t="s">
        <v>9</v>
      </c>
      <c r="L42" s="2" t="s">
        <v>6</v>
      </c>
      <c r="M42" s="8">
        <v>4.02E-2</v>
      </c>
      <c r="N42" s="2" t="str">
        <f t="shared" ref="N42:N45" si="0">+L42</f>
        <v>B</v>
      </c>
    </row>
    <row r="43" spans="3:15" x14ac:dyDescent="0.35">
      <c r="C43" s="53">
        <v>51</v>
      </c>
      <c r="D43" s="53">
        <v>100</v>
      </c>
      <c r="E43" s="53" t="s">
        <v>5</v>
      </c>
      <c r="F43" s="53" t="s">
        <v>6</v>
      </c>
      <c r="G43" s="53" t="s">
        <v>7</v>
      </c>
      <c r="H43" s="53" t="s">
        <v>8</v>
      </c>
      <c r="I43" s="53" t="s">
        <v>9</v>
      </c>
      <c r="L43" s="2" t="s">
        <v>7</v>
      </c>
      <c r="M43" s="8">
        <v>3.3799999999999997E-2</v>
      </c>
      <c r="N43" s="2" t="str">
        <f t="shared" si="0"/>
        <v>C</v>
      </c>
    </row>
    <row r="44" spans="3:15" x14ac:dyDescent="0.35">
      <c r="C44" s="53" t="s">
        <v>2</v>
      </c>
      <c r="D44" s="53"/>
      <c r="E44" s="53"/>
      <c r="F44" s="53"/>
      <c r="G44" s="53"/>
      <c r="H44" s="53"/>
      <c r="I44" s="53"/>
      <c r="L44" s="2" t="s">
        <v>8</v>
      </c>
      <c r="M44" s="8">
        <v>2.81E-2</v>
      </c>
      <c r="N44" s="2" t="str">
        <f t="shared" si="0"/>
        <v>D</v>
      </c>
    </row>
    <row r="45" spans="3:15" x14ac:dyDescent="0.35">
      <c r="C45" s="53">
        <v>0</v>
      </c>
      <c r="D45" s="53"/>
      <c r="E45" s="53" t="s">
        <v>5</v>
      </c>
      <c r="F45" s="53" t="s">
        <v>6</v>
      </c>
      <c r="G45" s="53" t="s">
        <v>7</v>
      </c>
      <c r="H45" s="53" t="s">
        <v>8</v>
      </c>
      <c r="I45" s="53" t="s">
        <v>9</v>
      </c>
      <c r="L45" s="2" t="s">
        <v>9</v>
      </c>
      <c r="M45" s="8">
        <v>2.1700000000000001E-2</v>
      </c>
      <c r="N45" s="2" t="str">
        <f t="shared" si="0"/>
        <v>E</v>
      </c>
    </row>
    <row r="46" spans="3:15" x14ac:dyDescent="0.35">
      <c r="C46" s="53">
        <v>56</v>
      </c>
      <c r="D46" s="53">
        <v>100</v>
      </c>
      <c r="E46" s="53" t="s">
        <v>5</v>
      </c>
      <c r="F46" s="53" t="s">
        <v>6</v>
      </c>
      <c r="G46" s="53" t="s">
        <v>7</v>
      </c>
      <c r="H46" s="53" t="s">
        <v>8</v>
      </c>
      <c r="I46" s="53" t="s">
        <v>9</v>
      </c>
    </row>
    <row r="47" spans="3:15" x14ac:dyDescent="0.35">
      <c r="C47" s="6" t="s">
        <v>117</v>
      </c>
      <c r="D47" s="6"/>
      <c r="E47" s="6"/>
      <c r="F47" s="6"/>
      <c r="G47" s="6"/>
      <c r="H47" s="6"/>
      <c r="I47" s="6"/>
    </row>
    <row r="48" spans="3:15" x14ac:dyDescent="0.35">
      <c r="C48" s="53" t="s">
        <v>3</v>
      </c>
      <c r="D48" s="53"/>
      <c r="E48" s="53" t="s">
        <v>112</v>
      </c>
      <c r="F48" s="53"/>
      <c r="G48" s="53" t="s">
        <v>113</v>
      </c>
      <c r="H48" s="53"/>
      <c r="I48" s="53" t="s">
        <v>114</v>
      </c>
    </row>
    <row r="49" spans="3:9" x14ac:dyDescent="0.35">
      <c r="C49" s="53">
        <v>0</v>
      </c>
      <c r="D49" s="53">
        <v>50</v>
      </c>
      <c r="E49" s="53" t="s">
        <v>5</v>
      </c>
      <c r="F49" s="53" t="s">
        <v>6</v>
      </c>
      <c r="G49" s="53" t="s">
        <v>7</v>
      </c>
      <c r="H49" s="53" t="s">
        <v>8</v>
      </c>
      <c r="I49" s="53" t="s">
        <v>9</v>
      </c>
    </row>
    <row r="50" spans="3:9" x14ac:dyDescent="0.35">
      <c r="C50" s="53">
        <v>51</v>
      </c>
      <c r="D50" s="53">
        <v>100</v>
      </c>
      <c r="E50" s="53" t="s">
        <v>5</v>
      </c>
      <c r="F50" s="53" t="s">
        <v>6</v>
      </c>
      <c r="G50" s="53" t="s">
        <v>7</v>
      </c>
      <c r="H50" s="53" t="s">
        <v>8</v>
      </c>
      <c r="I50" s="53" t="s">
        <v>9</v>
      </c>
    </row>
    <row r="51" spans="3:9" x14ac:dyDescent="0.35">
      <c r="C51" s="53" t="s">
        <v>2</v>
      </c>
      <c r="D51" s="53"/>
      <c r="E51" s="53"/>
      <c r="F51" s="53"/>
      <c r="G51" s="53"/>
      <c r="H51" s="53"/>
      <c r="I51" s="53"/>
    </row>
    <row r="52" spans="3:9" x14ac:dyDescent="0.35">
      <c r="C52" s="53">
        <v>0</v>
      </c>
      <c r="D52" s="53"/>
      <c r="E52" s="53" t="s">
        <v>5</v>
      </c>
      <c r="F52" s="53" t="s">
        <v>6</v>
      </c>
      <c r="G52" s="53" t="s">
        <v>7</v>
      </c>
      <c r="H52" s="53" t="s">
        <v>8</v>
      </c>
      <c r="I52" s="53" t="s">
        <v>9</v>
      </c>
    </row>
    <row r="53" spans="3:9" x14ac:dyDescent="0.35">
      <c r="C53" s="53">
        <v>56</v>
      </c>
      <c r="D53" s="53">
        <v>100</v>
      </c>
      <c r="E53" s="53" t="s">
        <v>5</v>
      </c>
      <c r="F53" s="53" t="s">
        <v>6</v>
      </c>
      <c r="G53" s="53" t="s">
        <v>7</v>
      </c>
      <c r="H53" s="53" t="s">
        <v>8</v>
      </c>
      <c r="I53" s="53" t="s">
        <v>9</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BC971-8596-4E9A-BA6C-50437BDE3D22}">
  <sheetPr codeName="Hoja14"/>
  <dimension ref="A1:AM42"/>
  <sheetViews>
    <sheetView topLeftCell="J1" zoomScale="115" zoomScaleNormal="115" workbookViewId="0">
      <selection activeCell="J3" sqref="J3"/>
    </sheetView>
  </sheetViews>
  <sheetFormatPr baseColWidth="10" defaultColWidth="11.453125" defaultRowHeight="14.5" x14ac:dyDescent="0.35"/>
  <cols>
    <col min="1" max="1" width="5.7265625" style="2" bestFit="1" customWidth="1"/>
    <col min="2" max="2" width="6.7265625" style="2" bestFit="1" customWidth="1"/>
    <col min="3" max="3" width="16.7265625" style="2" bestFit="1" customWidth="1"/>
    <col min="4" max="4" width="8.54296875" style="2" bestFit="1" customWidth="1"/>
    <col min="5" max="5" width="12.26953125" style="2" bestFit="1" customWidth="1"/>
    <col min="6" max="6" width="11.1796875" style="2" bestFit="1" customWidth="1"/>
    <col min="7" max="7" width="12.81640625" style="2" customWidth="1"/>
    <col min="8" max="8" width="10.26953125" style="2" bestFit="1" customWidth="1"/>
    <col min="9" max="9" width="12.81640625" style="2" customWidth="1"/>
    <col min="10" max="10" width="16.7265625" style="14" bestFit="1" customWidth="1"/>
    <col min="11" max="11" width="12.26953125" style="2" bestFit="1" customWidth="1"/>
    <col min="12" max="12" width="12.26953125" style="2" customWidth="1"/>
    <col min="13" max="13" width="11.7265625" style="2" bestFit="1" customWidth="1"/>
    <col min="14" max="14" width="12.26953125" style="2" bestFit="1" customWidth="1"/>
    <col min="15" max="15" width="16.7265625" style="2" bestFit="1" customWidth="1"/>
    <col min="16" max="16" width="8.54296875" style="2" bestFit="1" customWidth="1"/>
    <col min="17" max="17" width="12.26953125" style="2" bestFit="1" customWidth="1"/>
    <col min="18" max="18" width="11.1796875" style="2" bestFit="1" customWidth="1"/>
    <col min="19" max="19" width="12.81640625" style="2" customWidth="1"/>
    <col min="20" max="20" width="10.26953125" style="2" bestFit="1" customWidth="1"/>
    <col min="21" max="21" width="12.81640625" style="2" customWidth="1"/>
    <col min="22" max="22" width="16.7265625" style="14" bestFit="1" customWidth="1"/>
    <col min="23" max="23" width="12.26953125" style="2" bestFit="1" customWidth="1"/>
    <col min="24" max="24" width="12.26953125" style="2" customWidth="1"/>
    <col min="25" max="25" width="11.7265625" style="2" bestFit="1" customWidth="1"/>
    <col min="26" max="26" width="12.26953125" style="2" bestFit="1" customWidth="1"/>
    <col min="27" max="27" width="15" style="2" bestFit="1" customWidth="1"/>
    <col min="28" max="33" width="11.453125" style="2"/>
    <col min="34" max="34" width="15" style="2" bestFit="1" customWidth="1"/>
    <col min="35" max="38" width="11.453125" style="2"/>
    <col min="39" max="39" width="15.81640625" style="2" bestFit="1" customWidth="1"/>
    <col min="40" max="16384" width="11.453125" style="2"/>
  </cols>
  <sheetData>
    <row r="1" spans="1:39" ht="29" x14ac:dyDescent="0.35">
      <c r="A1" s="6" t="s">
        <v>46</v>
      </c>
      <c r="B1" s="6" t="s">
        <v>13</v>
      </c>
      <c r="C1" s="11" t="s">
        <v>47</v>
      </c>
      <c r="D1" s="11" t="s">
        <v>14</v>
      </c>
      <c r="E1" s="11" t="s">
        <v>15</v>
      </c>
      <c r="F1" s="55" t="s">
        <v>63</v>
      </c>
      <c r="G1" s="11" t="s">
        <v>64</v>
      </c>
      <c r="H1" s="11" t="s">
        <v>65</v>
      </c>
      <c r="I1" s="11" t="s">
        <v>66</v>
      </c>
      <c r="J1" s="11" t="s">
        <v>17</v>
      </c>
      <c r="K1" s="11" t="s">
        <v>18</v>
      </c>
      <c r="L1" s="12" t="s">
        <v>19</v>
      </c>
      <c r="M1" s="12" t="s">
        <v>48</v>
      </c>
      <c r="N1" s="12" t="s">
        <v>49</v>
      </c>
      <c r="O1" s="54" t="s">
        <v>47</v>
      </c>
      <c r="P1" s="11" t="s">
        <v>14</v>
      </c>
      <c r="Q1" s="11" t="s">
        <v>15</v>
      </c>
      <c r="R1" s="11" t="s">
        <v>63</v>
      </c>
      <c r="S1" s="55" t="s">
        <v>64</v>
      </c>
      <c r="T1" s="11" t="s">
        <v>65</v>
      </c>
      <c r="U1" s="11" t="s">
        <v>66</v>
      </c>
      <c r="V1" s="11" t="s">
        <v>17</v>
      </c>
      <c r="W1" s="11" t="s">
        <v>18</v>
      </c>
      <c r="X1" s="12" t="s">
        <v>19</v>
      </c>
      <c r="Y1" s="12" t="s">
        <v>48</v>
      </c>
      <c r="Z1" s="12" t="s">
        <v>49</v>
      </c>
      <c r="AA1" s="54" t="s">
        <v>47</v>
      </c>
      <c r="AB1" s="11" t="s">
        <v>14</v>
      </c>
      <c r="AC1" s="11" t="s">
        <v>15</v>
      </c>
      <c r="AD1" s="11" t="s">
        <v>63</v>
      </c>
      <c r="AE1" s="11" t="s">
        <v>64</v>
      </c>
      <c r="AF1" s="11" t="s">
        <v>65</v>
      </c>
      <c r="AG1" s="11" t="s">
        <v>66</v>
      </c>
      <c r="AH1" s="11" t="s">
        <v>17</v>
      </c>
      <c r="AI1" s="11" t="s">
        <v>18</v>
      </c>
      <c r="AJ1" s="12" t="s">
        <v>19</v>
      </c>
      <c r="AK1" s="12" t="s">
        <v>48</v>
      </c>
      <c r="AL1" s="12" t="s">
        <v>49</v>
      </c>
      <c r="AM1" s="56" t="s">
        <v>118</v>
      </c>
    </row>
    <row r="2" spans="1:39" x14ac:dyDescent="0.35">
      <c r="A2" s="6">
        <v>0</v>
      </c>
      <c r="B2" s="6">
        <v>0</v>
      </c>
      <c r="C2" s="17">
        <f>+Portada!DS13</f>
        <v>0</v>
      </c>
      <c r="D2" s="11">
        <v>0</v>
      </c>
      <c r="E2" s="11">
        <v>0</v>
      </c>
      <c r="F2" s="11">
        <v>0</v>
      </c>
      <c r="G2" s="11">
        <v>0</v>
      </c>
      <c r="H2" s="11">
        <v>0</v>
      </c>
      <c r="I2" s="11">
        <v>0</v>
      </c>
      <c r="J2" s="17">
        <f>+C2</f>
        <v>0</v>
      </c>
      <c r="K2" s="11">
        <v>0</v>
      </c>
      <c r="L2" s="12">
        <v>0</v>
      </c>
      <c r="M2" s="12">
        <v>0</v>
      </c>
      <c r="N2" s="12">
        <v>0</v>
      </c>
      <c r="O2" s="17">
        <f>+Portada!DS15</f>
        <v>0</v>
      </c>
      <c r="P2" s="11">
        <v>0</v>
      </c>
      <c r="Q2" s="11">
        <v>0</v>
      </c>
      <c r="R2" s="11">
        <v>0</v>
      </c>
      <c r="S2" s="11">
        <v>0</v>
      </c>
      <c r="T2" s="11">
        <v>0</v>
      </c>
      <c r="U2" s="11">
        <v>0</v>
      </c>
      <c r="V2" s="17">
        <f>+O2</f>
        <v>0</v>
      </c>
      <c r="W2" s="11">
        <v>0</v>
      </c>
      <c r="X2" s="12">
        <v>0</v>
      </c>
      <c r="Y2" s="12">
        <v>0</v>
      </c>
      <c r="Z2" s="12">
        <v>0</v>
      </c>
      <c r="AA2" s="17">
        <f>+Portada!DS17</f>
        <v>0</v>
      </c>
      <c r="AB2" s="11">
        <v>0</v>
      </c>
      <c r="AC2" s="11">
        <v>0</v>
      </c>
      <c r="AD2" s="11">
        <v>0</v>
      </c>
      <c r="AE2" s="11">
        <v>0</v>
      </c>
      <c r="AF2" s="11">
        <v>0</v>
      </c>
      <c r="AG2" s="11">
        <v>0</v>
      </c>
      <c r="AH2" s="17">
        <f>+AA2</f>
        <v>0</v>
      </c>
      <c r="AI2" s="11">
        <v>0</v>
      </c>
      <c r="AJ2" s="12">
        <v>0</v>
      </c>
      <c r="AK2" s="12">
        <v>0</v>
      </c>
      <c r="AL2" s="12">
        <v>0</v>
      </c>
      <c r="AM2" s="7">
        <f>+AA2+O2+C2</f>
        <v>0</v>
      </c>
    </row>
    <row r="3" spans="1:39" x14ac:dyDescent="0.35">
      <c r="A3" s="13">
        <v>1</v>
      </c>
      <c r="B3" s="2">
        <v>12</v>
      </c>
      <c r="C3" s="14">
        <f>+Portada!DS13</f>
        <v>0</v>
      </c>
      <c r="D3" s="9">
        <f>(1+E3)^(1/12)-1</f>
        <v>2.7739514514073527E-3</v>
      </c>
      <c r="E3" s="9">
        <f>+'Paso 2B solicitado por cliente'!$S$15</f>
        <v>3.3799999999999997E-2</v>
      </c>
      <c r="F3" s="14">
        <f>+'Motor I'!$C$19*-1</f>
        <v>0</v>
      </c>
      <c r="G3" s="14">
        <v>0</v>
      </c>
      <c r="H3" s="14">
        <v>0</v>
      </c>
      <c r="I3" s="14">
        <f>+F3+G3+H3</f>
        <v>0</v>
      </c>
      <c r="J3" s="14">
        <f>FV(D3,B3,I3,-C3)</f>
        <v>0</v>
      </c>
      <c r="K3" s="15">
        <f t="shared" ref="K3:K42" si="0">(C3*D3)</f>
        <v>0</v>
      </c>
      <c r="L3" s="15">
        <f>(K3*12)</f>
        <v>0</v>
      </c>
      <c r="M3" s="15">
        <f t="shared" ref="M3:M42" si="1">(F3*12)</f>
        <v>0</v>
      </c>
      <c r="N3" s="15">
        <f>(L3-M3)</f>
        <v>0</v>
      </c>
      <c r="O3" s="14">
        <f>+Portada!DS15</f>
        <v>0</v>
      </c>
      <c r="P3" s="9">
        <f>(1+Q3)^(1/12)-1</f>
        <v>2.7739514514073527E-3</v>
      </c>
      <c r="Q3" s="9">
        <f>+'Paso 2B solicitado por cliente'!$S$16</f>
        <v>3.3799999999999997E-2</v>
      </c>
      <c r="R3" s="14">
        <v>0</v>
      </c>
      <c r="S3" s="14">
        <f>+Portada!$EK$15*-1</f>
        <v>-40000</v>
      </c>
      <c r="T3" s="14">
        <v>0</v>
      </c>
      <c r="U3" s="14">
        <f>+R3+S3+T3</f>
        <v>-40000</v>
      </c>
      <c r="V3" s="14">
        <f>FV(P3,B3,S3,-O3)</f>
        <v>487391.37064353592</v>
      </c>
      <c r="W3" s="15">
        <f t="shared" ref="W3:W42" si="2">(O3*P3)</f>
        <v>0</v>
      </c>
      <c r="X3" s="15">
        <f>(W3*12)</f>
        <v>0</v>
      </c>
      <c r="Y3" s="15">
        <f t="shared" ref="Y3:Y42" si="3">(R3*12)</f>
        <v>0</v>
      </c>
      <c r="Z3" s="15">
        <f>(X3-Y3)</f>
        <v>0</v>
      </c>
      <c r="AA3" s="14">
        <f>+Portada!DS17</f>
        <v>0</v>
      </c>
      <c r="AB3" s="9">
        <f>(1+AC3)^(1/12)-1</f>
        <v>2.7739514514073527E-3</v>
      </c>
      <c r="AC3" s="9">
        <f>+'Paso 2B solicitado por cliente'!$S$17</f>
        <v>3.3799999999999997E-2</v>
      </c>
      <c r="AD3" s="14">
        <v>0</v>
      </c>
      <c r="AE3" s="14">
        <v>0</v>
      </c>
      <c r="AF3" s="14">
        <f>+Portada!$EK$17*-1</f>
        <v>0</v>
      </c>
      <c r="AG3" s="14">
        <f>+AD3+AE3+AF3</f>
        <v>0</v>
      </c>
      <c r="AH3" s="14">
        <f>FV(AB3,B3,AF3,-AA3)</f>
        <v>0</v>
      </c>
      <c r="AI3" s="15">
        <f t="shared" ref="AI3:AI42" si="4">(AA3*AB3)</f>
        <v>0</v>
      </c>
      <c r="AJ3" s="15">
        <f>(AI3*12)</f>
        <v>0</v>
      </c>
      <c r="AK3" s="15">
        <f t="shared" ref="AK3:AK42" si="5">(AD3*12)</f>
        <v>0</v>
      </c>
      <c r="AL3" s="15">
        <f>(AJ3-AK3)</f>
        <v>0</v>
      </c>
      <c r="AM3" s="7">
        <f>+AH3+V3+J3</f>
        <v>487391.37064353592</v>
      </c>
    </row>
    <row r="4" spans="1:39" x14ac:dyDescent="0.35">
      <c r="A4" s="13">
        <v>2</v>
      </c>
      <c r="B4" s="2">
        <v>12</v>
      </c>
      <c r="C4" s="14">
        <f>+J3</f>
        <v>0</v>
      </c>
      <c r="D4" s="9">
        <f t="shared" ref="D4:D42" si="6">(1+E4)^(1/12)-1</f>
        <v>2.7739514514073527E-3</v>
      </c>
      <c r="E4" s="9">
        <f>+'Paso 2B solicitado por cliente'!$S$15</f>
        <v>3.3799999999999997E-2</v>
      </c>
      <c r="F4" s="14">
        <f>+'Motor I'!$C$19*-1</f>
        <v>0</v>
      </c>
      <c r="G4" s="14">
        <v>0</v>
      </c>
      <c r="H4" s="14">
        <v>0</v>
      </c>
      <c r="I4" s="14">
        <f t="shared" ref="I4:I42" si="7">+F4+G4+H4</f>
        <v>0</v>
      </c>
      <c r="J4" s="14">
        <f>FV(D4,B4,I4,-C4)</f>
        <v>0</v>
      </c>
      <c r="K4" s="15">
        <f t="shared" si="0"/>
        <v>0</v>
      </c>
      <c r="L4" s="15">
        <f t="shared" ref="L4:L42" si="8">(K4*12)</f>
        <v>0</v>
      </c>
      <c r="M4" s="15">
        <f t="shared" si="1"/>
        <v>0</v>
      </c>
      <c r="N4" s="15">
        <f t="shared" ref="N4:N42" si="9">(L4-M4)</f>
        <v>0</v>
      </c>
      <c r="O4" s="14">
        <f>+V3</f>
        <v>487391.37064353592</v>
      </c>
      <c r="P4" s="9">
        <f t="shared" ref="P4:P42" si="10">(1+Q4)^(1/12)-1</f>
        <v>2.7739514514073527E-3</v>
      </c>
      <c r="Q4" s="9">
        <f>+'Paso 2B solicitado por cliente'!$S$16</f>
        <v>3.3799999999999997E-2</v>
      </c>
      <c r="R4" s="14">
        <v>0</v>
      </c>
      <c r="S4" s="14">
        <f>+Portada!$EK$15*-1</f>
        <v>-40000</v>
      </c>
      <c r="T4" s="14">
        <v>0</v>
      </c>
      <c r="U4" s="14">
        <f t="shared" ref="U4:U42" si="11">+R4+S4+T4</f>
        <v>-40000</v>
      </c>
      <c r="V4" s="14">
        <f t="shared" ref="V4:V42" si="12">FV(P4,B4,S4,-O4)</f>
        <v>991256.56961482402</v>
      </c>
      <c r="W4" s="15">
        <f t="shared" si="2"/>
        <v>1352.0000000000555</v>
      </c>
      <c r="X4" s="15">
        <f t="shared" ref="X4:X42" si="13">(W4*12)</f>
        <v>16224.000000000666</v>
      </c>
      <c r="Y4" s="15">
        <f t="shared" si="3"/>
        <v>0</v>
      </c>
      <c r="Z4" s="15">
        <f t="shared" ref="Z4:Z42" si="14">(X4-Y4)</f>
        <v>16224.000000000666</v>
      </c>
      <c r="AA4" s="14">
        <f>+AH3</f>
        <v>0</v>
      </c>
      <c r="AB4" s="9">
        <f t="shared" ref="AB4:AB42" si="15">(1+AC4)^(1/12)-1</f>
        <v>2.7739514514073527E-3</v>
      </c>
      <c r="AC4" s="9">
        <f>+'Paso 2B solicitado por cliente'!$S$17</f>
        <v>3.3799999999999997E-2</v>
      </c>
      <c r="AD4" s="14">
        <v>0</v>
      </c>
      <c r="AE4" s="14">
        <v>0</v>
      </c>
      <c r="AF4" s="14">
        <f>+Portada!$EK$17*-1</f>
        <v>0</v>
      </c>
      <c r="AG4" s="14">
        <f t="shared" ref="AG4:AG42" si="16">+AD4+AE4+AF4</f>
        <v>0</v>
      </c>
      <c r="AH4" s="14">
        <f t="shared" ref="AH4:AH42" si="17">FV(AB4,B4,AF4,-AA4)</f>
        <v>0</v>
      </c>
      <c r="AI4" s="15">
        <f t="shared" si="4"/>
        <v>0</v>
      </c>
      <c r="AJ4" s="15">
        <f t="shared" ref="AJ4:AJ42" si="18">(AI4*12)</f>
        <v>0</v>
      </c>
      <c r="AK4" s="15">
        <f t="shared" si="5"/>
        <v>0</v>
      </c>
      <c r="AL4" s="15">
        <f t="shared" ref="AL4:AL42" si="19">(AJ4-AK4)</f>
        <v>0</v>
      </c>
      <c r="AM4" s="7">
        <f t="shared" ref="AM4:AM42" si="20">+AH4+V4+J4</f>
        <v>991256.56961482402</v>
      </c>
    </row>
    <row r="5" spans="1:39" x14ac:dyDescent="0.35">
      <c r="A5" s="13">
        <v>3</v>
      </c>
      <c r="B5" s="2">
        <v>12</v>
      </c>
      <c r="C5" s="14">
        <f t="shared" ref="C5:C42" si="21">+J4</f>
        <v>0</v>
      </c>
      <c r="D5" s="9">
        <f t="shared" si="6"/>
        <v>2.7739514514073527E-3</v>
      </c>
      <c r="E5" s="9">
        <f>+'Paso 2B solicitado por cliente'!$S$15</f>
        <v>3.3799999999999997E-2</v>
      </c>
      <c r="F5" s="14">
        <f>+'Motor I'!$C$19*-1</f>
        <v>0</v>
      </c>
      <c r="G5" s="14">
        <v>0</v>
      </c>
      <c r="H5" s="14">
        <v>0</v>
      </c>
      <c r="I5" s="14">
        <f t="shared" si="7"/>
        <v>0</v>
      </c>
      <c r="J5" s="14">
        <f t="shared" ref="J5:J41" si="22">FV(D5,B5,I5,-C5)</f>
        <v>0</v>
      </c>
      <c r="K5" s="15">
        <f t="shared" si="0"/>
        <v>0</v>
      </c>
      <c r="L5" s="15">
        <f t="shared" si="8"/>
        <v>0</v>
      </c>
      <c r="M5" s="15">
        <f t="shared" si="1"/>
        <v>0</v>
      </c>
      <c r="N5" s="15">
        <f t="shared" si="9"/>
        <v>0</v>
      </c>
      <c r="O5" s="14">
        <f t="shared" ref="O5:O42" si="23">+V4</f>
        <v>991256.56961482402</v>
      </c>
      <c r="P5" s="9">
        <f t="shared" si="10"/>
        <v>2.7739514514073527E-3</v>
      </c>
      <c r="Q5" s="9">
        <f>+'Paso 2B solicitado por cliente'!$S$16</f>
        <v>3.3799999999999997E-2</v>
      </c>
      <c r="R5" s="14">
        <v>0</v>
      </c>
      <c r="S5" s="14">
        <f>+Portada!$EK$15*-1</f>
        <v>-40000</v>
      </c>
      <c r="T5" s="14">
        <v>0</v>
      </c>
      <c r="U5" s="14">
        <f t="shared" si="11"/>
        <v>-40000</v>
      </c>
      <c r="V5" s="14">
        <f t="shared" si="12"/>
        <v>1512152.4123113423</v>
      </c>
      <c r="W5" s="15">
        <f t="shared" si="2"/>
        <v>2749.6976000001146</v>
      </c>
      <c r="X5" s="15">
        <f t="shared" si="13"/>
        <v>32996.371200001377</v>
      </c>
      <c r="Y5" s="15">
        <f t="shared" si="3"/>
        <v>0</v>
      </c>
      <c r="Z5" s="15">
        <f t="shared" si="14"/>
        <v>32996.371200001377</v>
      </c>
      <c r="AA5" s="14">
        <f t="shared" ref="AA5:AA42" si="24">+AH4</f>
        <v>0</v>
      </c>
      <c r="AB5" s="9">
        <f t="shared" si="15"/>
        <v>2.7739514514073527E-3</v>
      </c>
      <c r="AC5" s="9">
        <f>+'Paso 2B solicitado por cliente'!$S$17</f>
        <v>3.3799999999999997E-2</v>
      </c>
      <c r="AD5" s="14">
        <v>0</v>
      </c>
      <c r="AE5" s="14">
        <v>0</v>
      </c>
      <c r="AF5" s="14">
        <f>+Portada!$EK$17*-1</f>
        <v>0</v>
      </c>
      <c r="AG5" s="14">
        <f t="shared" si="16"/>
        <v>0</v>
      </c>
      <c r="AH5" s="14">
        <f t="shared" si="17"/>
        <v>0</v>
      </c>
      <c r="AI5" s="15">
        <f t="shared" si="4"/>
        <v>0</v>
      </c>
      <c r="AJ5" s="15">
        <f t="shared" si="18"/>
        <v>0</v>
      </c>
      <c r="AK5" s="15">
        <f t="shared" si="5"/>
        <v>0</v>
      </c>
      <c r="AL5" s="15">
        <f t="shared" si="19"/>
        <v>0</v>
      </c>
      <c r="AM5" s="7">
        <f t="shared" si="20"/>
        <v>1512152.4123113423</v>
      </c>
    </row>
    <row r="6" spans="1:39" x14ac:dyDescent="0.35">
      <c r="A6" s="13">
        <v>4</v>
      </c>
      <c r="B6" s="2">
        <v>12</v>
      </c>
      <c r="C6" s="14">
        <f t="shared" si="21"/>
        <v>0</v>
      </c>
      <c r="D6" s="9">
        <f t="shared" si="6"/>
        <v>2.7739514514073527E-3</v>
      </c>
      <c r="E6" s="9">
        <f>+'Paso 2B solicitado por cliente'!$S$15</f>
        <v>3.3799999999999997E-2</v>
      </c>
      <c r="F6" s="14">
        <f>+'Motor I'!$C$19*-1</f>
        <v>0</v>
      </c>
      <c r="G6" s="14">
        <v>0</v>
      </c>
      <c r="H6" s="14">
        <v>0</v>
      </c>
      <c r="I6" s="14">
        <f t="shared" si="7"/>
        <v>0</v>
      </c>
      <c r="J6" s="14">
        <f t="shared" si="22"/>
        <v>0</v>
      </c>
      <c r="K6" s="15">
        <f t="shared" si="0"/>
        <v>0</v>
      </c>
      <c r="L6" s="15">
        <f t="shared" si="8"/>
        <v>0</v>
      </c>
      <c r="M6" s="15">
        <f t="shared" si="1"/>
        <v>0</v>
      </c>
      <c r="N6" s="15">
        <f t="shared" si="9"/>
        <v>0</v>
      </c>
      <c r="O6" s="14">
        <f t="shared" si="23"/>
        <v>1512152.4123113423</v>
      </c>
      <c r="P6" s="9">
        <f t="shared" si="10"/>
        <v>2.7739514514073527E-3</v>
      </c>
      <c r="Q6" s="9">
        <f>+'Paso 2B solicitado por cliente'!$S$16</f>
        <v>3.3799999999999997E-2</v>
      </c>
      <c r="R6" s="14">
        <v>0</v>
      </c>
      <c r="S6" s="14">
        <f>+Portada!$EK$15*-1</f>
        <v>-40000</v>
      </c>
      <c r="T6" s="14">
        <v>0</v>
      </c>
      <c r="U6" s="14">
        <f t="shared" si="11"/>
        <v>-40000</v>
      </c>
      <c r="V6" s="14">
        <f t="shared" si="12"/>
        <v>2050654.5344910037</v>
      </c>
      <c r="W6" s="15">
        <f t="shared" si="2"/>
        <v>4194.6373788801775</v>
      </c>
      <c r="X6" s="15">
        <f t="shared" si="13"/>
        <v>50335.64854656213</v>
      </c>
      <c r="Y6" s="15">
        <f t="shared" si="3"/>
        <v>0</v>
      </c>
      <c r="Z6" s="15">
        <f t="shared" si="14"/>
        <v>50335.64854656213</v>
      </c>
      <c r="AA6" s="14">
        <f t="shared" si="24"/>
        <v>0</v>
      </c>
      <c r="AB6" s="9">
        <f t="shared" si="15"/>
        <v>2.7739514514073527E-3</v>
      </c>
      <c r="AC6" s="9">
        <f>+'Paso 2B solicitado por cliente'!$S$17</f>
        <v>3.3799999999999997E-2</v>
      </c>
      <c r="AD6" s="14">
        <v>0</v>
      </c>
      <c r="AE6" s="14">
        <v>0</v>
      </c>
      <c r="AF6" s="14">
        <f>+Portada!$EK$17*-1</f>
        <v>0</v>
      </c>
      <c r="AG6" s="14">
        <f t="shared" si="16"/>
        <v>0</v>
      </c>
      <c r="AH6" s="14">
        <f t="shared" si="17"/>
        <v>0</v>
      </c>
      <c r="AI6" s="15">
        <f t="shared" si="4"/>
        <v>0</v>
      </c>
      <c r="AJ6" s="15">
        <f t="shared" si="18"/>
        <v>0</v>
      </c>
      <c r="AK6" s="15">
        <f t="shared" si="5"/>
        <v>0</v>
      </c>
      <c r="AL6" s="15">
        <f t="shared" si="19"/>
        <v>0</v>
      </c>
      <c r="AM6" s="7">
        <f t="shared" si="20"/>
        <v>2050654.5344910037</v>
      </c>
    </row>
    <row r="7" spans="1:39" x14ac:dyDescent="0.35">
      <c r="A7" s="13">
        <v>5</v>
      </c>
      <c r="B7" s="2">
        <v>12</v>
      </c>
      <c r="C7" s="14">
        <f t="shared" si="21"/>
        <v>0</v>
      </c>
      <c r="D7" s="9">
        <f t="shared" si="6"/>
        <v>2.7739514514073527E-3</v>
      </c>
      <c r="E7" s="9">
        <f>+'Paso 2B solicitado por cliente'!$S$15</f>
        <v>3.3799999999999997E-2</v>
      </c>
      <c r="F7" s="14">
        <f>+'Motor I'!$C$19*-1</f>
        <v>0</v>
      </c>
      <c r="G7" s="14">
        <v>0</v>
      </c>
      <c r="H7" s="14">
        <v>0</v>
      </c>
      <c r="I7" s="14">
        <f t="shared" si="7"/>
        <v>0</v>
      </c>
      <c r="J7" s="14">
        <f t="shared" si="22"/>
        <v>0</v>
      </c>
      <c r="K7" s="15">
        <f t="shared" si="0"/>
        <v>0</v>
      </c>
      <c r="L7" s="15">
        <f t="shared" si="8"/>
        <v>0</v>
      </c>
      <c r="M7" s="15">
        <f t="shared" si="1"/>
        <v>0</v>
      </c>
      <c r="N7" s="15">
        <f t="shared" si="9"/>
        <v>0</v>
      </c>
      <c r="O7" s="14">
        <f t="shared" si="23"/>
        <v>2050654.5344910037</v>
      </c>
      <c r="P7" s="9">
        <f t="shared" si="10"/>
        <v>2.7739514514073527E-3</v>
      </c>
      <c r="Q7" s="9">
        <f>+'Paso 2B solicitado por cliente'!$S$16</f>
        <v>3.3799999999999997E-2</v>
      </c>
      <c r="R7" s="14">
        <v>0</v>
      </c>
      <c r="S7" s="14">
        <f>+Portada!$EK$15*-1</f>
        <v>-40000</v>
      </c>
      <c r="T7" s="14">
        <v>0</v>
      </c>
      <c r="U7" s="14">
        <f t="shared" si="11"/>
        <v>-40000</v>
      </c>
      <c r="V7" s="14">
        <f t="shared" si="12"/>
        <v>2607358.0284003387</v>
      </c>
      <c r="W7" s="15">
        <f t="shared" si="2"/>
        <v>5688.4161222863886</v>
      </c>
      <c r="X7" s="15">
        <f t="shared" si="13"/>
        <v>68260.993467436667</v>
      </c>
      <c r="Y7" s="15">
        <f t="shared" si="3"/>
        <v>0</v>
      </c>
      <c r="Z7" s="15">
        <f t="shared" si="14"/>
        <v>68260.993467436667</v>
      </c>
      <c r="AA7" s="14">
        <f t="shared" si="24"/>
        <v>0</v>
      </c>
      <c r="AB7" s="9">
        <f t="shared" si="15"/>
        <v>2.7739514514073527E-3</v>
      </c>
      <c r="AC7" s="9">
        <f>+'Paso 2B solicitado por cliente'!$S$17</f>
        <v>3.3799999999999997E-2</v>
      </c>
      <c r="AD7" s="14">
        <v>0</v>
      </c>
      <c r="AE7" s="14">
        <v>0</v>
      </c>
      <c r="AF7" s="14">
        <f>+Portada!$EK$17*-1</f>
        <v>0</v>
      </c>
      <c r="AG7" s="14">
        <f t="shared" si="16"/>
        <v>0</v>
      </c>
      <c r="AH7" s="14">
        <f t="shared" si="17"/>
        <v>0</v>
      </c>
      <c r="AI7" s="15">
        <f t="shared" si="4"/>
        <v>0</v>
      </c>
      <c r="AJ7" s="15">
        <f t="shared" si="18"/>
        <v>0</v>
      </c>
      <c r="AK7" s="15">
        <f t="shared" si="5"/>
        <v>0</v>
      </c>
      <c r="AL7" s="15">
        <f t="shared" si="19"/>
        <v>0</v>
      </c>
      <c r="AM7" s="7">
        <f t="shared" si="20"/>
        <v>2607358.0284003387</v>
      </c>
    </row>
    <row r="8" spans="1:39" x14ac:dyDescent="0.35">
      <c r="A8" s="13">
        <v>6</v>
      </c>
      <c r="B8" s="2">
        <v>12</v>
      </c>
      <c r="C8" s="14">
        <f t="shared" si="21"/>
        <v>0</v>
      </c>
      <c r="D8" s="9">
        <f t="shared" si="6"/>
        <v>2.7739514514073527E-3</v>
      </c>
      <c r="E8" s="9">
        <f>+'Paso 2B solicitado por cliente'!$S$15</f>
        <v>3.3799999999999997E-2</v>
      </c>
      <c r="F8" s="14">
        <f>+'Motor I'!$C$19*-1</f>
        <v>0</v>
      </c>
      <c r="G8" s="14">
        <v>0</v>
      </c>
      <c r="H8" s="14">
        <v>0</v>
      </c>
      <c r="I8" s="14">
        <f t="shared" si="7"/>
        <v>0</v>
      </c>
      <c r="J8" s="14">
        <f t="shared" si="22"/>
        <v>0</v>
      </c>
      <c r="K8" s="15">
        <f t="shared" si="0"/>
        <v>0</v>
      </c>
      <c r="L8" s="15">
        <f t="shared" si="8"/>
        <v>0</v>
      </c>
      <c r="M8" s="15">
        <f t="shared" si="1"/>
        <v>0</v>
      </c>
      <c r="N8" s="15">
        <f t="shared" si="9"/>
        <v>0</v>
      </c>
      <c r="O8" s="14">
        <f t="shared" si="23"/>
        <v>2607358.0284003387</v>
      </c>
      <c r="P8" s="9">
        <f t="shared" si="10"/>
        <v>2.7739514514073527E-3</v>
      </c>
      <c r="Q8" s="9">
        <f>+'Paso 2B solicitado por cliente'!$S$16</f>
        <v>3.3799999999999997E-2</v>
      </c>
      <c r="R8" s="14">
        <v>0</v>
      </c>
      <c r="S8" s="14">
        <f>+Portada!$EK$15*-1</f>
        <v>-40000</v>
      </c>
      <c r="T8" s="14">
        <v>0</v>
      </c>
      <c r="U8" s="14">
        <f t="shared" si="11"/>
        <v>-40000</v>
      </c>
      <c r="V8" s="14">
        <f t="shared" si="12"/>
        <v>3182878.1004038099</v>
      </c>
      <c r="W8" s="15">
        <f t="shared" si="2"/>
        <v>7232.6845872197327</v>
      </c>
      <c r="X8" s="15">
        <f t="shared" si="13"/>
        <v>86792.215046636789</v>
      </c>
      <c r="Y8" s="15">
        <f t="shared" si="3"/>
        <v>0</v>
      </c>
      <c r="Z8" s="15">
        <f t="shared" si="14"/>
        <v>86792.215046636789</v>
      </c>
      <c r="AA8" s="14">
        <f t="shared" si="24"/>
        <v>0</v>
      </c>
      <c r="AB8" s="9">
        <f t="shared" si="15"/>
        <v>2.7739514514073527E-3</v>
      </c>
      <c r="AC8" s="9">
        <f>+'Paso 2B solicitado por cliente'!$S$17</f>
        <v>3.3799999999999997E-2</v>
      </c>
      <c r="AD8" s="14">
        <v>0</v>
      </c>
      <c r="AE8" s="14">
        <v>0</v>
      </c>
      <c r="AF8" s="14">
        <f>+Portada!$EK$17*-1</f>
        <v>0</v>
      </c>
      <c r="AG8" s="14">
        <f t="shared" si="16"/>
        <v>0</v>
      </c>
      <c r="AH8" s="14">
        <f t="shared" si="17"/>
        <v>0</v>
      </c>
      <c r="AI8" s="15">
        <f t="shared" si="4"/>
        <v>0</v>
      </c>
      <c r="AJ8" s="15">
        <f t="shared" si="18"/>
        <v>0</v>
      </c>
      <c r="AK8" s="15">
        <f t="shared" si="5"/>
        <v>0</v>
      </c>
      <c r="AL8" s="15">
        <f t="shared" si="19"/>
        <v>0</v>
      </c>
      <c r="AM8" s="7">
        <f t="shared" si="20"/>
        <v>3182878.1004038099</v>
      </c>
    </row>
    <row r="9" spans="1:39" x14ac:dyDescent="0.35">
      <c r="A9" s="13">
        <v>7</v>
      </c>
      <c r="B9" s="2">
        <v>12</v>
      </c>
      <c r="C9" s="14">
        <f t="shared" si="21"/>
        <v>0</v>
      </c>
      <c r="D9" s="9">
        <f t="shared" si="6"/>
        <v>2.7739514514073527E-3</v>
      </c>
      <c r="E9" s="9">
        <f>+'Paso 2B solicitado por cliente'!$S$15</f>
        <v>3.3799999999999997E-2</v>
      </c>
      <c r="F9" s="14">
        <f>+'Motor I'!$C$19*-1</f>
        <v>0</v>
      </c>
      <c r="G9" s="14">
        <v>0</v>
      </c>
      <c r="H9" s="14">
        <v>0</v>
      </c>
      <c r="I9" s="14">
        <f t="shared" si="7"/>
        <v>0</v>
      </c>
      <c r="J9" s="14">
        <f t="shared" si="22"/>
        <v>0</v>
      </c>
      <c r="K9" s="15">
        <f t="shared" si="0"/>
        <v>0</v>
      </c>
      <c r="L9" s="15">
        <f t="shared" si="8"/>
        <v>0</v>
      </c>
      <c r="M9" s="15">
        <f t="shared" si="1"/>
        <v>0</v>
      </c>
      <c r="N9" s="15">
        <f t="shared" si="9"/>
        <v>0</v>
      </c>
      <c r="O9" s="14">
        <f t="shared" si="23"/>
        <v>3182878.1004038099</v>
      </c>
      <c r="P9" s="9">
        <f t="shared" si="10"/>
        <v>2.7739514514073527E-3</v>
      </c>
      <c r="Q9" s="9">
        <f>+'Paso 2B solicitado por cliente'!$S$16</f>
        <v>3.3799999999999997E-2</v>
      </c>
      <c r="R9" s="14">
        <v>0</v>
      </c>
      <c r="S9" s="14">
        <f>+Portada!$EK$15*-1</f>
        <v>-40000</v>
      </c>
      <c r="T9" s="14">
        <v>0</v>
      </c>
      <c r="U9" s="14">
        <f t="shared" si="11"/>
        <v>-40000</v>
      </c>
      <c r="V9" s="14">
        <f t="shared" si="12"/>
        <v>3777850.7508409992</v>
      </c>
      <c r="W9" s="15">
        <f t="shared" si="2"/>
        <v>8829.1493262678268</v>
      </c>
      <c r="X9" s="15">
        <f t="shared" si="13"/>
        <v>105949.79191521392</v>
      </c>
      <c r="Y9" s="15">
        <f t="shared" si="3"/>
        <v>0</v>
      </c>
      <c r="Z9" s="15">
        <f t="shared" si="14"/>
        <v>105949.79191521392</v>
      </c>
      <c r="AA9" s="14">
        <f t="shared" si="24"/>
        <v>0</v>
      </c>
      <c r="AB9" s="9">
        <f t="shared" si="15"/>
        <v>2.7739514514073527E-3</v>
      </c>
      <c r="AC9" s="9">
        <f>+'Paso 2B solicitado por cliente'!$S$17</f>
        <v>3.3799999999999997E-2</v>
      </c>
      <c r="AD9" s="14">
        <v>0</v>
      </c>
      <c r="AE9" s="14">
        <v>0</v>
      </c>
      <c r="AF9" s="14">
        <f>+Portada!$EK$17*-1</f>
        <v>0</v>
      </c>
      <c r="AG9" s="14">
        <f t="shared" si="16"/>
        <v>0</v>
      </c>
      <c r="AH9" s="14">
        <f t="shared" si="17"/>
        <v>0</v>
      </c>
      <c r="AI9" s="15">
        <f t="shared" si="4"/>
        <v>0</v>
      </c>
      <c r="AJ9" s="15">
        <f t="shared" si="18"/>
        <v>0</v>
      </c>
      <c r="AK9" s="15">
        <f t="shared" si="5"/>
        <v>0</v>
      </c>
      <c r="AL9" s="15">
        <f t="shared" si="19"/>
        <v>0</v>
      </c>
      <c r="AM9" s="7">
        <f t="shared" si="20"/>
        <v>3777850.7508409992</v>
      </c>
    </row>
    <row r="10" spans="1:39" x14ac:dyDescent="0.35">
      <c r="A10" s="13">
        <v>8</v>
      </c>
      <c r="B10" s="2">
        <v>12</v>
      </c>
      <c r="C10" s="14">
        <f t="shared" si="21"/>
        <v>0</v>
      </c>
      <c r="D10" s="9">
        <f t="shared" si="6"/>
        <v>2.7739514514073527E-3</v>
      </c>
      <c r="E10" s="9">
        <f>+'Paso 2B solicitado por cliente'!$S$15</f>
        <v>3.3799999999999997E-2</v>
      </c>
      <c r="F10" s="14">
        <f>+'Motor I'!$C$19*-1</f>
        <v>0</v>
      </c>
      <c r="G10" s="14">
        <v>0</v>
      </c>
      <c r="H10" s="14">
        <v>0</v>
      </c>
      <c r="I10" s="14">
        <f t="shared" si="7"/>
        <v>0</v>
      </c>
      <c r="J10" s="14">
        <f t="shared" si="22"/>
        <v>0</v>
      </c>
      <c r="K10" s="15">
        <f t="shared" si="0"/>
        <v>0</v>
      </c>
      <c r="L10" s="15">
        <f t="shared" si="8"/>
        <v>0</v>
      </c>
      <c r="M10" s="15">
        <f t="shared" si="1"/>
        <v>0</v>
      </c>
      <c r="N10" s="15">
        <f t="shared" si="9"/>
        <v>0</v>
      </c>
      <c r="O10" s="14">
        <f t="shared" si="23"/>
        <v>3777850.7508409992</v>
      </c>
      <c r="P10" s="9">
        <f t="shared" si="10"/>
        <v>2.7739514514073527E-3</v>
      </c>
      <c r="Q10" s="9">
        <f>+'Paso 2B solicitado por cliente'!$S$16</f>
        <v>3.3799999999999997E-2</v>
      </c>
      <c r="R10" s="14">
        <v>0</v>
      </c>
      <c r="S10" s="14">
        <f>+Portada!$EK$15*-1</f>
        <v>-40000</v>
      </c>
      <c r="T10" s="14">
        <v>0</v>
      </c>
      <c r="U10" s="14">
        <f t="shared" si="11"/>
        <v>-40000</v>
      </c>
      <c r="V10" s="14">
        <f t="shared" si="12"/>
        <v>4392933.4768629661</v>
      </c>
      <c r="W10" s="15">
        <f t="shared" si="2"/>
        <v>10479.574573495747</v>
      </c>
      <c r="X10" s="15">
        <f t="shared" si="13"/>
        <v>125754.89488194897</v>
      </c>
      <c r="Y10" s="15">
        <f t="shared" si="3"/>
        <v>0</v>
      </c>
      <c r="Z10" s="15">
        <f t="shared" si="14"/>
        <v>125754.89488194897</v>
      </c>
      <c r="AA10" s="14">
        <f t="shared" si="24"/>
        <v>0</v>
      </c>
      <c r="AB10" s="9">
        <f t="shared" si="15"/>
        <v>2.7739514514073527E-3</v>
      </c>
      <c r="AC10" s="9">
        <f>+'Paso 2B solicitado por cliente'!$S$17</f>
        <v>3.3799999999999997E-2</v>
      </c>
      <c r="AD10" s="14">
        <v>0</v>
      </c>
      <c r="AE10" s="14">
        <v>0</v>
      </c>
      <c r="AF10" s="14">
        <f>+Portada!$EK$17*-1</f>
        <v>0</v>
      </c>
      <c r="AG10" s="14">
        <f t="shared" si="16"/>
        <v>0</v>
      </c>
      <c r="AH10" s="14">
        <f t="shared" si="17"/>
        <v>0</v>
      </c>
      <c r="AI10" s="15">
        <f t="shared" si="4"/>
        <v>0</v>
      </c>
      <c r="AJ10" s="15">
        <f t="shared" si="18"/>
        <v>0</v>
      </c>
      <c r="AK10" s="15">
        <f t="shared" si="5"/>
        <v>0</v>
      </c>
      <c r="AL10" s="15">
        <f t="shared" si="19"/>
        <v>0</v>
      </c>
      <c r="AM10" s="7">
        <f t="shared" si="20"/>
        <v>4392933.4768629661</v>
      </c>
    </row>
    <row r="11" spans="1:39" x14ac:dyDescent="0.35">
      <c r="A11" s="13">
        <v>9</v>
      </c>
      <c r="B11" s="2">
        <v>12</v>
      </c>
      <c r="C11" s="14">
        <f t="shared" si="21"/>
        <v>0</v>
      </c>
      <c r="D11" s="9">
        <f t="shared" si="6"/>
        <v>2.7739514514073527E-3</v>
      </c>
      <c r="E11" s="9">
        <f>+'Paso 2B solicitado por cliente'!$S$15</f>
        <v>3.3799999999999997E-2</v>
      </c>
      <c r="F11" s="14">
        <f>+'Motor I'!$C$19*-1</f>
        <v>0</v>
      </c>
      <c r="G11" s="14">
        <v>0</v>
      </c>
      <c r="H11" s="14">
        <v>0</v>
      </c>
      <c r="I11" s="14">
        <f t="shared" si="7"/>
        <v>0</v>
      </c>
      <c r="J11" s="14">
        <f t="shared" si="22"/>
        <v>0</v>
      </c>
      <c r="K11" s="15">
        <f t="shared" si="0"/>
        <v>0</v>
      </c>
      <c r="L11" s="15">
        <f t="shared" si="8"/>
        <v>0</v>
      </c>
      <c r="M11" s="15">
        <f t="shared" si="1"/>
        <v>0</v>
      </c>
      <c r="N11" s="15">
        <f t="shared" si="9"/>
        <v>0</v>
      </c>
      <c r="O11" s="14">
        <f t="shared" si="23"/>
        <v>4392933.4768629661</v>
      </c>
      <c r="P11" s="9">
        <f t="shared" si="10"/>
        <v>2.7739514514073527E-3</v>
      </c>
      <c r="Q11" s="9">
        <f>+'Paso 2B solicitado por cliente'!$S$16</f>
        <v>3.3799999999999997E-2</v>
      </c>
      <c r="R11" s="14">
        <v>0</v>
      </c>
      <c r="S11" s="14">
        <f>+Portada!$EK$15*-1</f>
        <v>-40000</v>
      </c>
      <c r="T11" s="14">
        <v>0</v>
      </c>
      <c r="U11" s="14">
        <f t="shared" si="11"/>
        <v>-40000</v>
      </c>
      <c r="V11" s="14">
        <f t="shared" si="12"/>
        <v>5028805.9990244759</v>
      </c>
      <c r="W11" s="15">
        <f t="shared" si="2"/>
        <v>12185.784194079974</v>
      </c>
      <c r="X11" s="15">
        <f t="shared" si="13"/>
        <v>146229.4103289597</v>
      </c>
      <c r="Y11" s="15">
        <f t="shared" si="3"/>
        <v>0</v>
      </c>
      <c r="Z11" s="15">
        <f t="shared" si="14"/>
        <v>146229.4103289597</v>
      </c>
      <c r="AA11" s="14">
        <f t="shared" si="24"/>
        <v>0</v>
      </c>
      <c r="AB11" s="9">
        <f t="shared" si="15"/>
        <v>2.7739514514073527E-3</v>
      </c>
      <c r="AC11" s="9">
        <f>+'Paso 2B solicitado por cliente'!$S$17</f>
        <v>3.3799999999999997E-2</v>
      </c>
      <c r="AD11" s="14">
        <v>0</v>
      </c>
      <c r="AE11" s="14">
        <v>0</v>
      </c>
      <c r="AF11" s="14">
        <f>+Portada!$EK$17*-1</f>
        <v>0</v>
      </c>
      <c r="AG11" s="14">
        <f t="shared" si="16"/>
        <v>0</v>
      </c>
      <c r="AH11" s="14">
        <f t="shared" si="17"/>
        <v>0</v>
      </c>
      <c r="AI11" s="15">
        <f t="shared" si="4"/>
        <v>0</v>
      </c>
      <c r="AJ11" s="15">
        <f t="shared" si="18"/>
        <v>0</v>
      </c>
      <c r="AK11" s="15">
        <f t="shared" si="5"/>
        <v>0</v>
      </c>
      <c r="AL11" s="15">
        <f t="shared" si="19"/>
        <v>0</v>
      </c>
      <c r="AM11" s="7">
        <f t="shared" si="20"/>
        <v>5028805.9990244759</v>
      </c>
    </row>
    <row r="12" spans="1:39" x14ac:dyDescent="0.35">
      <c r="A12" s="13">
        <v>10</v>
      </c>
      <c r="B12" s="2">
        <v>12</v>
      </c>
      <c r="C12" s="14">
        <f t="shared" si="21"/>
        <v>0</v>
      </c>
      <c r="D12" s="9">
        <f t="shared" si="6"/>
        <v>2.7739514514073527E-3</v>
      </c>
      <c r="E12" s="9">
        <f>+'Paso 2B solicitado por cliente'!$S$15</f>
        <v>3.3799999999999997E-2</v>
      </c>
      <c r="F12" s="14">
        <f>+'Motor I'!$C$19*-1</f>
        <v>0</v>
      </c>
      <c r="G12" s="14">
        <v>0</v>
      </c>
      <c r="H12" s="14">
        <v>0</v>
      </c>
      <c r="I12" s="14">
        <f t="shared" si="7"/>
        <v>0</v>
      </c>
      <c r="J12" s="14">
        <f t="shared" si="22"/>
        <v>0</v>
      </c>
      <c r="K12" s="15">
        <f t="shared" si="0"/>
        <v>0</v>
      </c>
      <c r="L12" s="15">
        <f t="shared" si="8"/>
        <v>0</v>
      </c>
      <c r="M12" s="15">
        <f t="shared" si="1"/>
        <v>0</v>
      </c>
      <c r="N12" s="15">
        <f t="shared" si="9"/>
        <v>0</v>
      </c>
      <c r="O12" s="14">
        <f t="shared" si="23"/>
        <v>5028805.9990244759</v>
      </c>
      <c r="P12" s="9">
        <f t="shared" si="10"/>
        <v>2.7739514514073527E-3</v>
      </c>
      <c r="Q12" s="9">
        <f>+'Paso 2B solicitado por cliente'!$S$16</f>
        <v>3.3799999999999997E-2</v>
      </c>
      <c r="R12" s="14">
        <v>0</v>
      </c>
      <c r="S12" s="14">
        <f>+Portada!$EK$15*-1</f>
        <v>-40000</v>
      </c>
      <c r="T12" s="14">
        <v>0</v>
      </c>
      <c r="U12" s="14">
        <f t="shared" si="11"/>
        <v>-40000</v>
      </c>
      <c r="V12" s="14">
        <f t="shared" si="12"/>
        <v>5686171.012435046</v>
      </c>
      <c r="W12" s="15">
        <f t="shared" si="2"/>
        <v>13949.663699839946</v>
      </c>
      <c r="X12" s="15">
        <f t="shared" si="13"/>
        <v>167395.96439807935</v>
      </c>
      <c r="Y12" s="15">
        <f t="shared" si="3"/>
        <v>0</v>
      </c>
      <c r="Z12" s="15">
        <f t="shared" si="14"/>
        <v>167395.96439807935</v>
      </c>
      <c r="AA12" s="14">
        <f t="shared" si="24"/>
        <v>0</v>
      </c>
      <c r="AB12" s="9">
        <f t="shared" si="15"/>
        <v>2.7739514514073527E-3</v>
      </c>
      <c r="AC12" s="9">
        <f>+'Paso 2B solicitado por cliente'!$S$17</f>
        <v>3.3799999999999997E-2</v>
      </c>
      <c r="AD12" s="14">
        <v>0</v>
      </c>
      <c r="AE12" s="14">
        <v>0</v>
      </c>
      <c r="AF12" s="14">
        <f>+Portada!$EK$17*-1</f>
        <v>0</v>
      </c>
      <c r="AG12" s="14">
        <f t="shared" si="16"/>
        <v>0</v>
      </c>
      <c r="AH12" s="14">
        <f t="shared" si="17"/>
        <v>0</v>
      </c>
      <c r="AI12" s="15">
        <f t="shared" si="4"/>
        <v>0</v>
      </c>
      <c r="AJ12" s="15">
        <f t="shared" si="18"/>
        <v>0</v>
      </c>
      <c r="AK12" s="15">
        <f t="shared" si="5"/>
        <v>0</v>
      </c>
      <c r="AL12" s="15">
        <f t="shared" si="19"/>
        <v>0</v>
      </c>
      <c r="AM12" s="7">
        <f t="shared" si="20"/>
        <v>5686171.012435046</v>
      </c>
    </row>
    <row r="13" spans="1:39" x14ac:dyDescent="0.35">
      <c r="A13" s="13">
        <v>11</v>
      </c>
      <c r="B13" s="2">
        <v>12</v>
      </c>
      <c r="C13" s="14">
        <f t="shared" si="21"/>
        <v>0</v>
      </c>
      <c r="D13" s="9">
        <f t="shared" si="6"/>
        <v>2.7739514514073527E-3</v>
      </c>
      <c r="E13" s="9">
        <f>+'Paso 2B solicitado por cliente'!$S$15</f>
        <v>3.3799999999999997E-2</v>
      </c>
      <c r="F13" s="14">
        <f>+'Motor I'!$C$19*-1</f>
        <v>0</v>
      </c>
      <c r="G13" s="14">
        <v>0</v>
      </c>
      <c r="H13" s="14">
        <v>0</v>
      </c>
      <c r="I13" s="14">
        <f t="shared" si="7"/>
        <v>0</v>
      </c>
      <c r="J13" s="14">
        <f t="shared" si="22"/>
        <v>0</v>
      </c>
      <c r="K13" s="15">
        <f t="shared" si="0"/>
        <v>0</v>
      </c>
      <c r="L13" s="15">
        <f t="shared" si="8"/>
        <v>0</v>
      </c>
      <c r="M13" s="15">
        <f t="shared" si="1"/>
        <v>0</v>
      </c>
      <c r="N13" s="15">
        <f t="shared" si="9"/>
        <v>0</v>
      </c>
      <c r="O13" s="14">
        <f t="shared" si="23"/>
        <v>5686171.012435046</v>
      </c>
      <c r="P13" s="9">
        <f t="shared" si="10"/>
        <v>2.7739514514073527E-3</v>
      </c>
      <c r="Q13" s="9">
        <f>+'Paso 2B solicitado por cliente'!$S$16</f>
        <v>3.3799999999999997E-2</v>
      </c>
      <c r="R13" s="14">
        <v>0</v>
      </c>
      <c r="S13" s="14">
        <f>+Portada!$EK$15*-1</f>
        <v>-40000</v>
      </c>
      <c r="T13" s="14">
        <v>0</v>
      </c>
      <c r="U13" s="14">
        <f t="shared" si="11"/>
        <v>-40000</v>
      </c>
      <c r="V13" s="14">
        <f t="shared" si="12"/>
        <v>6365754.9632988945</v>
      </c>
      <c r="W13" s="15">
        <f t="shared" si="2"/>
        <v>15773.162332894612</v>
      </c>
      <c r="X13" s="15">
        <f t="shared" si="13"/>
        <v>189277.94799473532</v>
      </c>
      <c r="Y13" s="15">
        <f t="shared" si="3"/>
        <v>0</v>
      </c>
      <c r="Z13" s="15">
        <f t="shared" si="14"/>
        <v>189277.94799473532</v>
      </c>
      <c r="AA13" s="14">
        <f t="shared" si="24"/>
        <v>0</v>
      </c>
      <c r="AB13" s="9">
        <f t="shared" si="15"/>
        <v>2.7739514514073527E-3</v>
      </c>
      <c r="AC13" s="9">
        <f>+'Paso 2B solicitado por cliente'!$S$17</f>
        <v>3.3799999999999997E-2</v>
      </c>
      <c r="AD13" s="14">
        <v>0</v>
      </c>
      <c r="AE13" s="14">
        <v>0</v>
      </c>
      <c r="AF13" s="14">
        <f>+Portada!$EK$17*-1</f>
        <v>0</v>
      </c>
      <c r="AG13" s="14">
        <f>+AD13+AE13+AF13</f>
        <v>0</v>
      </c>
      <c r="AH13" s="14">
        <f t="shared" si="17"/>
        <v>0</v>
      </c>
      <c r="AI13" s="15">
        <f t="shared" si="4"/>
        <v>0</v>
      </c>
      <c r="AJ13" s="15">
        <f t="shared" si="18"/>
        <v>0</v>
      </c>
      <c r="AK13" s="15">
        <f t="shared" si="5"/>
        <v>0</v>
      </c>
      <c r="AL13" s="15">
        <f t="shared" si="19"/>
        <v>0</v>
      </c>
      <c r="AM13" s="7">
        <f t="shared" si="20"/>
        <v>6365754.9632988945</v>
      </c>
    </row>
    <row r="14" spans="1:39" x14ac:dyDescent="0.35">
      <c r="A14" s="13">
        <v>12</v>
      </c>
      <c r="B14" s="2">
        <v>12</v>
      </c>
      <c r="C14" s="14">
        <f t="shared" si="21"/>
        <v>0</v>
      </c>
      <c r="D14" s="9">
        <f t="shared" si="6"/>
        <v>2.7739514514073527E-3</v>
      </c>
      <c r="E14" s="9">
        <f>+'Paso 2B solicitado por cliente'!$S$15</f>
        <v>3.3799999999999997E-2</v>
      </c>
      <c r="F14" s="14">
        <f>+'Motor I'!$C$19*-1</f>
        <v>0</v>
      </c>
      <c r="G14" s="14">
        <v>0</v>
      </c>
      <c r="H14" s="14">
        <v>0</v>
      </c>
      <c r="I14" s="14">
        <f t="shared" si="7"/>
        <v>0</v>
      </c>
      <c r="J14" s="14">
        <f t="shared" si="22"/>
        <v>0</v>
      </c>
      <c r="K14" s="15">
        <f t="shared" si="0"/>
        <v>0</v>
      </c>
      <c r="L14" s="15">
        <f t="shared" si="8"/>
        <v>0</v>
      </c>
      <c r="M14" s="15">
        <f t="shared" si="1"/>
        <v>0</v>
      </c>
      <c r="N14" s="15">
        <f t="shared" si="9"/>
        <v>0</v>
      </c>
      <c r="O14" s="14">
        <f t="shared" si="23"/>
        <v>6365754.9632988945</v>
      </c>
      <c r="P14" s="9">
        <f t="shared" si="10"/>
        <v>2.7739514514073527E-3</v>
      </c>
      <c r="Q14" s="9">
        <f>+'Paso 2B solicitado por cliente'!$S$16</f>
        <v>3.3799999999999997E-2</v>
      </c>
      <c r="R14" s="14">
        <v>0</v>
      </c>
      <c r="S14" s="14">
        <f>+Portada!$EK$15*-1</f>
        <v>-40000</v>
      </c>
      <c r="T14" s="14">
        <v>0</v>
      </c>
      <c r="U14" s="14">
        <f t="shared" si="11"/>
        <v>-40000</v>
      </c>
      <c r="V14" s="14">
        <f t="shared" si="12"/>
        <v>7068308.8517019413</v>
      </c>
      <c r="W14" s="15">
        <f t="shared" si="2"/>
        <v>17658.295219746527</v>
      </c>
      <c r="X14" s="15">
        <f t="shared" si="13"/>
        <v>211899.54263695833</v>
      </c>
      <c r="Y14" s="15">
        <f t="shared" si="3"/>
        <v>0</v>
      </c>
      <c r="Z14" s="15">
        <f t="shared" si="14"/>
        <v>211899.54263695833</v>
      </c>
      <c r="AA14" s="14">
        <f t="shared" si="24"/>
        <v>0</v>
      </c>
      <c r="AB14" s="9">
        <f t="shared" si="15"/>
        <v>2.7739514514073527E-3</v>
      </c>
      <c r="AC14" s="9">
        <f>+'Paso 2B solicitado por cliente'!$S$17</f>
        <v>3.3799999999999997E-2</v>
      </c>
      <c r="AD14" s="14">
        <v>0</v>
      </c>
      <c r="AE14" s="14">
        <v>0</v>
      </c>
      <c r="AF14" s="14">
        <f>+Portada!$EK$17*-1</f>
        <v>0</v>
      </c>
      <c r="AG14" s="14">
        <f t="shared" si="16"/>
        <v>0</v>
      </c>
      <c r="AH14" s="14">
        <f t="shared" si="17"/>
        <v>0</v>
      </c>
      <c r="AI14" s="15">
        <f t="shared" si="4"/>
        <v>0</v>
      </c>
      <c r="AJ14" s="15">
        <f t="shared" si="18"/>
        <v>0</v>
      </c>
      <c r="AK14" s="15">
        <f t="shared" si="5"/>
        <v>0</v>
      </c>
      <c r="AL14" s="15">
        <f t="shared" si="19"/>
        <v>0</v>
      </c>
      <c r="AM14" s="7">
        <f t="shared" si="20"/>
        <v>7068308.8517019413</v>
      </c>
    </row>
    <row r="15" spans="1:39" x14ac:dyDescent="0.35">
      <c r="A15" s="13">
        <v>13</v>
      </c>
      <c r="B15" s="2">
        <v>12</v>
      </c>
      <c r="C15" s="14">
        <f t="shared" si="21"/>
        <v>0</v>
      </c>
      <c r="D15" s="9">
        <f t="shared" si="6"/>
        <v>2.7739514514073527E-3</v>
      </c>
      <c r="E15" s="9">
        <f>+'Paso 2B solicitado por cliente'!$S$15</f>
        <v>3.3799999999999997E-2</v>
      </c>
      <c r="F15" s="14">
        <f>+'Motor I'!$C$19*-1</f>
        <v>0</v>
      </c>
      <c r="G15" s="14">
        <v>0</v>
      </c>
      <c r="H15" s="14">
        <v>0</v>
      </c>
      <c r="I15" s="14">
        <f t="shared" si="7"/>
        <v>0</v>
      </c>
      <c r="J15" s="14">
        <f t="shared" si="22"/>
        <v>0</v>
      </c>
      <c r="K15" s="15">
        <f t="shared" si="0"/>
        <v>0</v>
      </c>
      <c r="L15" s="15">
        <f t="shared" si="8"/>
        <v>0</v>
      </c>
      <c r="M15" s="15">
        <f t="shared" si="1"/>
        <v>0</v>
      </c>
      <c r="N15" s="15">
        <f t="shared" si="9"/>
        <v>0</v>
      </c>
      <c r="O15" s="14">
        <f t="shared" si="23"/>
        <v>7068308.8517019413</v>
      </c>
      <c r="P15" s="9">
        <f t="shared" si="10"/>
        <v>2.7739514514073527E-3</v>
      </c>
      <c r="Q15" s="9">
        <f>+'Paso 2B solicitado por cliente'!$S$16</f>
        <v>3.3799999999999997E-2</v>
      </c>
      <c r="R15" s="14">
        <v>0</v>
      </c>
      <c r="S15" s="14">
        <f>+Portada!$EK$15*-1</f>
        <v>-40000</v>
      </c>
      <c r="T15" s="14">
        <v>0</v>
      </c>
      <c r="U15" s="14">
        <f t="shared" si="11"/>
        <v>-40000</v>
      </c>
      <c r="V15" s="14">
        <f t="shared" si="12"/>
        <v>7794609.0615330124</v>
      </c>
      <c r="W15" s="15">
        <f t="shared" si="2"/>
        <v>19607.14559817404</v>
      </c>
      <c r="X15" s="15">
        <f t="shared" si="13"/>
        <v>235285.74717808847</v>
      </c>
      <c r="Y15" s="15">
        <f t="shared" si="3"/>
        <v>0</v>
      </c>
      <c r="Z15" s="15">
        <f t="shared" si="14"/>
        <v>235285.74717808847</v>
      </c>
      <c r="AA15" s="14">
        <f t="shared" si="24"/>
        <v>0</v>
      </c>
      <c r="AB15" s="9">
        <f t="shared" si="15"/>
        <v>2.7739514514073527E-3</v>
      </c>
      <c r="AC15" s="9">
        <f>+'Paso 2B solicitado por cliente'!$S$17</f>
        <v>3.3799999999999997E-2</v>
      </c>
      <c r="AD15" s="14">
        <v>0</v>
      </c>
      <c r="AE15" s="14">
        <v>0</v>
      </c>
      <c r="AF15" s="14">
        <f>+Portada!$EK$17*-1</f>
        <v>0</v>
      </c>
      <c r="AG15" s="14">
        <f t="shared" si="16"/>
        <v>0</v>
      </c>
      <c r="AH15" s="14">
        <f t="shared" si="17"/>
        <v>0</v>
      </c>
      <c r="AI15" s="15">
        <f t="shared" si="4"/>
        <v>0</v>
      </c>
      <c r="AJ15" s="15">
        <f t="shared" si="18"/>
        <v>0</v>
      </c>
      <c r="AK15" s="15">
        <f t="shared" si="5"/>
        <v>0</v>
      </c>
      <c r="AL15" s="15">
        <f t="shared" si="19"/>
        <v>0</v>
      </c>
      <c r="AM15" s="7">
        <f t="shared" si="20"/>
        <v>7794609.0615330124</v>
      </c>
    </row>
    <row r="16" spans="1:39" x14ac:dyDescent="0.35">
      <c r="A16" s="13">
        <v>14</v>
      </c>
      <c r="B16" s="2">
        <v>12</v>
      </c>
      <c r="C16" s="14">
        <f t="shared" si="21"/>
        <v>0</v>
      </c>
      <c r="D16" s="9">
        <f t="shared" si="6"/>
        <v>2.7739514514073527E-3</v>
      </c>
      <c r="E16" s="9">
        <f>+'Paso 2B solicitado por cliente'!$S$15</f>
        <v>3.3799999999999997E-2</v>
      </c>
      <c r="F16" s="14">
        <f>+'Motor I'!$C$19*-1</f>
        <v>0</v>
      </c>
      <c r="G16" s="14">
        <v>0</v>
      </c>
      <c r="H16" s="14">
        <v>0</v>
      </c>
      <c r="I16" s="14">
        <f t="shared" si="7"/>
        <v>0</v>
      </c>
      <c r="J16" s="14">
        <f t="shared" si="22"/>
        <v>0</v>
      </c>
      <c r="K16" s="15">
        <f t="shared" si="0"/>
        <v>0</v>
      </c>
      <c r="L16" s="15">
        <f t="shared" si="8"/>
        <v>0</v>
      </c>
      <c r="M16" s="15">
        <f t="shared" si="1"/>
        <v>0</v>
      </c>
      <c r="N16" s="15">
        <f t="shared" si="9"/>
        <v>0</v>
      </c>
      <c r="O16" s="14">
        <f t="shared" si="23"/>
        <v>7794609.0615330124</v>
      </c>
      <c r="P16" s="9">
        <f t="shared" si="10"/>
        <v>2.7739514514073527E-3</v>
      </c>
      <c r="Q16" s="9">
        <f>+'Paso 2B solicitado por cliente'!$S$16</f>
        <v>3.3799999999999997E-2</v>
      </c>
      <c r="R16" s="14">
        <v>0</v>
      </c>
      <c r="S16" s="14">
        <f>+Portada!$EK$15*-1</f>
        <v>-40000</v>
      </c>
      <c r="T16" s="14">
        <v>0</v>
      </c>
      <c r="U16" s="14">
        <f t="shared" si="11"/>
        <v>-40000</v>
      </c>
      <c r="V16" s="14">
        <f t="shared" si="12"/>
        <v>8545458.2184563745</v>
      </c>
      <c r="W16" s="15">
        <f t="shared" si="2"/>
        <v>21621.867119392402</v>
      </c>
      <c r="X16" s="15">
        <f t="shared" si="13"/>
        <v>259462.40543270882</v>
      </c>
      <c r="Y16" s="15">
        <f t="shared" si="3"/>
        <v>0</v>
      </c>
      <c r="Z16" s="15">
        <f t="shared" si="14"/>
        <v>259462.40543270882</v>
      </c>
      <c r="AA16" s="14">
        <f t="shared" si="24"/>
        <v>0</v>
      </c>
      <c r="AB16" s="9">
        <f t="shared" si="15"/>
        <v>2.7739514514073527E-3</v>
      </c>
      <c r="AC16" s="9">
        <f>+'Paso 2B solicitado por cliente'!$S$17</f>
        <v>3.3799999999999997E-2</v>
      </c>
      <c r="AD16" s="14">
        <v>0</v>
      </c>
      <c r="AE16" s="14">
        <v>0</v>
      </c>
      <c r="AF16" s="14">
        <f>+Portada!$EK$17*-1</f>
        <v>0</v>
      </c>
      <c r="AG16" s="14">
        <f t="shared" si="16"/>
        <v>0</v>
      </c>
      <c r="AH16" s="14">
        <f t="shared" si="17"/>
        <v>0</v>
      </c>
      <c r="AI16" s="15">
        <f t="shared" si="4"/>
        <v>0</v>
      </c>
      <c r="AJ16" s="15">
        <f t="shared" si="18"/>
        <v>0</v>
      </c>
      <c r="AK16" s="15">
        <f t="shared" si="5"/>
        <v>0</v>
      </c>
      <c r="AL16" s="15">
        <f t="shared" si="19"/>
        <v>0</v>
      </c>
      <c r="AM16" s="7">
        <f t="shared" si="20"/>
        <v>8545458.2184563745</v>
      </c>
    </row>
    <row r="17" spans="1:39" x14ac:dyDescent="0.35">
      <c r="A17" s="13">
        <v>15</v>
      </c>
      <c r="B17" s="2">
        <v>12</v>
      </c>
      <c r="C17" s="14">
        <f t="shared" si="21"/>
        <v>0</v>
      </c>
      <c r="D17" s="9">
        <f t="shared" si="6"/>
        <v>2.7739514514073527E-3</v>
      </c>
      <c r="E17" s="9">
        <f>+'Paso 2B solicitado por cliente'!$S$15</f>
        <v>3.3799999999999997E-2</v>
      </c>
      <c r="F17" s="14">
        <f>+'Motor I'!$C$19*-1</f>
        <v>0</v>
      </c>
      <c r="G17" s="14">
        <v>0</v>
      </c>
      <c r="H17" s="14">
        <v>0</v>
      </c>
      <c r="I17" s="14">
        <f t="shared" si="7"/>
        <v>0</v>
      </c>
      <c r="J17" s="14">
        <f t="shared" si="22"/>
        <v>0</v>
      </c>
      <c r="K17" s="15">
        <f t="shared" si="0"/>
        <v>0</v>
      </c>
      <c r="L17" s="15">
        <f t="shared" si="8"/>
        <v>0</v>
      </c>
      <c r="M17" s="15">
        <f t="shared" si="1"/>
        <v>0</v>
      </c>
      <c r="N17" s="15">
        <f t="shared" si="9"/>
        <v>0</v>
      </c>
      <c r="O17" s="14">
        <f t="shared" si="23"/>
        <v>8545458.2184563745</v>
      </c>
      <c r="P17" s="9">
        <f t="shared" si="10"/>
        <v>2.7739514514073527E-3</v>
      </c>
      <c r="Q17" s="9">
        <f>+'Paso 2B solicitado por cliente'!$S$16</f>
        <v>3.3799999999999997E-2</v>
      </c>
      <c r="R17" s="14">
        <v>0</v>
      </c>
      <c r="S17" s="14">
        <f>+Portada!$EK$15*-1</f>
        <v>-40000</v>
      </c>
      <c r="T17" s="14">
        <v>0</v>
      </c>
      <c r="U17" s="14">
        <f t="shared" si="11"/>
        <v>-40000</v>
      </c>
      <c r="V17" s="14">
        <f t="shared" si="12"/>
        <v>9321686.0768837482</v>
      </c>
      <c r="W17" s="15">
        <f t="shared" si="2"/>
        <v>23704.686228027949</v>
      </c>
      <c r="X17" s="15">
        <f t="shared" si="13"/>
        <v>284456.23473633541</v>
      </c>
      <c r="Y17" s="15">
        <f t="shared" si="3"/>
        <v>0</v>
      </c>
      <c r="Z17" s="15">
        <f t="shared" si="14"/>
        <v>284456.23473633541</v>
      </c>
      <c r="AA17" s="14">
        <f t="shared" si="24"/>
        <v>0</v>
      </c>
      <c r="AB17" s="9">
        <f t="shared" si="15"/>
        <v>2.7739514514073527E-3</v>
      </c>
      <c r="AC17" s="9">
        <f>+'Paso 2B solicitado por cliente'!$S$17</f>
        <v>3.3799999999999997E-2</v>
      </c>
      <c r="AD17" s="14">
        <v>0</v>
      </c>
      <c r="AE17" s="14">
        <v>0</v>
      </c>
      <c r="AF17" s="14">
        <f>+Portada!$EK$17*-1</f>
        <v>0</v>
      </c>
      <c r="AG17" s="14">
        <f t="shared" si="16"/>
        <v>0</v>
      </c>
      <c r="AH17" s="14">
        <f t="shared" si="17"/>
        <v>0</v>
      </c>
      <c r="AI17" s="15">
        <f t="shared" si="4"/>
        <v>0</v>
      </c>
      <c r="AJ17" s="15">
        <f t="shared" si="18"/>
        <v>0</v>
      </c>
      <c r="AK17" s="15">
        <f t="shared" si="5"/>
        <v>0</v>
      </c>
      <c r="AL17" s="15">
        <f t="shared" si="19"/>
        <v>0</v>
      </c>
      <c r="AM17" s="7">
        <f t="shared" si="20"/>
        <v>9321686.0768837482</v>
      </c>
    </row>
    <row r="18" spans="1:39" x14ac:dyDescent="0.35">
      <c r="A18" s="13">
        <v>16</v>
      </c>
      <c r="B18" s="2">
        <v>12</v>
      </c>
      <c r="C18" s="14">
        <f t="shared" si="21"/>
        <v>0</v>
      </c>
      <c r="D18" s="9">
        <f t="shared" si="6"/>
        <v>2.7739514514073527E-3</v>
      </c>
      <c r="E18" s="9">
        <f>+'Paso 2B solicitado por cliente'!$S$15</f>
        <v>3.3799999999999997E-2</v>
      </c>
      <c r="F18" s="14">
        <f>+'Motor I'!$C$19*-1</f>
        <v>0</v>
      </c>
      <c r="G18" s="14">
        <v>0</v>
      </c>
      <c r="H18" s="14">
        <v>0</v>
      </c>
      <c r="I18" s="14">
        <f t="shared" si="7"/>
        <v>0</v>
      </c>
      <c r="J18" s="14">
        <f t="shared" si="22"/>
        <v>0</v>
      </c>
      <c r="K18" s="15">
        <f t="shared" si="0"/>
        <v>0</v>
      </c>
      <c r="L18" s="15">
        <f t="shared" si="8"/>
        <v>0</v>
      </c>
      <c r="M18" s="15">
        <f t="shared" si="1"/>
        <v>0</v>
      </c>
      <c r="N18" s="15">
        <f t="shared" si="9"/>
        <v>0</v>
      </c>
      <c r="O18" s="14">
        <f t="shared" si="23"/>
        <v>9321686.0768837482</v>
      </c>
      <c r="P18" s="9">
        <f t="shared" si="10"/>
        <v>2.7739514514073527E-3</v>
      </c>
      <c r="Q18" s="9">
        <f>+'Paso 2B solicitado por cliente'!$S$16</f>
        <v>3.3799999999999997E-2</v>
      </c>
      <c r="R18" s="14">
        <v>0</v>
      </c>
      <c r="S18" s="14">
        <f>+Portada!$EK$15*-1</f>
        <v>-40000</v>
      </c>
      <c r="T18" s="14">
        <v>0</v>
      </c>
      <c r="U18" s="14">
        <f t="shared" si="11"/>
        <v>-40000</v>
      </c>
      <c r="V18" s="14">
        <f t="shared" si="12"/>
        <v>10124150.436925968</v>
      </c>
      <c r="W18" s="15">
        <f t="shared" si="2"/>
        <v>25857.904622535385</v>
      </c>
      <c r="X18" s="15">
        <f t="shared" si="13"/>
        <v>310294.85547042463</v>
      </c>
      <c r="Y18" s="15">
        <f t="shared" si="3"/>
        <v>0</v>
      </c>
      <c r="Z18" s="15">
        <f t="shared" si="14"/>
        <v>310294.85547042463</v>
      </c>
      <c r="AA18" s="14">
        <f t="shared" si="24"/>
        <v>0</v>
      </c>
      <c r="AB18" s="9">
        <f t="shared" si="15"/>
        <v>2.7739514514073527E-3</v>
      </c>
      <c r="AC18" s="9">
        <f>+'Paso 2B solicitado por cliente'!$S$17</f>
        <v>3.3799999999999997E-2</v>
      </c>
      <c r="AD18" s="14">
        <v>0</v>
      </c>
      <c r="AE18" s="14">
        <v>0</v>
      </c>
      <c r="AF18" s="14">
        <f>+Portada!$EK$17*-1</f>
        <v>0</v>
      </c>
      <c r="AG18" s="14">
        <f t="shared" si="16"/>
        <v>0</v>
      </c>
      <c r="AH18" s="14">
        <f t="shared" si="17"/>
        <v>0</v>
      </c>
      <c r="AI18" s="15">
        <f t="shared" si="4"/>
        <v>0</v>
      </c>
      <c r="AJ18" s="15">
        <f t="shared" si="18"/>
        <v>0</v>
      </c>
      <c r="AK18" s="15">
        <f t="shared" si="5"/>
        <v>0</v>
      </c>
      <c r="AL18" s="15">
        <f t="shared" si="19"/>
        <v>0</v>
      </c>
      <c r="AM18" s="7">
        <f t="shared" si="20"/>
        <v>10124150.436925968</v>
      </c>
    </row>
    <row r="19" spans="1:39" x14ac:dyDescent="0.35">
      <c r="A19" s="13">
        <v>17</v>
      </c>
      <c r="B19" s="2">
        <v>12</v>
      </c>
      <c r="C19" s="14">
        <f t="shared" si="21"/>
        <v>0</v>
      </c>
      <c r="D19" s="9">
        <f t="shared" si="6"/>
        <v>2.7739514514073527E-3</v>
      </c>
      <c r="E19" s="9">
        <f>+'Paso 2B solicitado por cliente'!$S$15</f>
        <v>3.3799999999999997E-2</v>
      </c>
      <c r="F19" s="14">
        <f>+'Motor I'!$C$19*-1</f>
        <v>0</v>
      </c>
      <c r="G19" s="14">
        <v>0</v>
      </c>
      <c r="H19" s="14">
        <v>0</v>
      </c>
      <c r="I19" s="14">
        <f t="shared" si="7"/>
        <v>0</v>
      </c>
      <c r="J19" s="14">
        <f t="shared" si="22"/>
        <v>0</v>
      </c>
      <c r="K19" s="15">
        <f t="shared" si="0"/>
        <v>0</v>
      </c>
      <c r="L19" s="15">
        <f t="shared" si="8"/>
        <v>0</v>
      </c>
      <c r="M19" s="15">
        <f t="shared" si="1"/>
        <v>0</v>
      </c>
      <c r="N19" s="15">
        <f t="shared" si="9"/>
        <v>0</v>
      </c>
      <c r="O19" s="14">
        <f t="shared" si="23"/>
        <v>10124150.436925968</v>
      </c>
      <c r="P19" s="9">
        <f t="shared" si="10"/>
        <v>2.7739514514073527E-3</v>
      </c>
      <c r="Q19" s="9">
        <f>+'Paso 2B solicitado por cliente'!$S$16</f>
        <v>3.3799999999999997E-2</v>
      </c>
      <c r="R19" s="14">
        <v>0</v>
      </c>
      <c r="S19" s="14">
        <f>+Portada!$EK$15*-1</f>
        <v>-40000</v>
      </c>
      <c r="T19" s="14">
        <v>0</v>
      </c>
      <c r="U19" s="14">
        <f t="shared" si="11"/>
        <v>-40000</v>
      </c>
      <c r="V19" s="14">
        <f t="shared" si="12"/>
        <v>10953738.092337616</v>
      </c>
      <c r="W19" s="15">
        <f t="shared" si="2"/>
        <v>28083.901798777173</v>
      </c>
      <c r="X19" s="15">
        <f t="shared" si="13"/>
        <v>337006.82158532611</v>
      </c>
      <c r="Y19" s="15">
        <f t="shared" si="3"/>
        <v>0</v>
      </c>
      <c r="Z19" s="15">
        <f t="shared" si="14"/>
        <v>337006.82158532611</v>
      </c>
      <c r="AA19" s="14">
        <f t="shared" si="24"/>
        <v>0</v>
      </c>
      <c r="AB19" s="9">
        <f t="shared" si="15"/>
        <v>2.7739514514073527E-3</v>
      </c>
      <c r="AC19" s="9">
        <f>+'Paso 2B solicitado por cliente'!$S$17</f>
        <v>3.3799999999999997E-2</v>
      </c>
      <c r="AD19" s="14">
        <v>0</v>
      </c>
      <c r="AE19" s="14">
        <v>0</v>
      </c>
      <c r="AF19" s="14">
        <f>+Portada!$EK$17*-1</f>
        <v>0</v>
      </c>
      <c r="AG19" s="14">
        <f t="shared" si="16"/>
        <v>0</v>
      </c>
      <c r="AH19" s="14">
        <f t="shared" si="17"/>
        <v>0</v>
      </c>
      <c r="AI19" s="15">
        <f t="shared" si="4"/>
        <v>0</v>
      </c>
      <c r="AJ19" s="15">
        <f t="shared" si="18"/>
        <v>0</v>
      </c>
      <c r="AK19" s="15">
        <f t="shared" si="5"/>
        <v>0</v>
      </c>
      <c r="AL19" s="15">
        <f t="shared" si="19"/>
        <v>0</v>
      </c>
      <c r="AM19" s="7">
        <f t="shared" si="20"/>
        <v>10953738.092337616</v>
      </c>
    </row>
    <row r="20" spans="1:39" x14ac:dyDescent="0.35">
      <c r="A20" s="13">
        <v>18</v>
      </c>
      <c r="B20" s="2">
        <v>12</v>
      </c>
      <c r="C20" s="14">
        <f t="shared" si="21"/>
        <v>0</v>
      </c>
      <c r="D20" s="9">
        <f t="shared" si="6"/>
        <v>2.7739514514073527E-3</v>
      </c>
      <c r="E20" s="9">
        <f>+'Paso 2B solicitado por cliente'!$S$15</f>
        <v>3.3799999999999997E-2</v>
      </c>
      <c r="F20" s="14">
        <f>+'Motor I'!$C$19*-1</f>
        <v>0</v>
      </c>
      <c r="G20" s="14">
        <v>0</v>
      </c>
      <c r="H20" s="14">
        <v>0</v>
      </c>
      <c r="I20" s="14">
        <f t="shared" si="7"/>
        <v>0</v>
      </c>
      <c r="J20" s="14">
        <f t="shared" si="22"/>
        <v>0</v>
      </c>
      <c r="K20" s="15">
        <f t="shared" si="0"/>
        <v>0</v>
      </c>
      <c r="L20" s="15">
        <f t="shared" si="8"/>
        <v>0</v>
      </c>
      <c r="M20" s="15">
        <f t="shared" si="1"/>
        <v>0</v>
      </c>
      <c r="N20" s="15">
        <f t="shared" si="9"/>
        <v>0</v>
      </c>
      <c r="O20" s="14">
        <f t="shared" si="23"/>
        <v>10953738.092337616</v>
      </c>
      <c r="P20" s="9">
        <f t="shared" si="10"/>
        <v>2.7739514514073527E-3</v>
      </c>
      <c r="Q20" s="9">
        <f>+'Paso 2B solicitado por cliente'!$S$16</f>
        <v>3.3799999999999997E-2</v>
      </c>
      <c r="R20" s="14">
        <v>0</v>
      </c>
      <c r="S20" s="14">
        <f>+Portada!$EK$15*-1</f>
        <v>-40000</v>
      </c>
      <c r="T20" s="14">
        <v>0</v>
      </c>
      <c r="U20" s="14">
        <f t="shared" si="11"/>
        <v>-40000</v>
      </c>
      <c r="V20" s="14">
        <f t="shared" si="12"/>
        <v>11811365.810502177</v>
      </c>
      <c r="W20" s="15">
        <f t="shared" si="2"/>
        <v>30385.137679575935</v>
      </c>
      <c r="X20" s="15">
        <f t="shared" si="13"/>
        <v>364621.65215491119</v>
      </c>
      <c r="Y20" s="15">
        <f t="shared" si="3"/>
        <v>0</v>
      </c>
      <c r="Z20" s="15">
        <f t="shared" si="14"/>
        <v>364621.65215491119</v>
      </c>
      <c r="AA20" s="14">
        <f t="shared" si="24"/>
        <v>0</v>
      </c>
      <c r="AB20" s="9">
        <f t="shared" si="15"/>
        <v>2.7739514514073527E-3</v>
      </c>
      <c r="AC20" s="9">
        <f>+'Paso 2B solicitado por cliente'!$S$17</f>
        <v>3.3799999999999997E-2</v>
      </c>
      <c r="AD20" s="14">
        <v>0</v>
      </c>
      <c r="AE20" s="14">
        <v>0</v>
      </c>
      <c r="AF20" s="14">
        <f>+Portada!$EK$17*-1</f>
        <v>0</v>
      </c>
      <c r="AG20" s="14">
        <f t="shared" si="16"/>
        <v>0</v>
      </c>
      <c r="AH20" s="14">
        <f t="shared" si="17"/>
        <v>0</v>
      </c>
      <c r="AI20" s="15">
        <f t="shared" si="4"/>
        <v>0</v>
      </c>
      <c r="AJ20" s="15">
        <f t="shared" si="18"/>
        <v>0</v>
      </c>
      <c r="AK20" s="15">
        <f t="shared" si="5"/>
        <v>0</v>
      </c>
      <c r="AL20" s="15">
        <f t="shared" si="19"/>
        <v>0</v>
      </c>
      <c r="AM20" s="7">
        <f t="shared" si="20"/>
        <v>11811365.810502177</v>
      </c>
    </row>
    <row r="21" spans="1:39" x14ac:dyDescent="0.35">
      <c r="A21" s="13">
        <v>19</v>
      </c>
      <c r="B21" s="2">
        <v>12</v>
      </c>
      <c r="C21" s="14">
        <f t="shared" si="21"/>
        <v>0</v>
      </c>
      <c r="D21" s="9">
        <f t="shared" si="6"/>
        <v>2.7739514514073527E-3</v>
      </c>
      <c r="E21" s="9">
        <f>+'Paso 2B solicitado por cliente'!$S$15</f>
        <v>3.3799999999999997E-2</v>
      </c>
      <c r="F21" s="14">
        <f>+'Motor I'!$C$19*-1</f>
        <v>0</v>
      </c>
      <c r="G21" s="14">
        <v>0</v>
      </c>
      <c r="H21" s="14">
        <v>0</v>
      </c>
      <c r="I21" s="14">
        <f t="shared" si="7"/>
        <v>0</v>
      </c>
      <c r="J21" s="14">
        <f t="shared" si="22"/>
        <v>0</v>
      </c>
      <c r="K21" s="15">
        <f t="shared" si="0"/>
        <v>0</v>
      </c>
      <c r="L21" s="15">
        <f t="shared" si="8"/>
        <v>0</v>
      </c>
      <c r="M21" s="15">
        <f t="shared" si="1"/>
        <v>0</v>
      </c>
      <c r="N21" s="15">
        <f t="shared" si="9"/>
        <v>0</v>
      </c>
      <c r="O21" s="14">
        <f t="shared" si="23"/>
        <v>11811365.810502177</v>
      </c>
      <c r="P21" s="9">
        <f t="shared" si="10"/>
        <v>2.7739514514073527E-3</v>
      </c>
      <c r="Q21" s="9">
        <f>+'Paso 2B solicitado por cliente'!$S$16</f>
        <v>3.3799999999999997E-2</v>
      </c>
      <c r="R21" s="14">
        <v>0</v>
      </c>
      <c r="S21" s="14">
        <f>+Portada!$EK$15*-1</f>
        <v>-40000</v>
      </c>
      <c r="T21" s="14">
        <v>0</v>
      </c>
      <c r="U21" s="14">
        <f t="shared" si="11"/>
        <v>-40000</v>
      </c>
      <c r="V21" s="14">
        <f t="shared" si="12"/>
        <v>12697981.345540702</v>
      </c>
      <c r="W21" s="15">
        <f t="shared" si="2"/>
        <v>32764.155333145696</v>
      </c>
      <c r="X21" s="15">
        <f t="shared" si="13"/>
        <v>393169.86399774835</v>
      </c>
      <c r="Y21" s="15">
        <f t="shared" si="3"/>
        <v>0</v>
      </c>
      <c r="Z21" s="15">
        <f t="shared" si="14"/>
        <v>393169.86399774835</v>
      </c>
      <c r="AA21" s="14">
        <f t="shared" si="24"/>
        <v>0</v>
      </c>
      <c r="AB21" s="9">
        <f t="shared" si="15"/>
        <v>2.7739514514073527E-3</v>
      </c>
      <c r="AC21" s="9">
        <f>+'Paso 2B solicitado por cliente'!$S$17</f>
        <v>3.3799999999999997E-2</v>
      </c>
      <c r="AD21" s="14">
        <v>0</v>
      </c>
      <c r="AE21" s="14">
        <v>0</v>
      </c>
      <c r="AF21" s="14">
        <f>+Portada!$EK$17*-1</f>
        <v>0</v>
      </c>
      <c r="AG21" s="14">
        <f t="shared" si="16"/>
        <v>0</v>
      </c>
      <c r="AH21" s="14">
        <f t="shared" si="17"/>
        <v>0</v>
      </c>
      <c r="AI21" s="15">
        <f t="shared" si="4"/>
        <v>0</v>
      </c>
      <c r="AJ21" s="15">
        <f t="shared" si="18"/>
        <v>0</v>
      </c>
      <c r="AK21" s="15">
        <f t="shared" si="5"/>
        <v>0</v>
      </c>
      <c r="AL21" s="15">
        <f t="shared" si="19"/>
        <v>0</v>
      </c>
      <c r="AM21" s="7">
        <f t="shared" si="20"/>
        <v>12697981.345540702</v>
      </c>
    </row>
    <row r="22" spans="1:39" x14ac:dyDescent="0.35">
      <c r="A22" s="13">
        <v>20</v>
      </c>
      <c r="B22" s="2">
        <v>12</v>
      </c>
      <c r="C22" s="14">
        <f t="shared" si="21"/>
        <v>0</v>
      </c>
      <c r="D22" s="9">
        <f t="shared" si="6"/>
        <v>2.7739514514073527E-3</v>
      </c>
      <c r="E22" s="9">
        <f>+'Paso 2B solicitado por cliente'!$S$15</f>
        <v>3.3799999999999997E-2</v>
      </c>
      <c r="F22" s="14">
        <f>+'Motor I'!$C$19*-1</f>
        <v>0</v>
      </c>
      <c r="G22" s="14">
        <v>0</v>
      </c>
      <c r="H22" s="14">
        <v>0</v>
      </c>
      <c r="I22" s="14">
        <f t="shared" si="7"/>
        <v>0</v>
      </c>
      <c r="J22" s="14">
        <f t="shared" si="22"/>
        <v>0</v>
      </c>
      <c r="K22" s="15">
        <f t="shared" si="0"/>
        <v>0</v>
      </c>
      <c r="L22" s="15">
        <f t="shared" si="8"/>
        <v>0</v>
      </c>
      <c r="M22" s="15">
        <f t="shared" si="1"/>
        <v>0</v>
      </c>
      <c r="N22" s="15">
        <f t="shared" si="9"/>
        <v>0</v>
      </c>
      <c r="O22" s="14">
        <f t="shared" si="23"/>
        <v>12697981.345540702</v>
      </c>
      <c r="P22" s="9">
        <f t="shared" si="10"/>
        <v>2.7739514514073527E-3</v>
      </c>
      <c r="Q22" s="9">
        <f>+'Paso 2B solicitado por cliente'!$S$16</f>
        <v>3.3799999999999997E-2</v>
      </c>
      <c r="R22" s="14">
        <v>0</v>
      </c>
      <c r="S22" s="14">
        <f>+Portada!$EK$15*-1</f>
        <v>-40000</v>
      </c>
      <c r="T22" s="14">
        <v>0</v>
      </c>
      <c r="U22" s="14">
        <f t="shared" si="11"/>
        <v>-40000</v>
      </c>
      <c r="V22" s="14">
        <f t="shared" si="12"/>
        <v>13614564.485663531</v>
      </c>
      <c r="W22" s="15">
        <f t="shared" si="2"/>
        <v>35223.583783406117</v>
      </c>
      <c r="X22" s="15">
        <f t="shared" si="13"/>
        <v>422683.00540087337</v>
      </c>
      <c r="Y22" s="15">
        <f t="shared" si="3"/>
        <v>0</v>
      </c>
      <c r="Z22" s="15">
        <f t="shared" si="14"/>
        <v>422683.00540087337</v>
      </c>
      <c r="AA22" s="14">
        <f t="shared" si="24"/>
        <v>0</v>
      </c>
      <c r="AB22" s="9">
        <f t="shared" si="15"/>
        <v>2.7739514514073527E-3</v>
      </c>
      <c r="AC22" s="9">
        <f>+'Paso 2B solicitado por cliente'!$S$17</f>
        <v>3.3799999999999997E-2</v>
      </c>
      <c r="AD22" s="14">
        <v>0</v>
      </c>
      <c r="AE22" s="14">
        <v>0</v>
      </c>
      <c r="AF22" s="14">
        <f>+Portada!$EK$17*-1</f>
        <v>0</v>
      </c>
      <c r="AG22" s="14">
        <f t="shared" si="16"/>
        <v>0</v>
      </c>
      <c r="AH22" s="14">
        <f t="shared" si="17"/>
        <v>0</v>
      </c>
      <c r="AI22" s="15">
        <f t="shared" si="4"/>
        <v>0</v>
      </c>
      <c r="AJ22" s="15">
        <f t="shared" si="18"/>
        <v>0</v>
      </c>
      <c r="AK22" s="15">
        <f t="shared" si="5"/>
        <v>0</v>
      </c>
      <c r="AL22" s="15">
        <f t="shared" si="19"/>
        <v>0</v>
      </c>
      <c r="AM22" s="7">
        <f t="shared" si="20"/>
        <v>13614564.485663531</v>
      </c>
    </row>
    <row r="23" spans="1:39" x14ac:dyDescent="0.35">
      <c r="A23" s="13">
        <v>21</v>
      </c>
      <c r="B23" s="2">
        <v>12</v>
      </c>
      <c r="C23" s="14">
        <f t="shared" si="21"/>
        <v>0</v>
      </c>
      <c r="D23" s="9">
        <f t="shared" si="6"/>
        <v>2.7739514514073527E-3</v>
      </c>
      <c r="E23" s="9">
        <f>+'Paso 2B solicitado por cliente'!$S$15</f>
        <v>3.3799999999999997E-2</v>
      </c>
      <c r="F23" s="14">
        <f>+'Motor I'!$C$19*-1</f>
        <v>0</v>
      </c>
      <c r="G23" s="14">
        <v>0</v>
      </c>
      <c r="H23" s="14">
        <v>0</v>
      </c>
      <c r="I23" s="14">
        <f t="shared" si="7"/>
        <v>0</v>
      </c>
      <c r="J23" s="14">
        <f t="shared" si="22"/>
        <v>0</v>
      </c>
      <c r="K23" s="15">
        <f t="shared" si="0"/>
        <v>0</v>
      </c>
      <c r="L23" s="15">
        <f t="shared" si="8"/>
        <v>0</v>
      </c>
      <c r="M23" s="15">
        <f t="shared" si="1"/>
        <v>0</v>
      </c>
      <c r="N23" s="15">
        <f t="shared" si="9"/>
        <v>0</v>
      </c>
      <c r="O23" s="14">
        <f t="shared" si="23"/>
        <v>13614564.485663531</v>
      </c>
      <c r="P23" s="9">
        <f t="shared" si="10"/>
        <v>2.7739514514073527E-3</v>
      </c>
      <c r="Q23" s="9">
        <f>+'Paso 2B solicitado por cliente'!$S$16</f>
        <v>3.3799999999999997E-2</v>
      </c>
      <c r="R23" s="14">
        <v>0</v>
      </c>
      <c r="S23" s="14">
        <f>+Portada!$EK$15*-1</f>
        <v>-40000</v>
      </c>
      <c r="T23" s="14">
        <v>0</v>
      </c>
      <c r="U23" s="14">
        <f t="shared" si="11"/>
        <v>-40000</v>
      </c>
      <c r="V23" s="14">
        <f t="shared" si="12"/>
        <v>14562128.135922514</v>
      </c>
      <c r="W23" s="15">
        <f t="shared" si="2"/>
        <v>37766.140915285352</v>
      </c>
      <c r="X23" s="15">
        <f t="shared" si="13"/>
        <v>453193.6909834242</v>
      </c>
      <c r="Y23" s="15">
        <f t="shared" si="3"/>
        <v>0</v>
      </c>
      <c r="Z23" s="15">
        <f t="shared" si="14"/>
        <v>453193.6909834242</v>
      </c>
      <c r="AA23" s="14">
        <f t="shared" si="24"/>
        <v>0</v>
      </c>
      <c r="AB23" s="9">
        <f t="shared" si="15"/>
        <v>2.7739514514073527E-3</v>
      </c>
      <c r="AC23" s="9">
        <f>+'Paso 2B solicitado por cliente'!$S$17</f>
        <v>3.3799999999999997E-2</v>
      </c>
      <c r="AD23" s="14">
        <v>0</v>
      </c>
      <c r="AE23" s="14">
        <v>0</v>
      </c>
      <c r="AF23" s="14">
        <f>+Portada!$EK$17*-1</f>
        <v>0</v>
      </c>
      <c r="AG23" s="14">
        <f t="shared" si="16"/>
        <v>0</v>
      </c>
      <c r="AH23" s="14">
        <f t="shared" si="17"/>
        <v>0</v>
      </c>
      <c r="AI23" s="15">
        <f t="shared" si="4"/>
        <v>0</v>
      </c>
      <c r="AJ23" s="15">
        <f t="shared" si="18"/>
        <v>0</v>
      </c>
      <c r="AK23" s="15">
        <f t="shared" si="5"/>
        <v>0</v>
      </c>
      <c r="AL23" s="15">
        <f t="shared" si="19"/>
        <v>0</v>
      </c>
      <c r="AM23" s="7">
        <f t="shared" si="20"/>
        <v>14562128.135922514</v>
      </c>
    </row>
    <row r="24" spans="1:39" x14ac:dyDescent="0.35">
      <c r="A24" s="13">
        <v>22</v>
      </c>
      <c r="B24" s="2">
        <v>12</v>
      </c>
      <c r="C24" s="14">
        <f t="shared" si="21"/>
        <v>0</v>
      </c>
      <c r="D24" s="9">
        <f t="shared" si="6"/>
        <v>2.7739514514073527E-3</v>
      </c>
      <c r="E24" s="9">
        <f>+'Paso 2B solicitado por cliente'!$S$15</f>
        <v>3.3799999999999997E-2</v>
      </c>
      <c r="F24" s="14">
        <f>+'Motor I'!$C$19*-1</f>
        <v>0</v>
      </c>
      <c r="G24" s="14">
        <v>0</v>
      </c>
      <c r="H24" s="14">
        <v>0</v>
      </c>
      <c r="I24" s="14">
        <f t="shared" si="7"/>
        <v>0</v>
      </c>
      <c r="J24" s="14">
        <f t="shared" si="22"/>
        <v>0</v>
      </c>
      <c r="K24" s="15">
        <f t="shared" si="0"/>
        <v>0</v>
      </c>
      <c r="L24" s="15">
        <f t="shared" si="8"/>
        <v>0</v>
      </c>
      <c r="M24" s="15">
        <f t="shared" si="1"/>
        <v>0</v>
      </c>
      <c r="N24" s="15">
        <f t="shared" si="9"/>
        <v>0</v>
      </c>
      <c r="O24" s="14">
        <f t="shared" si="23"/>
        <v>14562128.135922514</v>
      </c>
      <c r="P24" s="9">
        <f t="shared" si="10"/>
        <v>2.7739514514073527E-3</v>
      </c>
      <c r="Q24" s="9">
        <f>+'Paso 2B solicitado por cliente'!$S$16</f>
        <v>3.3799999999999997E-2</v>
      </c>
      <c r="R24" s="14">
        <v>0</v>
      </c>
      <c r="S24" s="14">
        <f>+Portada!$EK$15*-1</f>
        <v>-40000</v>
      </c>
      <c r="T24" s="14">
        <v>0</v>
      </c>
      <c r="U24" s="14">
        <f t="shared" si="11"/>
        <v>-40000</v>
      </c>
      <c r="V24" s="14">
        <f t="shared" si="12"/>
        <v>15541719.437560251</v>
      </c>
      <c r="W24" s="15">
        <f t="shared" si="2"/>
        <v>40394.636478222106</v>
      </c>
      <c r="X24" s="15">
        <f t="shared" si="13"/>
        <v>484735.63773866527</v>
      </c>
      <c r="Y24" s="15">
        <f t="shared" si="3"/>
        <v>0</v>
      </c>
      <c r="Z24" s="15">
        <f t="shared" si="14"/>
        <v>484735.63773866527</v>
      </c>
      <c r="AA24" s="14">
        <f t="shared" si="24"/>
        <v>0</v>
      </c>
      <c r="AB24" s="9">
        <f t="shared" si="15"/>
        <v>2.7739514514073527E-3</v>
      </c>
      <c r="AC24" s="9">
        <f>+'Paso 2B solicitado por cliente'!$S$17</f>
        <v>3.3799999999999997E-2</v>
      </c>
      <c r="AD24" s="14">
        <v>0</v>
      </c>
      <c r="AE24" s="14">
        <v>0</v>
      </c>
      <c r="AF24" s="14">
        <f>+Portada!$EK$17*-1</f>
        <v>0</v>
      </c>
      <c r="AG24" s="14">
        <f t="shared" si="16"/>
        <v>0</v>
      </c>
      <c r="AH24" s="14">
        <f t="shared" si="17"/>
        <v>0</v>
      </c>
      <c r="AI24" s="15">
        <f t="shared" si="4"/>
        <v>0</v>
      </c>
      <c r="AJ24" s="15">
        <f t="shared" si="18"/>
        <v>0</v>
      </c>
      <c r="AK24" s="15">
        <f t="shared" si="5"/>
        <v>0</v>
      </c>
      <c r="AL24" s="15">
        <f t="shared" si="19"/>
        <v>0</v>
      </c>
      <c r="AM24" s="7">
        <f t="shared" si="20"/>
        <v>15541719.437560251</v>
      </c>
    </row>
    <row r="25" spans="1:39" x14ac:dyDescent="0.35">
      <c r="A25" s="13">
        <v>23</v>
      </c>
      <c r="B25" s="2">
        <v>12</v>
      </c>
      <c r="C25" s="14">
        <f t="shared" si="21"/>
        <v>0</v>
      </c>
      <c r="D25" s="9">
        <f t="shared" si="6"/>
        <v>2.7739514514073527E-3</v>
      </c>
      <c r="E25" s="9">
        <f>+'Paso 2B solicitado por cliente'!$S$15</f>
        <v>3.3799999999999997E-2</v>
      </c>
      <c r="F25" s="14">
        <f>+'Motor I'!$C$19*-1</f>
        <v>0</v>
      </c>
      <c r="G25" s="14">
        <v>0</v>
      </c>
      <c r="H25" s="14">
        <v>0</v>
      </c>
      <c r="I25" s="14">
        <f t="shared" si="7"/>
        <v>0</v>
      </c>
      <c r="J25" s="14">
        <f t="shared" si="22"/>
        <v>0</v>
      </c>
      <c r="K25" s="15">
        <f t="shared" si="0"/>
        <v>0</v>
      </c>
      <c r="L25" s="15">
        <f t="shared" si="8"/>
        <v>0</v>
      </c>
      <c r="M25" s="15">
        <f t="shared" si="1"/>
        <v>0</v>
      </c>
      <c r="N25" s="15">
        <f t="shared" si="9"/>
        <v>0</v>
      </c>
      <c r="O25" s="14">
        <f t="shared" si="23"/>
        <v>15541719.437560251</v>
      </c>
      <c r="P25" s="9">
        <f t="shared" si="10"/>
        <v>2.7739514514073527E-3</v>
      </c>
      <c r="Q25" s="9">
        <f>+'Paso 2B solicitado por cliente'!$S$16</f>
        <v>3.3799999999999997E-2</v>
      </c>
      <c r="R25" s="14">
        <v>0</v>
      </c>
      <c r="S25" s="14">
        <f>+Portada!$EK$15*-1</f>
        <v>-40000</v>
      </c>
      <c r="T25" s="14">
        <v>0</v>
      </c>
      <c r="U25" s="14">
        <f t="shared" si="11"/>
        <v>-40000</v>
      </c>
      <c r="V25" s="14">
        <f>FV(P25,B25,S25,-O25)</f>
        <v>16554420.925193345</v>
      </c>
      <c r="W25" s="15">
        <f t="shared" si="2"/>
        <v>43111.975191186124</v>
      </c>
      <c r="X25" s="15">
        <f t="shared" si="13"/>
        <v>517343.70229423349</v>
      </c>
      <c r="Y25" s="15">
        <f t="shared" si="3"/>
        <v>0</v>
      </c>
      <c r="Z25" s="15">
        <f t="shared" si="14"/>
        <v>517343.70229423349</v>
      </c>
      <c r="AA25" s="14">
        <f t="shared" si="24"/>
        <v>0</v>
      </c>
      <c r="AB25" s="9">
        <f t="shared" si="15"/>
        <v>2.7739514514073527E-3</v>
      </c>
      <c r="AC25" s="9">
        <f>+'Paso 2B solicitado por cliente'!$S$17</f>
        <v>3.3799999999999997E-2</v>
      </c>
      <c r="AD25" s="14">
        <v>0</v>
      </c>
      <c r="AE25" s="14">
        <v>0</v>
      </c>
      <c r="AF25" s="14">
        <f>+Portada!$EK$17*-1</f>
        <v>0</v>
      </c>
      <c r="AG25" s="14">
        <f t="shared" si="16"/>
        <v>0</v>
      </c>
      <c r="AH25" s="14">
        <f t="shared" si="17"/>
        <v>0</v>
      </c>
      <c r="AI25" s="15">
        <f t="shared" si="4"/>
        <v>0</v>
      </c>
      <c r="AJ25" s="15">
        <f t="shared" si="18"/>
        <v>0</v>
      </c>
      <c r="AK25" s="15">
        <f t="shared" si="5"/>
        <v>0</v>
      </c>
      <c r="AL25" s="15">
        <f t="shared" si="19"/>
        <v>0</v>
      </c>
      <c r="AM25" s="7">
        <f t="shared" si="20"/>
        <v>16554420.925193345</v>
      </c>
    </row>
    <row r="26" spans="1:39" x14ac:dyDescent="0.35">
      <c r="A26" s="13">
        <v>24</v>
      </c>
      <c r="B26" s="2">
        <v>12</v>
      </c>
      <c r="C26" s="14">
        <f t="shared" si="21"/>
        <v>0</v>
      </c>
      <c r="D26" s="9">
        <f t="shared" si="6"/>
        <v>2.7739514514073527E-3</v>
      </c>
      <c r="E26" s="9">
        <f>+'Paso 2B solicitado por cliente'!$S$15</f>
        <v>3.3799999999999997E-2</v>
      </c>
      <c r="F26" s="14">
        <f>+'Motor I'!$C$19*-1</f>
        <v>0</v>
      </c>
      <c r="G26" s="14">
        <v>0</v>
      </c>
      <c r="H26" s="14">
        <v>0</v>
      </c>
      <c r="I26" s="14">
        <f t="shared" si="7"/>
        <v>0</v>
      </c>
      <c r="J26" s="14">
        <f t="shared" si="22"/>
        <v>0</v>
      </c>
      <c r="K26" s="15">
        <f t="shared" si="0"/>
        <v>0</v>
      </c>
      <c r="L26" s="15">
        <f t="shared" si="8"/>
        <v>0</v>
      </c>
      <c r="M26" s="15">
        <f t="shared" si="1"/>
        <v>0</v>
      </c>
      <c r="N26" s="15">
        <f t="shared" si="9"/>
        <v>0</v>
      </c>
      <c r="O26" s="14">
        <f t="shared" si="23"/>
        <v>16554420.925193345</v>
      </c>
      <c r="P26" s="9">
        <f t="shared" si="10"/>
        <v>2.7739514514073527E-3</v>
      </c>
      <c r="Q26" s="9">
        <f>+'Paso 2B solicitado por cliente'!$S$16</f>
        <v>3.3799999999999997E-2</v>
      </c>
      <c r="R26" s="14">
        <v>0</v>
      </c>
      <c r="S26" s="14">
        <f>+Portada!$EK$15*-1</f>
        <v>-40000</v>
      </c>
      <c r="T26" s="14">
        <v>0</v>
      </c>
      <c r="U26" s="14">
        <f t="shared" si="11"/>
        <v>-40000</v>
      </c>
      <c r="V26" s="14">
        <f t="shared" si="12"/>
        <v>17601351.723108441</v>
      </c>
      <c r="W26" s="15">
        <f t="shared" si="2"/>
        <v>45921.159952648333</v>
      </c>
      <c r="X26" s="15">
        <f t="shared" si="13"/>
        <v>551053.91943178</v>
      </c>
      <c r="Y26" s="15">
        <f t="shared" si="3"/>
        <v>0</v>
      </c>
      <c r="Z26" s="15">
        <f t="shared" si="14"/>
        <v>551053.91943178</v>
      </c>
      <c r="AA26" s="14">
        <f t="shared" si="24"/>
        <v>0</v>
      </c>
      <c r="AB26" s="9">
        <f t="shared" si="15"/>
        <v>2.7739514514073527E-3</v>
      </c>
      <c r="AC26" s="9">
        <f>+'Paso 2B solicitado por cliente'!$S$17</f>
        <v>3.3799999999999997E-2</v>
      </c>
      <c r="AD26" s="14">
        <v>0</v>
      </c>
      <c r="AE26" s="14">
        <v>0</v>
      </c>
      <c r="AF26" s="14">
        <f>+Portada!$EK$17*-1</f>
        <v>0</v>
      </c>
      <c r="AG26" s="14">
        <f t="shared" si="16"/>
        <v>0</v>
      </c>
      <c r="AH26" s="14">
        <f t="shared" si="17"/>
        <v>0</v>
      </c>
      <c r="AI26" s="15">
        <f t="shared" si="4"/>
        <v>0</v>
      </c>
      <c r="AJ26" s="15">
        <f t="shared" si="18"/>
        <v>0</v>
      </c>
      <c r="AK26" s="15">
        <f t="shared" si="5"/>
        <v>0</v>
      </c>
      <c r="AL26" s="15">
        <f t="shared" si="19"/>
        <v>0</v>
      </c>
      <c r="AM26" s="7">
        <f t="shared" si="20"/>
        <v>17601351.723108441</v>
      </c>
    </row>
    <row r="27" spans="1:39" x14ac:dyDescent="0.35">
      <c r="A27" s="13">
        <v>25</v>
      </c>
      <c r="B27" s="2">
        <v>12</v>
      </c>
      <c r="C27" s="14">
        <f t="shared" si="21"/>
        <v>0</v>
      </c>
      <c r="D27" s="9">
        <f t="shared" si="6"/>
        <v>2.7739514514073527E-3</v>
      </c>
      <c r="E27" s="9">
        <f>+'Paso 2B solicitado por cliente'!$S$15</f>
        <v>3.3799999999999997E-2</v>
      </c>
      <c r="F27" s="14">
        <f>+'Motor I'!$C$19*-1</f>
        <v>0</v>
      </c>
      <c r="G27" s="14">
        <v>0</v>
      </c>
      <c r="H27" s="14">
        <v>0</v>
      </c>
      <c r="I27" s="14">
        <f t="shared" si="7"/>
        <v>0</v>
      </c>
      <c r="J27" s="14">
        <f t="shared" si="22"/>
        <v>0</v>
      </c>
      <c r="K27" s="15">
        <f t="shared" si="0"/>
        <v>0</v>
      </c>
      <c r="L27" s="15">
        <f t="shared" si="8"/>
        <v>0</v>
      </c>
      <c r="M27" s="15">
        <f t="shared" si="1"/>
        <v>0</v>
      </c>
      <c r="N27" s="15">
        <f t="shared" si="9"/>
        <v>0</v>
      </c>
      <c r="O27" s="14">
        <f t="shared" si="23"/>
        <v>17601351.723108441</v>
      </c>
      <c r="P27" s="9">
        <f t="shared" si="10"/>
        <v>2.7739514514073527E-3</v>
      </c>
      <c r="Q27" s="9">
        <f>+'Paso 2B solicitado por cliente'!$S$16</f>
        <v>3.3799999999999997E-2</v>
      </c>
      <c r="R27" s="14">
        <v>0</v>
      </c>
      <c r="S27" s="14">
        <f>+Portada!$EK$15*-1</f>
        <v>-40000</v>
      </c>
      <c r="T27" s="14">
        <v>0</v>
      </c>
      <c r="U27" s="14">
        <f t="shared" si="11"/>
        <v>-40000</v>
      </c>
      <c r="V27" s="14">
        <f t="shared" si="12"/>
        <v>18683668.781993069</v>
      </c>
      <c r="W27" s="15">
        <f t="shared" si="2"/>
        <v>48825.295159047964</v>
      </c>
      <c r="X27" s="15">
        <f t="shared" si="13"/>
        <v>585903.54190857557</v>
      </c>
      <c r="Y27" s="15">
        <f t="shared" si="3"/>
        <v>0</v>
      </c>
      <c r="Z27" s="15">
        <f t="shared" si="14"/>
        <v>585903.54190857557</v>
      </c>
      <c r="AA27" s="14">
        <f t="shared" si="24"/>
        <v>0</v>
      </c>
      <c r="AB27" s="9">
        <f t="shared" si="15"/>
        <v>2.7739514514073527E-3</v>
      </c>
      <c r="AC27" s="9">
        <f>+'Paso 2B solicitado por cliente'!$S$17</f>
        <v>3.3799999999999997E-2</v>
      </c>
      <c r="AD27" s="14">
        <v>0</v>
      </c>
      <c r="AE27" s="14">
        <v>0</v>
      </c>
      <c r="AF27" s="14">
        <f>+Portada!$EK$17*-1</f>
        <v>0</v>
      </c>
      <c r="AG27" s="14">
        <f t="shared" si="16"/>
        <v>0</v>
      </c>
      <c r="AH27" s="14">
        <f t="shared" si="17"/>
        <v>0</v>
      </c>
      <c r="AI27" s="15">
        <f t="shared" si="4"/>
        <v>0</v>
      </c>
      <c r="AJ27" s="15">
        <f t="shared" si="18"/>
        <v>0</v>
      </c>
      <c r="AK27" s="15">
        <f t="shared" si="5"/>
        <v>0</v>
      </c>
      <c r="AL27" s="15">
        <f t="shared" si="19"/>
        <v>0</v>
      </c>
      <c r="AM27" s="7">
        <f t="shared" si="20"/>
        <v>18683668.781993069</v>
      </c>
    </row>
    <row r="28" spans="1:39" x14ac:dyDescent="0.35">
      <c r="A28" s="13">
        <v>26</v>
      </c>
      <c r="B28" s="2">
        <v>12</v>
      </c>
      <c r="C28" s="14">
        <f t="shared" si="21"/>
        <v>0</v>
      </c>
      <c r="D28" s="9">
        <f t="shared" si="6"/>
        <v>2.7739514514073527E-3</v>
      </c>
      <c r="E28" s="9">
        <f>+'Paso 2B solicitado por cliente'!$S$15</f>
        <v>3.3799999999999997E-2</v>
      </c>
      <c r="F28" s="14">
        <f>+'Motor I'!$C$19*-1</f>
        <v>0</v>
      </c>
      <c r="G28" s="14">
        <v>0</v>
      </c>
      <c r="H28" s="14">
        <v>0</v>
      </c>
      <c r="I28" s="14">
        <f t="shared" si="7"/>
        <v>0</v>
      </c>
      <c r="J28" s="14">
        <f t="shared" si="22"/>
        <v>0</v>
      </c>
      <c r="K28" s="15">
        <f t="shared" si="0"/>
        <v>0</v>
      </c>
      <c r="L28" s="15">
        <f t="shared" si="8"/>
        <v>0</v>
      </c>
      <c r="M28" s="15">
        <f t="shared" si="1"/>
        <v>0</v>
      </c>
      <c r="N28" s="15">
        <f t="shared" si="9"/>
        <v>0</v>
      </c>
      <c r="O28" s="14">
        <f t="shared" si="23"/>
        <v>18683668.781993069</v>
      </c>
      <c r="P28" s="9">
        <f t="shared" si="10"/>
        <v>2.7739514514073527E-3</v>
      </c>
      <c r="Q28" s="9">
        <f>+'Paso 2B solicitado por cliente'!$S$16</f>
        <v>3.3799999999999997E-2</v>
      </c>
      <c r="R28" s="14">
        <v>0</v>
      </c>
      <c r="S28" s="14">
        <f>+Portada!$EK$15*-1</f>
        <v>-40000</v>
      </c>
      <c r="T28" s="14">
        <v>0</v>
      </c>
      <c r="U28" s="14">
        <f t="shared" si="11"/>
        <v>-40000</v>
      </c>
      <c r="V28" s="14">
        <f t="shared" si="12"/>
        <v>19802568.157467999</v>
      </c>
      <c r="W28" s="15">
        <f t="shared" si="2"/>
        <v>51827.590135423918</v>
      </c>
      <c r="X28" s="15">
        <f t="shared" si="13"/>
        <v>621931.08162508695</v>
      </c>
      <c r="Y28" s="15">
        <f t="shared" si="3"/>
        <v>0</v>
      </c>
      <c r="Z28" s="15">
        <f t="shared" si="14"/>
        <v>621931.08162508695</v>
      </c>
      <c r="AA28" s="14">
        <f t="shared" si="24"/>
        <v>0</v>
      </c>
      <c r="AB28" s="9">
        <f t="shared" si="15"/>
        <v>2.7739514514073527E-3</v>
      </c>
      <c r="AC28" s="9">
        <f>+'Paso 2B solicitado por cliente'!$S$17</f>
        <v>3.3799999999999997E-2</v>
      </c>
      <c r="AD28" s="14">
        <v>0</v>
      </c>
      <c r="AE28" s="14">
        <v>0</v>
      </c>
      <c r="AF28" s="14">
        <f>+Portada!$EK$17*-1</f>
        <v>0</v>
      </c>
      <c r="AG28" s="14">
        <f t="shared" si="16"/>
        <v>0</v>
      </c>
      <c r="AH28" s="14">
        <f t="shared" si="17"/>
        <v>0</v>
      </c>
      <c r="AI28" s="15">
        <f t="shared" si="4"/>
        <v>0</v>
      </c>
      <c r="AJ28" s="15">
        <f t="shared" si="18"/>
        <v>0</v>
      </c>
      <c r="AK28" s="15">
        <f t="shared" si="5"/>
        <v>0</v>
      </c>
      <c r="AL28" s="15">
        <f t="shared" si="19"/>
        <v>0</v>
      </c>
      <c r="AM28" s="7">
        <f t="shared" si="20"/>
        <v>19802568.157467999</v>
      </c>
    </row>
    <row r="29" spans="1:39" x14ac:dyDescent="0.35">
      <c r="A29" s="13">
        <v>27</v>
      </c>
      <c r="B29" s="2">
        <v>12</v>
      </c>
      <c r="C29" s="14">
        <f t="shared" si="21"/>
        <v>0</v>
      </c>
      <c r="D29" s="9">
        <f t="shared" si="6"/>
        <v>2.7739514514073527E-3</v>
      </c>
      <c r="E29" s="9">
        <f>+'Paso 2B solicitado por cliente'!$S$15</f>
        <v>3.3799999999999997E-2</v>
      </c>
      <c r="F29" s="14">
        <f>+'Motor I'!$C$19*-1</f>
        <v>0</v>
      </c>
      <c r="G29" s="14">
        <v>0</v>
      </c>
      <c r="H29" s="14">
        <v>0</v>
      </c>
      <c r="I29" s="14">
        <f t="shared" si="7"/>
        <v>0</v>
      </c>
      <c r="J29" s="14">
        <f t="shared" si="22"/>
        <v>0</v>
      </c>
      <c r="K29" s="15">
        <f t="shared" si="0"/>
        <v>0</v>
      </c>
      <c r="L29" s="15">
        <f t="shared" si="8"/>
        <v>0</v>
      </c>
      <c r="M29" s="15">
        <f t="shared" si="1"/>
        <v>0</v>
      </c>
      <c r="N29" s="15">
        <f t="shared" si="9"/>
        <v>0</v>
      </c>
      <c r="O29" s="14">
        <f t="shared" si="23"/>
        <v>19802568.157467999</v>
      </c>
      <c r="P29" s="9">
        <f t="shared" si="10"/>
        <v>2.7739514514073527E-3</v>
      </c>
      <c r="Q29" s="9">
        <f>+'Paso 2B solicitado por cliente'!$S$16</f>
        <v>3.3799999999999997E-2</v>
      </c>
      <c r="R29" s="14">
        <v>0</v>
      </c>
      <c r="S29" s="14">
        <f>+Portada!$EK$15*-1</f>
        <v>-40000</v>
      </c>
      <c r="T29" s="14">
        <v>0</v>
      </c>
      <c r="U29" s="14">
        <f t="shared" si="11"/>
        <v>-40000</v>
      </c>
      <c r="V29" s="14">
        <f t="shared" si="12"/>
        <v>20959286.331833981</v>
      </c>
      <c r="W29" s="15">
        <f t="shared" si="2"/>
        <v>54931.362682001381</v>
      </c>
      <c r="X29" s="15">
        <f t="shared" si="13"/>
        <v>659176.35218401661</v>
      </c>
      <c r="Y29" s="15">
        <f t="shared" si="3"/>
        <v>0</v>
      </c>
      <c r="Z29" s="15">
        <f t="shared" si="14"/>
        <v>659176.35218401661</v>
      </c>
      <c r="AA29" s="14">
        <f t="shared" si="24"/>
        <v>0</v>
      </c>
      <c r="AB29" s="9">
        <f t="shared" si="15"/>
        <v>2.7739514514073527E-3</v>
      </c>
      <c r="AC29" s="9">
        <f>+'Paso 2B solicitado por cliente'!$S$17</f>
        <v>3.3799999999999997E-2</v>
      </c>
      <c r="AD29" s="14">
        <v>0</v>
      </c>
      <c r="AE29" s="14">
        <v>0</v>
      </c>
      <c r="AF29" s="14">
        <f>+Portada!$EK$17*-1</f>
        <v>0</v>
      </c>
      <c r="AG29" s="14">
        <f t="shared" si="16"/>
        <v>0</v>
      </c>
      <c r="AH29" s="14">
        <f t="shared" si="17"/>
        <v>0</v>
      </c>
      <c r="AI29" s="15">
        <f t="shared" si="4"/>
        <v>0</v>
      </c>
      <c r="AJ29" s="15">
        <f t="shared" si="18"/>
        <v>0</v>
      </c>
      <c r="AK29" s="15">
        <f t="shared" si="5"/>
        <v>0</v>
      </c>
      <c r="AL29" s="15">
        <f t="shared" si="19"/>
        <v>0</v>
      </c>
      <c r="AM29" s="7">
        <f t="shared" si="20"/>
        <v>20959286.331833981</v>
      </c>
    </row>
    <row r="30" spans="1:39" x14ac:dyDescent="0.35">
      <c r="A30" s="13">
        <v>28</v>
      </c>
      <c r="B30" s="2">
        <v>12</v>
      </c>
      <c r="C30" s="14">
        <f t="shared" si="21"/>
        <v>0</v>
      </c>
      <c r="D30" s="9">
        <f t="shared" si="6"/>
        <v>2.7739514514073527E-3</v>
      </c>
      <c r="E30" s="9">
        <f>+'Paso 2B solicitado por cliente'!$S$15</f>
        <v>3.3799999999999997E-2</v>
      </c>
      <c r="F30" s="14">
        <f>+'Motor I'!$C$19*-1</f>
        <v>0</v>
      </c>
      <c r="G30" s="14">
        <v>0</v>
      </c>
      <c r="H30" s="14">
        <v>0</v>
      </c>
      <c r="I30" s="14">
        <f t="shared" si="7"/>
        <v>0</v>
      </c>
      <c r="J30" s="14">
        <f t="shared" si="22"/>
        <v>0</v>
      </c>
      <c r="K30" s="15">
        <f t="shared" si="0"/>
        <v>0</v>
      </c>
      <c r="L30" s="15">
        <f t="shared" si="8"/>
        <v>0</v>
      </c>
      <c r="M30" s="15">
        <f t="shared" si="1"/>
        <v>0</v>
      </c>
      <c r="N30" s="15">
        <f t="shared" si="9"/>
        <v>0</v>
      </c>
      <c r="O30" s="14">
        <f t="shared" si="23"/>
        <v>20959286.331833981</v>
      </c>
      <c r="P30" s="9">
        <f t="shared" si="10"/>
        <v>2.7739514514073527E-3</v>
      </c>
      <c r="Q30" s="9">
        <f>+'Paso 2B solicitado por cliente'!$S$16</f>
        <v>3.3799999999999997E-2</v>
      </c>
      <c r="R30" s="14">
        <v>0</v>
      </c>
      <c r="S30" s="14">
        <f>+Portada!$EK$15*-1</f>
        <v>-40000</v>
      </c>
      <c r="T30" s="14">
        <v>0</v>
      </c>
      <c r="U30" s="14">
        <f t="shared" si="11"/>
        <v>-40000</v>
      </c>
      <c r="V30" s="14">
        <f t="shared" si="12"/>
        <v>22155101.580493536</v>
      </c>
      <c r="W30" s="15">
        <f t="shared" si="2"/>
        <v>58140.04274065316</v>
      </c>
      <c r="X30" s="15">
        <f t="shared" si="13"/>
        <v>697680.51288783795</v>
      </c>
      <c r="Y30" s="15">
        <f t="shared" si="3"/>
        <v>0</v>
      </c>
      <c r="Z30" s="15">
        <f t="shared" si="14"/>
        <v>697680.51288783795</v>
      </c>
      <c r="AA30" s="14">
        <f t="shared" si="24"/>
        <v>0</v>
      </c>
      <c r="AB30" s="9">
        <f t="shared" si="15"/>
        <v>2.7739514514073527E-3</v>
      </c>
      <c r="AC30" s="9">
        <f>+'Paso 2B solicitado por cliente'!$S$17</f>
        <v>3.3799999999999997E-2</v>
      </c>
      <c r="AD30" s="14">
        <v>0</v>
      </c>
      <c r="AE30" s="14">
        <v>0</v>
      </c>
      <c r="AF30" s="14">
        <f>+Portada!$EK$17*-1</f>
        <v>0</v>
      </c>
      <c r="AG30" s="14">
        <f t="shared" si="16"/>
        <v>0</v>
      </c>
      <c r="AH30" s="14">
        <f t="shared" si="17"/>
        <v>0</v>
      </c>
      <c r="AI30" s="15">
        <f t="shared" si="4"/>
        <v>0</v>
      </c>
      <c r="AJ30" s="15">
        <f t="shared" si="18"/>
        <v>0</v>
      </c>
      <c r="AK30" s="15">
        <f t="shared" si="5"/>
        <v>0</v>
      </c>
      <c r="AL30" s="15">
        <f t="shared" si="19"/>
        <v>0</v>
      </c>
      <c r="AM30" s="7">
        <f t="shared" si="20"/>
        <v>22155101.580493536</v>
      </c>
    </row>
    <row r="31" spans="1:39" x14ac:dyDescent="0.35">
      <c r="A31" s="13">
        <v>29</v>
      </c>
      <c r="B31" s="2">
        <v>12</v>
      </c>
      <c r="C31" s="14">
        <f t="shared" si="21"/>
        <v>0</v>
      </c>
      <c r="D31" s="9">
        <f t="shared" si="6"/>
        <v>2.7739514514073527E-3</v>
      </c>
      <c r="E31" s="9">
        <f>+'Paso 2B solicitado por cliente'!$S$15</f>
        <v>3.3799999999999997E-2</v>
      </c>
      <c r="F31" s="14">
        <f>+'Motor I'!$C$19*-1</f>
        <v>0</v>
      </c>
      <c r="G31" s="14">
        <v>0</v>
      </c>
      <c r="H31" s="14">
        <v>0</v>
      </c>
      <c r="I31" s="14">
        <f t="shared" si="7"/>
        <v>0</v>
      </c>
      <c r="J31" s="14">
        <f t="shared" si="22"/>
        <v>0</v>
      </c>
      <c r="K31" s="15">
        <f t="shared" si="0"/>
        <v>0</v>
      </c>
      <c r="L31" s="15">
        <f t="shared" si="8"/>
        <v>0</v>
      </c>
      <c r="M31" s="15">
        <f t="shared" si="1"/>
        <v>0</v>
      </c>
      <c r="N31" s="15">
        <f t="shared" si="9"/>
        <v>0</v>
      </c>
      <c r="O31" s="14">
        <f t="shared" si="23"/>
        <v>22155101.580493536</v>
      </c>
      <c r="P31" s="9">
        <f t="shared" si="10"/>
        <v>2.7739514514073527E-3</v>
      </c>
      <c r="Q31" s="9">
        <f>+'Paso 2B solicitado por cliente'!$S$16</f>
        <v>3.3799999999999997E-2</v>
      </c>
      <c r="R31" s="14">
        <v>0</v>
      </c>
      <c r="S31" s="14">
        <f>+Portada!$EK$15*-1</f>
        <v>-40000</v>
      </c>
      <c r="T31" s="14">
        <v>0</v>
      </c>
      <c r="U31" s="14">
        <f t="shared" si="11"/>
        <v>-40000</v>
      </c>
      <c r="V31" s="14">
        <f t="shared" si="12"/>
        <v>23391335.384557787</v>
      </c>
      <c r="W31" s="15">
        <f t="shared" si="2"/>
        <v>61457.176185287375</v>
      </c>
      <c r="X31" s="15">
        <f t="shared" si="13"/>
        <v>737486.11422344856</v>
      </c>
      <c r="Y31" s="15">
        <f t="shared" si="3"/>
        <v>0</v>
      </c>
      <c r="Z31" s="15">
        <f t="shared" si="14"/>
        <v>737486.11422344856</v>
      </c>
      <c r="AA31" s="14">
        <f t="shared" si="24"/>
        <v>0</v>
      </c>
      <c r="AB31" s="9">
        <f t="shared" si="15"/>
        <v>2.7739514514073527E-3</v>
      </c>
      <c r="AC31" s="9">
        <f>+'Paso 2B solicitado por cliente'!$S$17</f>
        <v>3.3799999999999997E-2</v>
      </c>
      <c r="AD31" s="14">
        <v>0</v>
      </c>
      <c r="AE31" s="14">
        <v>0</v>
      </c>
      <c r="AF31" s="14">
        <f>+Portada!$EK$17*-1</f>
        <v>0</v>
      </c>
      <c r="AG31" s="14">
        <f t="shared" si="16"/>
        <v>0</v>
      </c>
      <c r="AH31" s="14">
        <f t="shared" si="17"/>
        <v>0</v>
      </c>
      <c r="AI31" s="15">
        <f t="shared" si="4"/>
        <v>0</v>
      </c>
      <c r="AJ31" s="15">
        <f t="shared" si="18"/>
        <v>0</v>
      </c>
      <c r="AK31" s="15">
        <f t="shared" si="5"/>
        <v>0</v>
      </c>
      <c r="AL31" s="15">
        <f t="shared" si="19"/>
        <v>0</v>
      </c>
      <c r="AM31" s="7">
        <f t="shared" si="20"/>
        <v>23391335.384557787</v>
      </c>
    </row>
    <row r="32" spans="1:39" x14ac:dyDescent="0.35">
      <c r="A32" s="13">
        <v>30</v>
      </c>
      <c r="B32" s="2">
        <v>12</v>
      </c>
      <c r="C32" s="14">
        <f t="shared" si="21"/>
        <v>0</v>
      </c>
      <c r="D32" s="9">
        <f t="shared" si="6"/>
        <v>2.7739514514073527E-3</v>
      </c>
      <c r="E32" s="9">
        <f>+'Paso 2B solicitado por cliente'!$S$15</f>
        <v>3.3799999999999997E-2</v>
      </c>
      <c r="F32" s="14">
        <f>+'Motor I'!$C$19*-1</f>
        <v>0</v>
      </c>
      <c r="G32" s="14">
        <v>0</v>
      </c>
      <c r="H32" s="14">
        <v>0</v>
      </c>
      <c r="I32" s="14">
        <f t="shared" si="7"/>
        <v>0</v>
      </c>
      <c r="J32" s="14">
        <f t="shared" si="22"/>
        <v>0</v>
      </c>
      <c r="K32" s="15">
        <f t="shared" si="0"/>
        <v>0</v>
      </c>
      <c r="L32" s="15">
        <f t="shared" si="8"/>
        <v>0</v>
      </c>
      <c r="M32" s="15">
        <f t="shared" si="1"/>
        <v>0</v>
      </c>
      <c r="N32" s="15">
        <f t="shared" si="9"/>
        <v>0</v>
      </c>
      <c r="O32" s="14">
        <f t="shared" si="23"/>
        <v>23391335.384557787</v>
      </c>
      <c r="P32" s="9">
        <f t="shared" si="10"/>
        <v>2.7739514514073527E-3</v>
      </c>
      <c r="Q32" s="9">
        <f>+'Paso 2B solicitado por cliente'!$S$16</f>
        <v>3.3799999999999997E-2</v>
      </c>
      <c r="R32" s="14">
        <v>0</v>
      </c>
      <c r="S32" s="14">
        <f>+Portada!$EK$15*-1</f>
        <v>-40000</v>
      </c>
      <c r="T32" s="14">
        <v>0</v>
      </c>
      <c r="U32" s="14">
        <f t="shared" si="11"/>
        <v>-40000</v>
      </c>
      <c r="V32" s="14">
        <f t="shared" si="12"/>
        <v>24669353.89119941</v>
      </c>
      <c r="W32" s="15">
        <f t="shared" si="2"/>
        <v>64886.428740350239</v>
      </c>
      <c r="X32" s="15">
        <f t="shared" si="13"/>
        <v>778637.14488420286</v>
      </c>
      <c r="Y32" s="15">
        <f t="shared" si="3"/>
        <v>0</v>
      </c>
      <c r="Z32" s="15">
        <f t="shared" si="14"/>
        <v>778637.14488420286</v>
      </c>
      <c r="AA32" s="14">
        <f t="shared" si="24"/>
        <v>0</v>
      </c>
      <c r="AB32" s="9">
        <f t="shared" si="15"/>
        <v>2.7739514514073527E-3</v>
      </c>
      <c r="AC32" s="9">
        <f>+'Paso 2B solicitado por cliente'!$S$17</f>
        <v>3.3799999999999997E-2</v>
      </c>
      <c r="AD32" s="14">
        <v>0</v>
      </c>
      <c r="AE32" s="14">
        <v>0</v>
      </c>
      <c r="AF32" s="14">
        <f>+Portada!$EK$17*-1</f>
        <v>0</v>
      </c>
      <c r="AG32" s="14">
        <f t="shared" si="16"/>
        <v>0</v>
      </c>
      <c r="AH32" s="14">
        <f t="shared" si="17"/>
        <v>0</v>
      </c>
      <c r="AI32" s="15">
        <f t="shared" si="4"/>
        <v>0</v>
      </c>
      <c r="AJ32" s="15">
        <f t="shared" si="18"/>
        <v>0</v>
      </c>
      <c r="AK32" s="15">
        <f t="shared" si="5"/>
        <v>0</v>
      </c>
      <c r="AL32" s="15">
        <f t="shared" si="19"/>
        <v>0</v>
      </c>
      <c r="AM32" s="7">
        <f t="shared" si="20"/>
        <v>24669353.89119941</v>
      </c>
    </row>
    <row r="33" spans="1:39" x14ac:dyDescent="0.35">
      <c r="A33" s="13">
        <v>31</v>
      </c>
      <c r="B33" s="2">
        <v>12</v>
      </c>
      <c r="C33" s="14">
        <f t="shared" si="21"/>
        <v>0</v>
      </c>
      <c r="D33" s="9">
        <f t="shared" si="6"/>
        <v>2.7739514514073527E-3</v>
      </c>
      <c r="E33" s="9">
        <f>+'Paso 2B solicitado por cliente'!$S$15</f>
        <v>3.3799999999999997E-2</v>
      </c>
      <c r="F33" s="14">
        <f>+'Motor I'!$C$19*-1</f>
        <v>0</v>
      </c>
      <c r="G33" s="14">
        <v>0</v>
      </c>
      <c r="H33" s="14">
        <v>0</v>
      </c>
      <c r="I33" s="14">
        <f t="shared" si="7"/>
        <v>0</v>
      </c>
      <c r="J33" s="14">
        <f t="shared" si="22"/>
        <v>0</v>
      </c>
      <c r="K33" s="15">
        <f t="shared" si="0"/>
        <v>0</v>
      </c>
      <c r="L33" s="15">
        <f t="shared" si="8"/>
        <v>0</v>
      </c>
      <c r="M33" s="15">
        <f t="shared" si="1"/>
        <v>0</v>
      </c>
      <c r="N33" s="15">
        <f t="shared" si="9"/>
        <v>0</v>
      </c>
      <c r="O33" s="14">
        <f t="shared" si="23"/>
        <v>24669353.89119941</v>
      </c>
      <c r="P33" s="9">
        <f t="shared" si="10"/>
        <v>2.7739514514073527E-3</v>
      </c>
      <c r="Q33" s="9">
        <f>+'Paso 2B solicitado por cliente'!$S$16</f>
        <v>3.3799999999999997E-2</v>
      </c>
      <c r="R33" s="14">
        <v>0</v>
      </c>
      <c r="S33" s="14">
        <f>+Portada!$EK$15*-1</f>
        <v>-40000</v>
      </c>
      <c r="T33" s="14">
        <v>0</v>
      </c>
      <c r="U33" s="14">
        <f t="shared" si="11"/>
        <v>-40000</v>
      </c>
      <c r="V33" s="14">
        <f t="shared" si="12"/>
        <v>25990569.423365522</v>
      </c>
      <c r="W33" s="15">
        <f t="shared" si="2"/>
        <v>68431.59003177422</v>
      </c>
      <c r="X33" s="15">
        <f t="shared" si="13"/>
        <v>821179.08038129064</v>
      </c>
      <c r="Y33" s="15">
        <f t="shared" si="3"/>
        <v>0</v>
      </c>
      <c r="Z33" s="15">
        <f t="shared" si="14"/>
        <v>821179.08038129064</v>
      </c>
      <c r="AA33" s="14">
        <f t="shared" si="24"/>
        <v>0</v>
      </c>
      <c r="AB33" s="9">
        <f t="shared" si="15"/>
        <v>2.7739514514073527E-3</v>
      </c>
      <c r="AC33" s="9">
        <f>+'Paso 2B solicitado por cliente'!$S$17</f>
        <v>3.3799999999999997E-2</v>
      </c>
      <c r="AD33" s="14">
        <v>0</v>
      </c>
      <c r="AE33" s="14">
        <v>0</v>
      </c>
      <c r="AF33" s="14">
        <f>+Portada!$EK$17*-1</f>
        <v>0</v>
      </c>
      <c r="AG33" s="14">
        <f t="shared" si="16"/>
        <v>0</v>
      </c>
      <c r="AH33" s="14">
        <f t="shared" si="17"/>
        <v>0</v>
      </c>
      <c r="AI33" s="15">
        <f t="shared" si="4"/>
        <v>0</v>
      </c>
      <c r="AJ33" s="15">
        <f t="shared" si="18"/>
        <v>0</v>
      </c>
      <c r="AK33" s="15">
        <f t="shared" si="5"/>
        <v>0</v>
      </c>
      <c r="AL33" s="15">
        <f t="shared" si="19"/>
        <v>0</v>
      </c>
      <c r="AM33" s="7">
        <f t="shared" si="20"/>
        <v>25990569.423365522</v>
      </c>
    </row>
    <row r="34" spans="1:39" x14ac:dyDescent="0.35">
      <c r="A34" s="13">
        <v>32</v>
      </c>
      <c r="B34" s="2">
        <v>12</v>
      </c>
      <c r="C34" s="14">
        <f t="shared" si="21"/>
        <v>0</v>
      </c>
      <c r="D34" s="9">
        <f t="shared" si="6"/>
        <v>2.7739514514073527E-3</v>
      </c>
      <c r="E34" s="9">
        <f>+'Paso 2B solicitado por cliente'!$S$15</f>
        <v>3.3799999999999997E-2</v>
      </c>
      <c r="F34" s="14">
        <f>+'Motor I'!$C$19*-1</f>
        <v>0</v>
      </c>
      <c r="G34" s="14">
        <v>0</v>
      </c>
      <c r="H34" s="14">
        <v>0</v>
      </c>
      <c r="I34" s="14">
        <f t="shared" si="7"/>
        <v>0</v>
      </c>
      <c r="J34" s="14">
        <f t="shared" si="22"/>
        <v>0</v>
      </c>
      <c r="K34" s="15">
        <f t="shared" si="0"/>
        <v>0</v>
      </c>
      <c r="L34" s="15">
        <f t="shared" si="8"/>
        <v>0</v>
      </c>
      <c r="M34" s="15">
        <f t="shared" si="1"/>
        <v>0</v>
      </c>
      <c r="N34" s="15">
        <f t="shared" si="9"/>
        <v>0</v>
      </c>
      <c r="O34" s="14">
        <f t="shared" si="23"/>
        <v>25990569.423365522</v>
      </c>
      <c r="P34" s="9">
        <f t="shared" si="10"/>
        <v>2.7739514514073527E-3</v>
      </c>
      <c r="Q34" s="9">
        <f>+'Paso 2B solicitado por cliente'!$S$16</f>
        <v>3.3799999999999997E-2</v>
      </c>
      <c r="R34" s="14">
        <v>0</v>
      </c>
      <c r="S34" s="14">
        <f>+Portada!$EK$15*-1</f>
        <v>-40000</v>
      </c>
      <c r="T34" s="14">
        <v>0</v>
      </c>
      <c r="U34" s="14">
        <f t="shared" si="11"/>
        <v>-40000</v>
      </c>
      <c r="V34" s="14">
        <f t="shared" si="12"/>
        <v>27356442.04051885</v>
      </c>
      <c r="W34" s="15">
        <f t="shared" si="2"/>
        <v>72096.577774848352</v>
      </c>
      <c r="X34" s="15">
        <f t="shared" si="13"/>
        <v>865158.93329818023</v>
      </c>
      <c r="Y34" s="15">
        <f t="shared" si="3"/>
        <v>0</v>
      </c>
      <c r="Z34" s="15">
        <f t="shared" si="14"/>
        <v>865158.93329818023</v>
      </c>
      <c r="AA34" s="14">
        <f t="shared" si="24"/>
        <v>0</v>
      </c>
      <c r="AB34" s="9">
        <f t="shared" si="15"/>
        <v>2.7739514514073527E-3</v>
      </c>
      <c r="AC34" s="9">
        <f>+'Paso 2B solicitado por cliente'!$S$17</f>
        <v>3.3799999999999997E-2</v>
      </c>
      <c r="AD34" s="14">
        <v>0</v>
      </c>
      <c r="AE34" s="14">
        <v>0</v>
      </c>
      <c r="AF34" s="14">
        <f>+Portada!$EK$17*-1</f>
        <v>0</v>
      </c>
      <c r="AG34" s="14">
        <f t="shared" si="16"/>
        <v>0</v>
      </c>
      <c r="AH34" s="14">
        <f t="shared" si="17"/>
        <v>0</v>
      </c>
      <c r="AI34" s="15">
        <f t="shared" si="4"/>
        <v>0</v>
      </c>
      <c r="AJ34" s="15">
        <f t="shared" si="18"/>
        <v>0</v>
      </c>
      <c r="AK34" s="15">
        <f t="shared" si="5"/>
        <v>0</v>
      </c>
      <c r="AL34" s="15">
        <f t="shared" si="19"/>
        <v>0</v>
      </c>
      <c r="AM34" s="7">
        <f t="shared" si="20"/>
        <v>27356442.04051885</v>
      </c>
    </row>
    <row r="35" spans="1:39" x14ac:dyDescent="0.35">
      <c r="A35" s="13">
        <v>33</v>
      </c>
      <c r="B35" s="2">
        <v>12</v>
      </c>
      <c r="C35" s="14">
        <f t="shared" si="21"/>
        <v>0</v>
      </c>
      <c r="D35" s="9">
        <f t="shared" si="6"/>
        <v>2.7739514514073527E-3</v>
      </c>
      <c r="E35" s="9">
        <f>+'Paso 2B solicitado por cliente'!$S$15</f>
        <v>3.3799999999999997E-2</v>
      </c>
      <c r="F35" s="14">
        <f>+'Motor I'!$C$19*-1</f>
        <v>0</v>
      </c>
      <c r="G35" s="14">
        <v>0</v>
      </c>
      <c r="H35" s="14">
        <v>0</v>
      </c>
      <c r="I35" s="14">
        <f t="shared" si="7"/>
        <v>0</v>
      </c>
      <c r="J35" s="14">
        <f t="shared" si="22"/>
        <v>0</v>
      </c>
      <c r="K35" s="15">
        <f t="shared" si="0"/>
        <v>0</v>
      </c>
      <c r="L35" s="15">
        <f t="shared" si="8"/>
        <v>0</v>
      </c>
      <c r="M35" s="15">
        <f t="shared" si="1"/>
        <v>0</v>
      </c>
      <c r="N35" s="15">
        <f t="shared" si="9"/>
        <v>0</v>
      </c>
      <c r="O35" s="14">
        <f t="shared" si="23"/>
        <v>27356442.04051885</v>
      </c>
      <c r="P35" s="9">
        <f t="shared" si="10"/>
        <v>2.7739514514073527E-3</v>
      </c>
      <c r="Q35" s="9">
        <f>+'Paso 2B solicitado por cliente'!$S$16</f>
        <v>3.3799999999999997E-2</v>
      </c>
      <c r="R35" s="14">
        <v>0</v>
      </c>
      <c r="S35" s="14">
        <f>+Portada!$EK$15*-1</f>
        <v>-40000</v>
      </c>
      <c r="T35" s="14">
        <v>0</v>
      </c>
      <c r="U35" s="14">
        <f t="shared" si="11"/>
        <v>-40000</v>
      </c>
      <c r="V35" s="14">
        <f t="shared" si="12"/>
        <v>28768481.152131964</v>
      </c>
      <c r="W35" s="15">
        <f t="shared" si="2"/>
        <v>75885.442103638386</v>
      </c>
      <c r="X35" s="15">
        <f t="shared" si="13"/>
        <v>910625.3052436607</v>
      </c>
      <c r="Y35" s="15">
        <f t="shared" si="3"/>
        <v>0</v>
      </c>
      <c r="Z35" s="15">
        <f t="shared" si="14"/>
        <v>910625.3052436607</v>
      </c>
      <c r="AA35" s="14">
        <f t="shared" si="24"/>
        <v>0</v>
      </c>
      <c r="AB35" s="9">
        <f t="shared" si="15"/>
        <v>2.7739514514073527E-3</v>
      </c>
      <c r="AC35" s="9">
        <f>+'Paso 2B solicitado por cliente'!$S$17</f>
        <v>3.3799999999999997E-2</v>
      </c>
      <c r="AD35" s="14">
        <v>0</v>
      </c>
      <c r="AE35" s="14">
        <v>0</v>
      </c>
      <c r="AF35" s="14">
        <f>+Portada!$EK$17*-1</f>
        <v>0</v>
      </c>
      <c r="AG35" s="14">
        <f t="shared" si="16"/>
        <v>0</v>
      </c>
      <c r="AH35" s="14">
        <f t="shared" si="17"/>
        <v>0</v>
      </c>
      <c r="AI35" s="15">
        <f t="shared" si="4"/>
        <v>0</v>
      </c>
      <c r="AJ35" s="15">
        <f t="shared" si="18"/>
        <v>0</v>
      </c>
      <c r="AK35" s="15">
        <f t="shared" si="5"/>
        <v>0</v>
      </c>
      <c r="AL35" s="15">
        <f t="shared" si="19"/>
        <v>0</v>
      </c>
      <c r="AM35" s="7">
        <f t="shared" si="20"/>
        <v>28768481.152131964</v>
      </c>
    </row>
    <row r="36" spans="1:39" x14ac:dyDescent="0.35">
      <c r="A36" s="13">
        <v>34</v>
      </c>
      <c r="B36" s="2">
        <v>12</v>
      </c>
      <c r="C36" s="14">
        <f t="shared" si="21"/>
        <v>0</v>
      </c>
      <c r="D36" s="9">
        <f t="shared" si="6"/>
        <v>2.7739514514073527E-3</v>
      </c>
      <c r="E36" s="9">
        <f>+'Paso 2B solicitado por cliente'!$S$15</f>
        <v>3.3799999999999997E-2</v>
      </c>
      <c r="F36" s="14">
        <f>+'Motor I'!$C$19*-1</f>
        <v>0</v>
      </c>
      <c r="G36" s="14">
        <v>0</v>
      </c>
      <c r="H36" s="14">
        <v>0</v>
      </c>
      <c r="I36" s="14">
        <f t="shared" si="7"/>
        <v>0</v>
      </c>
      <c r="J36" s="14">
        <f t="shared" si="22"/>
        <v>0</v>
      </c>
      <c r="K36" s="15">
        <f t="shared" si="0"/>
        <v>0</v>
      </c>
      <c r="L36" s="15">
        <f t="shared" si="8"/>
        <v>0</v>
      </c>
      <c r="M36" s="15">
        <f t="shared" si="1"/>
        <v>0</v>
      </c>
      <c r="N36" s="15">
        <f t="shared" si="9"/>
        <v>0</v>
      </c>
      <c r="O36" s="14">
        <f t="shared" si="23"/>
        <v>28768481.152131964</v>
      </c>
      <c r="P36" s="9">
        <f t="shared" si="10"/>
        <v>2.7739514514073527E-3</v>
      </c>
      <c r="Q36" s="9">
        <f>+'Paso 2B solicitado por cliente'!$S$16</f>
        <v>3.3799999999999997E-2</v>
      </c>
      <c r="R36" s="14">
        <v>0</v>
      </c>
      <c r="S36" s="14">
        <f>+Portada!$EK$15*-1</f>
        <v>-40000</v>
      </c>
      <c r="T36" s="14">
        <v>0</v>
      </c>
      <c r="U36" s="14">
        <f t="shared" si="11"/>
        <v>-40000</v>
      </c>
      <c r="V36" s="14">
        <f t="shared" si="12"/>
        <v>30228247.185717601</v>
      </c>
      <c r="W36" s="15">
        <f t="shared" si="2"/>
        <v>79802.370046741533</v>
      </c>
      <c r="X36" s="15">
        <f t="shared" si="13"/>
        <v>957628.44056089839</v>
      </c>
      <c r="Y36" s="15">
        <f t="shared" si="3"/>
        <v>0</v>
      </c>
      <c r="Z36" s="15">
        <f t="shared" si="14"/>
        <v>957628.44056089839</v>
      </c>
      <c r="AA36" s="14">
        <f t="shared" si="24"/>
        <v>0</v>
      </c>
      <c r="AB36" s="9">
        <f t="shared" si="15"/>
        <v>2.7739514514073527E-3</v>
      </c>
      <c r="AC36" s="9">
        <f>+'Paso 2B solicitado por cliente'!$S$17</f>
        <v>3.3799999999999997E-2</v>
      </c>
      <c r="AD36" s="14">
        <v>0</v>
      </c>
      <c r="AE36" s="14">
        <v>0</v>
      </c>
      <c r="AF36" s="14">
        <f>+Portada!$EK$17*-1</f>
        <v>0</v>
      </c>
      <c r="AG36" s="14">
        <f t="shared" si="16"/>
        <v>0</v>
      </c>
      <c r="AH36" s="14">
        <f t="shared" si="17"/>
        <v>0</v>
      </c>
      <c r="AI36" s="15">
        <f t="shared" si="4"/>
        <v>0</v>
      </c>
      <c r="AJ36" s="15">
        <f t="shared" si="18"/>
        <v>0</v>
      </c>
      <c r="AK36" s="15">
        <f t="shared" si="5"/>
        <v>0</v>
      </c>
      <c r="AL36" s="15">
        <f t="shared" si="19"/>
        <v>0</v>
      </c>
      <c r="AM36" s="7">
        <f t="shared" si="20"/>
        <v>30228247.185717601</v>
      </c>
    </row>
    <row r="37" spans="1:39" x14ac:dyDescent="0.35">
      <c r="A37" s="13">
        <v>35</v>
      </c>
      <c r="B37" s="2">
        <v>12</v>
      </c>
      <c r="C37" s="14">
        <f t="shared" si="21"/>
        <v>0</v>
      </c>
      <c r="D37" s="9">
        <f t="shared" si="6"/>
        <v>2.7739514514073527E-3</v>
      </c>
      <c r="E37" s="9">
        <f>+'Paso 2B solicitado por cliente'!$S$15</f>
        <v>3.3799999999999997E-2</v>
      </c>
      <c r="F37" s="14">
        <f>+'Motor I'!$C$19*-1</f>
        <v>0</v>
      </c>
      <c r="G37" s="14">
        <v>0</v>
      </c>
      <c r="H37" s="14">
        <v>0</v>
      </c>
      <c r="I37" s="14">
        <f t="shared" si="7"/>
        <v>0</v>
      </c>
      <c r="J37" s="14">
        <f t="shared" si="22"/>
        <v>0</v>
      </c>
      <c r="K37" s="15">
        <f t="shared" si="0"/>
        <v>0</v>
      </c>
      <c r="L37" s="15">
        <f t="shared" si="8"/>
        <v>0</v>
      </c>
      <c r="M37" s="15">
        <f t="shared" si="1"/>
        <v>0</v>
      </c>
      <c r="N37" s="15">
        <f t="shared" si="9"/>
        <v>0</v>
      </c>
      <c r="O37" s="14">
        <f t="shared" si="23"/>
        <v>30228247.185717601</v>
      </c>
      <c r="P37" s="9">
        <f t="shared" si="10"/>
        <v>2.7739514514073527E-3</v>
      </c>
      <c r="Q37" s="9">
        <f>+'Paso 2B solicitado por cliente'!$S$16</f>
        <v>3.3799999999999997E-2</v>
      </c>
      <c r="R37" s="14">
        <v>0</v>
      </c>
      <c r="S37" s="14">
        <f>+Portada!$EK$15*-1</f>
        <v>-40000</v>
      </c>
      <c r="T37" s="14">
        <v>0</v>
      </c>
      <c r="U37" s="14">
        <f t="shared" si="11"/>
        <v>-40000</v>
      </c>
      <c r="V37" s="14">
        <f t="shared" si="12"/>
        <v>31737353.311238434</v>
      </c>
      <c r="W37" s="15">
        <f t="shared" si="2"/>
        <v>83851.690154321564</v>
      </c>
      <c r="X37" s="15">
        <f t="shared" si="13"/>
        <v>1006220.2818518588</v>
      </c>
      <c r="Y37" s="15">
        <f t="shared" si="3"/>
        <v>0</v>
      </c>
      <c r="Z37" s="15">
        <f t="shared" si="14"/>
        <v>1006220.2818518588</v>
      </c>
      <c r="AA37" s="14">
        <f t="shared" si="24"/>
        <v>0</v>
      </c>
      <c r="AB37" s="9">
        <f t="shared" si="15"/>
        <v>2.7739514514073527E-3</v>
      </c>
      <c r="AC37" s="9">
        <f>+'Paso 2B solicitado por cliente'!$S$17</f>
        <v>3.3799999999999997E-2</v>
      </c>
      <c r="AD37" s="14">
        <v>0</v>
      </c>
      <c r="AE37" s="14">
        <v>0</v>
      </c>
      <c r="AF37" s="14">
        <f>+Portada!$EK$17*-1</f>
        <v>0</v>
      </c>
      <c r="AG37" s="14">
        <f t="shared" si="16"/>
        <v>0</v>
      </c>
      <c r="AH37" s="14">
        <f t="shared" si="17"/>
        <v>0</v>
      </c>
      <c r="AI37" s="15">
        <f t="shared" si="4"/>
        <v>0</v>
      </c>
      <c r="AJ37" s="15">
        <f t="shared" si="18"/>
        <v>0</v>
      </c>
      <c r="AK37" s="15">
        <f t="shared" si="5"/>
        <v>0</v>
      </c>
      <c r="AL37" s="15">
        <f t="shared" si="19"/>
        <v>0</v>
      </c>
      <c r="AM37" s="7">
        <f t="shared" si="20"/>
        <v>31737353.311238434</v>
      </c>
    </row>
    <row r="38" spans="1:39" x14ac:dyDescent="0.35">
      <c r="A38" s="13">
        <v>36</v>
      </c>
      <c r="B38" s="2">
        <v>12</v>
      </c>
      <c r="C38" s="14">
        <f t="shared" si="21"/>
        <v>0</v>
      </c>
      <c r="D38" s="9">
        <f t="shared" si="6"/>
        <v>2.7739514514073527E-3</v>
      </c>
      <c r="E38" s="9">
        <f>+'Paso 2B solicitado por cliente'!$S$15</f>
        <v>3.3799999999999997E-2</v>
      </c>
      <c r="F38" s="14">
        <f>+'Motor I'!$C$19*-1</f>
        <v>0</v>
      </c>
      <c r="G38" s="14">
        <v>0</v>
      </c>
      <c r="H38" s="14">
        <v>0</v>
      </c>
      <c r="I38" s="14">
        <f t="shared" si="7"/>
        <v>0</v>
      </c>
      <c r="J38" s="14">
        <f t="shared" si="22"/>
        <v>0</v>
      </c>
      <c r="K38" s="15">
        <f t="shared" si="0"/>
        <v>0</v>
      </c>
      <c r="L38" s="15">
        <f t="shared" si="8"/>
        <v>0</v>
      </c>
      <c r="M38" s="15">
        <f t="shared" si="1"/>
        <v>0</v>
      </c>
      <c r="N38" s="15">
        <f t="shared" si="9"/>
        <v>0</v>
      </c>
      <c r="O38" s="14">
        <f t="shared" si="23"/>
        <v>31737353.311238434</v>
      </c>
      <c r="P38" s="9">
        <f t="shared" si="10"/>
        <v>2.7739514514073527E-3</v>
      </c>
      <c r="Q38" s="9">
        <f>+'Paso 2B solicitado por cliente'!$S$16</f>
        <v>3.3799999999999997E-2</v>
      </c>
      <c r="R38" s="14">
        <v>0</v>
      </c>
      <c r="S38" s="14">
        <f>+Portada!$EK$15*-1</f>
        <v>-40000</v>
      </c>
      <c r="T38" s="14">
        <v>0</v>
      </c>
      <c r="U38" s="14">
        <f t="shared" si="11"/>
        <v>-40000</v>
      </c>
      <c r="V38" s="14">
        <f t="shared" si="12"/>
        <v>33297467.223801874</v>
      </c>
      <c r="W38" s="15">
        <f t="shared" si="2"/>
        <v>88037.877281537803</v>
      </c>
      <c r="X38" s="15">
        <f t="shared" si="13"/>
        <v>1056454.5273784536</v>
      </c>
      <c r="Y38" s="15">
        <f t="shared" si="3"/>
        <v>0</v>
      </c>
      <c r="Z38" s="15">
        <f t="shared" si="14"/>
        <v>1056454.5273784536</v>
      </c>
      <c r="AA38" s="14">
        <f t="shared" si="24"/>
        <v>0</v>
      </c>
      <c r="AB38" s="9">
        <f t="shared" si="15"/>
        <v>2.7739514514073527E-3</v>
      </c>
      <c r="AC38" s="9">
        <f>+'Paso 2B solicitado por cliente'!$S$17</f>
        <v>3.3799999999999997E-2</v>
      </c>
      <c r="AD38" s="14">
        <v>0</v>
      </c>
      <c r="AE38" s="14">
        <v>0</v>
      </c>
      <c r="AF38" s="14">
        <f>+Portada!$EK$17*-1</f>
        <v>0</v>
      </c>
      <c r="AG38" s="14">
        <f t="shared" si="16"/>
        <v>0</v>
      </c>
      <c r="AH38" s="14">
        <f t="shared" si="17"/>
        <v>0</v>
      </c>
      <c r="AI38" s="15">
        <f t="shared" si="4"/>
        <v>0</v>
      </c>
      <c r="AJ38" s="15">
        <f t="shared" si="18"/>
        <v>0</v>
      </c>
      <c r="AK38" s="15">
        <f t="shared" si="5"/>
        <v>0</v>
      </c>
      <c r="AL38" s="15">
        <f t="shared" si="19"/>
        <v>0</v>
      </c>
      <c r="AM38" s="7">
        <f t="shared" si="20"/>
        <v>33297467.223801874</v>
      </c>
    </row>
    <row r="39" spans="1:39" x14ac:dyDescent="0.35">
      <c r="A39" s="13">
        <v>37</v>
      </c>
      <c r="B39" s="2">
        <v>12</v>
      </c>
      <c r="C39" s="14">
        <f t="shared" si="21"/>
        <v>0</v>
      </c>
      <c r="D39" s="9">
        <f t="shared" si="6"/>
        <v>2.7739514514073527E-3</v>
      </c>
      <c r="E39" s="9">
        <f>+'Paso 2B solicitado por cliente'!$S$15</f>
        <v>3.3799999999999997E-2</v>
      </c>
      <c r="F39" s="14">
        <f>+'Motor I'!$C$19*-1</f>
        <v>0</v>
      </c>
      <c r="G39" s="14">
        <v>0</v>
      </c>
      <c r="H39" s="14">
        <v>0</v>
      </c>
      <c r="I39" s="14">
        <f t="shared" si="7"/>
        <v>0</v>
      </c>
      <c r="J39" s="14">
        <f t="shared" si="22"/>
        <v>0</v>
      </c>
      <c r="K39" s="15">
        <f t="shared" si="0"/>
        <v>0</v>
      </c>
      <c r="L39" s="15">
        <f t="shared" si="8"/>
        <v>0</v>
      </c>
      <c r="M39" s="15">
        <f t="shared" si="1"/>
        <v>0</v>
      </c>
      <c r="N39" s="15">
        <f t="shared" si="9"/>
        <v>0</v>
      </c>
      <c r="O39" s="14">
        <f t="shared" si="23"/>
        <v>33297467.223801874</v>
      </c>
      <c r="P39" s="9">
        <f t="shared" si="10"/>
        <v>2.7739514514073527E-3</v>
      </c>
      <c r="Q39" s="9">
        <f>+'Paso 2B solicitado por cliente'!$S$16</f>
        <v>3.3799999999999997E-2</v>
      </c>
      <c r="R39" s="14">
        <v>0</v>
      </c>
      <c r="S39" s="14">
        <f>+Portada!$EK$15*-1</f>
        <v>-40000</v>
      </c>
      <c r="T39" s="14">
        <v>0</v>
      </c>
      <c r="U39" s="14">
        <f t="shared" si="11"/>
        <v>-40000</v>
      </c>
      <c r="V39" s="14">
        <f t="shared" si="12"/>
        <v>34910312.986609958</v>
      </c>
      <c r="W39" s="15">
        <f t="shared" si="2"/>
        <v>92365.557533653962</v>
      </c>
      <c r="X39" s="15">
        <f t="shared" si="13"/>
        <v>1108386.6904038475</v>
      </c>
      <c r="Y39" s="15">
        <f t="shared" si="3"/>
        <v>0</v>
      </c>
      <c r="Z39" s="15">
        <f t="shared" si="14"/>
        <v>1108386.6904038475</v>
      </c>
      <c r="AA39" s="14">
        <f t="shared" si="24"/>
        <v>0</v>
      </c>
      <c r="AB39" s="9">
        <f t="shared" si="15"/>
        <v>2.7739514514073527E-3</v>
      </c>
      <c r="AC39" s="9">
        <f>+'Paso 2B solicitado por cliente'!$S$17</f>
        <v>3.3799999999999997E-2</v>
      </c>
      <c r="AD39" s="14">
        <v>0</v>
      </c>
      <c r="AE39" s="14">
        <v>0</v>
      </c>
      <c r="AF39" s="14">
        <f>+Portada!$EK$17*-1</f>
        <v>0</v>
      </c>
      <c r="AG39" s="14">
        <f t="shared" si="16"/>
        <v>0</v>
      </c>
      <c r="AH39" s="14">
        <f t="shared" si="17"/>
        <v>0</v>
      </c>
      <c r="AI39" s="15">
        <f t="shared" si="4"/>
        <v>0</v>
      </c>
      <c r="AJ39" s="15">
        <f t="shared" si="18"/>
        <v>0</v>
      </c>
      <c r="AK39" s="15">
        <f t="shared" si="5"/>
        <v>0</v>
      </c>
      <c r="AL39" s="15">
        <f t="shared" si="19"/>
        <v>0</v>
      </c>
      <c r="AM39" s="7">
        <f t="shared" si="20"/>
        <v>34910312.986609958</v>
      </c>
    </row>
    <row r="40" spans="1:39" x14ac:dyDescent="0.35">
      <c r="A40" s="13">
        <v>38</v>
      </c>
      <c r="B40" s="2">
        <v>12</v>
      </c>
      <c r="C40" s="14">
        <f t="shared" si="21"/>
        <v>0</v>
      </c>
      <c r="D40" s="9">
        <f t="shared" si="6"/>
        <v>2.7739514514073527E-3</v>
      </c>
      <c r="E40" s="9">
        <f>+'Paso 2B solicitado por cliente'!$S$15</f>
        <v>3.3799999999999997E-2</v>
      </c>
      <c r="F40" s="14">
        <f>+'Motor I'!$C$19*-1</f>
        <v>0</v>
      </c>
      <c r="G40" s="14">
        <v>0</v>
      </c>
      <c r="H40" s="14">
        <v>0</v>
      </c>
      <c r="I40" s="14">
        <f t="shared" si="7"/>
        <v>0</v>
      </c>
      <c r="J40" s="14">
        <f t="shared" si="22"/>
        <v>0</v>
      </c>
      <c r="K40" s="15">
        <f t="shared" si="0"/>
        <v>0</v>
      </c>
      <c r="L40" s="15">
        <f t="shared" si="8"/>
        <v>0</v>
      </c>
      <c r="M40" s="15">
        <f t="shared" si="1"/>
        <v>0</v>
      </c>
      <c r="N40" s="15">
        <f t="shared" si="9"/>
        <v>0</v>
      </c>
      <c r="O40" s="14">
        <f t="shared" si="23"/>
        <v>34910312.986609958</v>
      </c>
      <c r="P40" s="9">
        <f t="shared" si="10"/>
        <v>2.7739514514073527E-3</v>
      </c>
      <c r="Q40" s="9">
        <f>+'Paso 2B solicitado por cliente'!$S$16</f>
        <v>3.3799999999999997E-2</v>
      </c>
      <c r="R40" s="14">
        <v>0</v>
      </c>
      <c r="S40" s="14">
        <f>+Portada!$EK$15*-1</f>
        <v>-40000</v>
      </c>
      <c r="T40" s="14">
        <v>0</v>
      </c>
      <c r="U40" s="14">
        <f t="shared" si="11"/>
        <v>-40000</v>
      </c>
      <c r="V40" s="14">
        <f t="shared" si="12"/>
        <v>36577672.936200954</v>
      </c>
      <c r="W40" s="15">
        <f t="shared" si="2"/>
        <v>96839.513378291653</v>
      </c>
      <c r="X40" s="15">
        <f t="shared" si="13"/>
        <v>1162074.1605394999</v>
      </c>
      <c r="Y40" s="15">
        <f t="shared" si="3"/>
        <v>0</v>
      </c>
      <c r="Z40" s="15">
        <f t="shared" si="14"/>
        <v>1162074.1605394999</v>
      </c>
      <c r="AA40" s="14">
        <f t="shared" si="24"/>
        <v>0</v>
      </c>
      <c r="AB40" s="9">
        <f t="shared" si="15"/>
        <v>2.7739514514073527E-3</v>
      </c>
      <c r="AC40" s="9">
        <f>+'Paso 2B solicitado por cliente'!$S$17</f>
        <v>3.3799999999999997E-2</v>
      </c>
      <c r="AD40" s="14">
        <v>0</v>
      </c>
      <c r="AE40" s="14">
        <v>0</v>
      </c>
      <c r="AF40" s="14">
        <f>+Portada!$EK$17*-1</f>
        <v>0</v>
      </c>
      <c r="AG40" s="14">
        <f t="shared" si="16"/>
        <v>0</v>
      </c>
      <c r="AH40" s="14">
        <f t="shared" si="17"/>
        <v>0</v>
      </c>
      <c r="AI40" s="15">
        <f t="shared" si="4"/>
        <v>0</v>
      </c>
      <c r="AJ40" s="15">
        <f t="shared" si="18"/>
        <v>0</v>
      </c>
      <c r="AK40" s="15">
        <f t="shared" si="5"/>
        <v>0</v>
      </c>
      <c r="AL40" s="15">
        <f t="shared" si="19"/>
        <v>0</v>
      </c>
      <c r="AM40" s="7">
        <f t="shared" si="20"/>
        <v>36577672.936200954</v>
      </c>
    </row>
    <row r="41" spans="1:39" x14ac:dyDescent="0.35">
      <c r="A41" s="13">
        <v>39</v>
      </c>
      <c r="B41" s="2">
        <v>12</v>
      </c>
      <c r="C41" s="14">
        <f t="shared" si="21"/>
        <v>0</v>
      </c>
      <c r="D41" s="9">
        <f t="shared" si="6"/>
        <v>2.7739514514073527E-3</v>
      </c>
      <c r="E41" s="9">
        <f>+'Paso 2B solicitado por cliente'!$S$15</f>
        <v>3.3799999999999997E-2</v>
      </c>
      <c r="F41" s="14">
        <f>+'Motor I'!$C$19*-1</f>
        <v>0</v>
      </c>
      <c r="G41" s="14">
        <v>0</v>
      </c>
      <c r="H41" s="14">
        <v>0</v>
      </c>
      <c r="I41" s="14">
        <f t="shared" si="7"/>
        <v>0</v>
      </c>
      <c r="J41" s="14">
        <f t="shared" si="22"/>
        <v>0</v>
      </c>
      <c r="K41" s="15">
        <f t="shared" si="0"/>
        <v>0</v>
      </c>
      <c r="L41" s="15">
        <f t="shared" si="8"/>
        <v>0</v>
      </c>
      <c r="M41" s="15">
        <f t="shared" si="1"/>
        <v>0</v>
      </c>
      <c r="N41" s="15">
        <f t="shared" si="9"/>
        <v>0</v>
      </c>
      <c r="O41" s="14">
        <f t="shared" si="23"/>
        <v>36577672.936200954</v>
      </c>
      <c r="P41" s="9">
        <f t="shared" si="10"/>
        <v>2.7739514514073527E-3</v>
      </c>
      <c r="Q41" s="9">
        <f>+'Paso 2B solicitado por cliente'!$S$16</f>
        <v>3.3799999999999997E-2</v>
      </c>
      <c r="R41" s="14">
        <v>0</v>
      </c>
      <c r="S41" s="14">
        <f>+Portada!$EK$15*-1</f>
        <v>-40000</v>
      </c>
      <c r="T41" s="14">
        <v>0</v>
      </c>
      <c r="U41" s="14">
        <f t="shared" si="11"/>
        <v>-40000</v>
      </c>
      <c r="V41" s="14">
        <f t="shared" si="12"/>
        <v>38301389.652088128</v>
      </c>
      <c r="W41" s="15">
        <f t="shared" si="2"/>
        <v>101464.68893047808</v>
      </c>
      <c r="X41" s="15">
        <f t="shared" si="13"/>
        <v>1217576.267165737</v>
      </c>
      <c r="Y41" s="15">
        <f t="shared" si="3"/>
        <v>0</v>
      </c>
      <c r="Z41" s="15">
        <f t="shared" si="14"/>
        <v>1217576.267165737</v>
      </c>
      <c r="AA41" s="14">
        <f t="shared" si="24"/>
        <v>0</v>
      </c>
      <c r="AB41" s="9">
        <f t="shared" si="15"/>
        <v>2.7739514514073527E-3</v>
      </c>
      <c r="AC41" s="9">
        <f>+'Paso 2B solicitado por cliente'!$S$17</f>
        <v>3.3799999999999997E-2</v>
      </c>
      <c r="AD41" s="14">
        <v>0</v>
      </c>
      <c r="AE41" s="14">
        <v>0</v>
      </c>
      <c r="AF41" s="14">
        <f>+Portada!$EK$17*-1</f>
        <v>0</v>
      </c>
      <c r="AG41" s="14">
        <f t="shared" si="16"/>
        <v>0</v>
      </c>
      <c r="AH41" s="14">
        <f t="shared" si="17"/>
        <v>0</v>
      </c>
      <c r="AI41" s="15">
        <f t="shared" si="4"/>
        <v>0</v>
      </c>
      <c r="AJ41" s="15">
        <f t="shared" si="18"/>
        <v>0</v>
      </c>
      <c r="AK41" s="15">
        <f t="shared" si="5"/>
        <v>0</v>
      </c>
      <c r="AL41" s="15">
        <f t="shared" si="19"/>
        <v>0</v>
      </c>
      <c r="AM41" s="7">
        <f t="shared" si="20"/>
        <v>38301389.652088128</v>
      </c>
    </row>
    <row r="42" spans="1:39" x14ac:dyDescent="0.35">
      <c r="A42" s="13">
        <v>40</v>
      </c>
      <c r="B42" s="2">
        <v>12</v>
      </c>
      <c r="C42" s="14">
        <f t="shared" si="21"/>
        <v>0</v>
      </c>
      <c r="D42" s="9">
        <f t="shared" si="6"/>
        <v>2.7739514514073527E-3</v>
      </c>
      <c r="E42" s="9">
        <f>+'Paso 2B solicitado por cliente'!$S$15</f>
        <v>3.3799999999999997E-2</v>
      </c>
      <c r="F42" s="14">
        <f>+'Motor I'!$C$19*-1</f>
        <v>0</v>
      </c>
      <c r="G42" s="14">
        <v>0</v>
      </c>
      <c r="H42" s="14">
        <v>0</v>
      </c>
      <c r="I42" s="14">
        <f t="shared" si="7"/>
        <v>0</v>
      </c>
      <c r="J42" s="14">
        <f>FV(D42,B42,I42,-C42)</f>
        <v>0</v>
      </c>
      <c r="K42" s="15">
        <f t="shared" si="0"/>
        <v>0</v>
      </c>
      <c r="L42" s="15">
        <f t="shared" si="8"/>
        <v>0</v>
      </c>
      <c r="M42" s="15">
        <f t="shared" si="1"/>
        <v>0</v>
      </c>
      <c r="N42" s="15">
        <f t="shared" si="9"/>
        <v>0</v>
      </c>
      <c r="O42" s="14">
        <f t="shared" si="23"/>
        <v>38301389.652088128</v>
      </c>
      <c r="P42" s="9">
        <f t="shared" si="10"/>
        <v>2.7739514514073527E-3</v>
      </c>
      <c r="Q42" s="9">
        <f>+'Paso 2B solicitado por cliente'!$S$16</f>
        <v>3.3799999999999997E-2</v>
      </c>
      <c r="R42" s="14">
        <v>0</v>
      </c>
      <c r="S42" s="14">
        <f>+Portada!$EK$15*-1</f>
        <v>-40000</v>
      </c>
      <c r="T42" s="14">
        <v>0</v>
      </c>
      <c r="U42" s="14">
        <f t="shared" si="11"/>
        <v>-40000</v>
      </c>
      <c r="V42" s="14">
        <f t="shared" si="12"/>
        <v>40083367.992972292</v>
      </c>
      <c r="W42" s="15">
        <f t="shared" si="2"/>
        <v>106246.19541632842</v>
      </c>
      <c r="X42" s="15">
        <f t="shared" si="13"/>
        <v>1274954.344995941</v>
      </c>
      <c r="Y42" s="15">
        <f t="shared" si="3"/>
        <v>0</v>
      </c>
      <c r="Z42" s="15">
        <f t="shared" si="14"/>
        <v>1274954.344995941</v>
      </c>
      <c r="AA42" s="14">
        <f t="shared" si="24"/>
        <v>0</v>
      </c>
      <c r="AB42" s="9">
        <f t="shared" si="15"/>
        <v>2.7739514514073527E-3</v>
      </c>
      <c r="AC42" s="9">
        <f>+'Paso 2B solicitado por cliente'!$S$17</f>
        <v>3.3799999999999997E-2</v>
      </c>
      <c r="AD42" s="14">
        <v>0</v>
      </c>
      <c r="AE42" s="14">
        <v>0</v>
      </c>
      <c r="AF42" s="14">
        <f>+Portada!$EK$17*-1</f>
        <v>0</v>
      </c>
      <c r="AG42" s="14">
        <f t="shared" si="16"/>
        <v>0</v>
      </c>
      <c r="AH42" s="14">
        <f t="shared" si="17"/>
        <v>0</v>
      </c>
      <c r="AI42" s="15">
        <f t="shared" si="4"/>
        <v>0</v>
      </c>
      <c r="AJ42" s="15">
        <f t="shared" si="18"/>
        <v>0</v>
      </c>
      <c r="AK42" s="15">
        <f t="shared" si="5"/>
        <v>0</v>
      </c>
      <c r="AL42" s="15">
        <f t="shared" si="19"/>
        <v>0</v>
      </c>
      <c r="AM42" s="7">
        <f t="shared" si="20"/>
        <v>40083367.992972292</v>
      </c>
    </row>
  </sheetData>
  <pageMargins left="0.7" right="0.7" top="0.75" bottom="0.75" header="0.3" footer="0.3"/>
  <pageSetup orientation="portrait" r:id="rId1"/>
  <headerFooter>
    <oddFooter>&amp;C&amp;1#&amp;"Calibri"&amp;10&amp;K000000Uso Interno</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8AE3-9036-44E7-B3A6-40496955AC73}">
  <sheetPr codeName="Hoja15"/>
  <dimension ref="A1:Q15"/>
  <sheetViews>
    <sheetView workbookViewId="0">
      <selection activeCell="D15" sqref="D15"/>
    </sheetView>
  </sheetViews>
  <sheetFormatPr baseColWidth="10" defaultRowHeight="14.5" x14ac:dyDescent="0.35"/>
  <cols>
    <col min="5" max="5" width="12" bestFit="1" customWidth="1"/>
    <col min="6" max="6" width="12.7265625" bestFit="1" customWidth="1"/>
    <col min="8" max="8" width="22.26953125" bestFit="1" customWidth="1"/>
    <col min="9" max="9" width="33.1796875" bestFit="1" customWidth="1"/>
    <col min="10" max="10" width="25.453125" bestFit="1" customWidth="1"/>
    <col min="11" max="11" width="3.26953125" customWidth="1"/>
    <col min="12" max="12" width="5.26953125" bestFit="1" customWidth="1"/>
    <col min="13" max="13" width="11.453125" bestFit="1" customWidth="1"/>
    <col min="14" max="14" width="9.7265625" bestFit="1" customWidth="1"/>
    <col min="15" max="15" width="22.26953125" bestFit="1" customWidth="1"/>
    <col min="16" max="16" width="33.1796875" bestFit="1" customWidth="1"/>
    <col min="17" max="17" width="25.453125" bestFit="1" customWidth="1"/>
  </cols>
  <sheetData>
    <row r="1" spans="1:17" x14ac:dyDescent="0.35">
      <c r="A1" t="s">
        <v>68</v>
      </c>
      <c r="B1" t="s">
        <v>67</v>
      </c>
      <c r="C1" t="s">
        <v>42</v>
      </c>
    </row>
    <row r="2" spans="1:17" x14ac:dyDescent="0.35">
      <c r="B2" s="19">
        <v>42005</v>
      </c>
      <c r="C2">
        <v>73.2</v>
      </c>
      <c r="E2" t="s">
        <v>69</v>
      </c>
      <c r="F2" s="21">
        <f>+AVERAGE(C3:C12)</f>
        <v>80.459999999999994</v>
      </c>
      <c r="H2" s="25" t="str">
        <f>+Portada!$AX$18</f>
        <v>Mujer</v>
      </c>
      <c r="I2" s="25">
        <f>+VLOOKUP(H2,$H$3:$I$4,2,FALSE)</f>
        <v>60</v>
      </c>
      <c r="J2" s="25" t="e">
        <f>+VLOOKUP(H2,$E$14:$G$15,3,FALSE)</f>
        <v>#N/A</v>
      </c>
    </row>
    <row r="3" spans="1:17" x14ac:dyDescent="0.35">
      <c r="A3">
        <v>10</v>
      </c>
      <c r="B3" s="19">
        <v>42370</v>
      </c>
      <c r="C3">
        <v>74.3</v>
      </c>
      <c r="E3" s="20">
        <v>0.7</v>
      </c>
      <c r="F3" s="21">
        <f>+F2*E3</f>
        <v>56.321999999999989</v>
      </c>
      <c r="H3" t="s">
        <v>3</v>
      </c>
      <c r="I3">
        <v>60</v>
      </c>
    </row>
    <row r="4" spans="1:17" x14ac:dyDescent="0.35">
      <c r="A4">
        <v>9</v>
      </c>
      <c r="B4" s="19">
        <v>42736</v>
      </c>
      <c r="C4">
        <v>75.7</v>
      </c>
      <c r="E4" t="s">
        <v>42</v>
      </c>
      <c r="F4" s="22">
        <v>45657</v>
      </c>
      <c r="G4" s="23">
        <v>38416.69</v>
      </c>
      <c r="H4" t="s">
        <v>2</v>
      </c>
      <c r="I4">
        <v>65</v>
      </c>
    </row>
    <row r="5" spans="1:17" ht="15" thickBot="1" x14ac:dyDescent="0.4">
      <c r="A5">
        <v>8</v>
      </c>
      <c r="B5" s="19">
        <v>43101</v>
      </c>
      <c r="C5">
        <v>78.3</v>
      </c>
      <c r="G5">
        <v>1</v>
      </c>
      <c r="H5">
        <v>2</v>
      </c>
      <c r="N5">
        <v>1</v>
      </c>
      <c r="O5">
        <v>2</v>
      </c>
    </row>
    <row r="6" spans="1:17" x14ac:dyDescent="0.35">
      <c r="A6">
        <v>7</v>
      </c>
      <c r="B6" s="19">
        <v>43466</v>
      </c>
      <c r="C6">
        <v>79.2</v>
      </c>
      <c r="E6" s="29" t="s">
        <v>1</v>
      </c>
      <c r="F6" s="30" t="s">
        <v>41</v>
      </c>
      <c r="G6" s="30" t="s">
        <v>71</v>
      </c>
      <c r="H6" s="30" t="s">
        <v>72</v>
      </c>
      <c r="I6" s="31" t="s">
        <v>73</v>
      </c>
      <c r="J6" s="32" t="s">
        <v>74</v>
      </c>
      <c r="L6" s="29" t="s">
        <v>1</v>
      </c>
      <c r="M6" s="30" t="s">
        <v>41</v>
      </c>
      <c r="N6" s="30" t="s">
        <v>71</v>
      </c>
      <c r="O6" s="30" t="s">
        <v>72</v>
      </c>
      <c r="P6" s="31" t="s">
        <v>73</v>
      </c>
      <c r="Q6" s="32" t="s">
        <v>74</v>
      </c>
    </row>
    <row r="7" spans="1:17" x14ac:dyDescent="0.35">
      <c r="A7">
        <v>6</v>
      </c>
      <c r="B7" s="19">
        <v>43831</v>
      </c>
      <c r="C7">
        <v>80.2</v>
      </c>
      <c r="E7" s="33">
        <f>+Portada!BO22</f>
        <v>0</v>
      </c>
      <c r="F7" s="34">
        <f>+F3*G4</f>
        <v>2163704.8141799998</v>
      </c>
      <c r="G7" s="24">
        <f>+Portada!BO24</f>
        <v>0</v>
      </c>
      <c r="H7">
        <v>0</v>
      </c>
      <c r="I7" s="35">
        <f>+VLOOKUP(E7,$E$7:$H$7,J7,FALSE)</f>
        <v>0</v>
      </c>
      <c r="J7" s="36">
        <f>+IF(E7&gt;=65,4,3)</f>
        <v>3</v>
      </c>
      <c r="L7" s="33">
        <f>+Portada!BO22</f>
        <v>0</v>
      </c>
      <c r="M7" s="34">
        <f>+F3*G4</f>
        <v>2163704.8141799998</v>
      </c>
      <c r="N7" s="24">
        <f>+Portada!BO24</f>
        <v>0</v>
      </c>
      <c r="O7">
        <v>0</v>
      </c>
      <c r="P7" s="35">
        <f>+VLOOKUP(L7,$L$7:$O$7,Q7,FALSE)</f>
        <v>0</v>
      </c>
      <c r="Q7" s="36">
        <f>+IF(L7&gt;=60,4,3)</f>
        <v>3</v>
      </c>
    </row>
    <row r="8" spans="1:17" x14ac:dyDescent="0.35">
      <c r="A8">
        <v>5</v>
      </c>
      <c r="B8" s="19">
        <v>44197</v>
      </c>
      <c r="C8">
        <v>81.599999999999994</v>
      </c>
      <c r="E8" s="33"/>
      <c r="J8" s="36"/>
      <c r="L8" s="33"/>
      <c r="Q8" s="36"/>
    </row>
    <row r="9" spans="1:17" x14ac:dyDescent="0.35">
      <c r="A9">
        <v>4</v>
      </c>
      <c r="B9" s="19">
        <v>44562</v>
      </c>
      <c r="C9">
        <v>81.599999999999994</v>
      </c>
      <c r="E9" s="33"/>
      <c r="H9" t="s">
        <v>77</v>
      </c>
      <c r="I9" t="e">
        <f>+'Motor I'!C51</f>
        <v>#N/A</v>
      </c>
      <c r="J9" s="36"/>
      <c r="L9" s="33"/>
      <c r="O9" t="s">
        <v>77</v>
      </c>
      <c r="P9" t="e">
        <f>+'Motor I'!C51</f>
        <v>#N/A</v>
      </c>
      <c r="Q9" s="36"/>
    </row>
    <row r="10" spans="1:17" x14ac:dyDescent="0.35">
      <c r="A10">
        <v>3</v>
      </c>
      <c r="B10" s="19">
        <v>44927</v>
      </c>
      <c r="C10">
        <v>81.599999999999994</v>
      </c>
      <c r="E10" s="33"/>
      <c r="H10" t="s">
        <v>76</v>
      </c>
      <c r="I10" s="34" t="e">
        <f>+I9*I7</f>
        <v>#N/A</v>
      </c>
      <c r="J10" s="36"/>
      <c r="L10" s="33"/>
      <c r="O10" t="s">
        <v>76</v>
      </c>
      <c r="P10" s="34" t="e">
        <f>+P9*P7</f>
        <v>#N/A</v>
      </c>
      <c r="Q10" s="36"/>
    </row>
    <row r="11" spans="1:17" ht="15" thickBot="1" x14ac:dyDescent="0.4">
      <c r="A11">
        <v>2</v>
      </c>
      <c r="B11" s="19">
        <v>45292</v>
      </c>
      <c r="C11">
        <v>84.3</v>
      </c>
      <c r="E11" s="37"/>
      <c r="F11" s="38"/>
      <c r="G11" s="38"/>
      <c r="H11" s="38" t="s">
        <v>75</v>
      </c>
      <c r="I11" s="39" t="e">
        <f>Portada!EK25-I10</f>
        <v>#N/A</v>
      </c>
      <c r="J11" s="40"/>
      <c r="L11" s="37"/>
      <c r="M11" s="38"/>
      <c r="N11" s="38"/>
      <c r="O11" s="38" t="s">
        <v>75</v>
      </c>
      <c r="P11" s="39" t="e">
        <f>Portada!EK25-P10</f>
        <v>#N/A</v>
      </c>
      <c r="Q11" s="40"/>
    </row>
    <row r="12" spans="1:17" x14ac:dyDescent="0.35">
      <c r="A12">
        <v>1</v>
      </c>
      <c r="B12" s="19">
        <v>45658</v>
      </c>
      <c r="C12">
        <v>87.8</v>
      </c>
    </row>
    <row r="14" spans="1:17" x14ac:dyDescent="0.35">
      <c r="E14" t="s">
        <v>79</v>
      </c>
      <c r="F14" s="24" t="e">
        <f>+I10</f>
        <v>#N/A</v>
      </c>
      <c r="G14" t="e">
        <f>+IF('Topes imponibles'!I11&lt;0,"No cumple requisitos para pensión.","Cumple requisitos de pensión.")</f>
        <v>#N/A</v>
      </c>
    </row>
    <row r="15" spans="1:17" x14ac:dyDescent="0.35">
      <c r="E15" t="s">
        <v>80</v>
      </c>
      <c r="F15" s="24" t="e">
        <f>+P10</f>
        <v>#N/A</v>
      </c>
      <c r="G15" t="e">
        <f>+IF('Topes imponibles'!P11&lt;0,"No cumple requisitos para pensión.","Cumple requisitos de pensión.")</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vt:i4>
      </vt:variant>
    </vt:vector>
  </HeadingPairs>
  <TitlesOfParts>
    <vt:vector size="20" baseType="lpstr">
      <vt:lpstr>Portada</vt:lpstr>
      <vt:lpstr>Paso 2B solicitado por cliente</vt:lpstr>
      <vt:lpstr>1.CNU</vt:lpstr>
      <vt:lpstr>3,41</vt:lpstr>
      <vt:lpstr>3,54 v2</vt:lpstr>
      <vt:lpstr>3,54</vt:lpstr>
      <vt:lpstr>3,43 t1</vt:lpstr>
      <vt:lpstr>3,43</vt:lpstr>
      <vt:lpstr>4,14</vt:lpstr>
      <vt:lpstr>4,41</vt:lpstr>
      <vt:lpstr>2.VF</vt:lpstr>
      <vt:lpstr>3.Ahorro</vt:lpstr>
      <vt:lpstr>Motor I</vt:lpstr>
      <vt:lpstr>Pension proyectada I</vt:lpstr>
      <vt:lpstr>Motor II</vt:lpstr>
      <vt:lpstr>Pension proyectada II</vt:lpstr>
      <vt:lpstr>Motor III</vt:lpstr>
      <vt:lpstr>Pension proyectada III</vt:lpstr>
      <vt:lpstr>Topes imponibles</vt:lpstr>
      <vt:lpstr>Portada!Área_de_impresión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Paredes Cadiz Nicolas</dc:creator>
  <cp:lastModifiedBy>Francisco Javier Valencia Aguila</cp:lastModifiedBy>
  <cp:lastPrinted>2025-09-01T16:28:15Z</cp:lastPrinted>
  <dcterms:created xsi:type="dcterms:W3CDTF">2023-10-04T18:03:14Z</dcterms:created>
  <dcterms:modified xsi:type="dcterms:W3CDTF">2025-12-15T12:55:20Z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797454-993d-4cd5-a0e9-6211b27798e4_Enabled">
    <vt:lpwstr>true</vt:lpwstr>
  </property>
  <property fmtid="{D5CDD505-2E9C-101B-9397-08002B2CF9AE}" pid="3" name="MSIP_Label_db797454-993d-4cd5-a0e9-6211b27798e4_SetDate">
    <vt:lpwstr>2023-10-04T18:34:26Z</vt:lpwstr>
  </property>
  <property fmtid="{D5CDD505-2E9C-101B-9397-08002B2CF9AE}" pid="4" name="MSIP_Label_db797454-993d-4cd5-a0e9-6211b27798e4_Method">
    <vt:lpwstr>Standard</vt:lpwstr>
  </property>
  <property fmtid="{D5CDD505-2E9C-101B-9397-08002B2CF9AE}" pid="5" name="MSIP_Label_db797454-993d-4cd5-a0e9-6211b27798e4_Name">
    <vt:lpwstr>Uso Interno</vt:lpwstr>
  </property>
  <property fmtid="{D5CDD505-2E9C-101B-9397-08002B2CF9AE}" pid="6" name="MSIP_Label_db797454-993d-4cd5-a0e9-6211b27798e4_SiteId">
    <vt:lpwstr>3f1b71d2-6eae-431f-adc8-f234f4d12e60</vt:lpwstr>
  </property>
  <property fmtid="{D5CDD505-2E9C-101B-9397-08002B2CF9AE}" pid="7" name="MSIP_Label_db797454-993d-4cd5-a0e9-6211b27798e4_ActionId">
    <vt:lpwstr>208211f8-aaa6-48d3-928c-299ca5efa768</vt:lpwstr>
  </property>
  <property fmtid="{D5CDD505-2E9C-101B-9397-08002B2CF9AE}" pid="8" name="MSIP_Label_db797454-993d-4cd5-a0e9-6211b27798e4_ContentBits">
    <vt:lpwstr>2</vt:lpwstr>
  </property>
</Properties>
</file>