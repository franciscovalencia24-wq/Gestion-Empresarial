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018986/Desktop/SImuladores /Junio/"/>
    </mc:Choice>
  </mc:AlternateContent>
  <xr:revisionPtr revIDLastSave="0" documentId="13_ncr:1_{8CDFBAD3-53E9-574C-8429-D5B895609F09}" xr6:coauthVersionLast="47" xr6:coauthVersionMax="47" xr10:uidLastSave="{00000000-0000-0000-0000-000000000000}"/>
  <workbookProtection workbookAlgorithmName="SHA-512" workbookHashValue="vuL7sjBNjymXN+c2dxnNik/gLWgDGDd9cZwG9VnUH5LsETfTCvL8JEByVgSkD5PLu+jipHTjrOrKRYVfRNHVAA==" workbookSaltValue="1GtN9/hjv3ZqJ02UhUUt0g==" workbookSpinCount="100000" lockStructure="1"/>
  <bookViews>
    <workbookView xWindow="18280" yWindow="-24780" windowWidth="29400" windowHeight="17360" activeTab="1" xr2:uid="{00000000-000D-0000-FFFF-FFFF00000000}"/>
  </bookViews>
  <sheets>
    <sheet name="UF" sheetId="1" r:id="rId1"/>
    <sheet name="$" sheetId="2" r:id="rId2"/>
    <sheet name="UFF" sheetId="4" state="hidden" r:id="rId3"/>
    <sheet name="Control de Cambios" sheetId="3" state="hidden" r:id="rId4"/>
  </sheets>
  <definedNames>
    <definedName name="_xlnm.Print_Area" localSheetId="1">'$'!$D$6:$M$64</definedName>
    <definedName name="_xlnm.Print_Area" localSheetId="0">UF!$F$5:$O$56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2" l="1"/>
  <c r="N9" i="1"/>
  <c r="I60" i="1"/>
  <c r="H58" i="1"/>
  <c r="K6" i="2"/>
  <c r="F66" i="2"/>
  <c r="G16" i="2"/>
  <c r="K41" i="2"/>
  <c r="J47" i="2"/>
  <c r="L55" i="2"/>
  <c r="K51" i="2"/>
  <c r="K48" i="2"/>
  <c r="H53" i="2"/>
  <c r="K22" i="2"/>
  <c r="I52" i="2"/>
  <c r="H41" i="2"/>
  <c r="L19" i="2"/>
  <c r="I47" i="2"/>
  <c r="K28" i="2"/>
  <c r="K29" i="2"/>
  <c r="K34" i="2"/>
  <c r="J22" i="2"/>
  <c r="J41" i="2"/>
  <c r="L18" i="2"/>
  <c r="H25" i="2"/>
  <c r="I18" i="2"/>
  <c r="I45" i="2"/>
  <c r="L27" i="2"/>
  <c r="I42" i="2"/>
  <c r="H28" i="2"/>
  <c r="G28" i="2"/>
  <c r="G36" i="2"/>
  <c r="G37" i="2"/>
  <c r="J27" i="2"/>
  <c r="J17" i="2"/>
  <c r="J28" i="2"/>
  <c r="J54" i="2"/>
  <c r="G49" i="2"/>
  <c r="L24" i="2"/>
  <c r="I50" i="2"/>
  <c r="L44" i="2"/>
  <c r="H27" i="2"/>
  <c r="J40" i="2"/>
  <c r="L54" i="2"/>
  <c r="G25" i="2"/>
  <c r="H36" i="2"/>
  <c r="G22" i="2"/>
  <c r="H48" i="2"/>
  <c r="J53" i="2"/>
  <c r="K21" i="2"/>
  <c r="I39" i="2"/>
  <c r="G30" i="2"/>
  <c r="I16" i="2"/>
  <c r="H18" i="2"/>
  <c r="G44" i="2"/>
  <c r="K26" i="2"/>
  <c r="K33" i="2"/>
  <c r="I44" i="2"/>
  <c r="H52" i="2"/>
  <c r="J19" i="2"/>
  <c r="K25" i="2"/>
  <c r="J43" i="2"/>
  <c r="H19" i="2"/>
  <c r="J51" i="2"/>
  <c r="G41" i="2"/>
  <c r="J38" i="2"/>
  <c r="J49" i="2"/>
  <c r="J23" i="2"/>
  <c r="K32" i="2"/>
  <c r="J20" i="2"/>
  <c r="H26" i="2"/>
  <c r="L49" i="2"/>
  <c r="G47" i="2"/>
  <c r="J31" i="2"/>
  <c r="K40" i="2"/>
  <c r="K30" i="2"/>
  <c r="I33" i="2"/>
  <c r="G43" i="2"/>
  <c r="J55" i="2"/>
  <c r="H37" i="2"/>
  <c r="L39" i="2"/>
  <c r="I46" i="2"/>
  <c r="K31" i="2"/>
  <c r="G33" i="2"/>
  <c r="L52" i="2"/>
  <c r="H32" i="2"/>
  <c r="L42" i="2"/>
  <c r="H29" i="2"/>
  <c r="L21" i="2"/>
  <c r="G54" i="2"/>
  <c r="L33" i="2"/>
  <c r="I53" i="2"/>
  <c r="I29" i="2"/>
  <c r="J46" i="2"/>
  <c r="K46" i="2"/>
  <c r="I30" i="2"/>
  <c r="I49" i="2"/>
  <c r="G20" i="2"/>
  <c r="I25" i="2"/>
  <c r="L41" i="2"/>
  <c r="I51" i="2"/>
  <c r="I36" i="2"/>
  <c r="L35" i="2"/>
  <c r="L34" i="2"/>
  <c r="J25" i="2"/>
  <c r="H46" i="2"/>
  <c r="K39" i="2"/>
  <c r="H47" i="2"/>
  <c r="G45" i="2"/>
  <c r="J48" i="2"/>
  <c r="K36" i="2"/>
  <c r="K42" i="2"/>
  <c r="J50" i="2"/>
  <c r="L53" i="2"/>
  <c r="J42" i="2"/>
  <c r="K54" i="2"/>
  <c r="L46" i="2"/>
  <c r="J45" i="2"/>
  <c r="H24" i="2"/>
  <c r="H49" i="2"/>
  <c r="J24" i="2"/>
  <c r="H30" i="2"/>
  <c r="H31" i="2"/>
  <c r="K19" i="2"/>
  <c r="L25" i="2"/>
  <c r="H54" i="2"/>
  <c r="L37" i="2"/>
  <c r="L47" i="2"/>
  <c r="G29" i="2"/>
  <c r="L30" i="2"/>
  <c r="L20" i="2"/>
  <c r="J44" i="2"/>
  <c r="L31" i="2"/>
  <c r="J21" i="2"/>
  <c r="H43" i="2"/>
  <c r="I20" i="2"/>
  <c r="J32" i="2"/>
  <c r="H50" i="2"/>
  <c r="I32" i="2"/>
  <c r="I27" i="2"/>
  <c r="K23" i="2"/>
  <c r="L28" i="2"/>
  <c r="H20" i="2"/>
  <c r="L23" i="2"/>
  <c r="K50" i="2"/>
  <c r="L45" i="2"/>
  <c r="G24" i="2"/>
  <c r="L32" i="2"/>
  <c r="G52" i="2"/>
  <c r="J37" i="2"/>
  <c r="I31" i="2"/>
  <c r="K45" i="2"/>
  <c r="K44" i="2"/>
  <c r="G38" i="2"/>
  <c r="K17" i="2"/>
  <c r="L29" i="2"/>
  <c r="K24" i="2"/>
  <c r="H55" i="2"/>
  <c r="L22" i="2"/>
  <c r="H42" i="2"/>
  <c r="J18" i="2"/>
  <c r="L51" i="2"/>
  <c r="G50" i="2"/>
  <c r="H38" i="2"/>
  <c r="G35" i="2"/>
  <c r="I40" i="2"/>
  <c r="K18" i="2"/>
  <c r="G27" i="2"/>
  <c r="K37" i="2"/>
  <c r="K47" i="2"/>
  <c r="L40" i="2"/>
  <c r="J30" i="2"/>
  <c r="I23" i="2"/>
  <c r="I48" i="2"/>
  <c r="J39" i="2"/>
  <c r="L26" i="2"/>
  <c r="I24" i="2"/>
  <c r="H34" i="2"/>
  <c r="I43" i="2"/>
  <c r="G21" i="2"/>
  <c r="H17" i="2"/>
  <c r="J26" i="2"/>
  <c r="L16" i="2"/>
  <c r="I37" i="2"/>
  <c r="G46" i="2"/>
  <c r="G55" i="2"/>
  <c r="I38" i="2"/>
  <c r="H51" i="2"/>
  <c r="L48" i="2"/>
  <c r="G19" i="2"/>
  <c r="K53" i="2"/>
  <c r="G42" i="2"/>
  <c r="J35" i="2"/>
  <c r="H45" i="2"/>
  <c r="K55" i="2"/>
  <c r="K52" i="2"/>
  <c r="L36" i="2"/>
  <c r="G31" i="2"/>
  <c r="H21" i="2"/>
  <c r="K49" i="2"/>
  <c r="G23" i="2"/>
  <c r="H22" i="2"/>
  <c r="G53" i="2"/>
  <c r="K43" i="2"/>
  <c r="K38" i="2"/>
  <c r="G48" i="2"/>
  <c r="I34" i="2"/>
  <c r="I41" i="2"/>
  <c r="J36" i="2"/>
  <c r="G40" i="2"/>
  <c r="H35" i="2"/>
  <c r="G26" i="2"/>
  <c r="L43" i="2"/>
  <c r="L50" i="2"/>
  <c r="G17" i="2"/>
  <c r="H39" i="2"/>
  <c r="G34" i="2"/>
  <c r="L17" i="2"/>
  <c r="J16" i="2"/>
  <c r="G39" i="2"/>
  <c r="G18" i="2"/>
  <c r="I54" i="2"/>
  <c r="H40" i="2"/>
  <c r="I21" i="2"/>
  <c r="G51" i="2"/>
  <c r="H33" i="2"/>
  <c r="I19" i="2"/>
  <c r="I28" i="2"/>
  <c r="I17" i="2"/>
  <c r="H23" i="2"/>
  <c r="J52" i="2"/>
  <c r="I55" i="2"/>
  <c r="K20" i="2"/>
  <c r="J34" i="2"/>
  <c r="K35" i="2"/>
  <c r="K27" i="2"/>
  <c r="I22" i="2"/>
  <c r="I35" i="2"/>
  <c r="J29" i="2"/>
  <c r="I26" i="2"/>
  <c r="J33" i="2"/>
  <c r="K16" i="2"/>
  <c r="G32" i="2"/>
  <c r="H44" i="2"/>
  <c r="L38" i="2"/>
  <c r="H16" i="2"/>
  <c r="J52" i="1"/>
  <c r="K17" i="1"/>
  <c r="N29" i="1"/>
  <c r="N16" i="1"/>
  <c r="K54" i="1"/>
  <c r="N18" i="1"/>
  <c r="K19" i="1"/>
  <c r="L39" i="1"/>
  <c r="I48" i="1"/>
  <c r="I51" i="1"/>
  <c r="J44" i="1"/>
  <c r="K26" i="1"/>
  <c r="L17" i="1"/>
  <c r="L27" i="1"/>
  <c r="J36" i="1"/>
  <c r="I32" i="1"/>
  <c r="K46" i="1"/>
  <c r="K51" i="1"/>
  <c r="L33" i="1"/>
  <c r="N33" i="1"/>
  <c r="J16" i="1"/>
  <c r="N28" i="1"/>
  <c r="L26" i="1"/>
  <c r="M22" i="1"/>
  <c r="J50" i="1"/>
  <c r="K42" i="1"/>
  <c r="J25" i="1"/>
  <c r="M39" i="1"/>
  <c r="L18" i="1"/>
  <c r="K18" i="1"/>
  <c r="L43" i="1"/>
  <c r="I22" i="1"/>
  <c r="K41" i="1"/>
  <c r="I45" i="1"/>
  <c r="J18" i="1"/>
  <c r="M20" i="1"/>
  <c r="N24" i="1"/>
  <c r="K39" i="1"/>
  <c r="L20" i="1"/>
  <c r="L31" i="1"/>
  <c r="J53" i="1"/>
  <c r="I29" i="1"/>
  <c r="J38" i="1"/>
  <c r="J15" i="1"/>
  <c r="K53" i="1"/>
  <c r="K24" i="1"/>
  <c r="I27" i="1"/>
  <c r="L21" i="1"/>
  <c r="I33" i="1"/>
  <c r="I23" i="1"/>
  <c r="M30" i="1"/>
  <c r="K23" i="1"/>
  <c r="L15" i="1"/>
  <c r="M33" i="1"/>
  <c r="N36" i="1"/>
  <c r="I30" i="1"/>
  <c r="L52" i="1"/>
  <c r="J19" i="1"/>
  <c r="M41" i="1"/>
  <c r="K52" i="1"/>
  <c r="L24" i="1"/>
  <c r="L40" i="1"/>
  <c r="M17" i="1"/>
  <c r="K40" i="1"/>
  <c r="N48" i="1"/>
  <c r="J23" i="1"/>
  <c r="J37" i="1"/>
  <c r="N50" i="1"/>
  <c r="K31" i="1"/>
  <c r="L22" i="1"/>
  <c r="K35" i="1"/>
  <c r="L25" i="1"/>
  <c r="I15" i="1"/>
  <c r="K50" i="1"/>
  <c r="J51" i="1"/>
  <c r="I42" i="1"/>
  <c r="I36" i="1"/>
  <c r="K49" i="1"/>
  <c r="M53" i="1"/>
  <c r="N20" i="1"/>
  <c r="L42" i="1"/>
  <c r="J47" i="1"/>
  <c r="I17" i="1"/>
  <c r="N26" i="1"/>
  <c r="N34" i="1"/>
  <c r="L34" i="1"/>
  <c r="L50" i="1"/>
  <c r="N30" i="1"/>
  <c r="M34" i="1"/>
  <c r="J54" i="1"/>
  <c r="M21" i="1"/>
  <c r="J42" i="1"/>
  <c r="N19" i="1"/>
  <c r="I44" i="1"/>
  <c r="K43" i="1"/>
  <c r="N47" i="1"/>
  <c r="L29" i="1"/>
  <c r="J39" i="1"/>
  <c r="N32" i="1"/>
  <c r="N31" i="1"/>
  <c r="M18" i="1"/>
  <c r="M45" i="1"/>
  <c r="L28" i="1"/>
  <c r="L35" i="1"/>
  <c r="I49" i="1"/>
  <c r="I40" i="1"/>
  <c r="M48" i="1"/>
  <c r="M23" i="1"/>
  <c r="M29" i="1"/>
  <c r="M40" i="1"/>
  <c r="M32" i="1"/>
  <c r="K22" i="1"/>
  <c r="K47" i="1"/>
  <c r="M49" i="1"/>
  <c r="I31" i="1"/>
  <c r="N38" i="1"/>
  <c r="N41" i="1"/>
  <c r="L45" i="1"/>
  <c r="K29" i="1"/>
  <c r="L37" i="1"/>
  <c r="I35" i="1"/>
  <c r="M51" i="1"/>
  <c r="M31" i="1"/>
  <c r="N27" i="1"/>
  <c r="J24" i="1"/>
  <c r="I52" i="1"/>
  <c r="K20" i="1"/>
  <c r="J46" i="1"/>
  <c r="N52" i="1"/>
  <c r="N39" i="1"/>
  <c r="L41" i="1"/>
  <c r="L16" i="1"/>
  <c r="L30" i="1"/>
  <c r="L51" i="1"/>
  <c r="M19" i="1"/>
  <c r="I37" i="1"/>
  <c r="I41" i="1"/>
  <c r="K44" i="1"/>
  <c r="I47" i="1"/>
  <c r="N43" i="1"/>
  <c r="N49" i="1"/>
  <c r="K37" i="1"/>
  <c r="J49" i="1"/>
  <c r="I38" i="1"/>
  <c r="K21" i="1"/>
  <c r="I26" i="1"/>
  <c r="M36" i="1"/>
  <c r="K36" i="1"/>
  <c r="L48" i="1"/>
  <c r="N53" i="1"/>
  <c r="K32" i="1"/>
  <c r="M47" i="1"/>
  <c r="N21" i="1"/>
  <c r="N44" i="1"/>
  <c r="J31" i="1"/>
  <c r="N22" i="1"/>
  <c r="K48" i="1"/>
  <c r="M44" i="1"/>
  <c r="J28" i="1"/>
  <c r="M52" i="1"/>
  <c r="M50" i="1"/>
  <c r="K45" i="1"/>
  <c r="N54" i="1"/>
  <c r="I43" i="1"/>
  <c r="L46" i="1"/>
  <c r="J35" i="1"/>
  <c r="L47" i="1"/>
  <c r="K34" i="1"/>
  <c r="M24" i="1"/>
  <c r="L49" i="1"/>
  <c r="N35" i="1"/>
  <c r="M35" i="1"/>
  <c r="J40" i="1"/>
  <c r="K38" i="1"/>
  <c r="N40" i="1"/>
  <c r="N15" i="1"/>
  <c r="J26" i="1"/>
  <c r="I21" i="1"/>
  <c r="N45" i="1"/>
  <c r="L23" i="1"/>
  <c r="I50" i="1"/>
  <c r="N51" i="1"/>
  <c r="J17" i="1"/>
  <c r="L36" i="1"/>
  <c r="I53" i="1"/>
  <c r="I16" i="1"/>
  <c r="L44" i="1"/>
  <c r="N37" i="1"/>
  <c r="M54" i="1"/>
  <c r="J27" i="1"/>
  <c r="K33" i="1"/>
  <c r="I54" i="1"/>
  <c r="M42" i="1"/>
  <c r="M38" i="1"/>
  <c r="J41" i="1"/>
  <c r="N23" i="1"/>
  <c r="K15" i="1"/>
  <c r="M37" i="1"/>
  <c r="K27" i="1"/>
  <c r="L54" i="1"/>
  <c r="K28" i="1"/>
  <c r="J45" i="1"/>
  <c r="M26" i="1"/>
  <c r="I34" i="1"/>
  <c r="N46" i="1"/>
  <c r="I19" i="1"/>
  <c r="I24" i="1"/>
  <c r="I25" i="1"/>
  <c r="J29" i="1"/>
  <c r="J22" i="1"/>
  <c r="J33" i="1"/>
  <c r="N17" i="1"/>
  <c r="N25" i="1"/>
  <c r="L38" i="1"/>
  <c r="M46" i="1"/>
  <c r="J32" i="1"/>
  <c r="I18" i="1"/>
  <c r="J43" i="1"/>
  <c r="J48" i="1"/>
  <c r="I28" i="1"/>
  <c r="M27" i="1"/>
  <c r="L32" i="1"/>
  <c r="J20" i="1"/>
  <c r="N42" i="1"/>
  <c r="M15" i="1"/>
  <c r="J34" i="1"/>
  <c r="I20" i="1"/>
  <c r="M16" i="1"/>
  <c r="L53" i="1"/>
  <c r="M43" i="1"/>
  <c r="K16" i="1"/>
  <c r="L19" i="1"/>
  <c r="M28" i="1"/>
  <c r="K30" i="1"/>
  <c r="I39" i="1"/>
  <c r="J21" i="1"/>
  <c r="I46" i="1"/>
  <c r="M25" i="1"/>
  <c r="K25" i="1"/>
  <c r="J30" i="1"/>
</calcChain>
</file>

<file path=xl/sharedStrings.xml><?xml version="1.0" encoding="utf-8"?>
<sst xmlns="http://schemas.openxmlformats.org/spreadsheetml/2006/main" count="42" uniqueCount="32">
  <si>
    <t>Complete las celdas de este color</t>
  </si>
  <si>
    <t>*Los simuladores son para uso exclusivo de Principal y/o intermediarios directos.</t>
  </si>
  <si>
    <t>Cuadro Ejemplo Plan Inversión Sistemático PAC</t>
  </si>
  <si>
    <t>Aporte Inicial UF</t>
  </si>
  <si>
    <t>Valor UF</t>
  </si>
  <si>
    <t xml:space="preserve">                Rentabilidad proyectada real anual</t>
  </si>
  <si>
    <t>DURACIÓN PAC</t>
  </si>
  <si>
    <t>INVERSIÓN MENSUAL DE UF:</t>
  </si>
  <si>
    <t>Años</t>
  </si>
  <si>
    <t>* Simulación de una inversión periódica mensual en base a rentabilidad supuesta real anual.</t>
  </si>
  <si>
    <t>Rentabilidad Mensual</t>
  </si>
  <si>
    <t>Tasa Anual</t>
  </si>
  <si>
    <t>Meses en un año</t>
  </si>
  <si>
    <t>Aporte Inicial $</t>
  </si>
  <si>
    <t xml:space="preserve">                Rentabilidad proyectada nominal anual de </t>
  </si>
  <si>
    <t>INVERSIÓN MENSUAL DE:</t>
  </si>
  <si>
    <t>* Simulación de una inversión periódica mensual en base a rentabilidad supuesta nominal anual</t>
  </si>
  <si>
    <t>Control de cambios por Camila Paniagua 05/12/2013</t>
  </si>
  <si>
    <t>1) En la rentabilidad proyectada en pesos se cambió la palabra real por nominal (hoja $ IJK11)</t>
  </si>
  <si>
    <t>Por Camila Paniagua 23-12-2013</t>
  </si>
  <si>
    <t>2) Se agregó un mensaje que dice "Actualizado hasta "mes" de "año"" en la fila 5 de la hoja UF y en la fila 6 de la hoja $ (Actualizar mes)</t>
  </si>
  <si>
    <t>Por Camila Paniagua 3/04/2014</t>
  </si>
  <si>
    <t>3) Se agregó un nuevo item de Aporte Inicial tanto en UF como en pesos ($) en las celdas I9:J9 de la hoja UF y en las celdas G10:H10 de la hoja $. Éste con su respectiva rentabilidad es agregado al acumulado de los aportes, es decir, se cambiaron las fórmulas de los aportes de VF($F$66;12*$D16;-$G$15) a ($H$10*((1+$F$66)^(12*$F16)))+(VF($F$66;12*$D16;-$G$15))</t>
  </si>
  <si>
    <t>Por Camila Paniagua 22/05/2014</t>
  </si>
  <si>
    <t>4) Se eliminó el lugar donde se ponía el sueldo bruto ya que no se utilizaba para nada (hoja UF I10:J10 y hoja $ G11:H11)</t>
  </si>
  <si>
    <t>UF</t>
  </si>
  <si>
    <t>Mes</t>
  </si>
  <si>
    <t>UTM</t>
  </si>
  <si>
    <t>Abril</t>
  </si>
  <si>
    <t xml:space="preserve">Junio </t>
  </si>
  <si>
    <t>Julio</t>
  </si>
  <si>
    <t>Actualizado a Julio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</si>
</sst>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0.0%"/>
    <numFmt numFmtId="167" formatCode="0.0000%"/>
    <numFmt numFmtId="168" formatCode="[$$-340A]\ #,##0;[Red]\-[$$-340A]\ #,##0"/>
    <numFmt numFmtId="169" formatCode="&quot;$&quot;\ #,##0"/>
    <numFmt numFmtId="170" formatCode="_-&quot;$&quot;\ * #,##0_-;\-&quot;$&quot;\ * #,##0_-;_-&quot;$&quot;\ * &quot;-&quot;??_-;_-@_-"/>
  </numFmts>
  <fonts count="3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56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4"/>
      <name val="Calibri"/>
      <family val="2"/>
    </font>
    <font>
      <b/>
      <sz val="10"/>
      <color theme="3"/>
      <name val="Arial"/>
      <family val="2"/>
    </font>
    <font>
      <b/>
      <sz val="12"/>
      <color theme="3"/>
      <name val="Arial"/>
      <family val="2"/>
    </font>
    <font>
      <b/>
      <sz val="12"/>
      <color rgb="FF003580"/>
      <name val="Arial"/>
      <family val="2"/>
    </font>
    <font>
      <b/>
      <sz val="12"/>
      <color rgb="FF0091DA"/>
      <name val="Arial"/>
      <family val="2"/>
    </font>
    <font>
      <sz val="12"/>
      <color rgb="FF0091DA"/>
      <name val="Arial"/>
      <family val="2"/>
    </font>
    <font>
      <sz val="10"/>
      <color theme="1"/>
      <name val="Arial"/>
      <family val="2"/>
    </font>
    <font>
      <b/>
      <u/>
      <sz val="14"/>
      <color theme="3"/>
      <name val="Arial"/>
      <family val="2"/>
    </font>
    <font>
      <b/>
      <sz val="14"/>
      <color theme="3"/>
      <name val="Arial"/>
      <family val="2"/>
    </font>
    <font>
      <b/>
      <u/>
      <sz val="12"/>
      <color rgb="FF0091DA"/>
      <name val="Arial"/>
      <family val="2"/>
    </font>
    <font>
      <sz val="10"/>
      <color theme="0"/>
      <name val="Arial"/>
      <family val="2"/>
    </font>
    <font>
      <b/>
      <sz val="10"/>
      <color rgb="FF003580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0"/>
      <color theme="0"/>
      <name val="Arial"/>
      <family val="2"/>
    </font>
    <font>
      <sz val="10"/>
      <color rgb="FF003580"/>
      <name val="Arial"/>
      <family val="2"/>
    </font>
    <font>
      <b/>
      <u/>
      <sz val="12"/>
      <color rgb="FF003580"/>
      <name val="Arial"/>
      <family val="2"/>
    </font>
    <font>
      <b/>
      <u/>
      <sz val="14"/>
      <color rgb="FF003580"/>
      <name val="Arial"/>
      <family val="2"/>
    </font>
    <font>
      <b/>
      <sz val="14"/>
      <color rgb="FF003580"/>
      <name val="Arial"/>
      <family val="2"/>
    </font>
    <font>
      <b/>
      <sz val="10"/>
      <color rgb="FF0091DA"/>
      <name val="Arial"/>
      <family val="2"/>
    </font>
    <font>
      <sz val="8"/>
      <color theme="3"/>
      <name val="Arial"/>
      <family val="2"/>
    </font>
    <font>
      <b/>
      <u/>
      <sz val="14"/>
      <color rgb="FF0091DA"/>
      <name val="Arial"/>
      <family val="2"/>
    </font>
    <font>
      <sz val="9"/>
      <color rgb="FF0091DA"/>
      <name val="Arial"/>
      <family val="2"/>
    </font>
    <font>
      <sz val="11"/>
      <color rgb="FF706F6F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EC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91DA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111">
    <xf numFmtId="0" fontId="0" fillId="0" borderId="0" xfId="0"/>
    <xf numFmtId="0" fontId="2" fillId="2" borderId="0" xfId="0" applyFont="1" applyFill="1"/>
    <xf numFmtId="0" fontId="8" fillId="2" borderId="0" xfId="0" applyFont="1" applyFill="1" applyAlignment="1" applyProtection="1">
      <alignment horizontal="left"/>
      <protection hidden="1"/>
    </xf>
    <xf numFmtId="166" fontId="3" fillId="2" borderId="0" xfId="0" applyNumberFormat="1" applyFont="1" applyFill="1" applyProtection="1">
      <protection hidden="1"/>
    </xf>
    <xf numFmtId="0" fontId="3" fillId="2" borderId="0" xfId="0" applyFont="1" applyFill="1" applyProtection="1">
      <protection hidden="1"/>
    </xf>
    <xf numFmtId="14" fontId="9" fillId="2" borderId="0" xfId="1" applyNumberFormat="1" applyFont="1" applyFill="1" applyBorder="1" applyAlignment="1" applyProtection="1">
      <alignment horizontal="center"/>
      <protection hidden="1"/>
    </xf>
    <xf numFmtId="0" fontId="0" fillId="2" borderId="0" xfId="0" applyFill="1"/>
    <xf numFmtId="0" fontId="10" fillId="3" borderId="1" xfId="1" applyNumberFormat="1" applyFont="1" applyFill="1" applyBorder="1" applyAlignment="1" applyProtection="1">
      <alignment horizontal="center" vertical="center" wrapText="1"/>
      <protection locked="0"/>
    </xf>
    <xf numFmtId="166" fontId="11" fillId="3" borderId="1" xfId="0" applyNumberFormat="1" applyFont="1" applyFill="1" applyBorder="1" applyAlignment="1" applyProtection="1">
      <alignment horizontal="center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4" fontId="12" fillId="4" borderId="0" xfId="0" applyNumberFormat="1" applyFont="1" applyFill="1" applyAlignment="1" applyProtection="1">
      <alignment horizontal="center" vertical="center" wrapText="1"/>
      <protection hidden="1"/>
    </xf>
    <xf numFmtId="4" fontId="12" fillId="4" borderId="2" xfId="0" applyNumberFormat="1" applyFont="1" applyFill="1" applyBorder="1" applyAlignment="1" applyProtection="1">
      <alignment horizontal="center" vertical="center" wrapText="1"/>
      <protection hidden="1"/>
    </xf>
    <xf numFmtId="4" fontId="12" fillId="2" borderId="0" xfId="0" applyNumberFormat="1" applyFont="1" applyFill="1" applyAlignment="1" applyProtection="1">
      <alignment horizontal="center" vertical="center" wrapText="1"/>
      <protection hidden="1"/>
    </xf>
    <xf numFmtId="4" fontId="12" fillId="2" borderId="3" xfId="0" applyNumberFormat="1" applyFont="1" applyFill="1" applyBorder="1" applyAlignment="1" applyProtection="1">
      <alignment horizontal="center" vertical="center" wrapText="1"/>
      <protection hidden="1"/>
    </xf>
    <xf numFmtId="4" fontId="12" fillId="4" borderId="3" xfId="0" applyNumberFormat="1" applyFont="1" applyFill="1" applyBorder="1" applyAlignment="1" applyProtection="1">
      <alignment horizontal="center" vertical="center" wrapText="1"/>
      <protection hidden="1"/>
    </xf>
    <xf numFmtId="4" fontId="12" fillId="2" borderId="4" xfId="0" applyNumberFormat="1" applyFont="1" applyFill="1" applyBorder="1" applyAlignment="1" applyProtection="1">
      <alignment horizontal="center" vertical="center" wrapText="1"/>
      <protection hidden="1"/>
    </xf>
    <xf numFmtId="4" fontId="12" fillId="2" borderId="5" xfId="0" applyNumberFormat="1" applyFont="1" applyFill="1" applyBorder="1" applyAlignment="1" applyProtection="1">
      <alignment horizontal="center" vertical="center" wrapText="1"/>
      <protection hidden="1"/>
    </xf>
    <xf numFmtId="170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169" fontId="12" fillId="4" borderId="6" xfId="0" applyNumberFormat="1" applyFont="1" applyFill="1" applyBorder="1" applyAlignment="1" applyProtection="1">
      <alignment horizontal="center" vertical="center" wrapText="1"/>
      <protection hidden="1"/>
    </xf>
    <xf numFmtId="169" fontId="12" fillId="4" borderId="2" xfId="0" applyNumberFormat="1" applyFont="1" applyFill="1" applyBorder="1" applyAlignment="1" applyProtection="1">
      <alignment horizontal="center" vertical="center" wrapText="1"/>
      <protection hidden="1"/>
    </xf>
    <xf numFmtId="169" fontId="12" fillId="2" borderId="0" xfId="0" applyNumberFormat="1" applyFont="1" applyFill="1" applyAlignment="1" applyProtection="1">
      <alignment horizontal="center" vertical="center" wrapText="1"/>
      <protection hidden="1"/>
    </xf>
    <xf numFmtId="169" fontId="12" fillId="2" borderId="3" xfId="0" applyNumberFormat="1" applyFont="1" applyFill="1" applyBorder="1" applyAlignment="1" applyProtection="1">
      <alignment horizontal="center" vertical="center" wrapText="1"/>
      <protection hidden="1"/>
    </xf>
    <xf numFmtId="169" fontId="12" fillId="4" borderId="0" xfId="0" applyNumberFormat="1" applyFont="1" applyFill="1" applyAlignment="1" applyProtection="1">
      <alignment horizontal="center" vertical="center" wrapText="1"/>
      <protection hidden="1"/>
    </xf>
    <xf numFmtId="169" fontId="12" fillId="4" borderId="3" xfId="0" applyNumberFormat="1" applyFont="1" applyFill="1" applyBorder="1" applyAlignment="1" applyProtection="1">
      <alignment horizontal="center" vertical="center" wrapText="1"/>
      <protection hidden="1"/>
    </xf>
    <xf numFmtId="169" fontId="12" fillId="2" borderId="4" xfId="0" applyNumberFormat="1" applyFont="1" applyFill="1" applyBorder="1" applyAlignment="1" applyProtection="1">
      <alignment horizontal="center" vertical="center" wrapText="1"/>
      <protection hidden="1"/>
    </xf>
    <xf numFmtId="169" fontId="12" fillId="2" borderId="5" xfId="0" applyNumberFormat="1" applyFont="1" applyFill="1" applyBorder="1" applyAlignment="1" applyProtection="1">
      <alignment horizontal="center" vertical="center" wrapText="1"/>
      <protection hidden="1"/>
    </xf>
    <xf numFmtId="168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Protection="1">
      <protection hidden="1"/>
    </xf>
    <xf numFmtId="0" fontId="13" fillId="2" borderId="0" xfId="0" applyFont="1" applyFill="1" applyProtection="1">
      <protection hidden="1"/>
    </xf>
    <xf numFmtId="0" fontId="7" fillId="0" borderId="0" xfId="0" applyFont="1" applyProtection="1">
      <protection hidden="1"/>
    </xf>
    <xf numFmtId="0" fontId="2" fillId="2" borderId="7" xfId="0" applyFont="1" applyFill="1" applyBorder="1" applyProtection="1">
      <protection hidden="1"/>
    </xf>
    <xf numFmtId="0" fontId="2" fillId="2" borderId="8" xfId="0" applyFont="1" applyFill="1" applyBorder="1" applyProtection="1">
      <protection hidden="1"/>
    </xf>
    <xf numFmtId="0" fontId="2" fillId="2" borderId="9" xfId="0" applyFont="1" applyFill="1" applyBorder="1" applyProtection="1">
      <protection hidden="1"/>
    </xf>
    <xf numFmtId="0" fontId="14" fillId="2" borderId="0" xfId="0" applyFont="1" applyFill="1" applyProtection="1">
      <protection hidden="1"/>
    </xf>
    <xf numFmtId="0" fontId="2" fillId="2" borderId="10" xfId="0" applyFont="1" applyFill="1" applyBorder="1" applyProtection="1">
      <protection hidden="1"/>
    </xf>
    <xf numFmtId="0" fontId="15" fillId="2" borderId="0" xfId="0" applyFont="1" applyFill="1" applyProtection="1">
      <protection hidden="1"/>
    </xf>
    <xf numFmtId="0" fontId="15" fillId="0" borderId="0" xfId="0" applyFont="1" applyProtection="1">
      <protection hidden="1"/>
    </xf>
    <xf numFmtId="0" fontId="11" fillId="2" borderId="0" xfId="0" applyFont="1" applyFill="1" applyAlignment="1" applyProtection="1">
      <alignment horizontal="right"/>
      <protection hidden="1"/>
    </xf>
    <xf numFmtId="0" fontId="16" fillId="2" borderId="0" xfId="0" applyFont="1" applyFill="1" applyProtection="1">
      <protection hidden="1"/>
    </xf>
    <xf numFmtId="0" fontId="0" fillId="0" borderId="0" xfId="0" applyProtection="1">
      <protection hidden="1"/>
    </xf>
    <xf numFmtId="0" fontId="10" fillId="2" borderId="0" xfId="0" applyFont="1" applyFill="1" applyAlignment="1" applyProtection="1">
      <alignment horizontal="right"/>
      <protection hidden="1"/>
    </xf>
    <xf numFmtId="0" fontId="17" fillId="2" borderId="0" xfId="0" applyFont="1" applyFill="1" applyProtection="1">
      <protection hidden="1"/>
    </xf>
    <xf numFmtId="0" fontId="4" fillId="2" borderId="0" xfId="0" applyFont="1" applyFill="1" applyProtection="1">
      <protection hidden="1"/>
    </xf>
    <xf numFmtId="166" fontId="17" fillId="2" borderId="0" xfId="0" applyNumberFormat="1" applyFont="1" applyFill="1" applyProtection="1">
      <protection hidden="1"/>
    </xf>
    <xf numFmtId="0" fontId="11" fillId="2" borderId="11" xfId="0" applyFont="1" applyFill="1" applyBorder="1" applyAlignment="1" applyProtection="1">
      <alignment vertical="center" wrapText="1"/>
      <protection hidden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Protection="1">
      <protection hidden="1"/>
    </xf>
    <xf numFmtId="0" fontId="11" fillId="4" borderId="12" xfId="0" applyFont="1" applyFill="1" applyBorder="1" applyAlignment="1" applyProtection="1">
      <alignment horizontal="center" vertical="center" wrapText="1"/>
      <protection hidden="1"/>
    </xf>
    <xf numFmtId="0" fontId="11" fillId="2" borderId="12" xfId="0" applyFont="1" applyFill="1" applyBorder="1" applyAlignment="1" applyProtection="1">
      <alignment horizontal="center" vertical="center" wrapText="1"/>
      <protection hidden="1"/>
    </xf>
    <xf numFmtId="164" fontId="2" fillId="2" borderId="0" xfId="0" applyNumberFormat="1" applyFont="1" applyFill="1" applyProtection="1">
      <protection hidden="1"/>
    </xf>
    <xf numFmtId="4" fontId="2" fillId="2" borderId="0" xfId="0" applyNumberFormat="1" applyFont="1" applyFill="1" applyProtection="1">
      <protection hidden="1"/>
    </xf>
    <xf numFmtId="0" fontId="11" fillId="2" borderId="13" xfId="0" applyFont="1" applyFill="1" applyBorder="1" applyAlignment="1" applyProtection="1">
      <alignment horizontal="center" vertical="center" wrapText="1"/>
      <protection hidden="1"/>
    </xf>
    <xf numFmtId="0" fontId="2" fillId="2" borderId="14" xfId="0" applyFont="1" applyFill="1" applyBorder="1" applyProtection="1">
      <protection hidden="1"/>
    </xf>
    <xf numFmtId="0" fontId="2" fillId="2" borderId="15" xfId="0" applyFont="1" applyFill="1" applyBorder="1" applyProtection="1">
      <protection hidden="1"/>
    </xf>
    <xf numFmtId="0" fontId="2" fillId="2" borderId="16" xfId="0" applyFont="1" applyFill="1" applyBorder="1" applyProtection="1">
      <protection hidden="1"/>
    </xf>
    <xf numFmtId="0" fontId="18" fillId="2" borderId="0" xfId="0" applyFont="1" applyFill="1" applyProtection="1">
      <protection hidden="1"/>
    </xf>
    <xf numFmtId="0" fontId="19" fillId="2" borderId="0" xfId="0" applyFont="1" applyFill="1" applyProtection="1">
      <protection hidden="1"/>
    </xf>
    <xf numFmtId="0" fontId="11" fillId="4" borderId="17" xfId="0" applyFont="1" applyFill="1" applyBorder="1" applyAlignment="1" applyProtection="1">
      <alignment horizontal="center" vertical="center" wrapText="1"/>
      <protection hidden="1"/>
    </xf>
    <xf numFmtId="0" fontId="11" fillId="2" borderId="12" xfId="0" applyFont="1" applyFill="1" applyBorder="1" applyAlignment="1" applyProtection="1">
      <alignment horizontal="center" vertical="center"/>
      <protection hidden="1"/>
    </xf>
    <xf numFmtId="0" fontId="11" fillId="4" borderId="12" xfId="0" applyFont="1" applyFill="1" applyBorder="1" applyAlignment="1" applyProtection="1">
      <alignment horizontal="center" vertical="center"/>
      <protection hidden="1"/>
    </xf>
    <xf numFmtId="0" fontId="20" fillId="2" borderId="0" xfId="0" applyFont="1" applyFill="1" applyProtection="1">
      <protection hidden="1"/>
    </xf>
    <xf numFmtId="0" fontId="11" fillId="2" borderId="13" xfId="0" applyFont="1" applyFill="1" applyBorder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4" fontId="11" fillId="2" borderId="0" xfId="0" applyNumberFormat="1" applyFont="1" applyFill="1" applyAlignment="1" applyProtection="1">
      <alignment horizontal="center" vertical="center" wrapText="1"/>
      <protection hidden="1"/>
    </xf>
    <xf numFmtId="0" fontId="3" fillId="2" borderId="9" xfId="0" applyFont="1" applyFill="1" applyBorder="1" applyProtection="1">
      <protection hidden="1"/>
    </xf>
    <xf numFmtId="0" fontId="3" fillId="2" borderId="10" xfId="0" applyFont="1" applyFill="1" applyBorder="1" applyProtection="1">
      <protection hidden="1"/>
    </xf>
    <xf numFmtId="0" fontId="21" fillId="2" borderId="0" xfId="0" applyFont="1" applyFill="1" applyProtection="1">
      <protection hidden="1"/>
    </xf>
    <xf numFmtId="0" fontId="22" fillId="2" borderId="0" xfId="0" applyFont="1" applyFill="1" applyProtection="1">
      <protection hidden="1"/>
    </xf>
    <xf numFmtId="0" fontId="23" fillId="2" borderId="0" xfId="0" applyFont="1" applyFill="1" applyProtection="1">
      <protection hidden="1"/>
    </xf>
    <xf numFmtId="166" fontId="23" fillId="2" borderId="0" xfId="0" applyNumberFormat="1" applyFont="1" applyFill="1" applyProtection="1">
      <protection hidden="1"/>
    </xf>
    <xf numFmtId="0" fontId="6" fillId="0" borderId="0" xfId="0" applyFont="1" applyProtection="1">
      <protection hidden="1"/>
    </xf>
    <xf numFmtId="0" fontId="24" fillId="2" borderId="0" xfId="0" applyFont="1" applyFill="1" applyProtection="1">
      <protection hidden="1"/>
    </xf>
    <xf numFmtId="0" fontId="25" fillId="2" borderId="0" xfId="0" applyFont="1" applyFill="1" applyProtection="1">
      <protection hidden="1"/>
    </xf>
    <xf numFmtId="3" fontId="11" fillId="2" borderId="1" xfId="0" applyNumberFormat="1" applyFont="1" applyFill="1" applyBorder="1" applyAlignment="1" applyProtection="1">
      <alignment horizontal="center"/>
      <protection locked="0"/>
    </xf>
    <xf numFmtId="0" fontId="13" fillId="2" borderId="15" xfId="0" applyFont="1" applyFill="1" applyBorder="1" applyProtection="1">
      <protection hidden="1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168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/>
    <xf numFmtId="3" fontId="11" fillId="2" borderId="1" xfId="0" applyNumberFormat="1" applyFont="1" applyFill="1" applyBorder="1" applyAlignment="1">
      <alignment horizontal="center"/>
    </xf>
    <xf numFmtId="3" fontId="30" fillId="0" borderId="0" xfId="0" applyNumberFormat="1" applyFont="1"/>
    <xf numFmtId="4" fontId="30" fillId="0" borderId="0" xfId="0" applyNumberFormat="1" applyFont="1"/>
    <xf numFmtId="0" fontId="26" fillId="3" borderId="18" xfId="0" applyFont="1" applyFill="1" applyBorder="1" applyAlignment="1" applyProtection="1">
      <alignment horizontal="center"/>
      <protection hidden="1"/>
    </xf>
    <xf numFmtId="0" fontId="26" fillId="3" borderId="19" xfId="0" applyFont="1" applyFill="1" applyBorder="1" applyAlignment="1" applyProtection="1">
      <alignment horizontal="center"/>
      <protection hidden="1"/>
    </xf>
    <xf numFmtId="0" fontId="26" fillId="3" borderId="20" xfId="0" applyFont="1" applyFill="1" applyBorder="1" applyAlignment="1" applyProtection="1">
      <alignment horizontal="center"/>
      <protection hidden="1"/>
    </xf>
    <xf numFmtId="0" fontId="26" fillId="2" borderId="0" xfId="0" applyFont="1" applyFill="1" applyAlignment="1" applyProtection="1">
      <alignment horizontal="center"/>
      <protection hidden="1"/>
    </xf>
    <xf numFmtId="167" fontId="21" fillId="5" borderId="0" xfId="0" applyNumberFormat="1" applyFont="1" applyFill="1" applyAlignment="1" applyProtection="1">
      <alignment horizontal="center"/>
      <protection hidden="1"/>
    </xf>
    <xf numFmtId="0" fontId="26" fillId="2" borderId="0" xfId="0" applyFont="1" applyFill="1" applyAlignment="1" applyProtection="1">
      <alignment horizontal="left" vertical="center" wrapText="1"/>
      <protection hidden="1"/>
    </xf>
    <xf numFmtId="0" fontId="26" fillId="2" borderId="15" xfId="0" applyFont="1" applyFill="1" applyBorder="1" applyAlignment="1" applyProtection="1">
      <alignment horizontal="left" vertical="center" wrapText="1"/>
      <protection hidden="1"/>
    </xf>
    <xf numFmtId="0" fontId="11" fillId="2" borderId="1" xfId="0" applyFont="1" applyFill="1" applyBorder="1" applyAlignment="1" applyProtection="1">
      <alignment horizontal="center"/>
      <protection hidden="1"/>
    </xf>
    <xf numFmtId="0" fontId="11" fillId="2" borderId="0" xfId="0" applyFont="1" applyFill="1" applyAlignment="1" applyProtection="1">
      <alignment horizontal="right"/>
      <protection hidden="1"/>
    </xf>
    <xf numFmtId="0" fontId="11" fillId="2" borderId="3" xfId="0" applyFont="1" applyFill="1" applyBorder="1" applyAlignment="1" applyProtection="1">
      <alignment horizontal="right"/>
      <protection hidden="1"/>
    </xf>
    <xf numFmtId="0" fontId="27" fillId="2" borderId="15" xfId="0" applyFont="1" applyFill="1" applyBorder="1" applyAlignment="1" applyProtection="1">
      <alignment horizontal="left"/>
      <protection hidden="1"/>
    </xf>
    <xf numFmtId="0" fontId="28" fillId="2" borderId="0" xfId="0" applyFont="1" applyFill="1" applyAlignment="1" applyProtection="1">
      <alignment horizontal="left"/>
      <protection hidden="1"/>
    </xf>
    <xf numFmtId="17" fontId="29" fillId="2" borderId="8" xfId="0" applyNumberFormat="1" applyFont="1" applyFill="1" applyBorder="1" applyAlignment="1" applyProtection="1">
      <alignment horizontal="right"/>
      <protection locked="0" hidden="1"/>
    </xf>
    <xf numFmtId="0" fontId="29" fillId="2" borderId="8" xfId="0" applyFont="1" applyFill="1" applyBorder="1" applyAlignment="1" applyProtection="1">
      <alignment horizontal="right"/>
      <protection locked="0" hidden="1"/>
    </xf>
    <xf numFmtId="0" fontId="29" fillId="2" borderId="21" xfId="0" applyFont="1" applyFill="1" applyBorder="1" applyAlignment="1" applyProtection="1">
      <alignment horizontal="right"/>
      <protection locked="0" hidden="1"/>
    </xf>
    <xf numFmtId="0" fontId="26" fillId="2" borderId="8" xfId="0" applyFont="1" applyFill="1" applyBorder="1" applyAlignment="1" applyProtection="1">
      <alignment horizontal="center"/>
      <protection hidden="1"/>
    </xf>
    <xf numFmtId="169" fontId="26" fillId="3" borderId="18" xfId="0" applyNumberFormat="1" applyFont="1" applyFill="1" applyBorder="1" applyAlignment="1" applyProtection="1">
      <alignment horizontal="center"/>
      <protection hidden="1"/>
    </xf>
    <xf numFmtId="169" fontId="26" fillId="3" borderId="19" xfId="0" applyNumberFormat="1" applyFont="1" applyFill="1" applyBorder="1" applyAlignment="1" applyProtection="1">
      <alignment horizontal="center"/>
      <protection hidden="1"/>
    </xf>
    <xf numFmtId="169" fontId="26" fillId="3" borderId="20" xfId="0" applyNumberFormat="1" applyFont="1" applyFill="1" applyBorder="1" applyAlignment="1" applyProtection="1">
      <alignment horizontal="center"/>
      <protection hidden="1"/>
    </xf>
    <xf numFmtId="0" fontId="11" fillId="2" borderId="0" xfId="0" applyFont="1" applyFill="1" applyAlignment="1" applyProtection="1">
      <alignment horizontal="right" wrapText="1"/>
      <protection hidden="1"/>
    </xf>
    <xf numFmtId="0" fontId="11" fillId="2" borderId="3" xfId="0" applyFont="1" applyFill="1" applyBorder="1" applyAlignment="1" applyProtection="1">
      <alignment horizontal="right" wrapText="1"/>
      <protection hidden="1"/>
    </xf>
    <xf numFmtId="17" fontId="29" fillId="2" borderId="8" xfId="0" applyNumberFormat="1" applyFont="1" applyFill="1" applyBorder="1" applyAlignment="1" applyProtection="1">
      <alignment horizontal="right"/>
      <protection hidden="1"/>
    </xf>
    <xf numFmtId="0" fontId="29" fillId="2" borderId="8" xfId="0" applyFont="1" applyFill="1" applyBorder="1" applyAlignment="1" applyProtection="1">
      <alignment horizontal="right"/>
      <protection hidden="1"/>
    </xf>
    <xf numFmtId="0" fontId="29" fillId="2" borderId="21" xfId="0" applyFont="1" applyFill="1" applyBorder="1" applyAlignment="1" applyProtection="1">
      <alignment horizontal="right"/>
      <protection hidden="1"/>
    </xf>
    <xf numFmtId="0" fontId="28" fillId="2" borderId="0" xfId="0" applyFont="1" applyFill="1" applyAlignment="1" applyProtection="1">
      <alignment horizontal="center"/>
      <protection hidden="1"/>
    </xf>
    <xf numFmtId="0" fontId="2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left"/>
    </xf>
    <xf numFmtId="14" fontId="0" fillId="2" borderId="4" xfId="0" applyNumberFormat="1" applyFill="1" applyBorder="1" applyAlignment="1">
      <alignment horizontal="center"/>
    </xf>
    <xf numFmtId="0" fontId="0" fillId="2" borderId="0" xfId="0" applyFill="1" applyAlignment="1">
      <alignment horizontal="left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4</xdr:row>
      <xdr:rowOff>47625</xdr:rowOff>
    </xdr:from>
    <xdr:to>
      <xdr:col>7</xdr:col>
      <xdr:colOff>1032510</xdr:colOff>
      <xdr:row>6</xdr:row>
      <xdr:rowOff>76200</xdr:rowOff>
    </xdr:to>
    <xdr:pic>
      <xdr:nvPicPr>
        <xdr:cNvPr id="2297" name="Imagen 3">
          <a:extLst>
            <a:ext uri="{FF2B5EF4-FFF2-40B4-BE49-F238E27FC236}">
              <a16:creationId xmlns:a16="http://schemas.microsoft.com/office/drawing/2014/main" id="{0CEC602C-1D6F-4935-B25B-6719D0EC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800100"/>
          <a:ext cx="11525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5</xdr:row>
      <xdr:rowOff>57150</xdr:rowOff>
    </xdr:from>
    <xdr:to>
      <xdr:col>6</xdr:col>
      <xdr:colOff>137160</xdr:colOff>
      <xdr:row>7</xdr:row>
      <xdr:rowOff>137160</xdr:rowOff>
    </xdr:to>
    <xdr:pic>
      <xdr:nvPicPr>
        <xdr:cNvPr id="1230" name="Imagen 3">
          <a:extLst>
            <a:ext uri="{FF2B5EF4-FFF2-40B4-BE49-F238E27FC236}">
              <a16:creationId xmlns:a16="http://schemas.microsoft.com/office/drawing/2014/main" id="{845BCBD5-7EA4-4282-AB0A-4EC00D3BC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" y="1000125"/>
          <a:ext cx="15811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Principal color">
  <a:themeElements>
    <a:clrScheme name="Principal color">
      <a:dk1>
        <a:sysClr val="windowText" lastClr="000000"/>
      </a:dk1>
      <a:lt1>
        <a:sysClr val="window" lastClr="FFFFFF"/>
      </a:lt1>
      <a:dk2>
        <a:srgbClr val="0091DA"/>
      </a:dk2>
      <a:lt2>
        <a:srgbClr val="19B9D7"/>
      </a:lt2>
      <a:accent1>
        <a:srgbClr val="4B4687"/>
      </a:accent1>
      <a:accent2>
        <a:srgbClr val="FF841C"/>
      </a:accent2>
      <a:accent3>
        <a:srgbClr val="FFD20F"/>
      </a:accent3>
      <a:accent4>
        <a:srgbClr val="00C19F"/>
      </a:accent4>
      <a:accent5>
        <a:srgbClr val="70478D"/>
      </a:accent5>
      <a:accent6>
        <a:srgbClr val="666666"/>
      </a:accent6>
      <a:hlink>
        <a:srgbClr val="0563C1"/>
      </a:hlink>
      <a:folHlink>
        <a:srgbClr val="0563C1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D1:AG61"/>
  <sheetViews>
    <sheetView zoomScaleNormal="100" workbookViewId="0">
      <selection activeCell="M5" sqref="M5:O5"/>
    </sheetView>
  </sheetViews>
  <sheetFormatPr baseColWidth="10" defaultColWidth="11.33203125" defaultRowHeight="13" x14ac:dyDescent="0.15"/>
  <cols>
    <col min="1" max="1" width="2.33203125" style="27" customWidth="1"/>
    <col min="2" max="2" width="2" style="27" customWidth="1"/>
    <col min="3" max="3" width="0.5" style="27" customWidth="1"/>
    <col min="4" max="5" width="2.1640625" style="27" customWidth="1"/>
    <col min="6" max="6" width="1.33203125" style="27" customWidth="1"/>
    <col min="7" max="7" width="1.1640625" style="27" customWidth="1"/>
    <col min="8" max="8" width="19.83203125" style="27" customWidth="1"/>
    <col min="9" max="9" width="18" style="27" customWidth="1"/>
    <col min="10" max="10" width="15.83203125" style="27" customWidth="1"/>
    <col min="11" max="14" width="15.6640625" style="27" customWidth="1"/>
    <col min="15" max="15" width="13.83203125" style="27" customWidth="1"/>
    <col min="16" max="32" width="11.33203125" style="27"/>
    <col min="33" max="33" width="11.33203125" style="28"/>
    <col min="34" max="16384" width="11.33203125" style="27"/>
  </cols>
  <sheetData>
    <row r="1" spans="4:33" ht="14" thickBot="1" x14ac:dyDescent="0.2"/>
    <row r="2" spans="4:33" ht="14" thickBot="1" x14ac:dyDescent="0.2">
      <c r="H2" s="81" t="s">
        <v>0</v>
      </c>
      <c r="I2" s="82"/>
      <c r="J2" s="83"/>
    </row>
    <row r="3" spans="4:33" ht="19" x14ac:dyDescent="0.25">
      <c r="D3" s="29" t="s">
        <v>1</v>
      </c>
    </row>
    <row r="4" spans="4:33" ht="14" thickBot="1" x14ac:dyDescent="0.2">
      <c r="F4" s="91"/>
      <c r="G4" s="91"/>
      <c r="H4" s="91"/>
      <c r="I4" s="91"/>
    </row>
    <row r="5" spans="4:33" x14ac:dyDescent="0.15">
      <c r="F5" s="30"/>
      <c r="G5" s="31"/>
      <c r="H5" s="31"/>
      <c r="I5" s="31"/>
      <c r="J5" s="31"/>
      <c r="K5" s="31"/>
      <c r="L5" s="31"/>
      <c r="M5" s="93" t="s">
        <v>31</v>
      </c>
      <c r="N5" s="94"/>
      <c r="O5" s="95"/>
    </row>
    <row r="6" spans="4:33" ht="18" customHeight="1" x14ac:dyDescent="0.2">
      <c r="F6" s="32"/>
      <c r="I6" s="92" t="s">
        <v>2</v>
      </c>
      <c r="J6" s="92"/>
      <c r="K6" s="92"/>
      <c r="L6" s="92"/>
      <c r="M6" s="92"/>
      <c r="N6" s="33"/>
      <c r="O6" s="34"/>
      <c r="AG6" s="43">
        <v>1.4999999999999999E-2</v>
      </c>
    </row>
    <row r="7" spans="4:33" ht="15" customHeight="1" x14ac:dyDescent="0.2">
      <c r="F7" s="32"/>
      <c r="H7" s="35"/>
      <c r="O7" s="34"/>
      <c r="AG7" s="43">
        <v>0.02</v>
      </c>
    </row>
    <row r="8" spans="4:33" ht="15" customHeight="1" x14ac:dyDescent="0.2">
      <c r="F8" s="32"/>
      <c r="H8" s="35"/>
      <c r="O8" s="34"/>
      <c r="AG8" s="43">
        <v>2.5000000000000001E-2</v>
      </c>
    </row>
    <row r="9" spans="4:33" ht="15" customHeight="1" x14ac:dyDescent="0.2">
      <c r="F9" s="32"/>
      <c r="H9" s="36"/>
      <c r="I9" s="37" t="s">
        <v>3</v>
      </c>
      <c r="J9" s="7">
        <v>0</v>
      </c>
      <c r="K9" s="38"/>
      <c r="L9" s="38"/>
      <c r="M9" s="37" t="s">
        <v>4</v>
      </c>
      <c r="N9" s="78">
        <f>IF(O9=UFF!C3,UFF!B3,UFF!B4)</f>
        <v>37493.160000000003</v>
      </c>
      <c r="O9" s="73" t="s">
        <v>29</v>
      </c>
      <c r="S9" s="39"/>
      <c r="AG9" s="43">
        <v>0.03</v>
      </c>
    </row>
    <row r="10" spans="4:33" ht="15" customHeight="1" x14ac:dyDescent="0.2">
      <c r="F10" s="32"/>
      <c r="I10" s="40"/>
      <c r="J10" s="40"/>
      <c r="K10" s="89" t="s">
        <v>5</v>
      </c>
      <c r="L10" s="89"/>
      <c r="M10" s="90"/>
      <c r="N10" s="8">
        <v>0.03</v>
      </c>
      <c r="O10" s="34"/>
      <c r="AG10" s="43">
        <v>3.5000000000000003E-2</v>
      </c>
    </row>
    <row r="11" spans="4:33" ht="15" customHeight="1" x14ac:dyDescent="0.2">
      <c r="F11" s="32"/>
      <c r="I11" s="40"/>
      <c r="J11" s="5"/>
      <c r="M11" s="42"/>
      <c r="N11" s="42"/>
      <c r="O11" s="34"/>
      <c r="AG11" s="43">
        <v>0.04</v>
      </c>
    </row>
    <row r="12" spans="4:33" hidden="1" x14ac:dyDescent="0.15">
      <c r="F12" s="32"/>
      <c r="O12" s="34"/>
      <c r="AG12" s="43">
        <v>0.04</v>
      </c>
    </row>
    <row r="13" spans="4:33" ht="16" customHeight="1" x14ac:dyDescent="0.2">
      <c r="F13" s="32"/>
      <c r="H13" s="44" t="s">
        <v>6</v>
      </c>
      <c r="I13" s="88" t="s">
        <v>7</v>
      </c>
      <c r="J13" s="88"/>
      <c r="K13" s="88"/>
      <c r="L13" s="88"/>
      <c r="M13" s="88"/>
      <c r="N13" s="88"/>
      <c r="O13" s="34"/>
      <c r="AG13" s="43">
        <v>4.4999999999999998E-2</v>
      </c>
    </row>
    <row r="14" spans="4:33" ht="17" x14ac:dyDescent="0.15">
      <c r="F14" s="32"/>
      <c r="H14" s="45" t="s">
        <v>8</v>
      </c>
      <c r="I14" s="9">
        <v>5</v>
      </c>
      <c r="J14" s="9">
        <v>4</v>
      </c>
      <c r="K14" s="75">
        <v>8</v>
      </c>
      <c r="L14" s="75">
        <v>10</v>
      </c>
      <c r="M14" s="75">
        <v>20</v>
      </c>
      <c r="N14" s="45">
        <v>25</v>
      </c>
      <c r="O14" s="34"/>
      <c r="AG14" s="43">
        <v>0.05</v>
      </c>
    </row>
    <row r="15" spans="4:33" ht="16" x14ac:dyDescent="0.15">
      <c r="F15" s="46">
        <v>1</v>
      </c>
      <c r="H15" s="47">
        <v>1</v>
      </c>
      <c r="I15" s="10">
        <f>($J$9*((1+$H$58)^($H15*12)))+(FV($H$58,12*$F15,-$I$14))</f>
        <v>60.820597034642638</v>
      </c>
      <c r="J15" s="10">
        <f>($J$9*((1+$H$58)^($H15*12)))+(FV($H$58,12*$F15,-$J$14))</f>
        <v>48.656477627714111</v>
      </c>
      <c r="K15" s="10">
        <f>($J$9*((1+$H$58)^($H15*12)))+(FV($H$58,12*$F15,-$K$14))</f>
        <v>97.312955255428221</v>
      </c>
      <c r="L15" s="10">
        <f>($J$9*((1+$H$58)^($H15*12)))+(FV($H$58,12*$F15,-$L$14))</f>
        <v>121.64119406928528</v>
      </c>
      <c r="M15" s="10">
        <f>($J$9*((1+$H$58)^($H15*12)))+(FV($H$58,12*$F15,-$M$14))</f>
        <v>243.28238813857055</v>
      </c>
      <c r="N15" s="11">
        <f>($J$9*((1+$H$58)^($H15*12)))+(FV($H$58,12*$F15,-$N$14))</f>
        <v>304.1029851732132</v>
      </c>
      <c r="O15" s="34"/>
      <c r="AG15" s="43">
        <v>5.5E-2</v>
      </c>
    </row>
    <row r="16" spans="4:33" ht="16" x14ac:dyDescent="0.15">
      <c r="F16" s="46">
        <v>2</v>
      </c>
      <c r="H16" s="48">
        <v>2</v>
      </c>
      <c r="I16" s="12">
        <f>($J$9*((1+$H$58)^($H16*12)))+(FV($H$58,12*F16,-$I$14))</f>
        <v>123.46581198032388</v>
      </c>
      <c r="J16" s="12">
        <f t="shared" ref="J16:J54" si="0">($J$9*((1+$H$58)^($H16*12)))+(FV($H$58,12*$F16,-$J$14))</f>
        <v>98.772649584259099</v>
      </c>
      <c r="K16" s="12">
        <f t="shared" ref="K16:K54" si="1">($J$9*((1+$H$58)^($H16*12)))+(FV($H$58,12*$F16,-$K$14))</f>
        <v>197.5452991685182</v>
      </c>
      <c r="L16" s="12">
        <f t="shared" ref="L16:L54" si="2">($J$9*((1+$H$58)^($H16*12)))+(FV($H$58,12*$F16,-$L$14))</f>
        <v>246.93162396064776</v>
      </c>
      <c r="M16" s="12">
        <f t="shared" ref="M16:M54" si="3">($J$9*((1+$H$58)^($H16*12)))+(FV($H$58,12*$F16,-$M$14))</f>
        <v>493.86324792129551</v>
      </c>
      <c r="N16" s="13">
        <f t="shared" ref="N16:N54" si="4">($J$9*((1+$H$58)^($H16*12)))+(FV($H$58,12*$F16,-$N$14))</f>
        <v>617.32905990161942</v>
      </c>
      <c r="O16" s="34"/>
      <c r="P16" s="49"/>
      <c r="AG16" s="43">
        <v>0.06</v>
      </c>
    </row>
    <row r="17" spans="6:33" ht="16" x14ac:dyDescent="0.15">
      <c r="F17" s="46">
        <v>3</v>
      </c>
      <c r="H17" s="47">
        <v>3</v>
      </c>
      <c r="I17" s="10">
        <f t="shared" ref="I17:I54" si="5">($J$9*((1+$H$58)^($H17*12)))+(FV($H$58,12*F17,-$I$14))</f>
        <v>187.9903833743758</v>
      </c>
      <c r="J17" s="10">
        <f t="shared" si="0"/>
        <v>150.39230669950064</v>
      </c>
      <c r="K17" s="10">
        <f t="shared" si="1"/>
        <v>300.78461339900127</v>
      </c>
      <c r="L17" s="10">
        <f t="shared" si="2"/>
        <v>375.98076674875159</v>
      </c>
      <c r="M17" s="10">
        <f t="shared" si="3"/>
        <v>751.96153349750318</v>
      </c>
      <c r="N17" s="14">
        <f t="shared" si="4"/>
        <v>939.95191687187901</v>
      </c>
      <c r="O17" s="34"/>
      <c r="P17" s="49"/>
      <c r="AG17" s="43">
        <v>6.5000000000000002E-2</v>
      </c>
    </row>
    <row r="18" spans="6:33" ht="16" x14ac:dyDescent="0.15">
      <c r="F18" s="46">
        <v>4</v>
      </c>
      <c r="H18" s="48">
        <v>4</v>
      </c>
      <c r="I18" s="12">
        <f t="shared" si="5"/>
        <v>254.45069191024939</v>
      </c>
      <c r="J18" s="12">
        <f t="shared" si="0"/>
        <v>203.56055352819951</v>
      </c>
      <c r="K18" s="12">
        <f t="shared" si="1"/>
        <v>407.12110705639901</v>
      </c>
      <c r="L18" s="12">
        <f t="shared" si="2"/>
        <v>508.90138382049878</v>
      </c>
      <c r="M18" s="12">
        <f t="shared" si="3"/>
        <v>1017.8027676409976</v>
      </c>
      <c r="N18" s="13">
        <f t="shared" si="4"/>
        <v>1272.2534595512468</v>
      </c>
      <c r="O18" s="34"/>
      <c r="P18" s="49"/>
      <c r="Q18" s="50"/>
      <c r="AG18" s="43">
        <v>7.0000000000000007E-2</v>
      </c>
    </row>
    <row r="19" spans="6:33" ht="16" x14ac:dyDescent="0.15">
      <c r="F19" s="46">
        <v>5</v>
      </c>
      <c r="H19" s="47">
        <v>5</v>
      </c>
      <c r="I19" s="10">
        <f t="shared" si="5"/>
        <v>322.90480970219966</v>
      </c>
      <c r="J19" s="10">
        <f t="shared" si="0"/>
        <v>258.32384776175974</v>
      </c>
      <c r="K19" s="10">
        <f t="shared" si="1"/>
        <v>516.64769552351947</v>
      </c>
      <c r="L19" s="10">
        <f t="shared" si="2"/>
        <v>645.80961940439931</v>
      </c>
      <c r="M19" s="10">
        <f t="shared" si="3"/>
        <v>1291.6192388087986</v>
      </c>
      <c r="N19" s="14">
        <f t="shared" si="4"/>
        <v>1614.5240485109985</v>
      </c>
      <c r="O19" s="34"/>
      <c r="P19" s="49"/>
      <c r="AG19" s="43">
        <v>7.4999999999999997E-2</v>
      </c>
    </row>
    <row r="20" spans="6:33" ht="16" x14ac:dyDescent="0.15">
      <c r="F20" s="46">
        <v>6</v>
      </c>
      <c r="H20" s="48">
        <v>6</v>
      </c>
      <c r="I20" s="12">
        <f t="shared" si="5"/>
        <v>393.41255102790785</v>
      </c>
      <c r="J20" s="12">
        <f t="shared" si="0"/>
        <v>314.73004082232626</v>
      </c>
      <c r="K20" s="12">
        <f t="shared" si="1"/>
        <v>629.46008164465252</v>
      </c>
      <c r="L20" s="12">
        <f t="shared" si="2"/>
        <v>786.82510205581571</v>
      </c>
      <c r="M20" s="12">
        <f t="shared" si="3"/>
        <v>1573.6502041116314</v>
      </c>
      <c r="N20" s="13">
        <f t="shared" si="4"/>
        <v>1967.0627551395391</v>
      </c>
      <c r="O20" s="34"/>
      <c r="P20" s="49"/>
      <c r="AG20" s="43">
        <v>0.08</v>
      </c>
    </row>
    <row r="21" spans="6:33" ht="16" x14ac:dyDescent="0.15">
      <c r="F21" s="46">
        <v>7</v>
      </c>
      <c r="H21" s="47">
        <v>7</v>
      </c>
      <c r="I21" s="10">
        <f t="shared" si="5"/>
        <v>466.03552459338766</v>
      </c>
      <c r="J21" s="10">
        <f t="shared" si="0"/>
        <v>372.82841967471012</v>
      </c>
      <c r="K21" s="10">
        <f t="shared" si="1"/>
        <v>745.65683934942024</v>
      </c>
      <c r="L21" s="10">
        <f t="shared" si="2"/>
        <v>932.07104918677533</v>
      </c>
      <c r="M21" s="10">
        <f t="shared" si="3"/>
        <v>1864.1420983735507</v>
      </c>
      <c r="N21" s="14">
        <f t="shared" si="4"/>
        <v>2330.1776229669381</v>
      </c>
      <c r="O21" s="34"/>
      <c r="P21" s="49"/>
    </row>
    <row r="22" spans="6:33" ht="16" x14ac:dyDescent="0.15">
      <c r="F22" s="46">
        <v>8</v>
      </c>
      <c r="H22" s="48">
        <v>8</v>
      </c>
      <c r="I22" s="12">
        <f t="shared" si="5"/>
        <v>540.83718736583091</v>
      </c>
      <c r="J22" s="12">
        <f t="shared" si="0"/>
        <v>432.66974989266475</v>
      </c>
      <c r="K22" s="12">
        <f t="shared" si="1"/>
        <v>865.33949978532951</v>
      </c>
      <c r="L22" s="12">
        <f t="shared" si="2"/>
        <v>1081.6743747316618</v>
      </c>
      <c r="M22" s="12">
        <f t="shared" si="3"/>
        <v>2163.3487494633237</v>
      </c>
      <c r="N22" s="13">
        <f t="shared" si="4"/>
        <v>2704.1859368291548</v>
      </c>
      <c r="O22" s="34"/>
      <c r="P22" s="49"/>
    </row>
    <row r="23" spans="6:33" ht="16" x14ac:dyDescent="0.15">
      <c r="F23" s="46">
        <v>9</v>
      </c>
      <c r="H23" s="47">
        <v>9</v>
      </c>
      <c r="I23" s="10">
        <f t="shared" si="5"/>
        <v>617.88290002144879</v>
      </c>
      <c r="J23" s="10">
        <f t="shared" si="0"/>
        <v>494.30632001715907</v>
      </c>
      <c r="K23" s="10">
        <f t="shared" si="1"/>
        <v>988.61264003431813</v>
      </c>
      <c r="L23" s="10">
        <f t="shared" si="2"/>
        <v>1235.7658000428976</v>
      </c>
      <c r="M23" s="10">
        <f t="shared" si="3"/>
        <v>2471.5316000857952</v>
      </c>
      <c r="N23" s="14">
        <f t="shared" si="4"/>
        <v>3089.4145001072443</v>
      </c>
      <c r="O23" s="34"/>
      <c r="P23" s="49"/>
    </row>
    <row r="24" spans="6:33" ht="16" x14ac:dyDescent="0.15">
      <c r="F24" s="46">
        <v>10</v>
      </c>
      <c r="H24" s="48">
        <v>10</v>
      </c>
      <c r="I24" s="12">
        <f t="shared" si="5"/>
        <v>697.23998405673467</v>
      </c>
      <c r="J24" s="12">
        <f t="shared" si="0"/>
        <v>557.79198724538776</v>
      </c>
      <c r="K24" s="12">
        <f t="shared" si="1"/>
        <v>1115.5839744907755</v>
      </c>
      <c r="L24" s="12">
        <f t="shared" si="2"/>
        <v>1394.4799681134693</v>
      </c>
      <c r="M24" s="12">
        <f t="shared" si="3"/>
        <v>2788.9599362269387</v>
      </c>
      <c r="N24" s="13">
        <f t="shared" si="4"/>
        <v>3486.1999202836737</v>
      </c>
      <c r="O24" s="34"/>
      <c r="P24" s="49"/>
    </row>
    <row r="25" spans="6:33" ht="16" x14ac:dyDescent="0.15">
      <c r="F25" s="46">
        <v>11</v>
      </c>
      <c r="H25" s="47">
        <v>11</v>
      </c>
      <c r="I25" s="10">
        <f t="shared" si="5"/>
        <v>778.97778061307861</v>
      </c>
      <c r="J25" s="10">
        <f t="shared" si="0"/>
        <v>623.18222449046289</v>
      </c>
      <c r="K25" s="10">
        <f t="shared" si="1"/>
        <v>1246.3644489809258</v>
      </c>
      <c r="L25" s="10">
        <f t="shared" si="2"/>
        <v>1557.9555612261572</v>
      </c>
      <c r="M25" s="10">
        <f t="shared" si="3"/>
        <v>3115.9111224523144</v>
      </c>
      <c r="N25" s="14">
        <f t="shared" si="4"/>
        <v>3894.8889030653932</v>
      </c>
      <c r="O25" s="34"/>
      <c r="P25" s="49"/>
    </row>
    <row r="26" spans="6:33" ht="16" x14ac:dyDescent="0.15">
      <c r="F26" s="46">
        <v>12</v>
      </c>
      <c r="H26" s="48">
        <v>12</v>
      </c>
      <c r="I26" s="12">
        <f t="shared" si="5"/>
        <v>863.16771106611338</v>
      </c>
      <c r="J26" s="12">
        <f t="shared" si="0"/>
        <v>690.53416885289073</v>
      </c>
      <c r="K26" s="12">
        <f t="shared" si="1"/>
        <v>1381.0683377057815</v>
      </c>
      <c r="L26" s="12">
        <f t="shared" si="2"/>
        <v>1726.3354221322268</v>
      </c>
      <c r="M26" s="12">
        <f t="shared" si="3"/>
        <v>3452.6708442644535</v>
      </c>
      <c r="N26" s="13">
        <f t="shared" si="4"/>
        <v>4315.838555330567</v>
      </c>
      <c r="O26" s="34"/>
      <c r="P26" s="49"/>
    </row>
    <row r="27" spans="6:33" ht="16" x14ac:dyDescent="0.15">
      <c r="F27" s="46">
        <v>13</v>
      </c>
      <c r="H27" s="47">
        <v>13</v>
      </c>
      <c r="I27" s="10">
        <f t="shared" si="5"/>
        <v>949.88333943273983</v>
      </c>
      <c r="J27" s="10">
        <f t="shared" si="0"/>
        <v>759.90667154619189</v>
      </c>
      <c r="K27" s="10">
        <f t="shared" si="1"/>
        <v>1519.8133430923838</v>
      </c>
      <c r="L27" s="10">
        <f t="shared" si="2"/>
        <v>1899.7666788654797</v>
      </c>
      <c r="M27" s="10">
        <f t="shared" si="3"/>
        <v>3799.5333577309593</v>
      </c>
      <c r="N27" s="14">
        <f t="shared" si="4"/>
        <v>4749.4166971636996</v>
      </c>
      <c r="O27" s="34"/>
      <c r="P27" s="49"/>
    </row>
    <row r="28" spans="6:33" ht="16" x14ac:dyDescent="0.15">
      <c r="F28" s="46">
        <v>14</v>
      </c>
      <c r="H28" s="48">
        <v>14</v>
      </c>
      <c r="I28" s="12">
        <f t="shared" si="5"/>
        <v>1039.2004366503643</v>
      </c>
      <c r="J28" s="12">
        <f t="shared" si="0"/>
        <v>831.36034932029133</v>
      </c>
      <c r="K28" s="12">
        <f t="shared" si="1"/>
        <v>1662.7206986405827</v>
      </c>
      <c r="L28" s="12">
        <f t="shared" si="2"/>
        <v>2078.4008733007286</v>
      </c>
      <c r="M28" s="12">
        <f t="shared" si="3"/>
        <v>4156.8017466014571</v>
      </c>
      <c r="N28" s="13">
        <f t="shared" si="4"/>
        <v>5196.0021832518205</v>
      </c>
      <c r="O28" s="34"/>
      <c r="P28" s="49"/>
    </row>
    <row r="29" spans="6:33" ht="16" x14ac:dyDescent="0.15">
      <c r="F29" s="46">
        <v>15</v>
      </c>
      <c r="H29" s="47">
        <v>15</v>
      </c>
      <c r="I29" s="10">
        <f t="shared" si="5"/>
        <v>1131.1970467845183</v>
      </c>
      <c r="J29" s="10">
        <f t="shared" si="0"/>
        <v>904.95763742761471</v>
      </c>
      <c r="K29" s="10">
        <f t="shared" si="1"/>
        <v>1809.9152748552294</v>
      </c>
      <c r="L29" s="10">
        <f t="shared" si="2"/>
        <v>2262.3940935690366</v>
      </c>
      <c r="M29" s="10">
        <f t="shared" si="3"/>
        <v>4524.7881871380732</v>
      </c>
      <c r="N29" s="14">
        <f t="shared" si="4"/>
        <v>5655.9852339225918</v>
      </c>
      <c r="O29" s="34"/>
      <c r="P29" s="49"/>
    </row>
    <row r="30" spans="6:33" ht="16" x14ac:dyDescent="0.15">
      <c r="F30" s="46">
        <v>16</v>
      </c>
      <c r="H30" s="48">
        <v>16</v>
      </c>
      <c r="I30" s="12">
        <f t="shared" si="5"/>
        <v>1225.9535552226955</v>
      </c>
      <c r="J30" s="12">
        <f t="shared" si="0"/>
        <v>980.76284417815634</v>
      </c>
      <c r="K30" s="12">
        <f t="shared" si="1"/>
        <v>1961.5256883563127</v>
      </c>
      <c r="L30" s="12">
        <f t="shared" si="2"/>
        <v>2451.907110445391</v>
      </c>
      <c r="M30" s="12">
        <f t="shared" si="3"/>
        <v>4903.8142208907821</v>
      </c>
      <c r="N30" s="13">
        <f t="shared" si="4"/>
        <v>6129.7677761134773</v>
      </c>
      <c r="O30" s="34"/>
      <c r="P30" s="49"/>
    </row>
    <row r="31" spans="6:33" ht="16" x14ac:dyDescent="0.15">
      <c r="F31" s="46">
        <v>17</v>
      </c>
      <c r="H31" s="47">
        <v>17</v>
      </c>
      <c r="I31" s="10">
        <f t="shared" si="5"/>
        <v>1323.5527589140193</v>
      </c>
      <c r="J31" s="10">
        <f t="shared" si="0"/>
        <v>1058.8422071312154</v>
      </c>
      <c r="K31" s="10">
        <f t="shared" si="1"/>
        <v>2117.6844142624309</v>
      </c>
      <c r="L31" s="10">
        <f t="shared" si="2"/>
        <v>2647.1055178280385</v>
      </c>
      <c r="M31" s="10">
        <f t="shared" si="3"/>
        <v>5294.211035656077</v>
      </c>
      <c r="N31" s="14">
        <f t="shared" si="4"/>
        <v>6617.7637945700963</v>
      </c>
      <c r="O31" s="34"/>
      <c r="P31" s="49"/>
    </row>
    <row r="32" spans="6:33" ht="16" x14ac:dyDescent="0.15">
      <c r="F32" s="46">
        <v>18</v>
      </c>
      <c r="H32" s="48">
        <v>18</v>
      </c>
      <c r="I32" s="12">
        <f t="shared" si="5"/>
        <v>1424.0799387160819</v>
      </c>
      <c r="J32" s="12">
        <f t="shared" si="0"/>
        <v>1139.2639509728656</v>
      </c>
      <c r="K32" s="12">
        <f t="shared" si="1"/>
        <v>2278.5279019457312</v>
      </c>
      <c r="L32" s="12">
        <f t="shared" si="2"/>
        <v>2848.1598774321637</v>
      </c>
      <c r="M32" s="12">
        <f t="shared" si="3"/>
        <v>5696.3197548643275</v>
      </c>
      <c r="N32" s="13">
        <f t="shared" si="4"/>
        <v>7120.3996935804098</v>
      </c>
      <c r="O32" s="34"/>
      <c r="P32" s="49"/>
    </row>
    <row r="33" spans="6:16" ht="16" x14ac:dyDescent="0.15">
      <c r="F33" s="46">
        <v>19</v>
      </c>
      <c r="H33" s="47">
        <v>19</v>
      </c>
      <c r="I33" s="10">
        <f t="shared" si="5"/>
        <v>1527.6229339122071</v>
      </c>
      <c r="J33" s="10">
        <f t="shared" si="0"/>
        <v>1222.0983471297657</v>
      </c>
      <c r="K33" s="10">
        <f t="shared" si="1"/>
        <v>2444.1966942595313</v>
      </c>
      <c r="L33" s="10">
        <f t="shared" si="2"/>
        <v>3055.2458678244143</v>
      </c>
      <c r="M33" s="10">
        <f t="shared" si="3"/>
        <v>6110.4917356488286</v>
      </c>
      <c r="N33" s="14">
        <f t="shared" si="4"/>
        <v>7638.114669561035</v>
      </c>
      <c r="O33" s="34"/>
      <c r="P33" s="49"/>
    </row>
    <row r="34" spans="6:16" ht="16" x14ac:dyDescent="0.15">
      <c r="F34" s="46">
        <v>20</v>
      </c>
      <c r="H34" s="48">
        <v>20</v>
      </c>
      <c r="I34" s="12">
        <f t="shared" si="5"/>
        <v>1634.2722189642166</v>
      </c>
      <c r="J34" s="12">
        <f t="shared" si="0"/>
        <v>1307.4177751713733</v>
      </c>
      <c r="K34" s="12">
        <f t="shared" si="1"/>
        <v>2614.8355503427465</v>
      </c>
      <c r="L34" s="12">
        <f t="shared" si="2"/>
        <v>3268.5444379284331</v>
      </c>
      <c r="M34" s="12">
        <f t="shared" si="3"/>
        <v>6537.0888758568663</v>
      </c>
      <c r="N34" s="13">
        <f t="shared" si="4"/>
        <v>8171.3610948210826</v>
      </c>
      <c r="O34" s="34"/>
      <c r="P34" s="49"/>
    </row>
    <row r="35" spans="6:16" ht="16" x14ac:dyDescent="0.15">
      <c r="F35" s="46">
        <v>21</v>
      </c>
      <c r="H35" s="47">
        <v>21</v>
      </c>
      <c r="I35" s="10">
        <f t="shared" si="5"/>
        <v>1744.1209825677861</v>
      </c>
      <c r="J35" s="10">
        <f t="shared" si="0"/>
        <v>1395.296786054229</v>
      </c>
      <c r="K35" s="10">
        <f t="shared" si="1"/>
        <v>2790.5935721084579</v>
      </c>
      <c r="L35" s="10">
        <f t="shared" si="2"/>
        <v>3488.2419651355722</v>
      </c>
      <c r="M35" s="10">
        <f t="shared" si="3"/>
        <v>6976.4839302711443</v>
      </c>
      <c r="N35" s="14">
        <f t="shared" si="4"/>
        <v>8720.6049128389313</v>
      </c>
      <c r="O35" s="34"/>
      <c r="P35" s="49"/>
    </row>
    <row r="36" spans="6:16" ht="16" x14ac:dyDescent="0.15">
      <c r="F36" s="46">
        <v>22</v>
      </c>
      <c r="H36" s="48">
        <v>22</v>
      </c>
      <c r="I36" s="12">
        <f t="shared" si="5"/>
        <v>1857.2652090794618</v>
      </c>
      <c r="J36" s="12">
        <f t="shared" si="0"/>
        <v>1485.8121672635693</v>
      </c>
      <c r="K36" s="12">
        <f t="shared" si="1"/>
        <v>2971.6243345271387</v>
      </c>
      <c r="L36" s="12">
        <f t="shared" si="2"/>
        <v>3714.5304181589236</v>
      </c>
      <c r="M36" s="12">
        <f t="shared" si="3"/>
        <v>7429.0608363178471</v>
      </c>
      <c r="N36" s="13">
        <f t="shared" si="4"/>
        <v>9286.3260453973089</v>
      </c>
      <c r="O36" s="34"/>
      <c r="P36" s="49"/>
    </row>
    <row r="37" spans="6:16" ht="16" x14ac:dyDescent="0.15">
      <c r="F37" s="46">
        <v>23</v>
      </c>
      <c r="H37" s="47">
        <v>23</v>
      </c>
      <c r="I37" s="10">
        <f t="shared" si="5"/>
        <v>1973.8037623864884</v>
      </c>
      <c r="J37" s="10">
        <f t="shared" si="0"/>
        <v>1579.0430099091907</v>
      </c>
      <c r="K37" s="10">
        <f t="shared" si="1"/>
        <v>3158.0860198183814</v>
      </c>
      <c r="L37" s="10">
        <f t="shared" si="2"/>
        <v>3947.6075247729768</v>
      </c>
      <c r="M37" s="10">
        <f t="shared" si="3"/>
        <v>7895.2150495459537</v>
      </c>
      <c r="N37" s="14">
        <f t="shared" si="4"/>
        <v>9869.0188119324412</v>
      </c>
      <c r="O37" s="34"/>
    </row>
    <row r="38" spans="6:16" ht="16" x14ac:dyDescent="0.15">
      <c r="F38" s="46">
        <v>24</v>
      </c>
      <c r="H38" s="48">
        <v>24</v>
      </c>
      <c r="I38" s="12">
        <f t="shared" si="5"/>
        <v>2093.8384722927253</v>
      </c>
      <c r="J38" s="12">
        <f t="shared" si="0"/>
        <v>1675.0707778341803</v>
      </c>
      <c r="K38" s="12">
        <f t="shared" si="1"/>
        <v>3350.1415556683605</v>
      </c>
      <c r="L38" s="12">
        <f t="shared" si="2"/>
        <v>4187.6769445854507</v>
      </c>
      <c r="M38" s="12">
        <f t="shared" si="3"/>
        <v>8375.3538891709013</v>
      </c>
      <c r="N38" s="13">
        <f t="shared" si="4"/>
        <v>10469.192361463627</v>
      </c>
      <c r="O38" s="34"/>
    </row>
    <row r="39" spans="6:16" ht="16" x14ac:dyDescent="0.15">
      <c r="F39" s="46">
        <v>25</v>
      </c>
      <c r="H39" s="47">
        <v>25</v>
      </c>
      <c r="I39" s="10">
        <f t="shared" si="5"/>
        <v>2217.4742234961504</v>
      </c>
      <c r="J39" s="10">
        <f t="shared" si="0"/>
        <v>1773.9793787969204</v>
      </c>
      <c r="K39" s="10">
        <f t="shared" si="1"/>
        <v>3547.9587575938408</v>
      </c>
      <c r="L39" s="10">
        <f t="shared" si="2"/>
        <v>4434.9484469923009</v>
      </c>
      <c r="M39" s="10">
        <f t="shared" si="3"/>
        <v>8869.8968939846018</v>
      </c>
      <c r="N39" s="14">
        <f t="shared" si="4"/>
        <v>11087.371117480752</v>
      </c>
      <c r="O39" s="34"/>
    </row>
    <row r="40" spans="6:16" ht="16" x14ac:dyDescent="0.15">
      <c r="F40" s="46">
        <v>26</v>
      </c>
      <c r="H40" s="48">
        <v>26</v>
      </c>
      <c r="I40" s="12">
        <f t="shared" si="5"/>
        <v>2344.8190472356782</v>
      </c>
      <c r="J40" s="12">
        <f t="shared" si="0"/>
        <v>1875.8552377885426</v>
      </c>
      <c r="K40" s="12">
        <f t="shared" si="1"/>
        <v>3751.7104755770852</v>
      </c>
      <c r="L40" s="12">
        <f t="shared" si="2"/>
        <v>4689.6380944713565</v>
      </c>
      <c r="M40" s="12">
        <f t="shared" si="3"/>
        <v>9379.2761889427129</v>
      </c>
      <c r="N40" s="13">
        <f t="shared" si="4"/>
        <v>11724.095236178391</v>
      </c>
      <c r="O40" s="34"/>
    </row>
    <row r="41" spans="6:16" ht="16" x14ac:dyDescent="0.15">
      <c r="F41" s="46">
        <v>27</v>
      </c>
      <c r="H41" s="47">
        <v>27</v>
      </c>
      <c r="I41" s="10">
        <f t="shared" si="5"/>
        <v>2475.984215687391</v>
      </c>
      <c r="J41" s="10">
        <f t="shared" si="0"/>
        <v>1980.787372549913</v>
      </c>
      <c r="K41" s="10">
        <f t="shared" si="1"/>
        <v>3961.574745099826</v>
      </c>
      <c r="L41" s="10">
        <f t="shared" si="2"/>
        <v>4951.9684313747821</v>
      </c>
      <c r="M41" s="10">
        <f t="shared" si="3"/>
        <v>9903.9368627495642</v>
      </c>
      <c r="N41" s="14">
        <f t="shared" si="4"/>
        <v>12379.921078436957</v>
      </c>
      <c r="O41" s="34"/>
    </row>
    <row r="42" spans="6:16" ht="16" x14ac:dyDescent="0.15">
      <c r="F42" s="46">
        <v>28</v>
      </c>
      <c r="H42" s="48">
        <v>28</v>
      </c>
      <c r="I42" s="12">
        <f t="shared" si="5"/>
        <v>2611.0843391926555</v>
      </c>
      <c r="J42" s="12">
        <f t="shared" si="0"/>
        <v>2088.8674713541245</v>
      </c>
      <c r="K42" s="12">
        <f t="shared" si="1"/>
        <v>4177.734942708249</v>
      </c>
      <c r="L42" s="12">
        <f t="shared" si="2"/>
        <v>5222.1686783853111</v>
      </c>
      <c r="M42" s="12">
        <f t="shared" si="3"/>
        <v>10444.337356770622</v>
      </c>
      <c r="N42" s="13">
        <f t="shared" si="4"/>
        <v>13055.421695963278</v>
      </c>
      <c r="O42" s="34"/>
    </row>
    <row r="43" spans="6:16" ht="16" x14ac:dyDescent="0.15">
      <c r="F43" s="46">
        <v>29</v>
      </c>
      <c r="H43" s="47">
        <v>29</v>
      </c>
      <c r="I43" s="10">
        <f t="shared" si="5"/>
        <v>2750.2374664030785</v>
      </c>
      <c r="J43" s="10">
        <f t="shared" si="0"/>
        <v>2200.189973122463</v>
      </c>
      <c r="K43" s="10">
        <f t="shared" si="1"/>
        <v>4400.379946244926</v>
      </c>
      <c r="L43" s="10">
        <f t="shared" si="2"/>
        <v>5500.4749328061571</v>
      </c>
      <c r="M43" s="10">
        <f t="shared" si="3"/>
        <v>11000.949865612314</v>
      </c>
      <c r="N43" s="14">
        <f t="shared" si="4"/>
        <v>13751.187332015394</v>
      </c>
      <c r="O43" s="34"/>
    </row>
    <row r="44" spans="6:16" ht="16" x14ac:dyDescent="0.15">
      <c r="F44" s="46">
        <v>30</v>
      </c>
      <c r="H44" s="48">
        <v>30</v>
      </c>
      <c r="I44" s="12">
        <f t="shared" si="5"/>
        <v>2893.5651874298132</v>
      </c>
      <c r="J44" s="12">
        <f t="shared" si="0"/>
        <v>2314.8521499438507</v>
      </c>
      <c r="K44" s="12">
        <f t="shared" si="1"/>
        <v>4629.7042998877014</v>
      </c>
      <c r="L44" s="12">
        <f t="shared" si="2"/>
        <v>5787.1303748596265</v>
      </c>
      <c r="M44" s="12">
        <f t="shared" si="3"/>
        <v>11574.260749719253</v>
      </c>
      <c r="N44" s="13">
        <f t="shared" si="4"/>
        <v>14467.825937149068</v>
      </c>
      <c r="O44" s="34"/>
    </row>
    <row r="45" spans="6:16" ht="16" x14ac:dyDescent="0.15">
      <c r="F45" s="46">
        <v>31</v>
      </c>
      <c r="H45" s="47">
        <v>31</v>
      </c>
      <c r="I45" s="10">
        <f t="shared" si="5"/>
        <v>3041.1927400873519</v>
      </c>
      <c r="J45" s="10">
        <f t="shared" si="0"/>
        <v>2432.9541920698816</v>
      </c>
      <c r="K45" s="10">
        <f t="shared" si="1"/>
        <v>4865.9083841397633</v>
      </c>
      <c r="L45" s="10">
        <f t="shared" si="2"/>
        <v>6082.3854801747038</v>
      </c>
      <c r="M45" s="10">
        <f t="shared" si="3"/>
        <v>12164.770960349408</v>
      </c>
      <c r="N45" s="14">
        <f t="shared" si="4"/>
        <v>15205.96370043676</v>
      </c>
      <c r="O45" s="34"/>
    </row>
    <row r="46" spans="6:16" ht="16" x14ac:dyDescent="0.15">
      <c r="F46" s="46">
        <v>32</v>
      </c>
      <c r="H46" s="48">
        <v>32</v>
      </c>
      <c r="I46" s="12">
        <f t="shared" si="5"/>
        <v>3193.2491193246137</v>
      </c>
      <c r="J46" s="12">
        <f t="shared" si="0"/>
        <v>2554.5992954596909</v>
      </c>
      <c r="K46" s="12">
        <f t="shared" si="1"/>
        <v>5109.1985909193818</v>
      </c>
      <c r="L46" s="12">
        <f t="shared" si="2"/>
        <v>6386.4982386492275</v>
      </c>
      <c r="M46" s="12">
        <f t="shared" si="3"/>
        <v>12772.996477298455</v>
      </c>
      <c r="N46" s="13">
        <f t="shared" si="4"/>
        <v>15966.245596623068</v>
      </c>
      <c r="O46" s="34"/>
    </row>
    <row r="47" spans="6:16" ht="16" x14ac:dyDescent="0.15">
      <c r="F47" s="46">
        <v>33</v>
      </c>
      <c r="H47" s="47">
        <v>33</v>
      </c>
      <c r="I47" s="10">
        <f t="shared" si="5"/>
        <v>3349.867189938996</v>
      </c>
      <c r="J47" s="10">
        <f t="shared" si="0"/>
        <v>2679.8937519511969</v>
      </c>
      <c r="K47" s="10">
        <f t="shared" si="1"/>
        <v>5359.7875039023938</v>
      </c>
      <c r="L47" s="10">
        <f t="shared" si="2"/>
        <v>6699.7343798779921</v>
      </c>
      <c r="M47" s="10">
        <f t="shared" si="3"/>
        <v>13399.468759755984</v>
      </c>
      <c r="N47" s="14">
        <f t="shared" si="4"/>
        <v>16749.335949694982</v>
      </c>
      <c r="O47" s="34"/>
    </row>
    <row r="48" spans="6:16" ht="16" x14ac:dyDescent="0.15">
      <c r="F48" s="46">
        <v>34</v>
      </c>
      <c r="H48" s="48">
        <v>34</v>
      </c>
      <c r="I48" s="12">
        <f t="shared" si="5"/>
        <v>3511.1838026718087</v>
      </c>
      <c r="J48" s="12">
        <f t="shared" si="0"/>
        <v>2808.9470421374472</v>
      </c>
      <c r="K48" s="12">
        <f t="shared" si="1"/>
        <v>5617.8940842748943</v>
      </c>
      <c r="L48" s="12">
        <f t="shared" si="2"/>
        <v>7022.3676053436175</v>
      </c>
      <c r="M48" s="12">
        <f t="shared" si="3"/>
        <v>14044.735210687235</v>
      </c>
      <c r="N48" s="13">
        <f t="shared" si="4"/>
        <v>17555.919013359045</v>
      </c>
      <c r="O48" s="34"/>
    </row>
    <row r="49" spans="6:33" ht="16" x14ac:dyDescent="0.15">
      <c r="F49" s="46">
        <v>35</v>
      </c>
      <c r="H49" s="47">
        <v>35</v>
      </c>
      <c r="I49" s="10">
        <f t="shared" si="5"/>
        <v>3677.3399137866054</v>
      </c>
      <c r="J49" s="10">
        <f t="shared" si="0"/>
        <v>2941.8719310292845</v>
      </c>
      <c r="K49" s="10">
        <f t="shared" si="1"/>
        <v>5883.743862058569</v>
      </c>
      <c r="L49" s="10">
        <f t="shared" si="2"/>
        <v>7354.6798275732108</v>
      </c>
      <c r="M49" s="10">
        <f t="shared" si="3"/>
        <v>14709.359655146422</v>
      </c>
      <c r="N49" s="14">
        <f t="shared" si="4"/>
        <v>18386.699568933029</v>
      </c>
      <c r="O49" s="34"/>
    </row>
    <row r="50" spans="6:33" ht="16" x14ac:dyDescent="0.15">
      <c r="F50" s="46">
        <v>36</v>
      </c>
      <c r="H50" s="48">
        <v>36</v>
      </c>
      <c r="I50" s="12">
        <f t="shared" si="5"/>
        <v>3848.4807082348475</v>
      </c>
      <c r="J50" s="12">
        <f t="shared" si="0"/>
        <v>3078.7845665878781</v>
      </c>
      <c r="K50" s="12">
        <f t="shared" si="1"/>
        <v>6157.5691331757562</v>
      </c>
      <c r="L50" s="12">
        <f t="shared" si="2"/>
        <v>7696.961416469695</v>
      </c>
      <c r="M50" s="12">
        <f t="shared" si="3"/>
        <v>15393.92283293939</v>
      </c>
      <c r="N50" s="13">
        <f t="shared" si="4"/>
        <v>19242.403541174237</v>
      </c>
      <c r="O50" s="34"/>
    </row>
    <row r="51" spans="6:33" ht="16" x14ac:dyDescent="0.15">
      <c r="F51" s="46">
        <v>37</v>
      </c>
      <c r="H51" s="47">
        <v>37</v>
      </c>
      <c r="I51" s="10">
        <f t="shared" si="5"/>
        <v>4024.7557265165374</v>
      </c>
      <c r="J51" s="10">
        <f t="shared" si="0"/>
        <v>3219.80458121323</v>
      </c>
      <c r="K51" s="10">
        <f t="shared" si="1"/>
        <v>6439.60916242646</v>
      </c>
      <c r="L51" s="10">
        <f t="shared" si="2"/>
        <v>8049.5114530330748</v>
      </c>
      <c r="M51" s="10">
        <f t="shared" si="3"/>
        <v>16099.02290606615</v>
      </c>
      <c r="N51" s="14">
        <f t="shared" si="4"/>
        <v>20123.778632582689</v>
      </c>
      <c r="O51" s="34"/>
    </row>
    <row r="52" spans="6:33" ht="16" x14ac:dyDescent="0.15">
      <c r="F52" s="46">
        <v>38</v>
      </c>
      <c r="H52" s="48">
        <v>38</v>
      </c>
      <c r="I52" s="12">
        <f t="shared" si="5"/>
        <v>4206.3189953466772</v>
      </c>
      <c r="J52" s="12">
        <f t="shared" si="0"/>
        <v>3365.0551962773416</v>
      </c>
      <c r="K52" s="12">
        <f t="shared" si="1"/>
        <v>6730.1103925546831</v>
      </c>
      <c r="L52" s="12">
        <f t="shared" si="2"/>
        <v>8412.6379906933544</v>
      </c>
      <c r="M52" s="12">
        <f t="shared" si="3"/>
        <v>16825.275981386709</v>
      </c>
      <c r="N52" s="13">
        <f t="shared" si="4"/>
        <v>21031.594976733384</v>
      </c>
      <c r="O52" s="34"/>
    </row>
    <row r="53" spans="6:33" ht="16" x14ac:dyDescent="0.15">
      <c r="F53" s="46">
        <v>39</v>
      </c>
      <c r="H53" s="47">
        <v>39</v>
      </c>
      <c r="I53" s="10">
        <f t="shared" si="5"/>
        <v>4393.32916224172</v>
      </c>
      <c r="J53" s="10">
        <f t="shared" si="0"/>
        <v>3514.6633297933763</v>
      </c>
      <c r="K53" s="10">
        <f t="shared" si="1"/>
        <v>7029.3266595867526</v>
      </c>
      <c r="L53" s="10">
        <f t="shared" si="2"/>
        <v>8786.6583244834401</v>
      </c>
      <c r="M53" s="10">
        <f t="shared" si="3"/>
        <v>17573.31664896688</v>
      </c>
      <c r="N53" s="14">
        <f t="shared" si="4"/>
        <v>21966.6458112086</v>
      </c>
      <c r="O53" s="34"/>
    </row>
    <row r="54" spans="6:33" ht="16" x14ac:dyDescent="0.15">
      <c r="F54" s="46">
        <v>40</v>
      </c>
      <c r="H54" s="51">
        <v>40</v>
      </c>
      <c r="I54" s="15">
        <f t="shared" si="5"/>
        <v>4585.9496341436134</v>
      </c>
      <c r="J54" s="15">
        <f t="shared" si="0"/>
        <v>3668.7597073148909</v>
      </c>
      <c r="K54" s="15">
        <f t="shared" si="1"/>
        <v>7337.5194146297817</v>
      </c>
      <c r="L54" s="15">
        <f t="shared" si="2"/>
        <v>9171.8992682872267</v>
      </c>
      <c r="M54" s="15">
        <f t="shared" si="3"/>
        <v>18343.798536574453</v>
      </c>
      <c r="N54" s="16">
        <f t="shared" si="4"/>
        <v>22929.748170718067</v>
      </c>
      <c r="O54" s="34"/>
    </row>
    <row r="55" spans="6:33" ht="13" customHeight="1" x14ac:dyDescent="0.15">
      <c r="F55" s="32"/>
      <c r="H55" s="86" t="s">
        <v>9</v>
      </c>
      <c r="I55" s="86"/>
      <c r="J55" s="86"/>
      <c r="K55" s="86"/>
      <c r="L55" s="86"/>
      <c r="M55" s="86"/>
      <c r="N55" s="86"/>
      <c r="O55" s="34"/>
    </row>
    <row r="56" spans="6:33" ht="7" customHeight="1" thickBot="1" x14ac:dyDescent="0.2">
      <c r="F56" s="52"/>
      <c r="G56" s="53"/>
      <c r="H56" s="87"/>
      <c r="I56" s="87"/>
      <c r="J56" s="87"/>
      <c r="K56" s="87"/>
      <c r="L56" s="87"/>
      <c r="M56" s="87"/>
      <c r="N56" s="87"/>
      <c r="O56" s="54"/>
    </row>
    <row r="57" spans="6:33" s="4" customFormat="1" x14ac:dyDescent="0.15">
      <c r="H57" s="84" t="s">
        <v>10</v>
      </c>
      <c r="I57" s="84"/>
      <c r="J57" s="55"/>
      <c r="K57" s="55"/>
      <c r="L57" s="55"/>
      <c r="M57" s="55"/>
      <c r="N57" s="55"/>
      <c r="AG57" s="56"/>
    </row>
    <row r="58" spans="6:33" s="4" customFormat="1" x14ac:dyDescent="0.15">
      <c r="H58" s="85">
        <f>+(1+I60)^(1/I61)-1</f>
        <v>2.4662697723036864E-3</v>
      </c>
      <c r="I58" s="85"/>
      <c r="AG58" s="56"/>
    </row>
    <row r="60" spans="6:33" x14ac:dyDescent="0.15">
      <c r="H60" s="4" t="s">
        <v>11</v>
      </c>
      <c r="I60" s="3">
        <f>N10</f>
        <v>0.03</v>
      </c>
    </row>
    <row r="61" spans="6:33" x14ac:dyDescent="0.15">
      <c r="H61" s="4" t="s">
        <v>12</v>
      </c>
      <c r="I61" s="4">
        <v>12</v>
      </c>
    </row>
  </sheetData>
  <sheetProtection algorithmName="SHA-512" hashValue="ZV/PUZipgtYLrxuptKZnyr90dXcW5DAyqfjoB0JQernqeieMXG0dN7h7n9bDsG5yj2VcFDqhqwpCX4uaqKsXwQ==" saltValue="DkOzpvw1gdQN1s9OwOJg1A==" spinCount="100000" sheet="1" objects="1" scenarios="1"/>
  <mergeCells count="9">
    <mergeCell ref="H2:J2"/>
    <mergeCell ref="H57:I57"/>
    <mergeCell ref="H58:I58"/>
    <mergeCell ref="H55:N56"/>
    <mergeCell ref="I13:N13"/>
    <mergeCell ref="K10:M10"/>
    <mergeCell ref="F4:I4"/>
    <mergeCell ref="I6:M6"/>
    <mergeCell ref="M5:O5"/>
  </mergeCells>
  <phoneticPr fontId="1" type="noConversion"/>
  <dataValidations count="1">
    <dataValidation type="list" allowBlank="1" showInputMessage="1" showErrorMessage="1" sqref="N10" xr:uid="{00000000-0002-0000-0000-000000000000}">
      <formula1>$AG$6:$AG$20</formula1>
    </dataValidation>
  </dataValidations>
  <pageMargins left="0.75" right="0.75" top="1" bottom="1" header="0" footer="0"/>
  <pageSetup scale="62" orientation="landscape" r:id="rId1"/>
  <headerFooter alignWithMargins="0">
    <oddFooter>&amp;L&amp;1#&amp;"Calibri"&amp;9&amp;K737373Classification: Customer Confidential</oddFooter>
  </headerFooter>
  <customProperties>
    <customPr name="QAA_DRILLPATH_NODE_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3F7826-F9E5-4041-9EB5-6DFBBDF61407}">
          <x14:formula1>
            <xm:f>UFF!$C$3:$C$4</xm:f>
          </x14:formula1>
          <xm:sqref>O9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D1:AA66"/>
  <sheetViews>
    <sheetView tabSelected="1" zoomScaleNormal="100" workbookViewId="0">
      <selection activeCell="J6" sqref="J6"/>
    </sheetView>
  </sheetViews>
  <sheetFormatPr baseColWidth="10" defaultColWidth="11.33203125" defaultRowHeight="13" x14ac:dyDescent="0.15"/>
  <cols>
    <col min="1" max="1" width="11.33203125" style="27"/>
    <col min="2" max="2" width="3.1640625" style="27" customWidth="1"/>
    <col min="3" max="3" width="2.6640625" style="27" customWidth="1"/>
    <col min="4" max="4" width="2.1640625" style="27" customWidth="1"/>
    <col min="5" max="5" width="1.1640625" style="27" customWidth="1"/>
    <col min="6" max="6" width="19.33203125" style="27" customWidth="1"/>
    <col min="7" max="12" width="18.33203125" style="27" customWidth="1"/>
    <col min="13" max="13" width="15.33203125" style="27" customWidth="1"/>
    <col min="14" max="14" width="11.33203125" style="27"/>
    <col min="15" max="15" width="13.6640625" style="27" bestFit="1" customWidth="1"/>
    <col min="16" max="26" width="11.33203125" style="27"/>
    <col min="27" max="27" width="11.33203125" style="41"/>
    <col min="28" max="16384" width="11.33203125" style="27"/>
  </cols>
  <sheetData>
    <row r="1" spans="4:27" ht="14" thickBot="1" x14ac:dyDescent="0.2"/>
    <row r="2" spans="4:27" ht="16" thickBot="1" x14ac:dyDescent="0.25">
      <c r="F2" s="97" t="s">
        <v>0</v>
      </c>
      <c r="G2" s="98"/>
      <c r="H2" s="99"/>
      <c r="I2" s="70"/>
    </row>
    <row r="3" spans="4:27" ht="19" x14ac:dyDescent="0.25">
      <c r="D3" s="29" t="s">
        <v>1</v>
      </c>
      <c r="AA3" s="43">
        <v>1.4999999999999999E-2</v>
      </c>
    </row>
    <row r="4" spans="4:27" x14ac:dyDescent="0.15">
      <c r="AA4" s="43">
        <v>0.02</v>
      </c>
    </row>
    <row r="5" spans="4:27" ht="14" thickBot="1" x14ac:dyDescent="0.2">
      <c r="D5" s="91"/>
      <c r="E5" s="91"/>
      <c r="F5" s="91"/>
      <c r="G5" s="91"/>
      <c r="AA5" s="43">
        <v>2.5000000000000001E-2</v>
      </c>
    </row>
    <row r="6" spans="4:27" x14ac:dyDescent="0.15">
      <c r="D6" s="30"/>
      <c r="E6" s="31"/>
      <c r="F6" s="31"/>
      <c r="G6" s="31"/>
      <c r="H6" s="31"/>
      <c r="I6" s="31"/>
      <c r="J6" s="31"/>
      <c r="K6" s="102" t="str">
        <f>+UF!M5</f>
        <v>Actualizado a Julio 2024</v>
      </c>
      <c r="L6" s="103"/>
      <c r="M6" s="104"/>
      <c r="AA6" s="43">
        <v>0.03</v>
      </c>
    </row>
    <row r="7" spans="4:27" ht="18" x14ac:dyDescent="0.2">
      <c r="D7" s="32"/>
      <c r="G7" s="105" t="s">
        <v>2</v>
      </c>
      <c r="H7" s="105"/>
      <c r="I7" s="105"/>
      <c r="J7" s="105"/>
      <c r="K7" s="105"/>
      <c r="L7" s="71"/>
      <c r="M7" s="34"/>
      <c r="AA7" s="43">
        <v>3.5000000000000003E-2</v>
      </c>
    </row>
    <row r="8" spans="4:27" ht="16" customHeight="1" x14ac:dyDescent="0.2">
      <c r="D8" s="32"/>
      <c r="G8" s="72"/>
      <c r="H8" s="72"/>
      <c r="I8" s="72"/>
      <c r="J8" s="72"/>
      <c r="K8" s="72"/>
      <c r="L8" s="72"/>
      <c r="M8" s="34"/>
      <c r="AA8" s="43">
        <v>0.04</v>
      </c>
    </row>
    <row r="9" spans="4:27" ht="16" customHeight="1" x14ac:dyDescent="0.2">
      <c r="D9" s="32"/>
      <c r="F9" s="39"/>
      <c r="G9" s="68"/>
      <c r="H9" s="68"/>
      <c r="I9" s="68"/>
      <c r="J9" s="68"/>
      <c r="L9" s="68"/>
      <c r="M9" s="34"/>
      <c r="AA9" s="43">
        <v>4.4999999999999998E-2</v>
      </c>
    </row>
    <row r="10" spans="4:27" ht="16" customHeight="1" x14ac:dyDescent="0.2">
      <c r="D10" s="32"/>
      <c r="F10" s="67"/>
      <c r="G10" s="37" t="s">
        <v>13</v>
      </c>
      <c r="H10" s="17">
        <v>1000000</v>
      </c>
      <c r="I10" s="100" t="s">
        <v>4</v>
      </c>
      <c r="J10" s="100"/>
      <c r="K10" s="100" t="s">
        <v>4</v>
      </c>
      <c r="L10" s="73">
        <f>IF(M10=UFF!C3,UFF!B3,UFF!B4)</f>
        <v>37605.64</v>
      </c>
      <c r="M10" s="73" t="s">
        <v>28</v>
      </c>
      <c r="AA10" s="43">
        <v>0.05</v>
      </c>
    </row>
    <row r="11" spans="4:27" ht="16" x14ac:dyDescent="0.2">
      <c r="D11" s="32"/>
      <c r="F11" s="67"/>
      <c r="G11" s="40"/>
      <c r="H11" s="40"/>
      <c r="I11" s="100" t="s">
        <v>14</v>
      </c>
      <c r="J11" s="100"/>
      <c r="K11" s="101"/>
      <c r="L11" s="8">
        <v>0.03</v>
      </c>
      <c r="M11" s="34"/>
      <c r="AA11" s="43">
        <v>5.5E-2</v>
      </c>
    </row>
    <row r="12" spans="4:27" ht="16" hidden="1" x14ac:dyDescent="0.2">
      <c r="D12" s="32"/>
      <c r="F12" s="67"/>
      <c r="G12" s="40"/>
      <c r="H12" s="5"/>
      <c r="I12" s="68"/>
      <c r="J12" s="69"/>
      <c r="K12" s="67"/>
      <c r="L12" s="67"/>
      <c r="M12" s="34"/>
      <c r="AA12" s="43">
        <v>0.06</v>
      </c>
    </row>
    <row r="13" spans="4:27" x14ac:dyDescent="0.15">
      <c r="D13" s="32"/>
      <c r="M13" s="34"/>
      <c r="AA13" s="43">
        <v>6.5000000000000002E-2</v>
      </c>
    </row>
    <row r="14" spans="4:27" ht="17" x14ac:dyDescent="0.2">
      <c r="D14" s="32"/>
      <c r="F14" s="44" t="s">
        <v>6</v>
      </c>
      <c r="G14" s="88" t="s">
        <v>15</v>
      </c>
      <c r="H14" s="88"/>
      <c r="I14" s="88"/>
      <c r="J14" s="88"/>
      <c r="K14" s="88"/>
      <c r="L14" s="88"/>
      <c r="M14" s="34"/>
      <c r="AA14" s="43">
        <v>7.0000000000000007E-2</v>
      </c>
    </row>
    <row r="15" spans="4:27" ht="17" x14ac:dyDescent="0.15">
      <c r="D15" s="32"/>
      <c r="F15" s="45" t="s">
        <v>8</v>
      </c>
      <c r="G15" s="26">
        <v>200000</v>
      </c>
      <c r="H15" s="26">
        <v>200000</v>
      </c>
      <c r="I15" s="76">
        <v>300000</v>
      </c>
      <c r="J15" s="76">
        <v>400000</v>
      </c>
      <c r="K15" s="76">
        <v>500000</v>
      </c>
      <c r="L15" s="76">
        <v>600000</v>
      </c>
      <c r="M15" s="34"/>
      <c r="AA15" s="43">
        <v>7.4999999999999997E-2</v>
      </c>
    </row>
    <row r="16" spans="4:27" ht="16" x14ac:dyDescent="0.15">
      <c r="D16" s="46">
        <v>1</v>
      </c>
      <c r="E16" s="41"/>
      <c r="F16" s="57">
        <v>1</v>
      </c>
      <c r="G16" s="18">
        <f>($H$10*((1+$F$66)^(12*$F16)))+(FV($F$66,12*$D16,-$G$15))</f>
        <v>3462823.8813857059</v>
      </c>
      <c r="H16" s="18">
        <f>($H$10*((1+$F$66)^(12*$F16)))+(FV($F$66,12*$D16,-$H$15))</f>
        <v>3462823.8813857059</v>
      </c>
      <c r="I16" s="18">
        <f>($H$10*((1+$F$66)^(12*$F16)))+(FV($F$66,12*$D16,-$I$15))</f>
        <v>4679235.8220785586</v>
      </c>
      <c r="J16" s="18">
        <f>($H$10*((1+$F$66)^(12*$F16)))+(FV($F$66,12*$D16,-$J$15))</f>
        <v>5895647.7627714109</v>
      </c>
      <c r="K16" s="18">
        <f>($H$10*((1+$F$66)^(12*$F16)))+(FV($F$66,12*$D16,-$K$15))</f>
        <v>7112059.7034642641</v>
      </c>
      <c r="L16" s="19">
        <f>($H$10*((1+$F$66)^(12*$F16)))+(FV($F$66,12*$D16,-$L$15))</f>
        <v>8328471.6441571172</v>
      </c>
      <c r="M16" s="34"/>
      <c r="AA16" s="43">
        <v>0.08</v>
      </c>
    </row>
    <row r="17" spans="4:27" ht="16" x14ac:dyDescent="0.15">
      <c r="D17" s="46">
        <v>2</v>
      </c>
      <c r="E17" s="41"/>
      <c r="F17" s="58">
        <v>2</v>
      </c>
      <c r="G17" s="20">
        <f t="shared" ref="G17:G55" si="0">($H$10*((1+$F$66)^(12*$F17)))+(FV($F$66,12*$D17,-$G$15))</f>
        <v>5999532.4792129556</v>
      </c>
      <c r="H17" s="20">
        <f t="shared" ref="H17:H55" si="1">($H$10*((1+$F$66)^(12*$F17)))+(FV($F$66,12*$D17,-$H$15))</f>
        <v>5999532.4792129556</v>
      </c>
      <c r="I17" s="20">
        <f t="shared" ref="I17:I55" si="2">($H$10*((1+$F$66)^(12*$F17)))+(FV($F$66,12*$D17,-$I$15))</f>
        <v>8468848.7188194338</v>
      </c>
      <c r="J17" s="20">
        <f t="shared" ref="J17:J55" si="3">($H$10*((1+$F$66)^(12*$F17)))+(FV($F$66,12*$D17,-$J$15))</f>
        <v>10938164.958425909</v>
      </c>
      <c r="K17" s="20">
        <f t="shared" ref="K17:K55" si="4">($H$10*((1+$F$66)^(12*$F17)))+(FV($F$66,12*$D17,-$K$15))</f>
        <v>13407481.198032387</v>
      </c>
      <c r="L17" s="21">
        <f t="shared" ref="L17:L55" si="5">($H$10*((1+$F$66)^(12*$F17)))+(FV($F$66,12*$D17,-$L$15))</f>
        <v>15876797.437638866</v>
      </c>
      <c r="M17" s="34"/>
      <c r="AA17" s="27"/>
    </row>
    <row r="18" spans="4:27" ht="16" x14ac:dyDescent="0.15">
      <c r="D18" s="46">
        <v>3</v>
      </c>
      <c r="F18" s="59">
        <v>3</v>
      </c>
      <c r="G18" s="22">
        <f t="shared" si="0"/>
        <v>8612342.334975034</v>
      </c>
      <c r="H18" s="22">
        <f t="shared" si="1"/>
        <v>8612342.334975034</v>
      </c>
      <c r="I18" s="22">
        <f>($H$10*((1+$F$66)^(12*$F18)))+(FV($F$66,12*$D18,-$I$15))</f>
        <v>12372150.002462547</v>
      </c>
      <c r="J18" s="22">
        <f t="shared" si="3"/>
        <v>16131957.669950064</v>
      </c>
      <c r="K18" s="22">
        <f t="shared" si="4"/>
        <v>19891765.337437581</v>
      </c>
      <c r="L18" s="23">
        <f t="shared" si="5"/>
        <v>23651573.004925095</v>
      </c>
      <c r="M18" s="34"/>
      <c r="AA18" s="60"/>
    </row>
    <row r="19" spans="4:27" ht="16" x14ac:dyDescent="0.15">
      <c r="D19" s="46">
        <v>4</v>
      </c>
      <c r="F19" s="58">
        <v>4</v>
      </c>
      <c r="G19" s="20">
        <f t="shared" si="0"/>
        <v>11303536.486409975</v>
      </c>
      <c r="H19" s="20">
        <f t="shared" si="1"/>
        <v>11303536.486409975</v>
      </c>
      <c r="I19" s="20">
        <f t="shared" si="2"/>
        <v>16392550.324614963</v>
      </c>
      <c r="J19" s="20">
        <f t="shared" si="3"/>
        <v>21481564.162819952</v>
      </c>
      <c r="K19" s="20">
        <f t="shared" si="4"/>
        <v>26570578.001024939</v>
      </c>
      <c r="L19" s="21">
        <f t="shared" si="5"/>
        <v>31659591.839229926</v>
      </c>
      <c r="M19" s="34"/>
    </row>
    <row r="20" spans="4:27" ht="16" x14ac:dyDescent="0.15">
      <c r="D20" s="46">
        <v>5</v>
      </c>
      <c r="F20" s="47">
        <v>5</v>
      </c>
      <c r="G20" s="22">
        <f t="shared" si="0"/>
        <v>14075466.462387988</v>
      </c>
      <c r="H20" s="22">
        <f t="shared" si="1"/>
        <v>14075466.462387988</v>
      </c>
      <c r="I20" s="22">
        <f t="shared" si="2"/>
        <v>20533562.656431984</v>
      </c>
      <c r="J20" s="22">
        <f t="shared" si="3"/>
        <v>26991658.850475974</v>
      </c>
      <c r="K20" s="22">
        <f t="shared" si="4"/>
        <v>33449755.044519968</v>
      </c>
      <c r="L20" s="23">
        <f t="shared" si="5"/>
        <v>39907851.238563962</v>
      </c>
      <c r="M20" s="34"/>
    </row>
    <row r="21" spans="4:27" ht="16" x14ac:dyDescent="0.15">
      <c r="D21" s="46">
        <v>6</v>
      </c>
      <c r="F21" s="58">
        <v>6</v>
      </c>
      <c r="G21" s="20">
        <f t="shared" si="0"/>
        <v>16930554.337645315</v>
      </c>
      <c r="H21" s="20">
        <f t="shared" si="1"/>
        <v>16930554.337645315</v>
      </c>
      <c r="I21" s="20">
        <f t="shared" si="2"/>
        <v>24798805.358203471</v>
      </c>
      <c r="J21" s="20">
        <f t="shared" si="3"/>
        <v>32667056.378761627</v>
      </c>
      <c r="K21" s="20">
        <f t="shared" si="4"/>
        <v>40535307.399319783</v>
      </c>
      <c r="L21" s="21">
        <f t="shared" si="5"/>
        <v>48403558.419877939</v>
      </c>
      <c r="M21" s="34"/>
    </row>
    <row r="22" spans="4:27" ht="16" x14ac:dyDescent="0.15">
      <c r="D22" s="46">
        <v>7</v>
      </c>
      <c r="F22" s="59">
        <v>7</v>
      </c>
      <c r="G22" s="22">
        <f t="shared" si="0"/>
        <v>19871294.849160377</v>
      </c>
      <c r="H22" s="22">
        <f t="shared" si="1"/>
        <v>19871294.849160377</v>
      </c>
      <c r="I22" s="22">
        <f t="shared" si="2"/>
        <v>29192005.341028132</v>
      </c>
      <c r="J22" s="22">
        <f t="shared" si="3"/>
        <v>38512715.832895882</v>
      </c>
      <c r="K22" s="22">
        <f t="shared" si="4"/>
        <v>47833426.324763633</v>
      </c>
      <c r="L22" s="23">
        <f t="shared" si="5"/>
        <v>57154136.816631392</v>
      </c>
      <c r="M22" s="34"/>
    </row>
    <row r="23" spans="4:27" ht="16" x14ac:dyDescent="0.15">
      <c r="D23" s="46">
        <v>8</v>
      </c>
      <c r="F23" s="58">
        <v>8</v>
      </c>
      <c r="G23" s="20">
        <f t="shared" si="0"/>
        <v>22900257.576020859</v>
      </c>
      <c r="H23" s="20">
        <f t="shared" si="1"/>
        <v>22900257.576020859</v>
      </c>
      <c r="I23" s="20">
        <f t="shared" si="2"/>
        <v>33717001.323337473</v>
      </c>
      <c r="J23" s="20">
        <f t="shared" si="3"/>
        <v>44533745.070654094</v>
      </c>
      <c r="K23" s="20">
        <f t="shared" si="4"/>
        <v>55350488.817970708</v>
      </c>
      <c r="L23" s="21">
        <f t="shared" si="5"/>
        <v>66167232.565287329</v>
      </c>
      <c r="M23" s="34"/>
    </row>
    <row r="24" spans="4:27" ht="16" x14ac:dyDescent="0.15">
      <c r="D24" s="46">
        <v>9</v>
      </c>
      <c r="F24" s="47">
        <v>9</v>
      </c>
      <c r="G24" s="22">
        <f t="shared" si="0"/>
        <v>26020089.184687201</v>
      </c>
      <c r="H24" s="22">
        <f t="shared" si="1"/>
        <v>26020089.184687201</v>
      </c>
      <c r="I24" s="22">
        <f t="shared" si="2"/>
        <v>38377747.185116179</v>
      </c>
      <c r="J24" s="22">
        <f t="shared" si="3"/>
        <v>50735405.185545154</v>
      </c>
      <c r="K24" s="22">
        <f t="shared" si="4"/>
        <v>63093063.185974129</v>
      </c>
      <c r="L24" s="23">
        <f t="shared" si="5"/>
        <v>75450721.186403111</v>
      </c>
      <c r="M24" s="34"/>
    </row>
    <row r="25" spans="4:27" ht="16" x14ac:dyDescent="0.15">
      <c r="D25" s="46">
        <v>10</v>
      </c>
      <c r="F25" s="58">
        <v>10</v>
      </c>
      <c r="G25" s="20">
        <f t="shared" si="0"/>
        <v>29233515.741613511</v>
      </c>
      <c r="H25" s="20">
        <f t="shared" si="1"/>
        <v>29233515.741613511</v>
      </c>
      <c r="I25" s="20">
        <f t="shared" si="2"/>
        <v>43178315.422748208</v>
      </c>
      <c r="J25" s="20">
        <f t="shared" si="3"/>
        <v>57123115.103882901</v>
      </c>
      <c r="K25" s="20">
        <f t="shared" si="4"/>
        <v>71067914.785017595</v>
      </c>
      <c r="L25" s="21">
        <f t="shared" si="5"/>
        <v>85012714.466152281</v>
      </c>
      <c r="M25" s="34"/>
    </row>
    <row r="26" spans="4:27" ht="16" x14ac:dyDescent="0.15">
      <c r="D26" s="46">
        <v>11</v>
      </c>
      <c r="F26" s="59">
        <v>11</v>
      </c>
      <c r="G26" s="22">
        <f t="shared" si="0"/>
        <v>32543345.095247597</v>
      </c>
      <c r="H26" s="22">
        <f t="shared" si="1"/>
        <v>32543345.095247597</v>
      </c>
      <c r="I26" s="22">
        <f t="shared" si="2"/>
        <v>48122900.70750916</v>
      </c>
      <c r="J26" s="22">
        <f t="shared" si="3"/>
        <v>63702456.319770738</v>
      </c>
      <c r="K26" s="22">
        <f t="shared" si="4"/>
        <v>79282011.932032317</v>
      </c>
      <c r="L26" s="23">
        <f t="shared" si="5"/>
        <v>94861567.54429388</v>
      </c>
      <c r="M26" s="34"/>
    </row>
    <row r="27" spans="4:27" ht="16" x14ac:dyDescent="0.15">
      <c r="D27" s="46">
        <v>12</v>
      </c>
      <c r="F27" s="58">
        <v>12</v>
      </c>
      <c r="G27" s="20">
        <f t="shared" si="0"/>
        <v>35952469.329490721</v>
      </c>
      <c r="H27" s="20">
        <f t="shared" si="1"/>
        <v>35952469.329490721</v>
      </c>
      <c r="I27" s="20">
        <f t="shared" si="2"/>
        <v>53215823.550812989</v>
      </c>
      <c r="J27" s="20">
        <f t="shared" si="3"/>
        <v>70479177.772135258</v>
      </c>
      <c r="K27" s="20">
        <f t="shared" si="4"/>
        <v>87742531.993457526</v>
      </c>
      <c r="L27" s="21">
        <f t="shared" si="5"/>
        <v>105005886.21477979</v>
      </c>
      <c r="M27" s="34"/>
    </row>
    <row r="28" spans="4:27" ht="16" x14ac:dyDescent="0.15">
      <c r="D28" s="46">
        <v>13</v>
      </c>
      <c r="F28" s="47">
        <v>13</v>
      </c>
      <c r="G28" s="22">
        <f t="shared" si="0"/>
        <v>39463867.290761165</v>
      </c>
      <c r="H28" s="22">
        <f t="shared" si="1"/>
        <v>39463867.290761165</v>
      </c>
      <c r="I28" s="22">
        <f t="shared" si="2"/>
        <v>58461534.079415962</v>
      </c>
      <c r="J28" s="22">
        <f t="shared" si="3"/>
        <v>77459200.868070751</v>
      </c>
      <c r="K28" s="22">
        <f t="shared" si="4"/>
        <v>96456867.656725556</v>
      </c>
      <c r="L28" s="23">
        <f t="shared" si="5"/>
        <v>115454534.44538034</v>
      </c>
      <c r="M28" s="34"/>
    </row>
    <row r="29" spans="4:27" ht="16" x14ac:dyDescent="0.15">
      <c r="D29" s="46">
        <v>14</v>
      </c>
      <c r="F29" s="58">
        <v>14</v>
      </c>
      <c r="G29" s="20">
        <f t="shared" si="0"/>
        <v>43080607.190869682</v>
      </c>
      <c r="H29" s="20">
        <f t="shared" si="1"/>
        <v>43080607.190869682</v>
      </c>
      <c r="I29" s="20">
        <f t="shared" si="2"/>
        <v>63864615.923876971</v>
      </c>
      <c r="J29" s="20">
        <f t="shared" si="3"/>
        <v>84648624.656884238</v>
      </c>
      <c r="K29" s="20">
        <f t="shared" si="4"/>
        <v>105432633.38989152</v>
      </c>
      <c r="L29" s="21">
        <f t="shared" si="5"/>
        <v>126216642.12289882</v>
      </c>
      <c r="M29" s="34"/>
    </row>
    <row r="30" spans="4:27" ht="16" x14ac:dyDescent="0.15">
      <c r="D30" s="46">
        <v>15</v>
      </c>
      <c r="F30" s="59">
        <v>15</v>
      </c>
      <c r="G30" s="22">
        <f t="shared" si="0"/>
        <v>46805849.28798151</v>
      </c>
      <c r="H30" s="22">
        <f t="shared" si="1"/>
        <v>46805849.28798151</v>
      </c>
      <c r="I30" s="22">
        <f t="shared" si="2"/>
        <v>69429790.223671883</v>
      </c>
      <c r="J30" s="22">
        <f t="shared" si="3"/>
        <v>92053731.159362257</v>
      </c>
      <c r="K30" s="22">
        <f t="shared" si="4"/>
        <v>114677672.0950526</v>
      </c>
      <c r="L30" s="23">
        <f t="shared" si="5"/>
        <v>137301613.03074297</v>
      </c>
      <c r="M30" s="34"/>
    </row>
    <row r="31" spans="4:27" ht="16" x14ac:dyDescent="0.15">
      <c r="D31" s="46">
        <v>16</v>
      </c>
      <c r="F31" s="58">
        <v>16</v>
      </c>
      <c r="G31" s="20">
        <f t="shared" si="0"/>
        <v>50642848.648006618</v>
      </c>
      <c r="H31" s="20">
        <f t="shared" si="1"/>
        <v>50642848.648006618</v>
      </c>
      <c r="I31" s="20">
        <f t="shared" si="2"/>
        <v>75161919.75246051</v>
      </c>
      <c r="J31" s="20">
        <f t="shared" si="3"/>
        <v>99680990.856914431</v>
      </c>
      <c r="K31" s="20">
        <f t="shared" si="4"/>
        <v>124200061.96136834</v>
      </c>
      <c r="L31" s="21">
        <f t="shared" si="5"/>
        <v>148719133.06582224</v>
      </c>
      <c r="M31" s="34"/>
    </row>
    <row r="32" spans="4:27" ht="16" x14ac:dyDescent="0.15">
      <c r="D32" s="46">
        <v>17</v>
      </c>
      <c r="F32" s="47">
        <v>17</v>
      </c>
      <c r="G32" s="22">
        <f t="shared" si="0"/>
        <v>54594957.988832533</v>
      </c>
      <c r="H32" s="22">
        <f t="shared" si="1"/>
        <v>54594957.988832533</v>
      </c>
      <c r="I32" s="22">
        <f t="shared" si="2"/>
        <v>81066013.167112917</v>
      </c>
      <c r="J32" s="22">
        <f t="shared" si="3"/>
        <v>107537068.3453933</v>
      </c>
      <c r="K32" s="22">
        <f t="shared" si="4"/>
        <v>134008123.52367368</v>
      </c>
      <c r="L32" s="23">
        <f t="shared" si="5"/>
        <v>160479178.7019541</v>
      </c>
      <c r="M32" s="34"/>
    </row>
    <row r="33" spans="4:15" ht="16" x14ac:dyDescent="0.15">
      <c r="D33" s="46">
        <v>18</v>
      </c>
      <c r="F33" s="58">
        <v>18</v>
      </c>
      <c r="G33" s="20">
        <f t="shared" si="0"/>
        <v>58665630.609883189</v>
      </c>
      <c r="H33" s="20">
        <f t="shared" si="1"/>
        <v>58665630.609883189</v>
      </c>
      <c r="I33" s="20">
        <f t="shared" si="2"/>
        <v>87147229.384204835</v>
      </c>
      <c r="J33" s="20">
        <f t="shared" si="3"/>
        <v>115628828.15852647</v>
      </c>
      <c r="K33" s="20">
        <f t="shared" si="4"/>
        <v>144110426.9328481</v>
      </c>
      <c r="L33" s="21">
        <f t="shared" si="5"/>
        <v>172592025.70716974</v>
      </c>
      <c r="M33" s="34"/>
    </row>
    <row r="34" spans="4:15" ht="16" x14ac:dyDescent="0.15">
      <c r="D34" s="46">
        <v>19</v>
      </c>
      <c r="F34" s="59">
        <v>19</v>
      </c>
      <c r="G34" s="22">
        <f t="shared" si="0"/>
        <v>62858423.409565389</v>
      </c>
      <c r="H34" s="22">
        <f t="shared" si="1"/>
        <v>62858423.409565389</v>
      </c>
      <c r="I34" s="22">
        <f t="shared" si="2"/>
        <v>93410882.087809548</v>
      </c>
      <c r="J34" s="22">
        <f t="shared" si="3"/>
        <v>123963340.76605368</v>
      </c>
      <c r="K34" s="22">
        <f t="shared" si="4"/>
        <v>154515799.44429782</v>
      </c>
      <c r="L34" s="23">
        <f t="shared" si="5"/>
        <v>185068258.12254196</v>
      </c>
      <c r="M34" s="34"/>
    </row>
    <row r="35" spans="4:15" ht="16" x14ac:dyDescent="0.15">
      <c r="D35" s="46">
        <v>20</v>
      </c>
      <c r="F35" s="58">
        <v>20</v>
      </c>
      <c r="G35" s="20">
        <f t="shared" si="0"/>
        <v>67176999.993238077</v>
      </c>
      <c r="H35" s="20">
        <f t="shared" si="1"/>
        <v>67176999.993238077</v>
      </c>
      <c r="I35" s="20">
        <f t="shared" si="2"/>
        <v>99862444.372522414</v>
      </c>
      <c r="J35" s="20">
        <f t="shared" si="3"/>
        <v>132547888.75180674</v>
      </c>
      <c r="K35" s="20">
        <f t="shared" si="4"/>
        <v>165233333.13109109</v>
      </c>
      <c r="L35" s="21">
        <f t="shared" si="5"/>
        <v>197918777.51037541</v>
      </c>
      <c r="M35" s="34"/>
    </row>
    <row r="36" spans="4:15" ht="16" x14ac:dyDescent="0.15">
      <c r="D36" s="46">
        <v>21</v>
      </c>
      <c r="F36" s="47">
        <v>21</v>
      </c>
      <c r="G36" s="22">
        <f t="shared" si="0"/>
        <v>71625133.874420956</v>
      </c>
      <c r="H36" s="22">
        <f t="shared" si="1"/>
        <v>71625133.874420956</v>
      </c>
      <c r="I36" s="22">
        <f t="shared" si="2"/>
        <v>106507553.52577668</v>
      </c>
      <c r="J36" s="22">
        <f t="shared" si="3"/>
        <v>141389973.1771324</v>
      </c>
      <c r="K36" s="22">
        <f t="shared" si="4"/>
        <v>176272392.82848814</v>
      </c>
      <c r="L36" s="23">
        <f t="shared" si="5"/>
        <v>211154812.47984385</v>
      </c>
      <c r="M36" s="34"/>
    </row>
    <row r="37" spans="4:15" ht="16" x14ac:dyDescent="0.15">
      <c r="D37" s="46">
        <v>22</v>
      </c>
      <c r="F37" s="58">
        <v>22</v>
      </c>
      <c r="G37" s="20">
        <f t="shared" si="0"/>
        <v>76206711.77203925</v>
      </c>
      <c r="H37" s="20">
        <f t="shared" si="1"/>
        <v>76206711.77203925</v>
      </c>
      <c r="I37" s="20">
        <f t="shared" si="2"/>
        <v>113352015.9536285</v>
      </c>
      <c r="J37" s="20">
        <f t="shared" si="3"/>
        <v>150497320.13521773</v>
      </c>
      <c r="K37" s="20">
        <f t="shared" si="4"/>
        <v>187642624.31680697</v>
      </c>
      <c r="L37" s="21">
        <f t="shared" si="5"/>
        <v>224787928.49839622</v>
      </c>
      <c r="M37" s="34"/>
    </row>
    <row r="38" spans="4:15" ht="16" x14ac:dyDescent="0.15">
      <c r="D38" s="46">
        <v>23</v>
      </c>
      <c r="F38" s="59">
        <v>23</v>
      </c>
      <c r="G38" s="22">
        <f t="shared" si="0"/>
        <v>80925737.006586164</v>
      </c>
      <c r="H38" s="22">
        <f t="shared" si="1"/>
        <v>80925737.006586164</v>
      </c>
      <c r="I38" s="22">
        <f t="shared" si="2"/>
        <v>120401812.25431593</v>
      </c>
      <c r="J38" s="22">
        <f t="shared" si="3"/>
        <v>159877887.50204569</v>
      </c>
      <c r="K38" s="22">
        <f t="shared" si="4"/>
        <v>199353962.74977544</v>
      </c>
      <c r="L38" s="23">
        <f t="shared" si="5"/>
        <v>238830037.99750522</v>
      </c>
      <c r="M38" s="34"/>
    </row>
    <row r="39" spans="4:15" ht="16" x14ac:dyDescent="0.15">
      <c r="D39" s="46">
        <v>24</v>
      </c>
      <c r="F39" s="58">
        <v>24</v>
      </c>
      <c r="G39" s="20">
        <f t="shared" si="0"/>
        <v>85786332.998169437</v>
      </c>
      <c r="H39" s="20">
        <f t="shared" si="1"/>
        <v>85786332.998169437</v>
      </c>
      <c r="I39" s="20">
        <f t="shared" si="2"/>
        <v>127663102.44402394</v>
      </c>
      <c r="J39" s="20">
        <f t="shared" si="3"/>
        <v>169539871.88987845</v>
      </c>
      <c r="K39" s="20">
        <f t="shared" si="4"/>
        <v>211416641.33573297</v>
      </c>
      <c r="L39" s="21">
        <f t="shared" si="5"/>
        <v>253293410.78158745</v>
      </c>
      <c r="M39" s="34"/>
      <c r="O39" s="50"/>
    </row>
    <row r="40" spans="4:15" ht="16" x14ac:dyDescent="0.15">
      <c r="D40" s="46">
        <v>25</v>
      </c>
      <c r="F40" s="47">
        <v>25</v>
      </c>
      <c r="G40" s="22">
        <f t="shared" si="0"/>
        <v>90792746.86950025</v>
      </c>
      <c r="H40" s="22">
        <f t="shared" si="1"/>
        <v>90792746.86950025</v>
      </c>
      <c r="I40" s="22">
        <f t="shared" si="2"/>
        <v>135142231.33942327</v>
      </c>
      <c r="J40" s="22">
        <f t="shared" si="3"/>
        <v>179491715.80934629</v>
      </c>
      <c r="K40" s="22">
        <f t="shared" si="4"/>
        <v>223841200.27926928</v>
      </c>
      <c r="L40" s="23">
        <f t="shared" si="5"/>
        <v>268190684.7491923</v>
      </c>
      <c r="M40" s="34"/>
    </row>
    <row r="41" spans="4:15" ht="16" x14ac:dyDescent="0.15">
      <c r="D41" s="46">
        <v>26</v>
      </c>
      <c r="F41" s="58">
        <v>26</v>
      </c>
      <c r="G41" s="20">
        <f t="shared" si="0"/>
        <v>95949353.156970978</v>
      </c>
      <c r="H41" s="20">
        <f t="shared" si="1"/>
        <v>95949353.156970978</v>
      </c>
      <c r="I41" s="20">
        <f t="shared" si="2"/>
        <v>142845734.10168454</v>
      </c>
      <c r="J41" s="20">
        <f t="shared" si="3"/>
        <v>189742115.0463981</v>
      </c>
      <c r="K41" s="20">
        <f t="shared" si="4"/>
        <v>236638495.99111167</v>
      </c>
      <c r="L41" s="21">
        <f t="shared" si="5"/>
        <v>283534876.93582523</v>
      </c>
      <c r="M41" s="34"/>
    </row>
    <row r="42" spans="4:15" ht="16" x14ac:dyDescent="0.15">
      <c r="D42" s="46">
        <v>27</v>
      </c>
      <c r="F42" s="59">
        <v>27</v>
      </c>
      <c r="G42" s="22">
        <f t="shared" si="0"/>
        <v>101260657.63306582</v>
      </c>
      <c r="H42" s="22">
        <f t="shared" si="1"/>
        <v>101260657.63306582</v>
      </c>
      <c r="I42" s="22">
        <f t="shared" si="2"/>
        <v>150780341.94681364</v>
      </c>
      <c r="J42" s="22">
        <f t="shared" si="3"/>
        <v>200300026.26056147</v>
      </c>
      <c r="K42" s="22">
        <f t="shared" si="4"/>
        <v>249819710.57430929</v>
      </c>
      <c r="L42" s="23">
        <f t="shared" si="5"/>
        <v>299339394.88805711</v>
      </c>
      <c r="M42" s="34"/>
    </row>
    <row r="43" spans="4:15" ht="16" x14ac:dyDescent="0.15">
      <c r="D43" s="46">
        <v>28</v>
      </c>
      <c r="F43" s="58">
        <v>28</v>
      </c>
      <c r="G43" s="20">
        <f t="shared" si="0"/>
        <v>106731301.2434435</v>
      </c>
      <c r="H43" s="20">
        <f t="shared" si="1"/>
        <v>106731301.2434435</v>
      </c>
      <c r="I43" s="20">
        <f t="shared" si="2"/>
        <v>158952988.02729663</v>
      </c>
      <c r="J43" s="20">
        <f t="shared" si="3"/>
        <v>211174674.81114975</v>
      </c>
      <c r="K43" s="20">
        <f t="shared" si="4"/>
        <v>263396361.59500286</v>
      </c>
      <c r="L43" s="21">
        <f t="shared" si="5"/>
        <v>315618048.37885594</v>
      </c>
      <c r="M43" s="34"/>
    </row>
    <row r="44" spans="4:15" ht="16" x14ac:dyDescent="0.15">
      <c r="D44" s="46">
        <v>29</v>
      </c>
      <c r="F44" s="47">
        <v>29</v>
      </c>
      <c r="G44" s="22">
        <f t="shared" si="0"/>
        <v>112366064.16213255</v>
      </c>
      <c r="H44" s="22">
        <f t="shared" si="1"/>
        <v>112366064.16213255</v>
      </c>
      <c r="I44" s="22">
        <f t="shared" si="2"/>
        <v>167370813.49019411</v>
      </c>
      <c r="J44" s="22">
        <f t="shared" si="3"/>
        <v>222375562.81825569</v>
      </c>
      <c r="K44" s="22">
        <f t="shared" si="4"/>
        <v>277380312.1463173</v>
      </c>
      <c r="L44" s="23">
        <f t="shared" si="5"/>
        <v>332385061.47437882</v>
      </c>
      <c r="M44" s="34"/>
      <c r="O44" s="50"/>
    </row>
    <row r="45" spans="4:15" ht="16" x14ac:dyDescent="0.15">
      <c r="D45" s="46">
        <v>30</v>
      </c>
      <c r="F45" s="58">
        <v>30</v>
      </c>
      <c r="G45" s="20">
        <f t="shared" si="0"/>
        <v>118169869.96838221</v>
      </c>
      <c r="H45" s="20">
        <f t="shared" si="1"/>
        <v>118169869.96838221</v>
      </c>
      <c r="I45" s="20">
        <f t="shared" si="2"/>
        <v>176041173.71697849</v>
      </c>
      <c r="J45" s="20">
        <f t="shared" si="3"/>
        <v>233912477.46557474</v>
      </c>
      <c r="K45" s="20">
        <f t="shared" si="4"/>
        <v>291783781.21417099</v>
      </c>
      <c r="L45" s="21">
        <f t="shared" si="5"/>
        <v>349655084.9627673</v>
      </c>
      <c r="M45" s="34"/>
    </row>
    <row r="46" spans="4:15" ht="16" x14ac:dyDescent="0.15">
      <c r="D46" s="46">
        <v>31</v>
      </c>
      <c r="F46" s="59">
        <v>31</v>
      </c>
      <c r="G46" s="22">
        <f t="shared" si="0"/>
        <v>124147789.94881944</v>
      </c>
      <c r="H46" s="22">
        <f t="shared" si="1"/>
        <v>124147789.94881944</v>
      </c>
      <c r="I46" s="22">
        <f t="shared" si="2"/>
        <v>184971644.75056651</v>
      </c>
      <c r="J46" s="22">
        <f t="shared" si="3"/>
        <v>245795499.55231354</v>
      </c>
      <c r="K46" s="22">
        <f t="shared" si="4"/>
        <v>306619354.35406053</v>
      </c>
      <c r="L46" s="23">
        <f t="shared" si="5"/>
        <v>367443209.15580761</v>
      </c>
      <c r="M46" s="34"/>
    </row>
    <row r="47" spans="4:15" ht="16" x14ac:dyDescent="0.15">
      <c r="D47" s="46">
        <v>32</v>
      </c>
      <c r="F47" s="58">
        <v>32</v>
      </c>
      <c r="G47" s="20">
        <f t="shared" si="0"/>
        <v>130305047.52866969</v>
      </c>
      <c r="H47" s="20">
        <f t="shared" si="1"/>
        <v>130305047.52866969</v>
      </c>
      <c r="I47" s="20">
        <f t="shared" si="2"/>
        <v>194170029.91516194</v>
      </c>
      <c r="J47" s="20">
        <f t="shared" si="3"/>
        <v>258035012.30165422</v>
      </c>
      <c r="K47" s="20">
        <f t="shared" si="4"/>
        <v>321899994.68814653</v>
      </c>
      <c r="L47" s="21">
        <f t="shared" si="5"/>
        <v>385764977.07463878</v>
      </c>
      <c r="M47" s="34"/>
    </row>
    <row r="48" spans="4:15" ht="16" x14ac:dyDescent="0.15">
      <c r="D48" s="46">
        <v>33</v>
      </c>
      <c r="F48" s="47">
        <v>33</v>
      </c>
      <c r="G48" s="22">
        <f t="shared" si="0"/>
        <v>136647022.83591554</v>
      </c>
      <c r="H48" s="22">
        <f t="shared" si="1"/>
        <v>136647022.83591554</v>
      </c>
      <c r="I48" s="22">
        <f t="shared" si="2"/>
        <v>203644366.63469547</v>
      </c>
      <c r="J48" s="22">
        <f t="shared" si="3"/>
        <v>270641710.43347538</v>
      </c>
      <c r="K48" s="22">
        <f t="shared" si="4"/>
        <v>337639054.23225534</v>
      </c>
      <c r="L48" s="23">
        <f t="shared" si="5"/>
        <v>404636398.03103524</v>
      </c>
      <c r="M48" s="34"/>
    </row>
    <row r="49" spans="4:27" ht="16" x14ac:dyDescent="0.15">
      <c r="D49" s="46">
        <v>34</v>
      </c>
      <c r="F49" s="58">
        <v>34</v>
      </c>
      <c r="G49" s="20">
        <f t="shared" si="0"/>
        <v>143179257.40237871</v>
      </c>
      <c r="H49" s="20">
        <f t="shared" si="1"/>
        <v>143179257.40237871</v>
      </c>
      <c r="I49" s="20">
        <f t="shared" si="2"/>
        <v>213402933.4558149</v>
      </c>
      <c r="J49" s="20">
        <f t="shared" si="3"/>
        <v>283626609.50925106</v>
      </c>
      <c r="K49" s="20">
        <f t="shared" si="4"/>
        <v>353850285.56268728</v>
      </c>
      <c r="L49" s="21">
        <f t="shared" si="5"/>
        <v>424073961.61612344</v>
      </c>
      <c r="M49" s="34"/>
    </row>
    <row r="50" spans="4:27" ht="16" x14ac:dyDescent="0.15">
      <c r="D50" s="46">
        <v>35</v>
      </c>
      <c r="F50" s="59">
        <v>35</v>
      </c>
      <c r="G50" s="22">
        <f t="shared" si="0"/>
        <v>149907459.00583577</v>
      </c>
      <c r="H50" s="22">
        <f t="shared" si="1"/>
        <v>149907459.00583577</v>
      </c>
      <c r="I50" s="22">
        <f t="shared" si="2"/>
        <v>223454257.28156787</v>
      </c>
      <c r="J50" s="22">
        <f t="shared" si="3"/>
        <v>297001055.55730003</v>
      </c>
      <c r="K50" s="22">
        <f t="shared" si="4"/>
        <v>370547853.83303213</v>
      </c>
      <c r="L50" s="23">
        <f t="shared" si="5"/>
        <v>444094652.10876423</v>
      </c>
      <c r="M50" s="34"/>
    </row>
    <row r="51" spans="4:27" ht="16" x14ac:dyDescent="0.15">
      <c r="D51" s="46">
        <v>36</v>
      </c>
      <c r="F51" s="58">
        <v>36</v>
      </c>
      <c r="G51" s="20">
        <f t="shared" si="0"/>
        <v>156837506.65739658</v>
      </c>
      <c r="H51" s="20">
        <f t="shared" si="1"/>
        <v>156837506.65739658</v>
      </c>
      <c r="I51" s="20">
        <f t="shared" si="2"/>
        <v>233807120.82209355</v>
      </c>
      <c r="J51" s="20">
        <f t="shared" si="3"/>
        <v>310776734.98679048</v>
      </c>
      <c r="K51" s="20">
        <f t="shared" si="4"/>
        <v>387746349.15148747</v>
      </c>
      <c r="L51" s="21">
        <f t="shared" si="5"/>
        <v>464715963.3161844</v>
      </c>
      <c r="M51" s="34"/>
    </row>
    <row r="52" spans="4:27" ht="16" x14ac:dyDescent="0.15">
      <c r="D52" s="46">
        <v>37</v>
      </c>
      <c r="F52" s="47">
        <v>37</v>
      </c>
      <c r="G52" s="22">
        <f t="shared" si="0"/>
        <v>163975455.73850426</v>
      </c>
      <c r="H52" s="22">
        <f t="shared" si="1"/>
        <v>163975455.73850426</v>
      </c>
      <c r="I52" s="22">
        <f t="shared" si="2"/>
        <v>244470570.26883501</v>
      </c>
      <c r="J52" s="22">
        <f t="shared" si="3"/>
        <v>324965684.79916579</v>
      </c>
      <c r="K52" s="22">
        <f t="shared" si="4"/>
        <v>405460799.32949656</v>
      </c>
      <c r="L52" s="23">
        <f t="shared" si="5"/>
        <v>485955913.85982728</v>
      </c>
      <c r="M52" s="34"/>
    </row>
    <row r="53" spans="4:27" ht="16" x14ac:dyDescent="0.15">
      <c r="D53" s="46">
        <v>38</v>
      </c>
      <c r="F53" s="58">
        <v>38</v>
      </c>
      <c r="G53" s="20">
        <f t="shared" si="0"/>
        <v>171327543.29204515</v>
      </c>
      <c r="H53" s="20">
        <f t="shared" si="1"/>
        <v>171327543.29204515</v>
      </c>
      <c r="I53" s="20">
        <f t="shared" si="2"/>
        <v>255453923.19897866</v>
      </c>
      <c r="J53" s="20">
        <f t="shared" si="3"/>
        <v>339580303.10591227</v>
      </c>
      <c r="K53" s="20">
        <f t="shared" si="4"/>
        <v>423706683.01284575</v>
      </c>
      <c r="L53" s="21">
        <f t="shared" si="5"/>
        <v>507833062.9197793</v>
      </c>
      <c r="M53" s="34"/>
    </row>
    <row r="54" spans="4:27" ht="16" x14ac:dyDescent="0.15">
      <c r="D54" s="46">
        <v>39</v>
      </c>
      <c r="F54" s="59">
        <v>39</v>
      </c>
      <c r="G54" s="22">
        <f t="shared" si="0"/>
        <v>178900193.47219223</v>
      </c>
      <c r="H54" s="22">
        <f t="shared" si="1"/>
        <v>178900193.47219223</v>
      </c>
      <c r="I54" s="22">
        <f t="shared" si="2"/>
        <v>266766776.71702662</v>
      </c>
      <c r="J54" s="22">
        <f t="shared" si="3"/>
        <v>354633359.96186101</v>
      </c>
      <c r="K54" s="22">
        <f t="shared" si="4"/>
        <v>442499943.20669544</v>
      </c>
      <c r="L54" s="23">
        <f t="shared" si="5"/>
        <v>530366526.4515298</v>
      </c>
      <c r="M54" s="34"/>
    </row>
    <row r="55" spans="4:27" ht="16" x14ac:dyDescent="0.15">
      <c r="D55" s="46">
        <v>40</v>
      </c>
      <c r="F55" s="61">
        <v>40</v>
      </c>
      <c r="G55" s="24">
        <f t="shared" si="0"/>
        <v>186700023.15774363</v>
      </c>
      <c r="H55" s="24">
        <f t="shared" si="1"/>
        <v>186700023.15774363</v>
      </c>
      <c r="I55" s="24">
        <f t="shared" si="2"/>
        <v>278419015.84061593</v>
      </c>
      <c r="J55" s="24">
        <f t="shared" si="3"/>
        <v>370138008.52348816</v>
      </c>
      <c r="K55" s="24">
        <f t="shared" si="4"/>
        <v>461857001.20636046</v>
      </c>
      <c r="L55" s="25">
        <f t="shared" si="5"/>
        <v>553575993.88923275</v>
      </c>
      <c r="M55" s="34"/>
    </row>
    <row r="56" spans="4:27" ht="16" x14ac:dyDescent="0.15">
      <c r="D56" s="32"/>
      <c r="F56" s="62"/>
      <c r="G56" s="63"/>
      <c r="H56" s="63"/>
      <c r="I56" s="63"/>
      <c r="J56" s="63"/>
      <c r="K56" s="63"/>
      <c r="L56" s="63"/>
      <c r="M56" s="34"/>
    </row>
    <row r="57" spans="4:27" ht="13" customHeight="1" x14ac:dyDescent="0.15">
      <c r="D57" s="32"/>
      <c r="F57" s="86" t="s">
        <v>16</v>
      </c>
      <c r="G57" s="86"/>
      <c r="H57" s="86"/>
      <c r="I57" s="86"/>
      <c r="J57" s="86"/>
      <c r="K57" s="86"/>
      <c r="L57" s="86"/>
      <c r="M57" s="34"/>
    </row>
    <row r="58" spans="4:27" ht="7" customHeight="1" x14ac:dyDescent="0.15">
      <c r="D58" s="32"/>
      <c r="F58" s="86"/>
      <c r="G58" s="86"/>
      <c r="H58" s="86"/>
      <c r="I58" s="86"/>
      <c r="J58" s="86"/>
      <c r="K58" s="86"/>
      <c r="L58" s="86"/>
      <c r="M58" s="34"/>
    </row>
    <row r="59" spans="4:27" hidden="1" x14ac:dyDescent="0.15">
      <c r="D59" s="32"/>
      <c r="M59" s="34"/>
    </row>
    <row r="60" spans="4:27" s="4" customFormat="1" hidden="1" x14ac:dyDescent="0.15">
      <c r="D60" s="64"/>
      <c r="M60" s="65"/>
      <c r="AA60" s="66"/>
    </row>
    <row r="61" spans="4:27" s="4" customFormat="1" hidden="1" x14ac:dyDescent="0.15">
      <c r="D61" s="64"/>
      <c r="M61" s="65"/>
      <c r="AA61" s="66"/>
    </row>
    <row r="62" spans="4:27" x14ac:dyDescent="0.15">
      <c r="D62" s="32"/>
      <c r="M62" s="34"/>
    </row>
    <row r="63" spans="4:27" x14ac:dyDescent="0.15">
      <c r="D63" s="32"/>
      <c r="F63" s="55" t="s">
        <v>12</v>
      </c>
      <c r="I63" s="2">
        <v>12</v>
      </c>
      <c r="M63" s="34"/>
    </row>
    <row r="64" spans="4:27" ht="14" thickBot="1" x14ac:dyDescent="0.2">
      <c r="D64" s="52"/>
      <c r="E64" s="53"/>
      <c r="F64" s="53"/>
      <c r="G64" s="53"/>
      <c r="H64" s="53"/>
      <c r="I64" s="74"/>
      <c r="J64" s="53"/>
      <c r="K64" s="53"/>
      <c r="L64" s="53"/>
      <c r="M64" s="54"/>
    </row>
    <row r="65" spans="6:7" x14ac:dyDescent="0.15">
      <c r="F65" s="96" t="s">
        <v>10</v>
      </c>
      <c r="G65" s="96"/>
    </row>
    <row r="66" spans="6:7" x14ac:dyDescent="0.15">
      <c r="F66" s="85">
        <f>+(1+L11)^(1/I63)-1</f>
        <v>2.4662697723036864E-3</v>
      </c>
      <c r="G66" s="85"/>
    </row>
  </sheetData>
  <sheetProtection algorithmName="SHA-512" hashValue="5fq5QI0frZZjFHbQMUF3HwE8ou2temCnUYKCVldwHOYzBd0OIT0/4BEBB351Sugx0AQoQSt5tySu73CkwlR1Ug==" saltValue="5VrGTHrr4eko9d+zd0ZwHA==" spinCount="100000" sheet="1" objects="1" scenarios="1"/>
  <protectedRanges>
    <protectedRange sqref="H2" name="Rango1"/>
  </protectedRanges>
  <mergeCells count="10">
    <mergeCell ref="F66:G66"/>
    <mergeCell ref="F65:G65"/>
    <mergeCell ref="F2:H2"/>
    <mergeCell ref="F57:L58"/>
    <mergeCell ref="G14:L14"/>
    <mergeCell ref="I11:K11"/>
    <mergeCell ref="D5:G5"/>
    <mergeCell ref="K6:M6"/>
    <mergeCell ref="G7:K7"/>
    <mergeCell ref="I10:K10"/>
  </mergeCells>
  <phoneticPr fontId="1" type="noConversion"/>
  <dataValidations count="2">
    <dataValidation type="list" allowBlank="1" showInputMessage="1" showErrorMessage="1" sqref="K12" xr:uid="{00000000-0002-0000-0100-000000000000}">
      <formula1>$AA$6:$AA$16</formula1>
    </dataValidation>
    <dataValidation type="list" allowBlank="1" showInputMessage="1" showErrorMessage="1" sqref="L11" xr:uid="{00000000-0002-0000-0100-000001000000}">
      <formula1>$AA$3:$AA$16</formula1>
    </dataValidation>
  </dataValidations>
  <pageMargins left="0.74803149606299213" right="0.74803149606299213" top="0.98425196850393704" bottom="0.98425196850393704" header="0" footer="0"/>
  <pageSetup scale="58" orientation="landscape" horizontalDpi="300" verticalDpi="300" r:id="rId1"/>
  <headerFooter alignWithMargins="0">
    <oddFooter>&amp;L&amp;1#&amp;"Calibri"&amp;9&amp;K737373Classification: Customer Confidential</oddFooter>
  </headerFooter>
  <customProperties>
    <customPr name="QAA_DRILLPATH_NODE_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41DED6-81C5-4A81-A121-0E581A9A0C6B}">
          <x14:formula1>
            <xm:f>UFF!$C$3:$C$4</xm:f>
          </x14:formula1>
          <xm:sqref>M10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4CD8-F3C5-443A-965C-C6E026FD3339}">
  <dimension ref="B2:G4"/>
  <sheetViews>
    <sheetView workbookViewId="0">
      <selection activeCell="D10" sqref="D10"/>
    </sheetView>
  </sheetViews>
  <sheetFormatPr baseColWidth="10" defaultRowHeight="13" x14ac:dyDescent="0.15"/>
  <sheetData>
    <row r="2" spans="2:7" ht="14" x14ac:dyDescent="0.15">
      <c r="B2" t="s">
        <v>25</v>
      </c>
      <c r="C2" t="s">
        <v>26</v>
      </c>
      <c r="F2" s="77" t="s">
        <v>27</v>
      </c>
      <c r="G2" s="79">
        <v>65967</v>
      </c>
    </row>
    <row r="3" spans="2:7" ht="14" x14ac:dyDescent="0.15">
      <c r="B3" s="80">
        <v>37493.160000000003</v>
      </c>
      <c r="C3" s="77" t="s">
        <v>29</v>
      </c>
    </row>
    <row r="4" spans="2:7" ht="14" x14ac:dyDescent="0.15">
      <c r="B4" s="80">
        <v>37605.64</v>
      </c>
      <c r="C4" s="77" t="s">
        <v>30</v>
      </c>
    </row>
  </sheetData>
  <pageMargins left="0.7" right="0.7" top="0.75" bottom="0.75" header="0.3" footer="0.3"/>
  <pageSetup orientation="portrait" r:id="rId1"/>
  <headerFooter>
    <oddFooter>&amp;L&amp;1#&amp;"Calibri"&amp;9&amp;K737373Classification: Customer Confidential</oddFooter>
  </headerFooter>
  <customProperties>
    <customPr name="QAA_DRILLPATH_NODE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14"/>
  <sheetViews>
    <sheetView workbookViewId="0">
      <selection activeCell="C22" sqref="C22"/>
    </sheetView>
  </sheetViews>
  <sheetFormatPr baseColWidth="10" defaultColWidth="11.33203125" defaultRowHeight="13" x14ac:dyDescent="0.15"/>
  <cols>
    <col min="1" max="16384" width="11.33203125" style="6"/>
  </cols>
  <sheetData>
    <row r="1" spans="1:15" x14ac:dyDescent="0.15">
      <c r="A1" s="107" t="s">
        <v>17</v>
      </c>
      <c r="B1" s="107"/>
      <c r="C1" s="107"/>
      <c r="D1" s="107"/>
      <c r="E1" s="107"/>
      <c r="F1" s="107"/>
    </row>
    <row r="3" spans="1:15" x14ac:dyDescent="0.15">
      <c r="A3" s="108" t="s">
        <v>18</v>
      </c>
      <c r="B3" s="108"/>
      <c r="C3" s="108"/>
      <c r="D3" s="108"/>
      <c r="E3" s="108"/>
      <c r="F3" s="108"/>
      <c r="G3" s="108"/>
    </row>
    <row r="6" spans="1:15" x14ac:dyDescent="0.15">
      <c r="A6" s="109" t="s">
        <v>19</v>
      </c>
      <c r="B6" s="107"/>
      <c r="C6" s="107"/>
      <c r="D6" s="107"/>
      <c r="E6" s="107"/>
      <c r="F6" s="107"/>
    </row>
    <row r="7" spans="1:15" x14ac:dyDescent="0.15">
      <c r="A7" s="108" t="s">
        <v>20</v>
      </c>
      <c r="B7" s="108"/>
      <c r="C7" s="108"/>
      <c r="D7" s="108"/>
      <c r="E7" s="108"/>
      <c r="F7" s="108"/>
      <c r="G7" s="108"/>
      <c r="H7" s="108"/>
      <c r="I7" s="108"/>
      <c r="J7" s="108"/>
    </row>
    <row r="9" spans="1:15" x14ac:dyDescent="0.15">
      <c r="A9" s="107" t="s">
        <v>21</v>
      </c>
      <c r="B9" s="107"/>
      <c r="C9" s="107"/>
      <c r="D9" s="107"/>
      <c r="E9" s="107"/>
      <c r="F9" s="107"/>
    </row>
    <row r="10" spans="1:15" x14ac:dyDescent="0.15">
      <c r="A10" s="110" t="s">
        <v>22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</row>
    <row r="11" spans="1:15" x14ac:dyDescent="0.15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</row>
    <row r="13" spans="1:15" x14ac:dyDescent="0.15">
      <c r="A13" s="106" t="s">
        <v>23</v>
      </c>
      <c r="B13" s="107"/>
      <c r="C13" s="107"/>
      <c r="D13" s="107"/>
      <c r="E13" s="107"/>
      <c r="F13" s="107"/>
    </row>
    <row r="14" spans="1:15" x14ac:dyDescent="0.15">
      <c r="A14" s="1" t="s">
        <v>24</v>
      </c>
    </row>
  </sheetData>
  <mergeCells count="7">
    <mergeCell ref="A13:F13"/>
    <mergeCell ref="A1:F1"/>
    <mergeCell ref="A3:G3"/>
    <mergeCell ref="A6:F6"/>
    <mergeCell ref="A7:J7"/>
    <mergeCell ref="A9:F9"/>
    <mergeCell ref="A10:O11"/>
  </mergeCells>
  <pageMargins left="0.7" right="0.7" top="0.75" bottom="0.75" header="0.3" footer="0.3"/>
  <pageSetup orientation="portrait" verticalDpi="300" r:id="rId1"/>
  <headerFooter>
    <oddFooter>&amp;L&amp;1#&amp;"Calibri"&amp;9&amp;K737373Classification: Customer Confidential</oddFooter>
  </headerFooter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0b9411c6-5471-408d-99e4-431920a2bf5a" Name="UF" HandleSummaryReportOnly="false">
      <SuppressZero>false</SuppressZero>
      <Children/>
    </DrillPathNode>
    <DrillPathNode AnalysisType="NONE" Id="bff2d698-bd87-4f46-b022-bb0febc106a5" Name="$" HandleSummaryReportOnly="false">
      <SuppressZero>false</SuppressZero>
      <Children/>
    </DrillPathNode>
    <DrillPathNode AnalysisType="NONE" Id="1e1f626c-046d-4b00-8259-368c1c78c751" Name="UFF" HandleSummaryReportOnly="false" Source="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15E970C5-6719-4645-B685-835B4DFA959B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UF</vt:lpstr>
      <vt:lpstr>$</vt:lpstr>
      <vt:lpstr>UFF</vt:lpstr>
      <vt:lpstr>Control de Cambios</vt:lpstr>
      <vt:lpstr>'$'!Área_de_impresión</vt:lpstr>
      <vt:lpstr>UF!Área_de_impresión</vt:lpstr>
    </vt:vector>
  </TitlesOfParts>
  <Manager/>
  <Company>Principal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c110936</dc:creator>
  <cp:keywords/>
  <dc:description/>
  <cp:lastModifiedBy>Arriagada, Joaquin</cp:lastModifiedBy>
  <cp:revision/>
  <dcterms:created xsi:type="dcterms:W3CDTF">2010-02-02T15:49:21Z</dcterms:created>
  <dcterms:modified xsi:type="dcterms:W3CDTF">2024-06-19T15:12:51Z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MSIP_Label_d6ee3f6f-dfa9-4d1e-aa5d-d0dea03c4102_Enabled">
    <vt:lpwstr>true</vt:lpwstr>
  </property>
  <property fmtid="{D5CDD505-2E9C-101B-9397-08002B2CF9AE}" pid="5" name="MSIP_Label_d6ee3f6f-dfa9-4d1e-aa5d-d0dea03c4102_SetDate">
    <vt:lpwstr>2023-03-06T19:01:34Z</vt:lpwstr>
  </property>
  <property fmtid="{D5CDD505-2E9C-101B-9397-08002B2CF9AE}" pid="6" name="MSIP_Label_d6ee3f6f-dfa9-4d1e-aa5d-d0dea03c4102_Method">
    <vt:lpwstr>Privileged</vt:lpwstr>
  </property>
  <property fmtid="{D5CDD505-2E9C-101B-9397-08002B2CF9AE}" pid="7" name="MSIP_Label_d6ee3f6f-dfa9-4d1e-aa5d-d0dea03c4102_Name">
    <vt:lpwstr>Public</vt:lpwstr>
  </property>
  <property fmtid="{D5CDD505-2E9C-101B-9397-08002B2CF9AE}" pid="8" name="MSIP_Label_d6ee3f6f-dfa9-4d1e-aa5d-d0dea03c4102_SiteId">
    <vt:lpwstr>3bea478c-1684-4a8c-8e85-045ec54ba430</vt:lpwstr>
  </property>
  <property fmtid="{D5CDD505-2E9C-101B-9397-08002B2CF9AE}" pid="9" name="MSIP_Label_d6ee3f6f-dfa9-4d1e-aa5d-d0dea03c4102_ActionId">
    <vt:lpwstr>a9c46498-7426-486a-a460-8fbd027369fd</vt:lpwstr>
  </property>
  <property fmtid="{D5CDD505-2E9C-101B-9397-08002B2CF9AE}" pid="10" name="MSIP_Label_d6ee3f6f-dfa9-4d1e-aa5d-d0dea03c4102_ContentBits">
    <vt:lpwstr>2</vt:lpwstr>
  </property>
</Properties>
</file>