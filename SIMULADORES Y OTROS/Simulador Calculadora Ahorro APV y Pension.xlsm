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ustomProperty2.bin" ContentType="application/vnd.openxmlformats-officedocument.spreadsheetml.customProperty"/>
  <Override PartName="/xl/drawings/drawing2.xml" ContentType="application/vnd.openxmlformats-officedocument.drawing+xml"/>
  <Override PartName="/xl/customProperty3.bin" ContentType="application/vnd.openxmlformats-officedocument.spreadsheetml.customProperty"/>
  <Override PartName="/xl/drawings/drawing3.xml" ContentType="application/vnd.openxmlformats-officedocument.drawing+xml"/>
  <Override PartName="/xl/customProperty4.bin" ContentType="application/vnd.openxmlformats-officedocument.spreadsheetml.customProperty"/>
  <Override PartName="/xl/customProperty5.bin" ContentType="application/vnd.openxmlformats-officedocument.spreadsheetml.customProperty"/>
  <Override PartName="/xl/comments1.xml" ContentType="application/vnd.openxmlformats-officedocument.spreadsheetml.comments+xml"/>
  <Override PartName="/xl/customProperty6.bin" ContentType="application/vnd.openxmlformats-officedocument.spreadsheetml.customProperty"/>
  <Override PartName="/xl/customProperty7.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420" codeName="{65C56A31-55D7-CBBD-CD37-7C71EA340FA4}"/>
  <workbookPr codeName="ThisWorkbook"/>
  <mc:AlternateContent xmlns:mc="http://schemas.openxmlformats.org/markup-compatibility/2006">
    <mc:Choice Requires="x15">
      <x15ac:absPath xmlns:x15ac="http://schemas.microsoft.com/office/spreadsheetml/2010/11/ac" url="/Users/a018986/Desktop/SImuladores Excel/Julio/"/>
    </mc:Choice>
  </mc:AlternateContent>
  <xr:revisionPtr revIDLastSave="0" documentId="13_ncr:1_{13102FAB-3B3D-B042-BCBF-5B1127C46855}" xr6:coauthVersionLast="47" xr6:coauthVersionMax="47" xr10:uidLastSave="{00000000-0000-0000-0000-000000000000}"/>
  <workbookProtection workbookAlgorithmName="SHA-512" workbookHashValue="1LgwfAwTNx5MDlae7HHDe3cj60e1W3USRRepWB20CrBxpbD4U30XXQsxh4iUoYHAj/emslr6VNCMs6YJX88u4A==" workbookSaltValue="+0V8+O9HjyUqJeg4rkar4A==" workbookSpinCount="100000" lockStructure="1"/>
  <bookViews>
    <workbookView xWindow="-11220" yWindow="-28300" windowWidth="50800" windowHeight="27900" activeTab="2" xr2:uid="{00000000-000D-0000-FFFF-FFFF00000000}"/>
  </bookViews>
  <sheets>
    <sheet name="Antecedentes" sheetId="6" r:id="rId1"/>
    <sheet name="APV-A" sheetId="1" r:id="rId2"/>
    <sheet name="APV-B" sheetId="2" r:id="rId3"/>
    <sheet name="UF" sheetId="8" state="hidden" r:id="rId4"/>
    <sheet name="Impuesto" sheetId="4" state="hidden" r:id="rId5"/>
    <sheet name="ahorro oblg" sheetId="5" state="hidden" r:id="rId6"/>
    <sheet name="Control de Cambios" sheetId="7" state="hidden" r:id="rId7"/>
  </sheets>
  <definedNames>
    <definedName name="ahorroacum">'ahorro oblg'!$C$14:$H$493</definedName>
    <definedName name="_xlnm.Print_Area" localSheetId="1">'APV-A'!$B$6:$L$65,'APV-A'!$B$68:$L$109</definedName>
    <definedName name="_xlnm.Print_Area" localSheetId="2">'APV-B'!$B$6:$J$118</definedName>
    <definedName name="CNU_H">Impuesto!$C$19</definedName>
    <definedName name="CNU_M">Impuesto!$C$20</definedName>
    <definedName name="cot_oblg">Antecedentes!$I$5</definedName>
    <definedName name="edadjub">'APV-B'!$L$20</definedName>
    <definedName name="tabla">'APV-B'!$D$17:$I$56</definedName>
    <definedName name="Tabla1">'APV-A'!$F$17:$K$56</definedName>
    <definedName name="TMg">Impuesto!$C$16</definedName>
    <definedName name="uf">Impuesto!$C$4</definedName>
    <definedName name="utm">Impuesto!$C$5</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9" i="4" l="1"/>
  <c r="C11" i="4" s="1"/>
  <c r="K11" i="1"/>
  <c r="K9" i="1"/>
  <c r="I9" i="2"/>
  <c r="H8" i="2"/>
  <c r="L9" i="2"/>
  <c r="F80" i="1"/>
  <c r="F73" i="1"/>
  <c r="G14" i="1"/>
  <c r="K6" i="6"/>
  <c r="K7" i="6"/>
  <c r="K8" i="6"/>
  <c r="K9" i="6"/>
  <c r="K10" i="6"/>
  <c r="K11" i="6"/>
  <c r="K12" i="6"/>
  <c r="K13" i="6"/>
  <c r="K14" i="6"/>
  <c r="K15" i="6"/>
  <c r="K16" i="6"/>
  <c r="K17" i="6"/>
  <c r="K18" i="6"/>
  <c r="K19" i="6"/>
  <c r="I10" i="2"/>
  <c r="G59" i="2"/>
  <c r="F60" i="2"/>
  <c r="F12" i="2"/>
  <c r="F11" i="2"/>
  <c r="L20" i="2" s="1"/>
  <c r="L18" i="2" s="1"/>
  <c r="F10" i="2"/>
  <c r="C10" i="4"/>
  <c r="F9" i="2"/>
  <c r="C63" i="1"/>
  <c r="H9" i="1"/>
  <c r="F75" i="1"/>
  <c r="F74" i="1"/>
  <c r="D74" i="2"/>
  <c r="D75" i="2"/>
  <c r="X7" i="2"/>
  <c r="X8" i="2"/>
  <c r="X9" i="2"/>
  <c r="X10" i="2"/>
  <c r="X11" i="2"/>
  <c r="X12" i="2"/>
  <c r="X13" i="2"/>
  <c r="X14" i="2"/>
  <c r="X15" i="2"/>
  <c r="X16" i="2"/>
  <c r="C15" i="5"/>
  <c r="D15" i="5"/>
  <c r="N11" i="2"/>
  <c r="N12" i="2"/>
  <c r="N13" i="2"/>
  <c r="N14" i="2"/>
  <c r="N15" i="2"/>
  <c r="N16" i="2"/>
  <c r="N17" i="2"/>
  <c r="E6" i="4"/>
  <c r="E7" i="4"/>
  <c r="E8" i="4"/>
  <c r="E9" i="4"/>
  <c r="E10" i="4"/>
  <c r="E11" i="4"/>
  <c r="E5" i="4"/>
  <c r="C63" i="2"/>
  <c r="L22" i="2"/>
  <c r="C16" i="5"/>
  <c r="D16" i="5"/>
  <c r="D73" i="2"/>
  <c r="D80" i="2"/>
  <c r="D7" i="5"/>
  <c r="C8" i="4"/>
  <c r="D17" i="5"/>
  <c r="C17" i="5"/>
  <c r="D18" i="5"/>
  <c r="C18" i="5"/>
  <c r="C19" i="5"/>
  <c r="D19" i="5"/>
  <c r="D20" i="5"/>
  <c r="C20" i="5"/>
  <c r="C21" i="5"/>
  <c r="D21" i="5"/>
  <c r="C22" i="5"/>
  <c r="D22" i="5"/>
  <c r="C23" i="5"/>
  <c r="D23" i="5"/>
  <c r="C24" i="5"/>
  <c r="D24" i="5"/>
  <c r="D25" i="5"/>
  <c r="C25" i="5"/>
  <c r="D26" i="5"/>
  <c r="C26" i="5"/>
  <c r="C27" i="5"/>
  <c r="D27" i="5"/>
  <c r="C28" i="5"/>
  <c r="D28" i="5"/>
  <c r="C29" i="5"/>
  <c r="D29" i="5"/>
  <c r="C30" i="5"/>
  <c r="D30" i="5"/>
  <c r="C31" i="5"/>
  <c r="D31" i="5"/>
  <c r="D32" i="5"/>
  <c r="C32" i="5"/>
  <c r="D33" i="5"/>
  <c r="C33" i="5"/>
  <c r="D34" i="5"/>
  <c r="C34" i="5"/>
  <c r="C35" i="5"/>
  <c r="D35" i="5"/>
  <c r="D36" i="5"/>
  <c r="C36" i="5"/>
  <c r="C37" i="5"/>
  <c r="D37" i="5"/>
  <c r="C38" i="5"/>
  <c r="D38" i="5"/>
  <c r="D39" i="5"/>
  <c r="C39" i="5"/>
  <c r="C40" i="5"/>
  <c r="D40" i="5"/>
  <c r="D41" i="5"/>
  <c r="C41" i="5"/>
  <c r="C42" i="5"/>
  <c r="D42" i="5"/>
  <c r="D43" i="5"/>
  <c r="C43" i="5"/>
  <c r="D44" i="5"/>
  <c r="C44" i="5"/>
  <c r="D45" i="5"/>
  <c r="C45" i="5"/>
  <c r="D46" i="5"/>
  <c r="C46" i="5"/>
  <c r="D47" i="5"/>
  <c r="C47" i="5"/>
  <c r="D48" i="5"/>
  <c r="C48" i="5"/>
  <c r="D49" i="5"/>
  <c r="C49" i="5"/>
  <c r="C50" i="5"/>
  <c r="D50" i="5"/>
  <c r="D51" i="5"/>
  <c r="C51" i="5"/>
  <c r="C52" i="5"/>
  <c r="D52" i="5"/>
  <c r="D53" i="5"/>
  <c r="C53" i="5"/>
  <c r="C54" i="5"/>
  <c r="D54" i="5"/>
  <c r="D55" i="5"/>
  <c r="C55" i="5"/>
  <c r="C56" i="5"/>
  <c r="D56" i="5"/>
  <c r="C57" i="5"/>
  <c r="D57" i="5"/>
  <c r="C58" i="5"/>
  <c r="D58" i="5"/>
  <c r="D59" i="5"/>
  <c r="C59" i="5"/>
  <c r="C60" i="5"/>
  <c r="D60" i="5"/>
  <c r="C61" i="5"/>
  <c r="D61" i="5"/>
  <c r="C62" i="5"/>
  <c r="D62" i="5"/>
  <c r="D63" i="5"/>
  <c r="C63" i="5"/>
  <c r="D64" i="5"/>
  <c r="C64" i="5"/>
  <c r="D65" i="5"/>
  <c r="C65" i="5"/>
  <c r="C66" i="5"/>
  <c r="D66" i="5"/>
  <c r="D67" i="5"/>
  <c r="C67" i="5"/>
  <c r="D68" i="5"/>
  <c r="C68" i="5"/>
  <c r="C69" i="5"/>
  <c r="D69" i="5"/>
  <c r="C70" i="5"/>
  <c r="D70" i="5"/>
  <c r="C71" i="5"/>
  <c r="D71" i="5"/>
  <c r="D72" i="5"/>
  <c r="C72" i="5"/>
  <c r="D73" i="5"/>
  <c r="C73" i="5"/>
  <c r="C74" i="5"/>
  <c r="D74" i="5"/>
  <c r="C75" i="5"/>
  <c r="D75" i="5"/>
  <c r="D76" i="5"/>
  <c r="C76" i="5"/>
  <c r="D77" i="5"/>
  <c r="C77" i="5"/>
  <c r="D78" i="5"/>
  <c r="C78" i="5"/>
  <c r="D79" i="5"/>
  <c r="C79" i="5"/>
  <c r="C80" i="5"/>
  <c r="D80" i="5"/>
  <c r="D81" i="5"/>
  <c r="C81" i="5"/>
  <c r="C82" i="5"/>
  <c r="D82" i="5"/>
  <c r="C83" i="5"/>
  <c r="D83" i="5"/>
  <c r="D84" i="5"/>
  <c r="C84" i="5"/>
  <c r="C85" i="5"/>
  <c r="D85" i="5"/>
  <c r="C86" i="5"/>
  <c r="D86" i="5"/>
  <c r="C87" i="5"/>
  <c r="D87" i="5"/>
  <c r="C88" i="5"/>
  <c r="D88" i="5"/>
  <c r="D89" i="5"/>
  <c r="C89" i="5"/>
  <c r="C90" i="5"/>
  <c r="D90" i="5"/>
  <c r="D91" i="5"/>
  <c r="C91" i="5"/>
  <c r="C92" i="5"/>
  <c r="D92" i="5"/>
  <c r="D93" i="5"/>
  <c r="C93" i="5"/>
  <c r="D94" i="5"/>
  <c r="C94" i="5"/>
  <c r="C95" i="5"/>
  <c r="D95" i="5"/>
  <c r="D96" i="5"/>
  <c r="C96" i="5"/>
  <c r="C97" i="5"/>
  <c r="D97" i="5"/>
  <c r="D98" i="5"/>
  <c r="C98" i="5"/>
  <c r="C99" i="5"/>
  <c r="D99" i="5"/>
  <c r="D100" i="5"/>
  <c r="C100" i="5"/>
  <c r="D101" i="5"/>
  <c r="C101" i="5"/>
  <c r="D102" i="5"/>
  <c r="C102" i="5"/>
  <c r="D103" i="5"/>
  <c r="C103" i="5"/>
  <c r="C104" i="5"/>
  <c r="D104" i="5"/>
  <c r="D105" i="5"/>
  <c r="C105" i="5"/>
  <c r="C106" i="5"/>
  <c r="D106" i="5"/>
  <c r="C107" i="5"/>
  <c r="D107" i="5"/>
  <c r="D108" i="5"/>
  <c r="C108" i="5"/>
  <c r="C109" i="5"/>
  <c r="D109" i="5"/>
  <c r="D110" i="5"/>
  <c r="C110" i="5"/>
  <c r="D111" i="5"/>
  <c r="C111" i="5"/>
  <c r="C112" i="5"/>
  <c r="D112" i="5"/>
  <c r="C113" i="5"/>
  <c r="D113" i="5"/>
  <c r="C114" i="5"/>
  <c r="D114" i="5"/>
  <c r="D115" i="5"/>
  <c r="C115" i="5"/>
  <c r="D116" i="5"/>
  <c r="C116" i="5"/>
  <c r="D117" i="5"/>
  <c r="C117" i="5"/>
  <c r="D118" i="5"/>
  <c r="C118" i="5"/>
  <c r="C119" i="5"/>
  <c r="D119" i="5"/>
  <c r="D120" i="5"/>
  <c r="C120" i="5"/>
  <c r="D121" i="5"/>
  <c r="C121" i="5"/>
  <c r="C122" i="5"/>
  <c r="D122" i="5"/>
  <c r="C123" i="5"/>
  <c r="D123" i="5"/>
  <c r="D124" i="5"/>
  <c r="C124" i="5"/>
  <c r="C125" i="5"/>
  <c r="D125" i="5"/>
  <c r="C126" i="5"/>
  <c r="D126" i="5"/>
  <c r="D127" i="5"/>
  <c r="C127" i="5"/>
  <c r="D128" i="5"/>
  <c r="C128" i="5"/>
  <c r="D129" i="5"/>
  <c r="C129" i="5"/>
  <c r="C130" i="5"/>
  <c r="D130" i="5"/>
  <c r="C131" i="5"/>
  <c r="D131" i="5"/>
  <c r="C132" i="5"/>
  <c r="D132" i="5"/>
  <c r="C133" i="5"/>
  <c r="D133" i="5"/>
  <c r="D134" i="5"/>
  <c r="C134" i="5"/>
  <c r="D135" i="5"/>
  <c r="C135" i="5"/>
  <c r="C136" i="5"/>
  <c r="D136" i="5"/>
  <c r="D137" i="5"/>
  <c r="C137" i="5"/>
  <c r="D138" i="5"/>
  <c r="C138" i="5"/>
  <c r="D139" i="5"/>
  <c r="C139" i="5"/>
  <c r="C140" i="5"/>
  <c r="D140" i="5"/>
  <c r="C141" i="5"/>
  <c r="D141" i="5"/>
  <c r="C142" i="5"/>
  <c r="D142" i="5"/>
  <c r="D143" i="5"/>
  <c r="C143" i="5"/>
  <c r="D144" i="5"/>
  <c r="C144" i="5"/>
  <c r="C145" i="5"/>
  <c r="D145" i="5"/>
  <c r="C146" i="5"/>
  <c r="D146" i="5"/>
  <c r="C147" i="5"/>
  <c r="D147" i="5"/>
  <c r="D148" i="5"/>
  <c r="C148" i="5"/>
  <c r="C149" i="5"/>
  <c r="D149" i="5"/>
  <c r="C150" i="5"/>
  <c r="D150" i="5"/>
  <c r="D151" i="5"/>
  <c r="C151" i="5"/>
  <c r="C152" i="5"/>
  <c r="D152" i="5"/>
  <c r="C153" i="5"/>
  <c r="D153" i="5"/>
  <c r="D154" i="5"/>
  <c r="C154" i="5"/>
  <c r="D155" i="5"/>
  <c r="C155" i="5"/>
  <c r="D156" i="5"/>
  <c r="C156" i="5"/>
  <c r="C157" i="5"/>
  <c r="D157" i="5"/>
  <c r="C158" i="5"/>
  <c r="D158" i="5"/>
  <c r="C159" i="5"/>
  <c r="D159" i="5"/>
  <c r="C160" i="5"/>
  <c r="D160" i="5"/>
  <c r="D161" i="5"/>
  <c r="C161" i="5"/>
  <c r="C162" i="5"/>
  <c r="D162" i="5"/>
  <c r="D163" i="5"/>
  <c r="C163" i="5"/>
  <c r="C164" i="5"/>
  <c r="D164" i="5"/>
  <c r="C165" i="5"/>
  <c r="D165" i="5"/>
  <c r="C166" i="5"/>
  <c r="D166" i="5"/>
  <c r="D167" i="5"/>
  <c r="C167" i="5"/>
  <c r="C168" i="5"/>
  <c r="D168" i="5"/>
  <c r="C169" i="5"/>
  <c r="D169" i="5"/>
  <c r="C170" i="5"/>
  <c r="D170" i="5"/>
  <c r="C171" i="5"/>
  <c r="D171" i="5"/>
  <c r="C172" i="5"/>
  <c r="D172" i="5"/>
  <c r="D173" i="5"/>
  <c r="C173" i="5"/>
  <c r="C174" i="5"/>
  <c r="D174" i="5"/>
  <c r="C175" i="5"/>
  <c r="D175" i="5"/>
  <c r="C176" i="5"/>
  <c r="D176" i="5"/>
  <c r="D177" i="5"/>
  <c r="C177" i="5"/>
  <c r="D178" i="5"/>
  <c r="C178" i="5"/>
  <c r="D179" i="5"/>
  <c r="C179" i="5"/>
  <c r="D180" i="5"/>
  <c r="C180" i="5"/>
  <c r="C181" i="5"/>
  <c r="D181" i="5"/>
  <c r="D182" i="5"/>
  <c r="C182" i="5"/>
  <c r="D183" i="5"/>
  <c r="C183" i="5"/>
  <c r="C184" i="5"/>
  <c r="D184" i="5"/>
  <c r="D185" i="5"/>
  <c r="C185" i="5"/>
  <c r="D186" i="5"/>
  <c r="C186" i="5"/>
  <c r="C187" i="5"/>
  <c r="D187" i="5"/>
  <c r="C188" i="5"/>
  <c r="D188" i="5"/>
  <c r="D189" i="5"/>
  <c r="C189" i="5"/>
  <c r="D190" i="5"/>
  <c r="C190" i="5"/>
  <c r="D191" i="5"/>
  <c r="C191" i="5"/>
  <c r="C192" i="5"/>
  <c r="D192" i="5"/>
  <c r="C193" i="5"/>
  <c r="D193" i="5"/>
  <c r="D194" i="5"/>
  <c r="C194" i="5"/>
  <c r="D195" i="5"/>
  <c r="C195" i="5"/>
  <c r="D196" i="5"/>
  <c r="C196" i="5"/>
  <c r="C197" i="5"/>
  <c r="D197" i="5"/>
  <c r="D198" i="5"/>
  <c r="C198" i="5"/>
  <c r="C199" i="5"/>
  <c r="D199" i="5"/>
  <c r="C200" i="5"/>
  <c r="D200" i="5"/>
  <c r="D201" i="5"/>
  <c r="C201" i="5"/>
  <c r="D202" i="5"/>
  <c r="C202" i="5"/>
  <c r="D203" i="5"/>
  <c r="C203" i="5"/>
  <c r="C204" i="5"/>
  <c r="D204" i="5"/>
  <c r="C205" i="5"/>
  <c r="D205" i="5"/>
  <c r="D206" i="5"/>
  <c r="C206" i="5"/>
  <c r="D207" i="5"/>
  <c r="C207" i="5"/>
  <c r="D208" i="5"/>
  <c r="C208" i="5"/>
  <c r="C209" i="5"/>
  <c r="D209" i="5"/>
  <c r="D210" i="5"/>
  <c r="C210" i="5"/>
  <c r="D211" i="5"/>
  <c r="C211" i="5"/>
  <c r="D212" i="5"/>
  <c r="C212" i="5"/>
  <c r="C213" i="5"/>
  <c r="D213" i="5"/>
  <c r="C214" i="5"/>
  <c r="D214" i="5"/>
  <c r="C215" i="5"/>
  <c r="D215" i="5"/>
  <c r="C216" i="5"/>
  <c r="D216" i="5"/>
  <c r="C217" i="5"/>
  <c r="D217" i="5"/>
  <c r="C218" i="5"/>
  <c r="D218" i="5"/>
  <c r="D219" i="5"/>
  <c r="C219" i="5"/>
  <c r="D220" i="5"/>
  <c r="C220" i="5"/>
  <c r="D221" i="5"/>
  <c r="C221" i="5"/>
  <c r="D222" i="5"/>
  <c r="C222" i="5"/>
  <c r="C223" i="5"/>
  <c r="D223" i="5"/>
  <c r="C224" i="5"/>
  <c r="D224" i="5"/>
  <c r="D225" i="5"/>
  <c r="C225" i="5"/>
  <c r="D226" i="5"/>
  <c r="C226" i="5"/>
  <c r="D227" i="5"/>
  <c r="C227" i="5"/>
  <c r="C228" i="5"/>
  <c r="D228" i="5"/>
  <c r="C229" i="5"/>
  <c r="D229" i="5"/>
  <c r="C230" i="5"/>
  <c r="D230" i="5"/>
  <c r="D231" i="5"/>
  <c r="C231" i="5"/>
  <c r="C232" i="5"/>
  <c r="D232" i="5"/>
  <c r="C233" i="5"/>
  <c r="D233" i="5"/>
  <c r="C234" i="5"/>
  <c r="D234" i="5"/>
  <c r="C235" i="5"/>
  <c r="D235" i="5"/>
  <c r="D236" i="5"/>
  <c r="C236" i="5"/>
  <c r="C237" i="5"/>
  <c r="D237" i="5"/>
  <c r="D238" i="5"/>
  <c r="C238" i="5"/>
  <c r="C239" i="5"/>
  <c r="D239" i="5"/>
  <c r="D240" i="5"/>
  <c r="C240" i="5"/>
  <c r="D241" i="5"/>
  <c r="C241" i="5"/>
  <c r="D242" i="5"/>
  <c r="C242" i="5"/>
  <c r="D243" i="5"/>
  <c r="C243" i="5"/>
  <c r="D244" i="5"/>
  <c r="C244" i="5"/>
  <c r="D245" i="5"/>
  <c r="C245" i="5"/>
  <c r="D246" i="5"/>
  <c r="C246" i="5"/>
  <c r="C247" i="5"/>
  <c r="D247" i="5"/>
  <c r="D248" i="5"/>
  <c r="C248" i="5"/>
  <c r="D249" i="5"/>
  <c r="C249" i="5"/>
  <c r="C250" i="5"/>
  <c r="D250" i="5"/>
  <c r="C251" i="5"/>
  <c r="D251" i="5"/>
  <c r="D252" i="5"/>
  <c r="C252" i="5"/>
  <c r="D253" i="5"/>
  <c r="C253" i="5"/>
  <c r="C254" i="5"/>
  <c r="D254" i="5"/>
  <c r="D255" i="5"/>
  <c r="C255" i="5"/>
  <c r="C256" i="5"/>
  <c r="D256" i="5"/>
  <c r="D257" i="5"/>
  <c r="C257" i="5"/>
  <c r="D258" i="5"/>
  <c r="C258" i="5"/>
  <c r="D259" i="5"/>
  <c r="C259" i="5"/>
  <c r="C260" i="5"/>
  <c r="D260" i="5"/>
  <c r="C261" i="5"/>
  <c r="D261" i="5"/>
  <c r="D262" i="5"/>
  <c r="C262" i="5"/>
  <c r="D263" i="5"/>
  <c r="C263" i="5"/>
  <c r="D264" i="5"/>
  <c r="C264" i="5"/>
  <c r="C265" i="5"/>
  <c r="D265" i="5"/>
  <c r="D266" i="5"/>
  <c r="C266" i="5"/>
  <c r="C267" i="5"/>
  <c r="D267" i="5"/>
  <c r="D268" i="5"/>
  <c r="C268" i="5"/>
  <c r="C269" i="5"/>
  <c r="D269" i="5"/>
  <c r="C270" i="5"/>
  <c r="D270" i="5"/>
  <c r="D271" i="5"/>
  <c r="C271" i="5"/>
  <c r="D272" i="5"/>
  <c r="C272" i="5"/>
  <c r="D273" i="5"/>
  <c r="C273" i="5"/>
  <c r="C274" i="5"/>
  <c r="D274" i="5"/>
  <c r="C275" i="5"/>
  <c r="D275" i="5"/>
  <c r="D276" i="5"/>
  <c r="C276" i="5"/>
  <c r="C277" i="5"/>
  <c r="D277" i="5"/>
  <c r="C278" i="5"/>
  <c r="D278" i="5"/>
  <c r="C279" i="5"/>
  <c r="D279" i="5"/>
  <c r="D280" i="5"/>
  <c r="C280" i="5"/>
  <c r="C281" i="5"/>
  <c r="D281" i="5"/>
  <c r="C282" i="5"/>
  <c r="D282" i="5"/>
  <c r="D283" i="5"/>
  <c r="C283" i="5"/>
  <c r="D284" i="5"/>
  <c r="C284" i="5"/>
  <c r="D285" i="5"/>
  <c r="C285" i="5"/>
  <c r="C286" i="5"/>
  <c r="D286" i="5"/>
  <c r="C287" i="5"/>
  <c r="D287" i="5"/>
  <c r="D288" i="5"/>
  <c r="C288" i="5"/>
  <c r="C289" i="5"/>
  <c r="D289" i="5"/>
  <c r="C290" i="5"/>
  <c r="D290" i="5"/>
  <c r="C291" i="5"/>
  <c r="D291" i="5"/>
  <c r="C292" i="5"/>
  <c r="D292" i="5"/>
  <c r="D293" i="5"/>
  <c r="C293" i="5"/>
  <c r="C294" i="5"/>
  <c r="D294" i="5"/>
  <c r="C295" i="5"/>
  <c r="D295" i="5"/>
  <c r="D296" i="5"/>
  <c r="C296" i="5"/>
  <c r="D297" i="5"/>
  <c r="C297" i="5"/>
  <c r="D298" i="5"/>
  <c r="C298" i="5"/>
  <c r="C299" i="5"/>
  <c r="D299" i="5"/>
  <c r="D300" i="5"/>
  <c r="C300" i="5"/>
  <c r="D301" i="5"/>
  <c r="C301" i="5"/>
  <c r="D302" i="5"/>
  <c r="C302" i="5"/>
  <c r="C303" i="5"/>
  <c r="D303" i="5"/>
  <c r="C304" i="5"/>
  <c r="D304" i="5"/>
  <c r="D305" i="5"/>
  <c r="C305" i="5"/>
  <c r="D306" i="5"/>
  <c r="C306" i="5"/>
  <c r="D307" i="5"/>
  <c r="C307" i="5"/>
  <c r="D308" i="5"/>
  <c r="C308" i="5"/>
  <c r="D309" i="5"/>
  <c r="C309" i="5"/>
  <c r="C310" i="5"/>
  <c r="D310" i="5"/>
  <c r="C311" i="5"/>
  <c r="D311" i="5"/>
  <c r="C312" i="5"/>
  <c r="D312" i="5"/>
  <c r="C313" i="5"/>
  <c r="D313" i="5"/>
  <c r="D314" i="5"/>
  <c r="C314" i="5"/>
  <c r="D315" i="5"/>
  <c r="C315" i="5"/>
  <c r="D316" i="5"/>
  <c r="C316" i="5"/>
  <c r="D317" i="5"/>
  <c r="C317" i="5"/>
  <c r="C318" i="5"/>
  <c r="D318" i="5"/>
  <c r="C319" i="5"/>
  <c r="D319" i="5"/>
  <c r="C320" i="5"/>
  <c r="D320" i="5"/>
  <c r="D321" i="5"/>
  <c r="C321" i="5"/>
  <c r="D322" i="5"/>
  <c r="C322" i="5"/>
  <c r="D323" i="5"/>
  <c r="C323" i="5"/>
  <c r="C324" i="5"/>
  <c r="D324" i="5"/>
  <c r="D325" i="5"/>
  <c r="C325" i="5"/>
  <c r="C326" i="5"/>
  <c r="D326" i="5"/>
  <c r="C327" i="5"/>
  <c r="D327" i="5"/>
  <c r="C328" i="5"/>
  <c r="D328" i="5"/>
  <c r="D329" i="5"/>
  <c r="C329" i="5"/>
  <c r="D330" i="5"/>
  <c r="C330" i="5"/>
  <c r="C331" i="5"/>
  <c r="D331" i="5"/>
  <c r="D332" i="5"/>
  <c r="C332" i="5"/>
  <c r="C333" i="5"/>
  <c r="D333" i="5"/>
  <c r="C334" i="5"/>
  <c r="D334" i="5"/>
  <c r="C335" i="5"/>
  <c r="D335" i="5"/>
  <c r="C336" i="5"/>
  <c r="D336" i="5"/>
  <c r="C337" i="5"/>
  <c r="D337" i="5"/>
  <c r="C338" i="5"/>
  <c r="D338" i="5"/>
  <c r="D339" i="5"/>
  <c r="C339" i="5"/>
  <c r="C340" i="5"/>
  <c r="D340" i="5"/>
  <c r="C341" i="5"/>
  <c r="D341" i="5"/>
  <c r="C342" i="5"/>
  <c r="D342" i="5"/>
  <c r="D343" i="5"/>
  <c r="C343" i="5"/>
  <c r="C344" i="5"/>
  <c r="D344" i="5"/>
  <c r="C345" i="5"/>
  <c r="D345" i="5"/>
  <c r="D346" i="5"/>
  <c r="C346" i="5"/>
  <c r="C347" i="5"/>
  <c r="D347" i="5"/>
  <c r="C348" i="5"/>
  <c r="D348" i="5"/>
  <c r="C349" i="5"/>
  <c r="D349" i="5"/>
  <c r="C350" i="5"/>
  <c r="D350" i="5"/>
  <c r="C351" i="5"/>
  <c r="D351" i="5"/>
  <c r="C352" i="5"/>
  <c r="D352" i="5"/>
  <c r="D353" i="5"/>
  <c r="C353" i="5"/>
  <c r="D354" i="5"/>
  <c r="C354" i="5"/>
  <c r="C355" i="5"/>
  <c r="D355" i="5"/>
  <c r="D356" i="5"/>
  <c r="C356" i="5"/>
  <c r="D357" i="5"/>
  <c r="C357" i="5"/>
  <c r="C358" i="5"/>
  <c r="D358" i="5"/>
  <c r="D359" i="5"/>
  <c r="C359" i="5"/>
  <c r="D360" i="5"/>
  <c r="C360" i="5"/>
  <c r="C361" i="5"/>
  <c r="D361" i="5"/>
  <c r="D362" i="5"/>
  <c r="C362" i="5"/>
  <c r="C363" i="5"/>
  <c r="D363" i="5"/>
  <c r="C364" i="5"/>
  <c r="D364" i="5"/>
  <c r="D365" i="5"/>
  <c r="C365" i="5"/>
  <c r="D366" i="5"/>
  <c r="C366" i="5"/>
  <c r="D367" i="5"/>
  <c r="C367" i="5"/>
  <c r="D368" i="5"/>
  <c r="C368" i="5"/>
  <c r="C369" i="5"/>
  <c r="D369" i="5"/>
  <c r="C370" i="5"/>
  <c r="D370" i="5"/>
  <c r="C371" i="5"/>
  <c r="D371" i="5"/>
  <c r="C372" i="5"/>
  <c r="D372" i="5"/>
  <c r="D373" i="5"/>
  <c r="C373" i="5"/>
  <c r="D374" i="5"/>
  <c r="C374" i="5"/>
  <c r="D375" i="5"/>
  <c r="C375" i="5"/>
  <c r="D376" i="5"/>
  <c r="C376" i="5"/>
  <c r="C377" i="5"/>
  <c r="D377" i="5"/>
  <c r="D378" i="5"/>
  <c r="C378" i="5"/>
  <c r="C379" i="5"/>
  <c r="D379" i="5"/>
  <c r="D380" i="5"/>
  <c r="C380" i="5"/>
  <c r="D381" i="5"/>
  <c r="C381" i="5"/>
  <c r="C382" i="5"/>
  <c r="D382" i="5"/>
  <c r="C383" i="5"/>
  <c r="D383" i="5"/>
  <c r="C384" i="5"/>
  <c r="D384" i="5"/>
  <c r="D385" i="5"/>
  <c r="C385" i="5"/>
  <c r="D386" i="5"/>
  <c r="C386" i="5"/>
  <c r="C387" i="5"/>
  <c r="D387" i="5"/>
  <c r="C388" i="5"/>
  <c r="D388" i="5"/>
  <c r="D389" i="5"/>
  <c r="C389" i="5"/>
  <c r="D390" i="5"/>
  <c r="C390" i="5"/>
  <c r="C391" i="5"/>
  <c r="D391" i="5"/>
  <c r="D392" i="5"/>
  <c r="C392" i="5"/>
  <c r="C393" i="5"/>
  <c r="D393" i="5"/>
  <c r="D394" i="5"/>
  <c r="C394" i="5"/>
  <c r="D395" i="5"/>
  <c r="C395" i="5"/>
  <c r="C396" i="5"/>
  <c r="D396" i="5"/>
  <c r="D397" i="5"/>
  <c r="C397" i="5"/>
  <c r="C398" i="5"/>
  <c r="D398" i="5"/>
  <c r="D399" i="5"/>
  <c r="C399" i="5"/>
  <c r="D400" i="5"/>
  <c r="C400" i="5"/>
  <c r="C401" i="5"/>
  <c r="D401" i="5"/>
  <c r="D402" i="5"/>
  <c r="C402" i="5"/>
  <c r="C403" i="5"/>
  <c r="D403" i="5"/>
  <c r="C404" i="5"/>
  <c r="D404" i="5"/>
  <c r="C405" i="5"/>
  <c r="D405" i="5"/>
  <c r="C406" i="5"/>
  <c r="D406" i="5"/>
  <c r="C407" i="5"/>
  <c r="D407" i="5"/>
  <c r="C408" i="5"/>
  <c r="D408" i="5"/>
  <c r="D409" i="5"/>
  <c r="C409" i="5"/>
  <c r="D410" i="5"/>
  <c r="C410" i="5"/>
  <c r="D411" i="5"/>
  <c r="C411" i="5"/>
  <c r="D412" i="5"/>
  <c r="C412" i="5"/>
  <c r="C413" i="5"/>
  <c r="D413" i="5"/>
  <c r="C414" i="5"/>
  <c r="D414" i="5"/>
  <c r="C415" i="5"/>
  <c r="D415" i="5"/>
  <c r="D416" i="5"/>
  <c r="C416" i="5"/>
  <c r="C417" i="5"/>
  <c r="D417" i="5"/>
  <c r="C418" i="5"/>
  <c r="D418" i="5"/>
  <c r="D419" i="5"/>
  <c r="C419" i="5"/>
  <c r="D420" i="5"/>
  <c r="C420" i="5"/>
  <c r="D421" i="5"/>
  <c r="C421" i="5"/>
  <c r="D422" i="5"/>
  <c r="C422" i="5"/>
  <c r="C423" i="5"/>
  <c r="D423" i="5"/>
  <c r="D424" i="5"/>
  <c r="C424" i="5"/>
  <c r="C425" i="5"/>
  <c r="D425" i="5"/>
  <c r="D426" i="5"/>
  <c r="C426" i="5"/>
  <c r="C427" i="5"/>
  <c r="D427" i="5"/>
  <c r="D428" i="5"/>
  <c r="C428" i="5"/>
  <c r="C429" i="5"/>
  <c r="D429" i="5"/>
  <c r="C430" i="5"/>
  <c r="D430" i="5"/>
  <c r="C431" i="5"/>
  <c r="D431" i="5"/>
  <c r="C432" i="5"/>
  <c r="D432" i="5"/>
  <c r="D433" i="5"/>
  <c r="C433" i="5"/>
  <c r="C434" i="5"/>
  <c r="D434" i="5"/>
  <c r="C435" i="5"/>
  <c r="D435" i="5"/>
  <c r="C436" i="5"/>
  <c r="D436" i="5"/>
  <c r="C437" i="5"/>
  <c r="D437" i="5"/>
  <c r="C438" i="5"/>
  <c r="D438" i="5"/>
  <c r="D439" i="5"/>
  <c r="C439" i="5"/>
  <c r="C440" i="5"/>
  <c r="D440" i="5"/>
  <c r="C441" i="5"/>
  <c r="D441" i="5"/>
  <c r="D442" i="5"/>
  <c r="C442" i="5"/>
  <c r="C443" i="5"/>
  <c r="D443" i="5"/>
  <c r="D444" i="5"/>
  <c r="C444" i="5"/>
  <c r="C445" i="5"/>
  <c r="D445" i="5"/>
  <c r="C446" i="5"/>
  <c r="D446" i="5"/>
  <c r="D447" i="5"/>
  <c r="C447" i="5"/>
  <c r="C448" i="5"/>
  <c r="D448" i="5"/>
  <c r="C449" i="5"/>
  <c r="D449" i="5"/>
  <c r="D450" i="5"/>
  <c r="C450" i="5"/>
  <c r="C451" i="5"/>
  <c r="D451" i="5"/>
  <c r="D452" i="5"/>
  <c r="C452" i="5"/>
  <c r="C453" i="5"/>
  <c r="D453" i="5"/>
  <c r="C454" i="5"/>
  <c r="D454" i="5"/>
  <c r="D455" i="5"/>
  <c r="C455" i="5"/>
  <c r="C456" i="5"/>
  <c r="D456" i="5"/>
  <c r="D457" i="5"/>
  <c r="C457" i="5"/>
  <c r="D458" i="5"/>
  <c r="C458" i="5"/>
  <c r="C459" i="5"/>
  <c r="D459" i="5"/>
  <c r="D460" i="5"/>
  <c r="C460" i="5"/>
  <c r="C461" i="5"/>
  <c r="D461" i="5"/>
  <c r="D462" i="5"/>
  <c r="C462" i="5"/>
  <c r="C463" i="5"/>
  <c r="D463" i="5"/>
  <c r="D464" i="5"/>
  <c r="C464" i="5"/>
  <c r="D465" i="5"/>
  <c r="C465" i="5"/>
  <c r="C466" i="5"/>
  <c r="D466" i="5"/>
  <c r="C467" i="5"/>
  <c r="D467" i="5"/>
  <c r="C468" i="5"/>
  <c r="D468" i="5"/>
  <c r="D469" i="5"/>
  <c r="C469" i="5"/>
  <c r="C470" i="5"/>
  <c r="D470" i="5"/>
  <c r="D471" i="5"/>
  <c r="C471" i="5"/>
  <c r="D472" i="5"/>
  <c r="C472" i="5"/>
  <c r="C473" i="5"/>
  <c r="D473" i="5"/>
  <c r="D474" i="5"/>
  <c r="C474" i="5"/>
  <c r="C475" i="5"/>
  <c r="D475" i="5"/>
  <c r="D476" i="5"/>
  <c r="C476" i="5"/>
  <c r="D477" i="5"/>
  <c r="C477" i="5"/>
  <c r="C478" i="5"/>
  <c r="D478" i="5"/>
  <c r="D479" i="5"/>
  <c r="C479" i="5"/>
  <c r="D480" i="5"/>
  <c r="C480" i="5"/>
  <c r="D481" i="5"/>
  <c r="C481" i="5"/>
  <c r="D482" i="5"/>
  <c r="C482" i="5"/>
  <c r="D483" i="5"/>
  <c r="C483" i="5"/>
  <c r="D484" i="5"/>
  <c r="C484" i="5"/>
  <c r="D485" i="5"/>
  <c r="C485" i="5"/>
  <c r="D486" i="5"/>
  <c r="C486" i="5"/>
  <c r="C487" i="5"/>
  <c r="D487" i="5"/>
  <c r="C488" i="5"/>
  <c r="D488" i="5"/>
  <c r="C489" i="5"/>
  <c r="D489" i="5"/>
  <c r="C490" i="5"/>
  <c r="D490" i="5"/>
  <c r="C491" i="5"/>
  <c r="D491" i="5"/>
  <c r="C492" i="5"/>
  <c r="D492" i="5"/>
  <c r="C493" i="5"/>
  <c r="D49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E101" i="5"/>
  <c r="E102" i="5"/>
  <c r="E103" i="5"/>
  <c r="E104" i="5"/>
  <c r="E105" i="5"/>
  <c r="E106" i="5"/>
  <c r="E107" i="5"/>
  <c r="E108" i="5"/>
  <c r="E109" i="5"/>
  <c r="E110" i="5"/>
  <c r="E111" i="5"/>
  <c r="E112" i="5"/>
  <c r="E113" i="5"/>
  <c r="E114" i="5"/>
  <c r="E115" i="5"/>
  <c r="E116" i="5"/>
  <c r="E117" i="5"/>
  <c r="E118" i="5"/>
  <c r="E119" i="5"/>
  <c r="E120" i="5"/>
  <c r="E121" i="5"/>
  <c r="E122" i="5"/>
  <c r="E123" i="5"/>
  <c r="E124" i="5"/>
  <c r="E125" i="5"/>
  <c r="E126" i="5"/>
  <c r="E127" i="5"/>
  <c r="E128" i="5"/>
  <c r="E129" i="5"/>
  <c r="E130" i="5"/>
  <c r="E131" i="5"/>
  <c r="E132" i="5"/>
  <c r="E133" i="5"/>
  <c r="E134" i="5"/>
  <c r="E135" i="5"/>
  <c r="E136" i="5"/>
  <c r="E137" i="5"/>
  <c r="E138" i="5"/>
  <c r="E139" i="5"/>
  <c r="E140" i="5"/>
  <c r="E141" i="5"/>
  <c r="E142" i="5"/>
  <c r="E143" i="5"/>
  <c r="E144" i="5"/>
  <c r="E145" i="5"/>
  <c r="E146" i="5"/>
  <c r="E147" i="5"/>
  <c r="E148" i="5"/>
  <c r="E149" i="5"/>
  <c r="E150" i="5"/>
  <c r="E151" i="5"/>
  <c r="E152" i="5"/>
  <c r="E153" i="5"/>
  <c r="E154" i="5"/>
  <c r="E155" i="5"/>
  <c r="E156" i="5"/>
  <c r="E157" i="5"/>
  <c r="E158" i="5"/>
  <c r="E159" i="5"/>
  <c r="E160" i="5"/>
  <c r="E161" i="5"/>
  <c r="E162" i="5"/>
  <c r="E163" i="5"/>
  <c r="E164" i="5"/>
  <c r="E165" i="5"/>
  <c r="E166" i="5"/>
  <c r="E167" i="5"/>
  <c r="E168" i="5"/>
  <c r="E169" i="5"/>
  <c r="E170" i="5"/>
  <c r="E171" i="5"/>
  <c r="E172" i="5"/>
  <c r="E173" i="5"/>
  <c r="E174" i="5"/>
  <c r="E175" i="5"/>
  <c r="E176" i="5"/>
  <c r="E177" i="5"/>
  <c r="E178" i="5"/>
  <c r="E179" i="5"/>
  <c r="E180" i="5"/>
  <c r="E181" i="5"/>
  <c r="E182" i="5"/>
  <c r="E183" i="5"/>
  <c r="E184" i="5"/>
  <c r="E185" i="5"/>
  <c r="E186" i="5"/>
  <c r="E187" i="5"/>
  <c r="E188" i="5"/>
  <c r="E189" i="5"/>
  <c r="E190" i="5"/>
  <c r="E191" i="5"/>
  <c r="E192" i="5"/>
  <c r="E193" i="5"/>
  <c r="E194" i="5"/>
  <c r="E195" i="5"/>
  <c r="E196" i="5"/>
  <c r="E197" i="5"/>
  <c r="E198" i="5"/>
  <c r="E199" i="5"/>
  <c r="E200" i="5"/>
  <c r="E201" i="5"/>
  <c r="E202" i="5"/>
  <c r="E203" i="5"/>
  <c r="E204" i="5"/>
  <c r="E205" i="5"/>
  <c r="E206" i="5"/>
  <c r="E207" i="5"/>
  <c r="E208" i="5"/>
  <c r="E209" i="5"/>
  <c r="E210" i="5"/>
  <c r="E211" i="5"/>
  <c r="E212" i="5"/>
  <c r="E213" i="5"/>
  <c r="E214" i="5"/>
  <c r="E215" i="5"/>
  <c r="E216" i="5"/>
  <c r="E217" i="5"/>
  <c r="E218" i="5"/>
  <c r="E219" i="5"/>
  <c r="E220" i="5"/>
  <c r="E221" i="5"/>
  <c r="E222" i="5"/>
  <c r="E223" i="5"/>
  <c r="E224" i="5"/>
  <c r="E225" i="5"/>
  <c r="E226" i="5"/>
  <c r="E227" i="5"/>
  <c r="E228" i="5"/>
  <c r="E229" i="5"/>
  <c r="E230" i="5"/>
  <c r="E231" i="5"/>
  <c r="E232" i="5"/>
  <c r="E233" i="5"/>
  <c r="E234" i="5"/>
  <c r="E235" i="5"/>
  <c r="E236" i="5"/>
  <c r="E237" i="5"/>
  <c r="E238" i="5"/>
  <c r="E239" i="5"/>
  <c r="E240" i="5"/>
  <c r="E241" i="5"/>
  <c r="E242" i="5"/>
  <c r="E243" i="5"/>
  <c r="E244" i="5"/>
  <c r="E245" i="5"/>
  <c r="E246" i="5"/>
  <c r="E247" i="5"/>
  <c r="E248" i="5"/>
  <c r="E249" i="5"/>
  <c r="E250" i="5"/>
  <c r="E251" i="5"/>
  <c r="E252" i="5"/>
  <c r="E253" i="5"/>
  <c r="E254" i="5"/>
  <c r="E255" i="5"/>
  <c r="E256" i="5"/>
  <c r="E257" i="5"/>
  <c r="E258" i="5"/>
  <c r="E259" i="5"/>
  <c r="E260" i="5"/>
  <c r="E261" i="5"/>
  <c r="E262" i="5"/>
  <c r="E263" i="5"/>
  <c r="E264" i="5"/>
  <c r="E265" i="5"/>
  <c r="E266" i="5"/>
  <c r="E267" i="5"/>
  <c r="E268" i="5"/>
  <c r="E269" i="5"/>
  <c r="E270" i="5"/>
  <c r="E271" i="5"/>
  <c r="E272" i="5"/>
  <c r="E273" i="5"/>
  <c r="E274" i="5"/>
  <c r="E275" i="5"/>
  <c r="E276" i="5"/>
  <c r="E277" i="5"/>
  <c r="E278" i="5"/>
  <c r="E279" i="5"/>
  <c r="E280" i="5"/>
  <c r="E281" i="5"/>
  <c r="E282" i="5"/>
  <c r="E283" i="5"/>
  <c r="E284" i="5"/>
  <c r="E285" i="5"/>
  <c r="E286" i="5"/>
  <c r="E287" i="5"/>
  <c r="E288" i="5"/>
  <c r="E289" i="5"/>
  <c r="E290" i="5"/>
  <c r="E291" i="5"/>
  <c r="E292" i="5"/>
  <c r="E293" i="5"/>
  <c r="E294" i="5"/>
  <c r="E295" i="5"/>
  <c r="E296" i="5"/>
  <c r="E297" i="5"/>
  <c r="E298" i="5"/>
  <c r="E299" i="5"/>
  <c r="E300" i="5"/>
  <c r="E301" i="5"/>
  <c r="E302" i="5"/>
  <c r="E303" i="5"/>
  <c r="E304" i="5"/>
  <c r="E305" i="5"/>
  <c r="E306" i="5"/>
  <c r="E307" i="5"/>
  <c r="E308" i="5"/>
  <c r="E309" i="5"/>
  <c r="E310" i="5"/>
  <c r="E311" i="5"/>
  <c r="E312" i="5"/>
  <c r="E313" i="5"/>
  <c r="E314" i="5"/>
  <c r="E315" i="5"/>
  <c r="E316" i="5"/>
  <c r="E317" i="5"/>
  <c r="E318" i="5"/>
  <c r="E319" i="5"/>
  <c r="E320" i="5"/>
  <c r="E321" i="5"/>
  <c r="E322" i="5"/>
  <c r="E323" i="5"/>
  <c r="E324" i="5"/>
  <c r="E325" i="5"/>
  <c r="E326" i="5"/>
  <c r="E327" i="5"/>
  <c r="E328" i="5"/>
  <c r="E329" i="5"/>
  <c r="E330" i="5"/>
  <c r="E331" i="5"/>
  <c r="E332" i="5"/>
  <c r="E333" i="5"/>
  <c r="E334" i="5"/>
  <c r="E335" i="5"/>
  <c r="E336" i="5"/>
  <c r="E337" i="5"/>
  <c r="E338" i="5"/>
  <c r="E339" i="5"/>
  <c r="E340" i="5"/>
  <c r="E341" i="5"/>
  <c r="E342" i="5"/>
  <c r="E343" i="5"/>
  <c r="E344" i="5"/>
  <c r="E345" i="5"/>
  <c r="E346" i="5"/>
  <c r="E347" i="5"/>
  <c r="E348" i="5"/>
  <c r="E349" i="5"/>
  <c r="E350" i="5"/>
  <c r="E351" i="5"/>
  <c r="E352" i="5"/>
  <c r="E353" i="5"/>
  <c r="E354" i="5"/>
  <c r="E355" i="5"/>
  <c r="E356" i="5"/>
  <c r="E357" i="5"/>
  <c r="E358" i="5"/>
  <c r="E359" i="5"/>
  <c r="E360" i="5"/>
  <c r="E361" i="5"/>
  <c r="E362" i="5"/>
  <c r="E363" i="5"/>
  <c r="E364" i="5"/>
  <c r="E365" i="5"/>
  <c r="E366" i="5"/>
  <c r="E367" i="5"/>
  <c r="E368" i="5"/>
  <c r="E369" i="5"/>
  <c r="E370" i="5"/>
  <c r="E371" i="5"/>
  <c r="E372" i="5"/>
  <c r="E373" i="5"/>
  <c r="E374" i="5"/>
  <c r="E375" i="5"/>
  <c r="E376" i="5"/>
  <c r="E377" i="5"/>
  <c r="E378" i="5"/>
  <c r="E379" i="5"/>
  <c r="E380" i="5"/>
  <c r="E381" i="5"/>
  <c r="E382" i="5"/>
  <c r="E383" i="5"/>
  <c r="E384" i="5"/>
  <c r="E385" i="5"/>
  <c r="E386" i="5"/>
  <c r="E387" i="5"/>
  <c r="E388" i="5"/>
  <c r="E389" i="5"/>
  <c r="E390" i="5"/>
  <c r="E391" i="5"/>
  <c r="E392" i="5"/>
  <c r="E393" i="5"/>
  <c r="E394" i="5"/>
  <c r="E395" i="5"/>
  <c r="E396" i="5"/>
  <c r="E397" i="5"/>
  <c r="E398" i="5"/>
  <c r="E399" i="5"/>
  <c r="E400" i="5"/>
  <c r="E401" i="5"/>
  <c r="E402" i="5"/>
  <c r="E403" i="5"/>
  <c r="E404" i="5"/>
  <c r="E405" i="5"/>
  <c r="E406" i="5"/>
  <c r="E407" i="5"/>
  <c r="E408" i="5"/>
  <c r="E409" i="5"/>
  <c r="E410" i="5"/>
  <c r="E411" i="5"/>
  <c r="E412" i="5"/>
  <c r="E413" i="5"/>
  <c r="E414" i="5"/>
  <c r="E415" i="5"/>
  <c r="E416" i="5"/>
  <c r="E417" i="5"/>
  <c r="E418" i="5"/>
  <c r="E419" i="5"/>
  <c r="E420" i="5"/>
  <c r="E421" i="5"/>
  <c r="E422" i="5"/>
  <c r="E423" i="5"/>
  <c r="E424" i="5"/>
  <c r="E425" i="5"/>
  <c r="E426" i="5"/>
  <c r="E427" i="5"/>
  <c r="E428" i="5"/>
  <c r="E429" i="5"/>
  <c r="E430" i="5"/>
  <c r="E431" i="5"/>
  <c r="E432" i="5"/>
  <c r="E433" i="5"/>
  <c r="E434" i="5"/>
  <c r="E435" i="5"/>
  <c r="E436" i="5"/>
  <c r="E437" i="5"/>
  <c r="E438" i="5"/>
  <c r="E439" i="5"/>
  <c r="E440" i="5"/>
  <c r="E441" i="5"/>
  <c r="E442" i="5"/>
  <c r="E443" i="5"/>
  <c r="E444" i="5"/>
  <c r="E445" i="5"/>
  <c r="E446" i="5"/>
  <c r="E447" i="5"/>
  <c r="E448" i="5"/>
  <c r="E449" i="5"/>
  <c r="E450" i="5"/>
  <c r="E451" i="5"/>
  <c r="E452" i="5"/>
  <c r="E453" i="5"/>
  <c r="E454" i="5"/>
  <c r="E455" i="5"/>
  <c r="E456" i="5"/>
  <c r="E457" i="5"/>
  <c r="E458" i="5"/>
  <c r="E459" i="5"/>
  <c r="E460" i="5"/>
  <c r="E461" i="5"/>
  <c r="E462" i="5"/>
  <c r="E463" i="5"/>
  <c r="E464" i="5"/>
  <c r="E465" i="5"/>
  <c r="E466" i="5"/>
  <c r="E467" i="5"/>
  <c r="E468" i="5"/>
  <c r="E469" i="5"/>
  <c r="E470" i="5"/>
  <c r="E471" i="5"/>
  <c r="E472" i="5"/>
  <c r="E473" i="5"/>
  <c r="E474" i="5"/>
  <c r="E475" i="5"/>
  <c r="E476" i="5"/>
  <c r="E477" i="5"/>
  <c r="E478" i="5"/>
  <c r="E479" i="5"/>
  <c r="E480" i="5"/>
  <c r="E481" i="5"/>
  <c r="E482" i="5"/>
  <c r="E483" i="5"/>
  <c r="E484" i="5"/>
  <c r="E485" i="5"/>
  <c r="E486" i="5"/>
  <c r="E487" i="5"/>
  <c r="E488" i="5"/>
  <c r="E489" i="5"/>
  <c r="E490" i="5"/>
  <c r="E491" i="5"/>
  <c r="E492" i="5"/>
  <c r="E493" i="5"/>
  <c r="G60" i="1"/>
  <c r="H59" i="1" s="1"/>
  <c r="D5" i="5"/>
  <c r="F82" i="1" l="1"/>
  <c r="G45" i="1"/>
  <c r="G56" i="1"/>
  <c r="G42" i="1"/>
  <c r="G23" i="1"/>
  <c r="G43" i="1"/>
  <c r="G40" i="1"/>
  <c r="G35" i="1"/>
  <c r="G34" i="1"/>
  <c r="G50" i="1"/>
  <c r="G39" i="1"/>
  <c r="G22" i="1"/>
  <c r="G51" i="1"/>
  <c r="G52" i="1"/>
  <c r="G37" i="1"/>
  <c r="G29" i="1"/>
  <c r="G32" i="1"/>
  <c r="G54" i="1"/>
  <c r="G55" i="1"/>
  <c r="G48" i="1"/>
  <c r="G19" i="1"/>
  <c r="G46" i="1"/>
  <c r="G36" i="1"/>
  <c r="G25" i="1"/>
  <c r="G38" i="1"/>
  <c r="G17" i="1"/>
  <c r="G21" i="1"/>
  <c r="G30" i="1"/>
  <c r="G26" i="1"/>
  <c r="G27" i="1"/>
  <c r="G33" i="1"/>
  <c r="G47" i="1"/>
  <c r="G44" i="1"/>
  <c r="G28" i="1"/>
  <c r="G20" i="1"/>
  <c r="G31" i="1"/>
  <c r="G18" i="1"/>
  <c r="G53" i="1"/>
  <c r="G24" i="1"/>
  <c r="G49" i="1"/>
  <c r="G41" i="1"/>
  <c r="I5" i="6"/>
  <c r="H15" i="1" s="1"/>
  <c r="F81" i="1"/>
  <c r="D4" i="5"/>
  <c r="F84" i="1"/>
  <c r="D95" i="2"/>
  <c r="F88" i="1"/>
  <c r="C12" i="4"/>
  <c r="C14" i="4" s="1"/>
  <c r="C15" i="4" s="1"/>
  <c r="C16" i="4"/>
  <c r="H36" i="1" l="1"/>
  <c r="I36" i="1" s="1"/>
  <c r="J36" i="1" s="1"/>
  <c r="K36" i="1" s="1"/>
  <c r="H56" i="1"/>
  <c r="I56" i="1" s="1"/>
  <c r="J56" i="1" s="1"/>
  <c r="K56" i="1" s="1"/>
  <c r="H28" i="1"/>
  <c r="I28" i="1" s="1"/>
  <c r="J28" i="1" s="1"/>
  <c r="K28" i="1" s="1"/>
  <c r="H18" i="1"/>
  <c r="I18" i="1" s="1"/>
  <c r="J18" i="1" s="1"/>
  <c r="K18" i="1" s="1"/>
  <c r="H31" i="1"/>
  <c r="I31" i="1" s="1"/>
  <c r="J31" i="1" s="1"/>
  <c r="K31" i="1" s="1"/>
  <c r="H52" i="1"/>
  <c r="I52" i="1" s="1"/>
  <c r="J52" i="1" s="1"/>
  <c r="K52" i="1" s="1"/>
  <c r="H17" i="1"/>
  <c r="I17" i="1" s="1"/>
  <c r="J17" i="1" s="1"/>
  <c r="K17" i="1" s="1"/>
  <c r="H49" i="1"/>
  <c r="I49" i="1" s="1"/>
  <c r="J49" i="1" s="1"/>
  <c r="K49" i="1" s="1"/>
  <c r="H27" i="1"/>
  <c r="I27" i="1" s="1"/>
  <c r="J27" i="1" s="1"/>
  <c r="K27" i="1" s="1"/>
  <c r="H35" i="1"/>
  <c r="I35" i="1" s="1"/>
  <c r="J35" i="1" s="1"/>
  <c r="K35" i="1" s="1"/>
  <c r="H44" i="1"/>
  <c r="I44" i="1" s="1"/>
  <c r="J44" i="1" s="1"/>
  <c r="K44" i="1" s="1"/>
  <c r="H53" i="1"/>
  <c r="I53" i="1" s="1"/>
  <c r="J53" i="1" s="1"/>
  <c r="K53" i="1" s="1"/>
  <c r="H45" i="1"/>
  <c r="I45" i="1" s="1"/>
  <c r="J45" i="1" s="1"/>
  <c r="K45" i="1" s="1"/>
  <c r="H40" i="1"/>
  <c r="I40" i="1" s="1"/>
  <c r="J40" i="1" s="1"/>
  <c r="K40" i="1" s="1"/>
  <c r="H50" i="1"/>
  <c r="I50" i="1" s="1"/>
  <c r="J50" i="1" s="1"/>
  <c r="K50" i="1" s="1"/>
  <c r="H32" i="1"/>
  <c r="I32" i="1" s="1"/>
  <c r="J32" i="1" s="1"/>
  <c r="K32" i="1" s="1"/>
  <c r="H25" i="1"/>
  <c r="I25" i="1" s="1"/>
  <c r="J25" i="1" s="1"/>
  <c r="K25" i="1" s="1"/>
  <c r="H51" i="1"/>
  <c r="I51" i="1" s="1"/>
  <c r="J51" i="1" s="1"/>
  <c r="K51" i="1" s="1"/>
  <c r="H55" i="1"/>
  <c r="I55" i="1" s="1"/>
  <c r="J55" i="1" s="1"/>
  <c r="K55" i="1" s="1"/>
  <c r="H26" i="1"/>
  <c r="I26" i="1" s="1"/>
  <c r="J26" i="1" s="1"/>
  <c r="K26" i="1" s="1"/>
  <c r="H37" i="1"/>
  <c r="I37" i="1" s="1"/>
  <c r="J37" i="1" s="1"/>
  <c r="K37" i="1" s="1"/>
  <c r="H54" i="1"/>
  <c r="I54" i="1" s="1"/>
  <c r="J54" i="1" s="1"/>
  <c r="K54" i="1" s="1"/>
  <c r="H43" i="1"/>
  <c r="I43" i="1" s="1"/>
  <c r="J43" i="1" s="1"/>
  <c r="K43" i="1" s="1"/>
  <c r="H46" i="1"/>
  <c r="I46" i="1" s="1"/>
  <c r="J46" i="1" s="1"/>
  <c r="K46" i="1" s="1"/>
  <c r="H39" i="1"/>
  <c r="I39" i="1" s="1"/>
  <c r="J39" i="1" s="1"/>
  <c r="K39" i="1" s="1"/>
  <c r="H24" i="1"/>
  <c r="I24" i="1" s="1"/>
  <c r="J24" i="1" s="1"/>
  <c r="K24" i="1" s="1"/>
  <c r="H42" i="1"/>
  <c r="I42" i="1" s="1"/>
  <c r="J42" i="1" s="1"/>
  <c r="K42" i="1" s="1"/>
  <c r="H33" i="1"/>
  <c r="I33" i="1" s="1"/>
  <c r="J33" i="1" s="1"/>
  <c r="K33" i="1" s="1"/>
  <c r="H48" i="1"/>
  <c r="I48" i="1" s="1"/>
  <c r="J48" i="1" s="1"/>
  <c r="K48" i="1" s="1"/>
  <c r="H19" i="1"/>
  <c r="I19" i="1" s="1"/>
  <c r="J19" i="1" s="1"/>
  <c r="K19" i="1" s="1"/>
  <c r="H41" i="1"/>
  <c r="I41" i="1" s="1"/>
  <c r="J41" i="1" s="1"/>
  <c r="K41" i="1" s="1"/>
  <c r="H22" i="1"/>
  <c r="I22" i="1" s="1"/>
  <c r="J22" i="1" s="1"/>
  <c r="K22" i="1" s="1"/>
  <c r="H30" i="1"/>
  <c r="I30" i="1" s="1"/>
  <c r="J30" i="1" s="1"/>
  <c r="K30" i="1" s="1"/>
  <c r="H23" i="1"/>
  <c r="I23" i="1" s="1"/>
  <c r="J23" i="1" s="1"/>
  <c r="K23" i="1" s="1"/>
  <c r="H47" i="1"/>
  <c r="I47" i="1" s="1"/>
  <c r="J47" i="1" s="1"/>
  <c r="K47" i="1" s="1"/>
  <c r="H38" i="1"/>
  <c r="I38" i="1" s="1"/>
  <c r="J38" i="1" s="1"/>
  <c r="K38" i="1" s="1"/>
  <c r="H34" i="1"/>
  <c r="I34" i="1" s="1"/>
  <c r="J34" i="1" s="1"/>
  <c r="K34" i="1" s="1"/>
  <c r="H20" i="1"/>
  <c r="I20" i="1" s="1"/>
  <c r="J20" i="1" s="1"/>
  <c r="K20" i="1" s="1"/>
  <c r="H21" i="1"/>
  <c r="I21" i="1" s="1"/>
  <c r="J21" i="1" s="1"/>
  <c r="K21" i="1" s="1"/>
  <c r="H29" i="1"/>
  <c r="I29" i="1" s="1"/>
  <c r="J29" i="1" s="1"/>
  <c r="K29" i="1" s="1"/>
  <c r="L11" i="2"/>
  <c r="D81" i="2"/>
  <c r="D3" i="5"/>
  <c r="L10" i="2"/>
  <c r="F139" i="5" l="1"/>
  <c r="F173" i="5"/>
  <c r="F400" i="5"/>
  <c r="F172" i="5"/>
  <c r="F161" i="5"/>
  <c r="F20" i="5"/>
  <c r="F352" i="5"/>
  <c r="F289" i="5"/>
  <c r="F74" i="5"/>
  <c r="F478" i="5"/>
  <c r="F340" i="5"/>
  <c r="F433" i="5"/>
  <c r="F86" i="5"/>
  <c r="F159" i="5"/>
  <c r="F60" i="5"/>
  <c r="F114" i="5"/>
  <c r="F327" i="5"/>
  <c r="F492" i="5"/>
  <c r="F213" i="5"/>
  <c r="F374" i="5"/>
  <c r="F39" i="5"/>
  <c r="F230" i="5"/>
  <c r="F455" i="5"/>
  <c r="F467" i="5"/>
  <c r="F209" i="5"/>
  <c r="F346" i="5"/>
  <c r="F123" i="5"/>
  <c r="F113" i="5"/>
  <c r="F413" i="5"/>
  <c r="F389" i="5"/>
  <c r="F256" i="5"/>
  <c r="F402" i="5"/>
  <c r="F204" i="5"/>
  <c r="F121" i="5"/>
  <c r="F407" i="5"/>
  <c r="F426" i="5"/>
  <c r="F339" i="5"/>
  <c r="F326" i="5"/>
  <c r="F267" i="5"/>
  <c r="F430" i="5"/>
  <c r="F463" i="5"/>
  <c r="F372" i="5"/>
  <c r="F191" i="5"/>
  <c r="F88" i="5"/>
  <c r="F292" i="5"/>
  <c r="F489" i="5"/>
  <c r="F40" i="5"/>
  <c r="F444" i="5"/>
  <c r="F160" i="5"/>
  <c r="F154" i="5"/>
  <c r="F198" i="5"/>
  <c r="F168" i="5"/>
  <c r="F298" i="5"/>
  <c r="F194" i="5"/>
  <c r="F487" i="5"/>
  <c r="F124" i="5"/>
  <c r="F188" i="5"/>
  <c r="F276" i="5"/>
  <c r="F237" i="5"/>
  <c r="F303" i="5"/>
  <c r="F288" i="5"/>
  <c r="F217" i="5"/>
  <c r="F367" i="5"/>
  <c r="F362" i="5"/>
  <c r="F93" i="5"/>
  <c r="F369" i="5"/>
  <c r="F468" i="5"/>
  <c r="F89" i="5"/>
  <c r="F126" i="5"/>
  <c r="F371" i="5"/>
  <c r="F359" i="5"/>
  <c r="F115" i="5"/>
  <c r="F273" i="5"/>
  <c r="F136" i="5"/>
  <c r="F202" i="5"/>
  <c r="F282" i="5"/>
  <c r="F96" i="5"/>
  <c r="F65" i="5"/>
  <c r="F277" i="5"/>
  <c r="F422" i="5"/>
  <c r="F167" i="5"/>
  <c r="F79" i="5"/>
  <c r="F477" i="5"/>
  <c r="F53" i="5"/>
  <c r="F384" i="5"/>
  <c r="F52" i="5"/>
  <c r="F324" i="5"/>
  <c r="F493" i="5"/>
  <c r="F150" i="5"/>
  <c r="F285" i="5"/>
  <c r="F72" i="5"/>
  <c r="F341" i="5"/>
  <c r="F462" i="5"/>
  <c r="F91" i="5"/>
  <c r="F436" i="5"/>
  <c r="F364" i="5"/>
  <c r="F153" i="5"/>
  <c r="F171" i="5"/>
  <c r="D8" i="5"/>
  <c r="D10" i="5" s="1"/>
  <c r="F404" i="5"/>
  <c r="F116" i="5"/>
  <c r="F233" i="5"/>
  <c r="F177" i="5"/>
  <c r="F399" i="5"/>
  <c r="F247" i="5"/>
  <c r="F460" i="5"/>
  <c r="F94" i="5"/>
  <c r="F135" i="5"/>
  <c r="F448" i="5"/>
  <c r="F437" i="5"/>
  <c r="F311" i="5"/>
  <c r="F290" i="5"/>
  <c r="F270" i="5"/>
  <c r="F329" i="5"/>
  <c r="F308" i="5"/>
  <c r="F427" i="5"/>
  <c r="F226" i="5"/>
  <c r="F435" i="5"/>
  <c r="F411" i="5"/>
  <c r="F106" i="5"/>
  <c r="F309" i="5"/>
  <c r="F386" i="5"/>
  <c r="F388" i="5"/>
  <c r="F378" i="5"/>
  <c r="F155" i="5"/>
  <c r="F56" i="5"/>
  <c r="F457" i="5"/>
  <c r="F482" i="5"/>
  <c r="F207" i="5"/>
  <c r="F216" i="5"/>
  <c r="F137" i="5"/>
  <c r="F162" i="5"/>
  <c r="F480" i="5"/>
  <c r="F252" i="5"/>
  <c r="F148" i="5"/>
  <c r="F393" i="5"/>
  <c r="F210" i="5"/>
  <c r="F107" i="5"/>
  <c r="F156" i="5"/>
  <c r="F185" i="5"/>
  <c r="F50" i="5"/>
  <c r="F131" i="5"/>
  <c r="F38" i="5"/>
  <c r="F98" i="5"/>
  <c r="F333" i="5"/>
  <c r="F221" i="5"/>
  <c r="F227" i="5"/>
  <c r="F264" i="5"/>
  <c r="F31" i="5"/>
  <c r="F442" i="5"/>
  <c r="F18" i="5"/>
  <c r="F63" i="5"/>
  <c r="F176" i="5"/>
  <c r="F67" i="5"/>
  <c r="F366" i="5"/>
  <c r="F452" i="5"/>
  <c r="F225" i="5"/>
  <c r="F223" i="5"/>
  <c r="F132" i="5"/>
  <c r="F104" i="5"/>
  <c r="F274" i="5"/>
  <c r="F205" i="5"/>
  <c r="F255" i="5"/>
  <c r="F295" i="5"/>
  <c r="F170" i="5"/>
  <c r="F16" i="5"/>
  <c r="F450" i="5"/>
  <c r="F406" i="5"/>
  <c r="F147" i="5"/>
  <c r="F192" i="5"/>
  <c r="F184" i="5"/>
  <c r="F134" i="5"/>
  <c r="F180" i="5"/>
  <c r="F90" i="5"/>
  <c r="F163" i="5"/>
  <c r="F122" i="5"/>
  <c r="F66" i="5"/>
  <c r="F201" i="5"/>
  <c r="F447" i="5"/>
  <c r="F474" i="5"/>
  <c r="F330" i="5"/>
  <c r="F48" i="5"/>
  <c r="F45" i="5"/>
  <c r="F261" i="5"/>
  <c r="F373" i="5"/>
  <c r="F14" i="5"/>
  <c r="G14" i="5" s="1"/>
  <c r="H14" i="5" s="1"/>
  <c r="F109" i="5"/>
  <c r="F59" i="5"/>
  <c r="F231" i="5"/>
  <c r="F284" i="5"/>
  <c r="F95" i="5"/>
  <c r="F175" i="5"/>
  <c r="F343" i="5"/>
  <c r="F24" i="5"/>
  <c r="F245" i="5"/>
  <c r="F466" i="5"/>
  <c r="F440" i="5"/>
  <c r="F178" i="5"/>
  <c r="F405" i="5"/>
  <c r="F432" i="5"/>
  <c r="F229" i="5"/>
  <c r="F219" i="5"/>
  <c r="F165" i="5"/>
  <c r="F363" i="5"/>
  <c r="F479" i="5"/>
  <c r="F55" i="5"/>
  <c r="F197" i="5"/>
  <c r="F238" i="5"/>
  <c r="F490" i="5"/>
  <c r="F449" i="5"/>
  <c r="F459" i="5"/>
  <c r="F286" i="5"/>
  <c r="F441" i="5"/>
  <c r="F47" i="5"/>
  <c r="F120" i="5"/>
  <c r="F58" i="5"/>
  <c r="F344" i="5"/>
  <c r="F28" i="5"/>
  <c r="F355" i="5"/>
  <c r="F358" i="5"/>
  <c r="F370" i="5"/>
  <c r="F151" i="5"/>
  <c r="F36" i="5"/>
  <c r="F453" i="5"/>
  <c r="F481" i="5"/>
  <c r="F418" i="5"/>
  <c r="F77" i="5"/>
  <c r="F127" i="5"/>
  <c r="F283" i="5"/>
  <c r="F412" i="5"/>
  <c r="F142" i="5"/>
  <c r="F403" i="5"/>
  <c r="F383" i="5"/>
  <c r="F76" i="5"/>
  <c r="F293" i="5"/>
  <c r="F280" i="5"/>
  <c r="F278" i="5"/>
  <c r="F336" i="5"/>
  <c r="F313" i="5"/>
  <c r="F260" i="5"/>
  <c r="F391" i="5"/>
  <c r="F140" i="5"/>
  <c r="F379" i="5"/>
  <c r="F117" i="5"/>
  <c r="F146" i="5"/>
  <c r="F222" i="5"/>
  <c r="F297" i="5"/>
  <c r="F243" i="5"/>
  <c r="F414" i="5"/>
  <c r="F377" i="5"/>
  <c r="F316" i="5"/>
  <c r="F483" i="5"/>
  <c r="F240" i="5"/>
  <c r="F128" i="5"/>
  <c r="F425" i="5"/>
  <c r="F299" i="5"/>
  <c r="F262" i="5"/>
  <c r="F458" i="5"/>
  <c r="F187" i="5"/>
  <c r="F152" i="5"/>
  <c r="F112" i="5"/>
  <c r="F54" i="5"/>
  <c r="F164" i="5"/>
  <c r="F130" i="5"/>
  <c r="F251" i="5"/>
  <c r="F331" i="5"/>
  <c r="F29" i="5"/>
  <c r="F246" i="5"/>
  <c r="F43" i="5"/>
  <c r="F443" i="5"/>
  <c r="F149" i="5"/>
  <c r="F325" i="5"/>
  <c r="F472" i="5"/>
  <c r="F488" i="5"/>
  <c r="F320" i="5"/>
  <c r="F265" i="5"/>
  <c r="F62" i="5"/>
  <c r="F211" i="5"/>
  <c r="F75" i="5"/>
  <c r="F41" i="5"/>
  <c r="F357" i="5"/>
  <c r="F84" i="5"/>
  <c r="F454" i="5"/>
  <c r="F419" i="5"/>
  <c r="F279" i="5"/>
  <c r="F108" i="5"/>
  <c r="F46" i="5"/>
  <c r="F315" i="5"/>
  <c r="F263" i="5"/>
  <c r="F387" i="5"/>
  <c r="F119" i="5"/>
  <c r="F25" i="5"/>
  <c r="F469" i="5"/>
  <c r="F235" i="5"/>
  <c r="F319" i="5"/>
  <c r="F236" i="5"/>
  <c r="F321" i="5"/>
  <c r="F429" i="5"/>
  <c r="F271" i="5"/>
  <c r="F99" i="5"/>
  <c r="F203" i="5"/>
  <c r="F254" i="5"/>
  <c r="F268" i="5"/>
  <c r="F323" i="5"/>
  <c r="F342" i="5"/>
  <c r="F73" i="5"/>
  <c r="F68" i="5"/>
  <c r="F348" i="5"/>
  <c r="F314" i="5"/>
  <c r="F118" i="5"/>
  <c r="F82" i="5"/>
  <c r="F34" i="5"/>
  <c r="F470" i="5"/>
  <c r="F19" i="5"/>
  <c r="F269" i="5"/>
  <c r="F465" i="5"/>
  <c r="F15" i="5"/>
  <c r="F87" i="5"/>
  <c r="F125" i="5"/>
  <c r="F409" i="5"/>
  <c r="F439" i="5"/>
  <c r="F445" i="5"/>
  <c r="F23" i="5"/>
  <c r="F239" i="5"/>
  <c r="F451" i="5"/>
  <c r="F228" i="5"/>
  <c r="F81" i="5"/>
  <c r="F281" i="5"/>
  <c r="F485" i="5"/>
  <c r="F253" i="5"/>
  <c r="F396" i="5"/>
  <c r="F287" i="5"/>
  <c r="F296" i="5"/>
  <c r="F110" i="5"/>
  <c r="F105" i="5"/>
  <c r="F181" i="5"/>
  <c r="F83" i="5"/>
  <c r="F338" i="5"/>
  <c r="F350" i="5"/>
  <c r="F250" i="5"/>
  <c r="F446" i="5"/>
  <c r="F143" i="5"/>
  <c r="F249" i="5"/>
  <c r="F26" i="5"/>
  <c r="F169" i="5"/>
  <c r="F49" i="5"/>
  <c r="F431" i="5"/>
  <c r="F354" i="5"/>
  <c r="F420" i="5"/>
  <c r="F182" i="5"/>
  <c r="F486" i="5"/>
  <c r="F22" i="5"/>
  <c r="F332" i="5"/>
  <c r="F349" i="5"/>
  <c r="F461" i="5"/>
  <c r="F351" i="5"/>
  <c r="F306" i="5"/>
  <c r="F310" i="5"/>
  <c r="F376" i="5"/>
  <c r="F242" i="5"/>
  <c r="F70" i="5"/>
  <c r="F334" i="5"/>
  <c r="F166" i="5"/>
  <c r="F64" i="5"/>
  <c r="F300" i="5"/>
  <c r="F484" i="5"/>
  <c r="F392" i="5"/>
  <c r="F215" i="5"/>
  <c r="F212" i="5"/>
  <c r="F337" i="5"/>
  <c r="F408" i="5"/>
  <c r="F434" i="5"/>
  <c r="F183" i="5"/>
  <c r="F234" i="5"/>
  <c r="F195" i="5"/>
  <c r="F312" i="5"/>
  <c r="F196" i="5"/>
  <c r="F275" i="5"/>
  <c r="F144" i="5"/>
  <c r="F318" i="5"/>
  <c r="F415" i="5"/>
  <c r="F208" i="5"/>
  <c r="F158" i="5"/>
  <c r="F382" i="5"/>
  <c r="F317" i="5"/>
  <c r="F361" i="5"/>
  <c r="F80" i="5"/>
  <c r="F199" i="5"/>
  <c r="F417" i="5"/>
  <c r="F92" i="5"/>
  <c r="F394" i="5"/>
  <c r="F305" i="5"/>
  <c r="F190" i="5"/>
  <c r="F78" i="5"/>
  <c r="F71" i="5"/>
  <c r="F375" i="5"/>
  <c r="F259" i="5"/>
  <c r="F69" i="5"/>
  <c r="F423" i="5"/>
  <c r="F365" i="5"/>
  <c r="F475" i="5"/>
  <c r="F174" i="5"/>
  <c r="F224" i="5"/>
  <c r="F145" i="5"/>
  <c r="F491" i="5"/>
  <c r="F193" i="5"/>
  <c r="F44" i="5"/>
  <c r="F218" i="5"/>
  <c r="F61" i="5"/>
  <c r="F57" i="5"/>
  <c r="F307" i="5"/>
  <c r="F356" i="5"/>
  <c r="F42" i="5"/>
  <c r="F214" i="5"/>
  <c r="F244" i="5"/>
  <c r="F100" i="5"/>
  <c r="F380" i="5"/>
  <c r="F410" i="5"/>
  <c r="F345" i="5"/>
  <c r="F302" i="5"/>
  <c r="F401" i="5"/>
  <c r="F186" i="5"/>
  <c r="F353" i="5"/>
  <c r="F291" i="5"/>
  <c r="F421" i="5"/>
  <c r="F141" i="5"/>
  <c r="F97" i="5"/>
  <c r="F347" i="5"/>
  <c r="F129" i="5"/>
  <c r="F360" i="5"/>
  <c r="F438" i="5"/>
  <c r="F157" i="5"/>
  <c r="F471" i="5"/>
  <c r="F33" i="5"/>
  <c r="F35" i="5"/>
  <c r="F102" i="5"/>
  <c r="F220" i="5"/>
  <c r="F322" i="5"/>
  <c r="F37" i="5"/>
  <c r="F27" i="5"/>
  <c r="F17" i="5"/>
  <c r="F32" i="5"/>
  <c r="F398" i="5"/>
  <c r="F30" i="5"/>
  <c r="F397" i="5"/>
  <c r="F424" i="5"/>
  <c r="F189" i="5"/>
  <c r="F103" i="5"/>
  <c r="F111" i="5"/>
  <c r="F258" i="5"/>
  <c r="F248" i="5"/>
  <c r="F385" i="5"/>
  <c r="F456" i="5"/>
  <c r="F476" i="5"/>
  <c r="F390" i="5"/>
  <c r="F133" i="5"/>
  <c r="F416" i="5"/>
  <c r="F200" i="5"/>
  <c r="F206" i="5"/>
  <c r="F51" i="5"/>
  <c r="F428" i="5"/>
  <c r="F381" i="5"/>
  <c r="F232" i="5"/>
  <c r="F21" i="5"/>
  <c r="F179" i="5"/>
  <c r="F395" i="5"/>
  <c r="F368" i="5"/>
  <c r="F301" i="5"/>
  <c r="F101" i="5"/>
  <c r="F304" i="5"/>
  <c r="F85" i="5"/>
  <c r="F272" i="5"/>
  <c r="F328" i="5"/>
  <c r="F138" i="5"/>
  <c r="F294" i="5"/>
  <c r="F257" i="5"/>
  <c r="F473" i="5"/>
  <c r="F241" i="5"/>
  <c r="F266" i="5"/>
  <c r="F335" i="5"/>
  <c r="F464" i="5"/>
  <c r="L12" i="2"/>
  <c r="L14" i="2" s="1"/>
  <c r="L15" i="2" s="1"/>
  <c r="G15" i="5" l="1"/>
  <c r="H15" i="5" s="1"/>
  <c r="D84" i="2"/>
  <c r="E15" i="2"/>
  <c r="D88" i="2"/>
  <c r="D82" i="2"/>
  <c r="G16" i="5" l="1"/>
  <c r="H16" i="5" s="1"/>
  <c r="E21" i="2"/>
  <c r="E53" i="2"/>
  <c r="E42" i="2"/>
  <c r="E51" i="2"/>
  <c r="E17" i="2"/>
  <c r="E35" i="2"/>
  <c r="E30" i="2"/>
  <c r="F15" i="2"/>
  <c r="E50" i="2"/>
  <c r="E41" i="2"/>
  <c r="E52" i="2"/>
  <c r="E32" i="2"/>
  <c r="E27" i="2"/>
  <c r="E25" i="2"/>
  <c r="E23" i="2"/>
  <c r="E38" i="2"/>
  <c r="E40" i="2"/>
  <c r="E34" i="2"/>
  <c r="E28" i="2"/>
  <c r="E46" i="2"/>
  <c r="E43" i="2"/>
  <c r="E33" i="2"/>
  <c r="E56" i="2"/>
  <c r="E55" i="2"/>
  <c r="E31" i="2"/>
  <c r="E36" i="2"/>
  <c r="E44" i="2"/>
  <c r="E22" i="2"/>
  <c r="E18" i="2"/>
  <c r="E45" i="2"/>
  <c r="E29" i="2"/>
  <c r="E19" i="2"/>
  <c r="E26" i="2"/>
  <c r="E48" i="2"/>
  <c r="E24" i="2"/>
  <c r="E39" i="2"/>
  <c r="E47" i="2"/>
  <c r="E20" i="2"/>
  <c r="E37" i="2"/>
  <c r="E54" i="2"/>
  <c r="E49" i="2"/>
  <c r="G17" i="5"/>
  <c r="F30" i="2" l="1"/>
  <c r="G30" i="2" s="1"/>
  <c r="H30" i="2" s="1"/>
  <c r="I30" i="2" s="1"/>
  <c r="F49" i="2"/>
  <c r="G49" i="2" s="1"/>
  <c r="H49" i="2" s="1"/>
  <c r="I49" i="2" s="1"/>
  <c r="F19" i="2"/>
  <c r="G19" i="2" s="1"/>
  <c r="H19" i="2" s="1"/>
  <c r="I19" i="2" s="1"/>
  <c r="F55" i="2"/>
  <c r="G55" i="2" s="1"/>
  <c r="H55" i="2" s="1"/>
  <c r="I55" i="2" s="1"/>
  <c r="F28" i="2"/>
  <c r="G28" i="2" s="1"/>
  <c r="H28" i="2" s="1"/>
  <c r="I28" i="2" s="1"/>
  <c r="F36" i="2"/>
  <c r="G36" i="2" s="1"/>
  <c r="H36" i="2" s="1"/>
  <c r="I36" i="2" s="1"/>
  <c r="F39" i="2"/>
  <c r="G39" i="2" s="1"/>
  <c r="H39" i="2" s="1"/>
  <c r="I39" i="2" s="1"/>
  <c r="F40" i="2"/>
  <c r="G40" i="2" s="1"/>
  <c r="H40" i="2" s="1"/>
  <c r="I40" i="2" s="1"/>
  <c r="F45" i="2"/>
  <c r="G45" i="2" s="1"/>
  <c r="H45" i="2" s="1"/>
  <c r="I45" i="2" s="1"/>
  <c r="F37" i="2"/>
  <c r="G37" i="2" s="1"/>
  <c r="H37" i="2" s="1"/>
  <c r="I37" i="2" s="1"/>
  <c r="F41" i="2"/>
  <c r="G41" i="2" s="1"/>
  <c r="H41" i="2" s="1"/>
  <c r="I41" i="2" s="1"/>
  <c r="F21" i="2"/>
  <c r="G21" i="2" s="1"/>
  <c r="H21" i="2" s="1"/>
  <c r="I21" i="2" s="1"/>
  <c r="F48" i="2"/>
  <c r="G48" i="2" s="1"/>
  <c r="H48" i="2" s="1"/>
  <c r="I48" i="2" s="1"/>
  <c r="F17" i="2"/>
  <c r="G17" i="2" s="1"/>
  <c r="H17" i="2" s="1"/>
  <c r="I17" i="2" s="1"/>
  <c r="F34" i="2"/>
  <c r="G34" i="2" s="1"/>
  <c r="H34" i="2" s="1"/>
  <c r="I34" i="2" s="1"/>
  <c r="F38" i="2"/>
  <c r="G38" i="2" s="1"/>
  <c r="H38" i="2" s="1"/>
  <c r="I38" i="2" s="1"/>
  <c r="F56" i="2"/>
  <c r="G56" i="2" s="1"/>
  <c r="H56" i="2" s="1"/>
  <c r="I56" i="2" s="1"/>
  <c r="F26" i="2"/>
  <c r="G26" i="2" s="1"/>
  <c r="H26" i="2" s="1"/>
  <c r="I26" i="2" s="1"/>
  <c r="F35" i="2"/>
  <c r="G35" i="2" s="1"/>
  <c r="H35" i="2" s="1"/>
  <c r="I35" i="2" s="1"/>
  <c r="F31" i="2"/>
  <c r="G31" i="2" s="1"/>
  <c r="H31" i="2" s="1"/>
  <c r="I31" i="2" s="1"/>
  <c r="F50" i="2"/>
  <c r="G50" i="2" s="1"/>
  <c r="H50" i="2" s="1"/>
  <c r="I50" i="2" s="1"/>
  <c r="F42" i="2"/>
  <c r="G42" i="2" s="1"/>
  <c r="H42" i="2" s="1"/>
  <c r="I42" i="2" s="1"/>
  <c r="F25" i="2"/>
  <c r="G25" i="2" s="1"/>
  <c r="H25" i="2" s="1"/>
  <c r="I25" i="2" s="1"/>
  <c r="F27" i="2"/>
  <c r="G27" i="2" s="1"/>
  <c r="H27" i="2" s="1"/>
  <c r="I27" i="2" s="1"/>
  <c r="F20" i="2"/>
  <c r="G20" i="2" s="1"/>
  <c r="H20" i="2" s="1"/>
  <c r="I20" i="2" s="1"/>
  <c r="F46" i="2"/>
  <c r="G46" i="2" s="1"/>
  <c r="H46" i="2" s="1"/>
  <c r="I46" i="2" s="1"/>
  <c r="F51" i="2"/>
  <c r="G51" i="2" s="1"/>
  <c r="H51" i="2" s="1"/>
  <c r="I51" i="2" s="1"/>
  <c r="F47" i="2"/>
  <c r="G47" i="2" s="1"/>
  <c r="H47" i="2" s="1"/>
  <c r="I47" i="2" s="1"/>
  <c r="F32" i="2"/>
  <c r="G32" i="2" s="1"/>
  <c r="H32" i="2" s="1"/>
  <c r="I32" i="2" s="1"/>
  <c r="F54" i="2"/>
  <c r="G54" i="2" s="1"/>
  <c r="H54" i="2" s="1"/>
  <c r="I54" i="2" s="1"/>
  <c r="F24" i="2"/>
  <c r="G24" i="2" s="1"/>
  <c r="H24" i="2" s="1"/>
  <c r="I24" i="2" s="1"/>
  <c r="F44" i="2"/>
  <c r="G44" i="2" s="1"/>
  <c r="H44" i="2" s="1"/>
  <c r="I44" i="2" s="1"/>
  <c r="F22" i="2"/>
  <c r="G22" i="2" s="1"/>
  <c r="H22" i="2" s="1"/>
  <c r="I22" i="2" s="1"/>
  <c r="F23" i="2"/>
  <c r="G23" i="2" s="1"/>
  <c r="H23" i="2" s="1"/>
  <c r="I23" i="2" s="1"/>
  <c r="F52" i="2"/>
  <c r="G52" i="2" s="1"/>
  <c r="H52" i="2" s="1"/>
  <c r="I52" i="2" s="1"/>
  <c r="F18" i="2"/>
  <c r="G18" i="2" s="1"/>
  <c r="H18" i="2" s="1"/>
  <c r="I18" i="2" s="1"/>
  <c r="F29" i="2"/>
  <c r="G29" i="2" s="1"/>
  <c r="H29" i="2" s="1"/>
  <c r="I29" i="2" s="1"/>
  <c r="F33" i="2"/>
  <c r="G33" i="2" s="1"/>
  <c r="H33" i="2" s="1"/>
  <c r="I33" i="2" s="1"/>
  <c r="F43" i="2"/>
  <c r="G43" i="2" s="1"/>
  <c r="H43" i="2" s="1"/>
  <c r="I43" i="2" s="1"/>
  <c r="F53" i="2"/>
  <c r="G53" i="2" s="1"/>
  <c r="H53" i="2" s="1"/>
  <c r="I53" i="2" s="1"/>
  <c r="G18" i="5"/>
  <c r="H17" i="5"/>
  <c r="G19" i="5" l="1"/>
  <c r="H18" i="5"/>
  <c r="G20" i="5" l="1"/>
  <c r="H19" i="5"/>
  <c r="G21" i="5" l="1"/>
  <c r="H20" i="5"/>
  <c r="G22" i="5" l="1"/>
  <c r="H21" i="5"/>
  <c r="G23" i="5" l="1"/>
  <c r="H22" i="5"/>
  <c r="H23" i="5" l="1"/>
  <c r="G24" i="5"/>
  <c r="H24" i="5" l="1"/>
  <c r="G25" i="5"/>
  <c r="G26" i="5" l="1"/>
  <c r="H25" i="5"/>
  <c r="G27" i="5" l="1"/>
  <c r="H26" i="5"/>
  <c r="G28" i="5" l="1"/>
  <c r="H27" i="5"/>
  <c r="G29" i="5" l="1"/>
  <c r="H28" i="5"/>
  <c r="H29" i="5" l="1"/>
  <c r="G30" i="5"/>
  <c r="G31" i="5" l="1"/>
  <c r="H30" i="5"/>
  <c r="G32" i="5" l="1"/>
  <c r="H31" i="5"/>
  <c r="G33" i="5" l="1"/>
  <c r="H32" i="5"/>
  <c r="H33" i="5" l="1"/>
  <c r="G34" i="5"/>
  <c r="H34" i="5" l="1"/>
  <c r="G35" i="5"/>
  <c r="H35" i="5" l="1"/>
  <c r="G36" i="5"/>
  <c r="H36" i="5" l="1"/>
  <c r="G37" i="5"/>
  <c r="G38" i="5" l="1"/>
  <c r="H37" i="5"/>
  <c r="H38" i="5" l="1"/>
  <c r="G39" i="5"/>
  <c r="H39" i="5" l="1"/>
  <c r="G40" i="5"/>
  <c r="H40" i="5" l="1"/>
  <c r="G41" i="5"/>
  <c r="H41" i="5" l="1"/>
  <c r="G42" i="5"/>
  <c r="G43" i="5" l="1"/>
  <c r="H42" i="5"/>
  <c r="G44" i="5" l="1"/>
  <c r="H43" i="5"/>
  <c r="H44" i="5" l="1"/>
  <c r="G45" i="5"/>
  <c r="G46" i="5" l="1"/>
  <c r="H45" i="5"/>
  <c r="H46" i="5" l="1"/>
  <c r="G47" i="5"/>
  <c r="H47" i="5" l="1"/>
  <c r="G48" i="5"/>
  <c r="H48" i="5" l="1"/>
  <c r="G49" i="5"/>
  <c r="H49" i="5" l="1"/>
  <c r="G50" i="5"/>
  <c r="H50" i="5" l="1"/>
  <c r="G51" i="5"/>
  <c r="H51" i="5" l="1"/>
  <c r="G52" i="5"/>
  <c r="G53" i="5" l="1"/>
  <c r="H52" i="5"/>
  <c r="H53" i="5" l="1"/>
  <c r="G54" i="5"/>
  <c r="G55" i="5" l="1"/>
  <c r="H54" i="5"/>
  <c r="H55" i="5" l="1"/>
  <c r="G56" i="5"/>
  <c r="G57" i="5" l="1"/>
  <c r="H56" i="5"/>
  <c r="G58" i="5" l="1"/>
  <c r="H57" i="5"/>
  <c r="G59" i="5" l="1"/>
  <c r="H58" i="5"/>
  <c r="H59" i="5" l="1"/>
  <c r="G60" i="5"/>
  <c r="G61" i="5" l="1"/>
  <c r="H60" i="5"/>
  <c r="G62" i="5" l="1"/>
  <c r="H61" i="5"/>
  <c r="G63" i="5" l="1"/>
  <c r="H62" i="5"/>
  <c r="H63" i="5" l="1"/>
  <c r="G64" i="5"/>
  <c r="G65" i="5" l="1"/>
  <c r="H64" i="5"/>
  <c r="H65" i="5" l="1"/>
  <c r="G66" i="5"/>
  <c r="G67" i="5" l="1"/>
  <c r="H66" i="5"/>
  <c r="H67" i="5" l="1"/>
  <c r="G68" i="5"/>
  <c r="G69" i="5" l="1"/>
  <c r="H68" i="5"/>
  <c r="G70" i="5" l="1"/>
  <c r="H69" i="5"/>
  <c r="G71" i="5" l="1"/>
  <c r="H70" i="5"/>
  <c r="H71" i="5" l="1"/>
  <c r="G72" i="5"/>
  <c r="H72" i="5" l="1"/>
  <c r="G73" i="5"/>
  <c r="H73" i="5" l="1"/>
  <c r="G74" i="5"/>
  <c r="G75" i="5" l="1"/>
  <c r="H74" i="5"/>
  <c r="H75" i="5" l="1"/>
  <c r="G76" i="5"/>
  <c r="H76" i="5" l="1"/>
  <c r="G77" i="5"/>
  <c r="H77" i="5" l="1"/>
  <c r="G78" i="5"/>
  <c r="G79" i="5" l="1"/>
  <c r="H78" i="5"/>
  <c r="G80" i="5" l="1"/>
  <c r="H79" i="5"/>
  <c r="G81" i="5" l="1"/>
  <c r="H80" i="5"/>
  <c r="H81" i="5" l="1"/>
  <c r="G82" i="5"/>
  <c r="H82" i="5" l="1"/>
  <c r="G83" i="5"/>
  <c r="G84" i="5" l="1"/>
  <c r="H83" i="5"/>
  <c r="H84" i="5" l="1"/>
  <c r="G85" i="5"/>
  <c r="G86" i="5" l="1"/>
  <c r="H85" i="5"/>
  <c r="H86" i="5" l="1"/>
  <c r="G87" i="5"/>
  <c r="G88" i="5" l="1"/>
  <c r="H87" i="5"/>
  <c r="H88" i="5" l="1"/>
  <c r="G89" i="5"/>
  <c r="G90" i="5" l="1"/>
  <c r="H89" i="5"/>
  <c r="H90" i="5" l="1"/>
  <c r="G91" i="5"/>
  <c r="G92" i="5" l="1"/>
  <c r="H91" i="5"/>
  <c r="G93" i="5" l="1"/>
  <c r="H92" i="5"/>
  <c r="H93" i="5" l="1"/>
  <c r="G94" i="5"/>
  <c r="H94" i="5" l="1"/>
  <c r="G95" i="5"/>
  <c r="H95" i="5" l="1"/>
  <c r="G96" i="5"/>
  <c r="G97" i="5" l="1"/>
  <c r="H96" i="5"/>
  <c r="G98" i="5" l="1"/>
  <c r="H97" i="5"/>
  <c r="G99" i="5" l="1"/>
  <c r="H98" i="5"/>
  <c r="H99" i="5" l="1"/>
  <c r="G100" i="5"/>
  <c r="G101" i="5" l="1"/>
  <c r="H100" i="5"/>
  <c r="H101" i="5" l="1"/>
  <c r="G102" i="5"/>
  <c r="G103" i="5" l="1"/>
  <c r="H102" i="5"/>
  <c r="G104" i="5" l="1"/>
  <c r="H103" i="5"/>
  <c r="G105" i="5" l="1"/>
  <c r="H104" i="5"/>
  <c r="G106" i="5" l="1"/>
  <c r="H105" i="5"/>
  <c r="H106" i="5" l="1"/>
  <c r="G107" i="5"/>
  <c r="G108" i="5" l="1"/>
  <c r="H107" i="5"/>
  <c r="H108" i="5" l="1"/>
  <c r="G109" i="5"/>
  <c r="H109" i="5" l="1"/>
  <c r="G110" i="5"/>
  <c r="H110" i="5" l="1"/>
  <c r="G111" i="5"/>
  <c r="H111" i="5" l="1"/>
  <c r="G112" i="5"/>
  <c r="H112" i="5" l="1"/>
  <c r="G113" i="5"/>
  <c r="H113" i="5" l="1"/>
  <c r="G114" i="5"/>
  <c r="H114" i="5" l="1"/>
  <c r="G115" i="5"/>
  <c r="G116" i="5" l="1"/>
  <c r="H115" i="5"/>
  <c r="H116" i="5" l="1"/>
  <c r="G117" i="5"/>
  <c r="G118" i="5" l="1"/>
  <c r="H117" i="5"/>
  <c r="H118" i="5" l="1"/>
  <c r="G119" i="5"/>
  <c r="G120" i="5" l="1"/>
  <c r="H119" i="5"/>
  <c r="H120" i="5" l="1"/>
  <c r="G121" i="5"/>
  <c r="H121" i="5" l="1"/>
  <c r="G122" i="5"/>
  <c r="G123" i="5" l="1"/>
  <c r="H122" i="5"/>
  <c r="H123" i="5" l="1"/>
  <c r="G124" i="5"/>
  <c r="G125" i="5" l="1"/>
  <c r="H124" i="5"/>
  <c r="G126" i="5" l="1"/>
  <c r="H125" i="5"/>
  <c r="G127" i="5" l="1"/>
  <c r="H126" i="5"/>
  <c r="G128" i="5" l="1"/>
  <c r="H127" i="5"/>
  <c r="G129" i="5" l="1"/>
  <c r="H128" i="5"/>
  <c r="H129" i="5" l="1"/>
  <c r="G130" i="5"/>
  <c r="H130" i="5" l="1"/>
  <c r="G131" i="5"/>
  <c r="G132" i="5" l="1"/>
  <c r="H131" i="5"/>
  <c r="G133" i="5" l="1"/>
  <c r="H132" i="5"/>
  <c r="H133" i="5" l="1"/>
  <c r="G134" i="5"/>
  <c r="H134" i="5" l="1"/>
  <c r="G135" i="5"/>
  <c r="G136" i="5" l="1"/>
  <c r="H135" i="5"/>
  <c r="G137" i="5" l="1"/>
  <c r="H136" i="5"/>
  <c r="G138" i="5" l="1"/>
  <c r="H137" i="5"/>
  <c r="H138" i="5" l="1"/>
  <c r="G139" i="5"/>
  <c r="G140" i="5" l="1"/>
  <c r="H139" i="5"/>
  <c r="H140" i="5" l="1"/>
  <c r="G141" i="5"/>
  <c r="G142" i="5" l="1"/>
  <c r="H141" i="5"/>
  <c r="G143" i="5" l="1"/>
  <c r="H142" i="5"/>
  <c r="G144" i="5" l="1"/>
  <c r="H143" i="5"/>
  <c r="H144" i="5" l="1"/>
  <c r="G145" i="5"/>
  <c r="H145" i="5" l="1"/>
  <c r="G146" i="5"/>
  <c r="G147" i="5" l="1"/>
  <c r="H146" i="5"/>
  <c r="H147" i="5" l="1"/>
  <c r="G148" i="5"/>
  <c r="G149" i="5" l="1"/>
  <c r="H148" i="5"/>
  <c r="G150" i="5" l="1"/>
  <c r="H149" i="5"/>
  <c r="H150" i="5" l="1"/>
  <c r="G151" i="5"/>
  <c r="H151" i="5" l="1"/>
  <c r="G152" i="5"/>
  <c r="H152" i="5" l="1"/>
  <c r="G153" i="5"/>
  <c r="G154" i="5" l="1"/>
  <c r="H153" i="5"/>
  <c r="G155" i="5" l="1"/>
  <c r="H154" i="5"/>
  <c r="H155" i="5" l="1"/>
  <c r="G156" i="5"/>
  <c r="H156" i="5" l="1"/>
  <c r="G157" i="5"/>
  <c r="G158" i="5" l="1"/>
  <c r="H157" i="5"/>
  <c r="G159" i="5" l="1"/>
  <c r="H158" i="5"/>
  <c r="H159" i="5" l="1"/>
  <c r="G160" i="5"/>
  <c r="H160" i="5" l="1"/>
  <c r="G161" i="5"/>
  <c r="H161" i="5" l="1"/>
  <c r="G162" i="5"/>
  <c r="H162" i="5" l="1"/>
  <c r="G163" i="5"/>
  <c r="H163" i="5" l="1"/>
  <c r="G164" i="5"/>
  <c r="G165" i="5" l="1"/>
  <c r="H164" i="5"/>
  <c r="H165" i="5" l="1"/>
  <c r="G166" i="5"/>
  <c r="H166" i="5" l="1"/>
  <c r="G167" i="5"/>
  <c r="H167" i="5" l="1"/>
  <c r="G168" i="5"/>
  <c r="H168" i="5" l="1"/>
  <c r="G169" i="5"/>
  <c r="H169" i="5" l="1"/>
  <c r="G170" i="5"/>
  <c r="H170" i="5" l="1"/>
  <c r="G171" i="5"/>
  <c r="G172" i="5" l="1"/>
  <c r="H171" i="5"/>
  <c r="H172" i="5" l="1"/>
  <c r="G173" i="5"/>
  <c r="H173" i="5" l="1"/>
  <c r="G174" i="5"/>
  <c r="H174" i="5" l="1"/>
  <c r="G175" i="5"/>
  <c r="G176" i="5" l="1"/>
  <c r="H175" i="5"/>
  <c r="H176" i="5" l="1"/>
  <c r="G177" i="5"/>
  <c r="H177" i="5" l="1"/>
  <c r="G178" i="5"/>
  <c r="H178" i="5" l="1"/>
  <c r="G179" i="5"/>
  <c r="G180" i="5" l="1"/>
  <c r="H179" i="5"/>
  <c r="H180" i="5" l="1"/>
  <c r="G181" i="5"/>
  <c r="G182" i="5" l="1"/>
  <c r="H181" i="5"/>
  <c r="H182" i="5" l="1"/>
  <c r="G183" i="5"/>
  <c r="G184" i="5" l="1"/>
  <c r="H183" i="5"/>
  <c r="H184" i="5" l="1"/>
  <c r="G185" i="5"/>
  <c r="G186" i="5" l="1"/>
  <c r="H185" i="5"/>
  <c r="H186" i="5" l="1"/>
  <c r="G187" i="5"/>
  <c r="H187" i="5" l="1"/>
  <c r="G188" i="5"/>
  <c r="H188" i="5" l="1"/>
  <c r="G189" i="5"/>
  <c r="H189" i="5" l="1"/>
  <c r="G190" i="5"/>
  <c r="G191" i="5" l="1"/>
  <c r="H190" i="5"/>
  <c r="G192" i="5" l="1"/>
  <c r="H191" i="5"/>
  <c r="G193" i="5" l="1"/>
  <c r="H192" i="5"/>
  <c r="H193" i="5" l="1"/>
  <c r="G194" i="5"/>
  <c r="H194" i="5" l="1"/>
  <c r="G195" i="5"/>
  <c r="H195" i="5" l="1"/>
  <c r="G196" i="5"/>
  <c r="H196" i="5" l="1"/>
  <c r="G197" i="5"/>
  <c r="H197" i="5" l="1"/>
  <c r="G198" i="5"/>
  <c r="G199" i="5" l="1"/>
  <c r="H198" i="5"/>
  <c r="H199" i="5" l="1"/>
  <c r="G200" i="5"/>
  <c r="G201" i="5" l="1"/>
  <c r="H200" i="5"/>
  <c r="H201" i="5" l="1"/>
  <c r="G202" i="5"/>
  <c r="G203" i="5" l="1"/>
  <c r="H202" i="5"/>
  <c r="H203" i="5" l="1"/>
  <c r="G204" i="5"/>
  <c r="G205" i="5" l="1"/>
  <c r="H204" i="5"/>
  <c r="H205" i="5" l="1"/>
  <c r="G206" i="5"/>
  <c r="H206" i="5" l="1"/>
  <c r="G207" i="5"/>
  <c r="H207" i="5" l="1"/>
  <c r="G208" i="5"/>
  <c r="G209" i="5" l="1"/>
  <c r="H208" i="5"/>
  <c r="G210" i="5" l="1"/>
  <c r="H209" i="5"/>
  <c r="G211" i="5" l="1"/>
  <c r="H210" i="5"/>
  <c r="H211" i="5" l="1"/>
  <c r="G212" i="5"/>
  <c r="H212" i="5" l="1"/>
  <c r="G213" i="5"/>
  <c r="H213" i="5" l="1"/>
  <c r="G214" i="5"/>
  <c r="G215" i="5" l="1"/>
  <c r="H214" i="5"/>
  <c r="G216" i="5" l="1"/>
  <c r="H215" i="5"/>
  <c r="G217" i="5" l="1"/>
  <c r="H216" i="5"/>
  <c r="H217" i="5" l="1"/>
  <c r="G218" i="5"/>
  <c r="H218" i="5" l="1"/>
  <c r="G219" i="5"/>
  <c r="G220" i="5" l="1"/>
  <c r="H219" i="5"/>
  <c r="G221" i="5" l="1"/>
  <c r="H220" i="5"/>
  <c r="H221" i="5" l="1"/>
  <c r="G222" i="5"/>
  <c r="H222" i="5" l="1"/>
  <c r="G223" i="5"/>
  <c r="H223" i="5" l="1"/>
  <c r="G224" i="5"/>
  <c r="G225" i="5" l="1"/>
  <c r="H224" i="5"/>
  <c r="G226" i="5" l="1"/>
  <c r="H225" i="5"/>
  <c r="G227" i="5" l="1"/>
  <c r="H226" i="5"/>
  <c r="H227" i="5" l="1"/>
  <c r="G228" i="5"/>
  <c r="H228" i="5" l="1"/>
  <c r="G229" i="5"/>
  <c r="G230" i="5" l="1"/>
  <c r="H229" i="5"/>
  <c r="G231" i="5" l="1"/>
  <c r="H230" i="5"/>
  <c r="G232" i="5" l="1"/>
  <c r="H231" i="5"/>
  <c r="H232" i="5" l="1"/>
  <c r="G233" i="5"/>
  <c r="G234" i="5" l="1"/>
  <c r="H233" i="5"/>
  <c r="G235" i="5" l="1"/>
  <c r="H234" i="5"/>
  <c r="G236" i="5" l="1"/>
  <c r="H235" i="5"/>
  <c r="H236" i="5" l="1"/>
  <c r="G237" i="5"/>
  <c r="H237" i="5" l="1"/>
  <c r="G238" i="5"/>
  <c r="G239" i="5" l="1"/>
  <c r="H238" i="5"/>
  <c r="G240" i="5" l="1"/>
  <c r="H239" i="5"/>
  <c r="G241" i="5" l="1"/>
  <c r="H240" i="5"/>
  <c r="H241" i="5" l="1"/>
  <c r="G242" i="5"/>
  <c r="H242" i="5" l="1"/>
  <c r="G243" i="5"/>
  <c r="G244" i="5" l="1"/>
  <c r="H243" i="5"/>
  <c r="G245" i="5" l="1"/>
  <c r="H244" i="5"/>
  <c r="G246" i="5" l="1"/>
  <c r="H245" i="5"/>
  <c r="H246" i="5" l="1"/>
  <c r="G247" i="5"/>
  <c r="H247" i="5" l="1"/>
  <c r="G248" i="5"/>
  <c r="H248" i="5" l="1"/>
  <c r="G249" i="5"/>
  <c r="G250" i="5" l="1"/>
  <c r="H249" i="5"/>
  <c r="G251" i="5" l="1"/>
  <c r="H250" i="5"/>
  <c r="G252" i="5" l="1"/>
  <c r="H251" i="5"/>
  <c r="H252" i="5" l="1"/>
  <c r="G253" i="5"/>
  <c r="H253" i="5" l="1"/>
  <c r="G254" i="5"/>
  <c r="H254" i="5" l="1"/>
  <c r="G255" i="5"/>
  <c r="G256" i="5" l="1"/>
  <c r="H255" i="5"/>
  <c r="G257" i="5" l="1"/>
  <c r="H256" i="5"/>
  <c r="G258" i="5" l="1"/>
  <c r="H257" i="5"/>
  <c r="H258" i="5" l="1"/>
  <c r="G259" i="5"/>
  <c r="G260" i="5" l="1"/>
  <c r="H259" i="5"/>
  <c r="H260" i="5" l="1"/>
  <c r="G261" i="5"/>
  <c r="H261" i="5" l="1"/>
  <c r="G262" i="5"/>
  <c r="H262" i="5" l="1"/>
  <c r="G263" i="5"/>
  <c r="G264" i="5" l="1"/>
  <c r="H263" i="5"/>
  <c r="G265" i="5" l="1"/>
  <c r="H264" i="5"/>
  <c r="G266" i="5" l="1"/>
  <c r="H265" i="5"/>
  <c r="H266" i="5" l="1"/>
  <c r="G267" i="5"/>
  <c r="H267" i="5" l="1"/>
  <c r="G268" i="5"/>
  <c r="H268" i="5" l="1"/>
  <c r="G269" i="5"/>
  <c r="G270" i="5" l="1"/>
  <c r="H269" i="5"/>
  <c r="G271" i="5" l="1"/>
  <c r="H270" i="5"/>
  <c r="G272" i="5" l="1"/>
  <c r="H271" i="5"/>
  <c r="H272" i="5" l="1"/>
  <c r="G273" i="5"/>
  <c r="H273" i="5" l="1"/>
  <c r="G274" i="5"/>
  <c r="H274" i="5" l="1"/>
  <c r="G275" i="5"/>
  <c r="G276" i="5" l="1"/>
  <c r="H275" i="5"/>
  <c r="G277" i="5" l="1"/>
  <c r="H276" i="5"/>
  <c r="G278" i="5" l="1"/>
  <c r="H277" i="5"/>
  <c r="H278" i="5" l="1"/>
  <c r="G279" i="5"/>
  <c r="H279" i="5" l="1"/>
  <c r="G280" i="5"/>
  <c r="H280" i="5" l="1"/>
  <c r="G281" i="5"/>
  <c r="G282" i="5" l="1"/>
  <c r="H281" i="5"/>
  <c r="G283" i="5" l="1"/>
  <c r="H282" i="5"/>
  <c r="G284" i="5" l="1"/>
  <c r="H283" i="5"/>
  <c r="H284" i="5" l="1"/>
  <c r="G285" i="5"/>
  <c r="H285" i="5" l="1"/>
  <c r="G286" i="5"/>
  <c r="H286" i="5" l="1"/>
  <c r="G287" i="5"/>
  <c r="G288" i="5" l="1"/>
  <c r="H287" i="5"/>
  <c r="G289" i="5" l="1"/>
  <c r="H288" i="5"/>
  <c r="G290" i="5" l="1"/>
  <c r="H289" i="5"/>
  <c r="H290" i="5" l="1"/>
  <c r="G291" i="5"/>
  <c r="H291" i="5" l="1"/>
  <c r="G292" i="5"/>
  <c r="G293" i="5" l="1"/>
  <c r="H292" i="5"/>
  <c r="H293" i="5" l="1"/>
  <c r="G294" i="5"/>
  <c r="G295" i="5" l="1"/>
  <c r="H294" i="5"/>
  <c r="H295" i="5" l="1"/>
  <c r="G296" i="5"/>
  <c r="G297" i="5" l="1"/>
  <c r="H296" i="5"/>
  <c r="G298" i="5" l="1"/>
  <c r="H297" i="5"/>
  <c r="G299" i="5" l="1"/>
  <c r="H298" i="5"/>
  <c r="H299" i="5" l="1"/>
  <c r="G300" i="5"/>
  <c r="H300" i="5" l="1"/>
  <c r="G301" i="5"/>
  <c r="H301" i="5" l="1"/>
  <c r="G302" i="5"/>
  <c r="H302" i="5" l="1"/>
  <c r="G303" i="5"/>
  <c r="G304" i="5" l="1"/>
  <c r="H303" i="5"/>
  <c r="G305" i="5" l="1"/>
  <c r="H304" i="5"/>
  <c r="G306" i="5" l="1"/>
  <c r="H305" i="5"/>
  <c r="H306" i="5" l="1"/>
  <c r="G307" i="5"/>
  <c r="G308" i="5" l="1"/>
  <c r="H307" i="5"/>
  <c r="H308" i="5" l="1"/>
  <c r="G309" i="5"/>
  <c r="G310" i="5" l="1"/>
  <c r="H309" i="5"/>
  <c r="G311" i="5" l="1"/>
  <c r="H310" i="5"/>
  <c r="H311" i="5" l="1"/>
  <c r="G312" i="5"/>
  <c r="H312" i="5" l="1"/>
  <c r="G313" i="5"/>
  <c r="H313" i="5" l="1"/>
  <c r="G314" i="5"/>
  <c r="G315" i="5" l="1"/>
  <c r="H314" i="5"/>
  <c r="G316" i="5" l="1"/>
  <c r="H315" i="5"/>
  <c r="G317" i="5" l="1"/>
  <c r="H316" i="5"/>
  <c r="H317" i="5" l="1"/>
  <c r="G318" i="5"/>
  <c r="H318" i="5" l="1"/>
  <c r="G319" i="5"/>
  <c r="G320" i="5" l="1"/>
  <c r="H319" i="5"/>
  <c r="G321" i="5" l="1"/>
  <c r="H320" i="5"/>
  <c r="G322" i="5" l="1"/>
  <c r="H321" i="5"/>
  <c r="H322" i="5" l="1"/>
  <c r="G323" i="5"/>
  <c r="H323" i="5" l="1"/>
  <c r="G324" i="5"/>
  <c r="H324" i="5" l="1"/>
  <c r="G325" i="5"/>
  <c r="G326" i="5" l="1"/>
  <c r="H325" i="5"/>
  <c r="G327" i="5" l="1"/>
  <c r="H326" i="5"/>
  <c r="G328" i="5" l="1"/>
  <c r="H327" i="5"/>
  <c r="H328" i="5" l="1"/>
  <c r="G329" i="5"/>
  <c r="H329" i="5" l="1"/>
  <c r="G330" i="5"/>
  <c r="G331" i="5" l="1"/>
  <c r="H330" i="5"/>
  <c r="G332" i="5" l="1"/>
  <c r="H331" i="5"/>
  <c r="H332" i="5" l="1"/>
  <c r="G333" i="5"/>
  <c r="G334" i="5" l="1"/>
  <c r="H333" i="5"/>
  <c r="G335" i="5" l="1"/>
  <c r="H334" i="5"/>
  <c r="G336" i="5" l="1"/>
  <c r="H335" i="5"/>
  <c r="H336" i="5" l="1"/>
  <c r="G337" i="5"/>
  <c r="H337" i="5" l="1"/>
  <c r="G338" i="5"/>
  <c r="H338" i="5" l="1"/>
  <c r="G339" i="5"/>
  <c r="G340" i="5" l="1"/>
  <c r="H339" i="5"/>
  <c r="G341" i="5" l="1"/>
  <c r="H340" i="5"/>
  <c r="G342" i="5" l="1"/>
  <c r="H341" i="5"/>
  <c r="G343" i="5" l="1"/>
  <c r="H342" i="5"/>
  <c r="G344" i="5" l="1"/>
  <c r="H343" i="5"/>
  <c r="H344" i="5" l="1"/>
  <c r="G345" i="5"/>
  <c r="H345" i="5" l="1"/>
  <c r="G346" i="5"/>
  <c r="G347" i="5" l="1"/>
  <c r="H346" i="5"/>
  <c r="G348" i="5" l="1"/>
  <c r="H347" i="5"/>
  <c r="G349" i="5" l="1"/>
  <c r="H348" i="5"/>
  <c r="H349" i="5" l="1"/>
  <c r="G350" i="5"/>
  <c r="G351" i="5" l="1"/>
  <c r="H350" i="5"/>
  <c r="G352" i="5" l="1"/>
  <c r="H351" i="5"/>
  <c r="G353" i="5" l="1"/>
  <c r="H352" i="5"/>
  <c r="H353" i="5" l="1"/>
  <c r="G354" i="5"/>
  <c r="H354" i="5" l="1"/>
  <c r="G355" i="5"/>
  <c r="H355" i="5" l="1"/>
  <c r="G356" i="5"/>
  <c r="G357" i="5" l="1"/>
  <c r="H356" i="5"/>
  <c r="H357" i="5" l="1"/>
  <c r="G358" i="5"/>
  <c r="G359" i="5" l="1"/>
  <c r="H358" i="5"/>
  <c r="H359" i="5" l="1"/>
  <c r="G360" i="5"/>
  <c r="G361" i="5" l="1"/>
  <c r="H360" i="5"/>
  <c r="G362" i="5" l="1"/>
  <c r="H361" i="5"/>
  <c r="G363" i="5" l="1"/>
  <c r="H362" i="5"/>
  <c r="H363" i="5" l="1"/>
  <c r="G364" i="5"/>
  <c r="H364" i="5" l="1"/>
  <c r="G365" i="5"/>
  <c r="G366" i="5" l="1"/>
  <c r="H365" i="5"/>
  <c r="H366" i="5" l="1"/>
  <c r="G367" i="5"/>
  <c r="G368" i="5" l="1"/>
  <c r="H367" i="5"/>
  <c r="H368" i="5" l="1"/>
  <c r="G369" i="5"/>
  <c r="G370" i="5" l="1"/>
  <c r="H369" i="5"/>
  <c r="H370" i="5" l="1"/>
  <c r="G371" i="5"/>
  <c r="G372" i="5" l="1"/>
  <c r="H371" i="5"/>
  <c r="G373" i="5" l="1"/>
  <c r="H372" i="5"/>
  <c r="G374" i="5" l="1"/>
  <c r="H373" i="5"/>
  <c r="H374" i="5" l="1"/>
  <c r="G375" i="5"/>
  <c r="H375" i="5" l="1"/>
  <c r="G376" i="5"/>
  <c r="H376" i="5" l="1"/>
  <c r="G377" i="5"/>
  <c r="H377" i="5" l="1"/>
  <c r="G378" i="5"/>
  <c r="H378" i="5" l="1"/>
  <c r="G379" i="5"/>
  <c r="G380" i="5" l="1"/>
  <c r="H379" i="5"/>
  <c r="H380" i="5" l="1"/>
  <c r="G381" i="5"/>
  <c r="H381" i="5" l="1"/>
  <c r="G382" i="5"/>
  <c r="G383" i="5" l="1"/>
  <c r="H382" i="5"/>
  <c r="G384" i="5" l="1"/>
  <c r="H383" i="5"/>
  <c r="H384" i="5" l="1"/>
  <c r="G385" i="5"/>
  <c r="H385" i="5" l="1"/>
  <c r="G386" i="5"/>
  <c r="H386" i="5" l="1"/>
  <c r="G387" i="5"/>
  <c r="G388" i="5" l="1"/>
  <c r="H387" i="5"/>
  <c r="H388" i="5" l="1"/>
  <c r="G389" i="5"/>
  <c r="H389" i="5" l="1"/>
  <c r="G390" i="5"/>
  <c r="G391" i="5" l="1"/>
  <c r="H390" i="5"/>
  <c r="H391" i="5" l="1"/>
  <c r="G392" i="5"/>
  <c r="H392" i="5" l="1"/>
  <c r="G393" i="5"/>
  <c r="H393" i="5" l="1"/>
  <c r="G394" i="5"/>
  <c r="G395" i="5" l="1"/>
  <c r="H394" i="5"/>
  <c r="G396" i="5" l="1"/>
  <c r="H395" i="5"/>
  <c r="H396" i="5" l="1"/>
  <c r="G397" i="5"/>
  <c r="H397" i="5" l="1"/>
  <c r="G398" i="5"/>
  <c r="G399" i="5" l="1"/>
  <c r="H398" i="5"/>
  <c r="G400" i="5" l="1"/>
  <c r="H399" i="5"/>
  <c r="G401" i="5" l="1"/>
  <c r="H400" i="5"/>
  <c r="H401" i="5" l="1"/>
  <c r="G402" i="5"/>
  <c r="G403" i="5" l="1"/>
  <c r="H402" i="5"/>
  <c r="G404" i="5" l="1"/>
  <c r="H403" i="5"/>
  <c r="H404" i="5" l="1"/>
  <c r="G405" i="5"/>
  <c r="H405" i="5" l="1"/>
  <c r="G406" i="5"/>
  <c r="G407" i="5" l="1"/>
  <c r="H406" i="5"/>
  <c r="G408" i="5" l="1"/>
  <c r="H407" i="5"/>
  <c r="H408" i="5" l="1"/>
  <c r="G409" i="5"/>
  <c r="G410" i="5" l="1"/>
  <c r="H409" i="5"/>
  <c r="G411" i="5" l="1"/>
  <c r="H410" i="5"/>
  <c r="H411" i="5" l="1"/>
  <c r="G412" i="5"/>
  <c r="H412" i="5" l="1"/>
  <c r="G413" i="5"/>
  <c r="G414" i="5" l="1"/>
  <c r="H413" i="5"/>
  <c r="G415" i="5" l="1"/>
  <c r="H414" i="5"/>
  <c r="H415" i="5" l="1"/>
  <c r="G416" i="5"/>
  <c r="H416" i="5" l="1"/>
  <c r="G417" i="5"/>
  <c r="H417" i="5" l="1"/>
  <c r="G418" i="5"/>
  <c r="H418" i="5" l="1"/>
  <c r="G419" i="5"/>
  <c r="G420" i="5" l="1"/>
  <c r="H419" i="5"/>
  <c r="G421" i="5" l="1"/>
  <c r="H420" i="5"/>
  <c r="G422" i="5" l="1"/>
  <c r="H421" i="5"/>
  <c r="G423" i="5" l="1"/>
  <c r="H422" i="5"/>
  <c r="H423" i="5" l="1"/>
  <c r="G424" i="5"/>
  <c r="G425" i="5" l="1"/>
  <c r="H424" i="5"/>
  <c r="G426" i="5" l="1"/>
  <c r="H425" i="5"/>
  <c r="H426" i="5" l="1"/>
  <c r="G427" i="5"/>
  <c r="G428" i="5" l="1"/>
  <c r="H427" i="5"/>
  <c r="G429" i="5" l="1"/>
  <c r="H428" i="5"/>
  <c r="G430" i="5" l="1"/>
  <c r="H429" i="5"/>
  <c r="H430" i="5" l="1"/>
  <c r="G431" i="5"/>
  <c r="G432" i="5" l="1"/>
  <c r="H431" i="5"/>
  <c r="J11" i="5" l="1"/>
  <c r="G433" i="5"/>
  <c r="H432" i="5"/>
  <c r="G434" i="5" l="1"/>
  <c r="H433" i="5"/>
  <c r="L11" i="5"/>
  <c r="K11" i="5"/>
  <c r="H434" i="5" l="1"/>
  <c r="G435" i="5"/>
  <c r="G436" i="5" l="1"/>
  <c r="H435" i="5"/>
  <c r="H436" i="5" l="1"/>
  <c r="G437" i="5"/>
  <c r="H437" i="5" l="1"/>
  <c r="G438" i="5"/>
  <c r="H438" i="5" l="1"/>
  <c r="G439" i="5"/>
  <c r="H439" i="5" l="1"/>
  <c r="G440" i="5"/>
  <c r="G441" i="5" l="1"/>
  <c r="H440" i="5"/>
  <c r="G442" i="5" l="1"/>
  <c r="H441" i="5"/>
  <c r="G443" i="5" l="1"/>
  <c r="H442" i="5"/>
  <c r="H443" i="5" l="1"/>
  <c r="G444" i="5"/>
  <c r="H444" i="5" l="1"/>
  <c r="G445" i="5"/>
  <c r="H445" i="5" l="1"/>
  <c r="G446" i="5"/>
  <c r="G447" i="5" l="1"/>
  <c r="H446" i="5"/>
  <c r="H447" i="5" l="1"/>
  <c r="G448" i="5"/>
  <c r="H448" i="5" l="1"/>
  <c r="G449" i="5"/>
  <c r="H449" i="5" l="1"/>
  <c r="G450" i="5"/>
  <c r="H450" i="5" l="1"/>
  <c r="G451" i="5"/>
  <c r="H451" i="5" l="1"/>
  <c r="G452" i="5"/>
  <c r="H452" i="5" l="1"/>
  <c r="G453" i="5"/>
  <c r="H453" i="5" l="1"/>
  <c r="G454" i="5"/>
  <c r="H454" i="5" l="1"/>
  <c r="G455" i="5"/>
  <c r="H455" i="5" l="1"/>
  <c r="G456" i="5"/>
  <c r="H456" i="5" l="1"/>
  <c r="G457" i="5"/>
  <c r="H457" i="5" l="1"/>
  <c r="G458" i="5"/>
  <c r="H458" i="5" l="1"/>
  <c r="G459" i="5"/>
  <c r="G460" i="5" l="1"/>
  <c r="H459" i="5"/>
  <c r="H460" i="5" l="1"/>
  <c r="G461" i="5"/>
  <c r="H461" i="5" l="1"/>
  <c r="G462" i="5"/>
  <c r="H462" i="5" l="1"/>
  <c r="G463" i="5"/>
  <c r="H463" i="5" l="1"/>
  <c r="G464" i="5"/>
  <c r="H464" i="5" l="1"/>
  <c r="G465" i="5"/>
  <c r="H465" i="5" l="1"/>
  <c r="G466" i="5"/>
  <c r="H466" i="5" l="1"/>
  <c r="G467" i="5"/>
  <c r="H467" i="5" l="1"/>
  <c r="G468" i="5"/>
  <c r="G469" i="5" l="1"/>
  <c r="H468" i="5"/>
  <c r="H469" i="5" l="1"/>
  <c r="G470" i="5"/>
  <c r="H470" i="5" l="1"/>
  <c r="G471" i="5"/>
  <c r="H471" i="5" l="1"/>
  <c r="G472" i="5"/>
  <c r="H472" i="5" l="1"/>
  <c r="G473" i="5"/>
  <c r="H473" i="5" l="1"/>
  <c r="G474" i="5"/>
  <c r="H474" i="5" l="1"/>
  <c r="G475" i="5"/>
  <c r="H475" i="5" l="1"/>
  <c r="G476" i="5"/>
  <c r="H476" i="5" l="1"/>
  <c r="G477" i="5"/>
  <c r="H477" i="5" l="1"/>
  <c r="G478" i="5"/>
  <c r="H478" i="5" l="1"/>
  <c r="G479" i="5"/>
  <c r="H479" i="5" l="1"/>
  <c r="G480" i="5"/>
  <c r="H480" i="5" l="1"/>
  <c r="G481" i="5"/>
  <c r="H481" i="5" l="1"/>
  <c r="G482" i="5"/>
  <c r="G483" i="5" l="1"/>
  <c r="H482" i="5"/>
  <c r="H483" i="5" l="1"/>
  <c r="G484" i="5"/>
  <c r="G485" i="5" l="1"/>
  <c r="H484" i="5"/>
  <c r="G486" i="5" l="1"/>
  <c r="H485" i="5"/>
  <c r="G487" i="5" l="1"/>
  <c r="H486" i="5"/>
  <c r="H487" i="5" l="1"/>
  <c r="G488" i="5"/>
  <c r="H488" i="5" l="1"/>
  <c r="G489" i="5"/>
  <c r="H489" i="5" l="1"/>
  <c r="G490" i="5"/>
  <c r="G491" i="5" l="1"/>
  <c r="H490" i="5"/>
  <c r="G492" i="5" l="1"/>
  <c r="H491" i="5"/>
  <c r="H492" i="5" l="1"/>
  <c r="J10" i="5"/>
  <c r="G493" i="5"/>
  <c r="H493" i="5" s="1"/>
  <c r="K10" i="5" l="1"/>
  <c r="L10" i="5"/>
  <c r="F76" i="1"/>
  <c r="D76" i="2"/>
  <c r="F86" i="1"/>
  <c r="D86"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P166114</author>
  </authors>
  <commentList>
    <comment ref="B19" authorId="0" shapeId="0" xr:uid="{00000000-0006-0000-0300-000001000000}">
      <text>
        <r>
          <rPr>
            <b/>
            <sz val="9"/>
            <color indexed="81"/>
            <rFont val="Tahoma"/>
            <family val="2"/>
          </rPr>
          <t>P166114:</t>
        </r>
        <r>
          <rPr>
            <sz val="9"/>
            <color indexed="81"/>
            <rFont val="Tahoma"/>
            <family val="2"/>
          </rPr>
          <t xml:space="preserve">
Con CYG 2 años menor
</t>
        </r>
      </text>
    </comment>
    <comment ref="B20" authorId="0" shapeId="0" xr:uid="{00000000-0006-0000-0300-000002000000}">
      <text>
        <r>
          <rPr>
            <b/>
            <sz val="9"/>
            <color indexed="81"/>
            <rFont val="Tahoma"/>
            <family val="2"/>
          </rPr>
          <t>P166114:</t>
        </r>
        <r>
          <rPr>
            <sz val="9"/>
            <color indexed="81"/>
            <rFont val="Tahoma"/>
            <family val="2"/>
          </rPr>
          <t xml:space="preserve">
Con CYG 2 años mayor</t>
        </r>
      </text>
    </comment>
  </commentList>
</comments>
</file>

<file path=xl/sharedStrings.xml><?xml version="1.0" encoding="utf-8"?>
<sst xmlns="http://schemas.openxmlformats.org/spreadsheetml/2006/main" count="158" uniqueCount="108">
  <si>
    <t>Complete las celdas de este color</t>
  </si>
  <si>
    <t>*Simuladores son de uso exclusivo de Principal y/o sus Intermediarios.</t>
  </si>
  <si>
    <t>*Habilite las macros, boton opciones en barra de herramientas superior.</t>
  </si>
  <si>
    <t>Sueldo Bruto</t>
  </si>
  <si>
    <t>M</t>
  </si>
  <si>
    <t>Monto de ahorro en APV UF</t>
  </si>
  <si>
    <t>F</t>
  </si>
  <si>
    <t>Sexo</t>
  </si>
  <si>
    <t>Fecha de Nacimiento (DD/MM/AA)</t>
  </si>
  <si>
    <t xml:space="preserve">Rentabilidad proyectada real anual de </t>
  </si>
  <si>
    <t>Plan Inversión Sistemático PAC en APV-A</t>
  </si>
  <si>
    <t>Rentabilidades</t>
  </si>
  <si>
    <t>Valor UF</t>
  </si>
  <si>
    <t>Duración PAC, APV-A</t>
  </si>
  <si>
    <t>Ahorro APV-A</t>
  </si>
  <si>
    <t>Bonificación Fiscal</t>
  </si>
  <si>
    <t>Total Ahorro APV-A y Bonificación Fiscal</t>
  </si>
  <si>
    <t>Aumento de Pensión, por Ahorro APV-A</t>
  </si>
  <si>
    <t>años</t>
  </si>
  <si>
    <t>UF</t>
  </si>
  <si>
    <t>$</t>
  </si>
  <si>
    <t>* Simulación de una inversión periódica mensual en base a rentabilidad supuesta real anual y comisión promedio AFP.</t>
  </si>
  <si>
    <t>Rentabilidad Mensual</t>
  </si>
  <si>
    <t>Tasa Anual</t>
  </si>
  <si>
    <t>Meses en un año</t>
  </si>
  <si>
    <t xml:space="preserve">Explicación Resultados </t>
  </si>
  <si>
    <t>Plan de Ahorro Sistemático en APV-A y su impacto en la Pensión</t>
  </si>
  <si>
    <t>NO REALIZA APV-A</t>
  </si>
  <si>
    <t>REALIZA APV-A</t>
  </si>
  <si>
    <t>CONSOLIDACIÓN DEL BENEFICIO GLOBAL</t>
  </si>
  <si>
    <t>* Logramos que Usted ahorre voluntariamente.</t>
  </si>
  <si>
    <t>* Se obtiene como beneficio:</t>
  </si>
  <si>
    <t xml:space="preserve">     1. Rebaja de su base tributable, con el consiguiente aporte del Estado al ahorro.</t>
  </si>
  <si>
    <t xml:space="preserve">     2. Mayor saldo futuro de aportes voluntarios APV-B al momento del retiro.</t>
  </si>
  <si>
    <t xml:space="preserve">     3. Mayor pensión futura producto de aportes voluntarios en APV-B.</t>
  </si>
  <si>
    <t xml:space="preserve">     4. Incremento del ahorro voluntario no previsional, al ahorrar el monto aportado por el Estado, vía beneficio tributario 57 bis LIR, 107 LIR, Seguros con Ahorro o Régimen General.</t>
  </si>
  <si>
    <t xml:space="preserve">     5. Mayor ingreso futuro, producto de aportes voluntarios en otros beneficios tributarios (57 bis de la LIR, 107 de la LIR, Seguros de Vida con Ahorro FFMM no Previsionales, FFMM Régimen General).</t>
  </si>
  <si>
    <r>
      <t xml:space="preserve">* En definitiva, </t>
    </r>
    <r>
      <rPr>
        <b/>
        <sz val="12"/>
        <color indexed="30"/>
        <rFont val="Arial"/>
        <family val="2"/>
      </rPr>
      <t>hemos optimizado el ahorro a través del beneficio tributario del APV-A</t>
    </r>
    <r>
      <rPr>
        <sz val="12"/>
        <color indexed="30"/>
        <rFont val="Arial"/>
        <family val="2"/>
      </rPr>
      <t>.</t>
    </r>
  </si>
  <si>
    <t>Disclaimers</t>
  </si>
  <si>
    <t>“Esta simulación se ha Preparado teniendo como base la información entregada por el Cliente y en consideración a los objetivos de inversión de éste y no debe ser entendido en ningún caso como un pronóstico cierto ni como una proyección de rentabilidad.  Los valores de de las cuotas de fondos mutuos son variables”.    </t>
  </si>
  <si>
    <t>"Para acceder al Beneficio Fiscal del 15% de su aporte, el trabajador debe manifestar su voluntad de acogerse al nuevo  régimen tributario a) de APV establecido en el artículo 20L del D.L. 3500 de 1980 (Ahorro después de Impuestos).  tiene como tope el menor valor entre 6UTM anuales y 10 veces las cotizaciones obligatorias realizadas dentro de ese mismo año. Este monto será depositado por la Tesorería General de la República directamente en su cuenta de APV en Principal una vez al año".</t>
  </si>
  <si>
    <t>“La simulación no contempla cambios en la remuneración bruta durante la vida laboral, por lo que se utiliza para todo el período la remuneración entregada por el cliente”.</t>
  </si>
  <si>
    <t>Plan de Ahorro Sistemático en APV-B y su impacto en la Pensión</t>
  </si>
  <si>
    <t>Utm</t>
  </si>
  <si>
    <t>Monto APV-B</t>
  </si>
  <si>
    <t>Fecha de Nacimiento</t>
  </si>
  <si>
    <t>Duración PAC, APV-B</t>
  </si>
  <si>
    <t>Ahorro APV-B (UF)</t>
  </si>
  <si>
    <t xml:space="preserve">Beneficio Tributario APV-B </t>
  </si>
  <si>
    <t>Total Ahorro APV-B y Beneficio Tributario</t>
  </si>
  <si>
    <t>Aumento de Pensión, por Ahorro APV-B</t>
  </si>
  <si>
    <t>Años de ahorro</t>
  </si>
  <si>
    <t>edad de jubilación</t>
  </si>
  <si>
    <t>años de ahorro ablig</t>
  </si>
  <si>
    <t>* Simulación de una inversión periódica mensual en base a rentabilidad supuesta real anual</t>
  </si>
  <si>
    <t>Supuesto Rentabilidad Proyectada Nominial Anual</t>
  </si>
  <si>
    <t>NO REALIZA APV-B</t>
  </si>
  <si>
    <t>REALIZA APV-B</t>
  </si>
  <si>
    <t xml:space="preserve">     * 57 bis de la LIR, </t>
  </si>
  <si>
    <t xml:space="preserve">     * 107 de la LIR, </t>
  </si>
  <si>
    <t xml:space="preserve">     * Seguros de Vida con Ahorro FFMM no Previsionales</t>
  </si>
  <si>
    <t>* Con lo cual se Optimiza el Ahorro a través de Beneficios Tributarios.</t>
  </si>
  <si>
    <r>
      <t xml:space="preserve">* En definitiva, </t>
    </r>
    <r>
      <rPr>
        <b/>
        <sz val="12"/>
        <color indexed="30"/>
        <rFont val="Arial"/>
        <family val="2"/>
      </rPr>
      <t>hemos optimizado el ahorro a través del beneficio tributario del APV-B</t>
    </r>
    <r>
      <rPr>
        <sz val="12"/>
        <color indexed="30"/>
        <rFont val="Arial"/>
        <family val="2"/>
      </rPr>
      <t>.</t>
    </r>
  </si>
  <si>
    <t>"Para acceder al Beneficio de Disminución de la Base Imponible, el trabajador debe manifestar su voluntad de acogerse al  régimen tributario b) de APV establecido en el artículo 20L del D.L. 3500 de 1980 (Ahorro antess de Impuestos). Una proporción entre el 5% y 40% del monto de ahorro realizado es financiada por el Estado en la forma de un menor pago de impuestos (el trabajador se acoge a los beneficios tributarios contemplados en el artículo 42 bis de la Ley de Impuesto a la Renta). Los retiros que no estén destinados a anticipar o mejorar la pensión, estarán afectos a un impuesto único que se calculará de acuerdo a lo establecido en el artículo 42 bis Nº 3 de la Ley de Renta".</t>
  </si>
  <si>
    <t>Mes</t>
  </si>
  <si>
    <t>Tope imp</t>
  </si>
  <si>
    <t>Tope seg ces</t>
  </si>
  <si>
    <t>Comisión afp</t>
  </si>
  <si>
    <t>UF abril</t>
  </si>
  <si>
    <t xml:space="preserve">UTM abril </t>
  </si>
  <si>
    <t>sueldo bruto $</t>
  </si>
  <si>
    <t>sueldo bruto UF</t>
  </si>
  <si>
    <t>APV-B</t>
  </si>
  <si>
    <t>Suelod con dcto</t>
  </si>
  <si>
    <t>&gt;</t>
  </si>
  <si>
    <t>Sueldo trib</t>
  </si>
  <si>
    <t>sueldo líquido UF</t>
  </si>
  <si>
    <t>Sueldo liquido $</t>
  </si>
  <si>
    <t>Tasa Mg</t>
  </si>
  <si>
    <t xml:space="preserve">CNU Hombre 65 </t>
  </si>
  <si>
    <t>CNU Mujer 60</t>
  </si>
  <si>
    <t>Tope imponible</t>
  </si>
  <si>
    <t>años de ahorro</t>
  </si>
  <si>
    <t>rentab men</t>
  </si>
  <si>
    <t>Sueldo bruto</t>
  </si>
  <si>
    <t>AFP</t>
  </si>
  <si>
    <t>% cesantía</t>
  </si>
  <si>
    <t>Ahorro acum</t>
  </si>
  <si>
    <t>acum UF</t>
  </si>
  <si>
    <t>aporte neto</t>
  </si>
  <si>
    <t>IRR</t>
  </si>
  <si>
    <t>año</t>
  </si>
  <si>
    <t>mes</t>
  </si>
  <si>
    <t>Sueldo</t>
  </si>
  <si>
    <t>cotización</t>
  </si>
  <si>
    <t>acum</t>
  </si>
  <si>
    <t>Control de Cambios por Camila Paniagua 05/12/2013</t>
  </si>
  <si>
    <t>1) Se cambió la palabra nominal por real en el supuesto de la fila 58 de la hoja APV-B para que fuera consistente con las otras rentabilidades</t>
  </si>
  <si>
    <t>Por Camila Paniagua 23-12-2013</t>
  </si>
  <si>
    <t>2) Se eliminó el supuesto de CNU en las filas 63 y 64 de las hojas APV-A y APV-B</t>
  </si>
  <si>
    <t>3) Se agregó un mensaje que dice "Actualizado a "Mes" de "Año"" en la fila 8 de la hoja APV-A y en la fila 8 de la hoja APV-B (Actualizar mes)</t>
  </si>
  <si>
    <t>Por Camila Paniagua 02-04-2014</t>
  </si>
  <si>
    <t>4) Se actualizaron los CNU para hombre de 65 con cónyuge 2 años menor y para mujer de 60 con cónyuge 2 años mayor</t>
  </si>
  <si>
    <t>5) Se agregó un supuesto de CNU en las filas 63 y 64 de las hojas APV-A y APV-B</t>
  </si>
  <si>
    <t>UTM</t>
  </si>
  <si>
    <t>Junio</t>
  </si>
  <si>
    <t>Julio</t>
  </si>
  <si>
    <t>Actualizado a Julio 2025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</si>
</sst>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7">
    <numFmt numFmtId="164" formatCode="_-* #,##0.00_-;\-* #,##0.00_-;_-* &quot;-&quot;??_-;_-@_-"/>
    <numFmt numFmtId="165" formatCode="_(&quot;$&quot;* #,##0.00_);_(&quot;$&quot;* \(#,##0.00\);_(&quot;$&quot;* &quot;-&quot;??_);_(@_)"/>
    <numFmt numFmtId="166" formatCode="&quot;$&quot;\ #,##0.00;[Red]\-&quot;$&quot;\ #,##0.00"/>
    <numFmt numFmtId="167" formatCode="_-&quot;$&quot;\ * #,##0.00_-;\-&quot;$&quot;\ * #,##0.00_-;_-&quot;$&quot;\ * &quot;-&quot;??_-;_-@_-"/>
    <numFmt numFmtId="168" formatCode="0.0%"/>
    <numFmt numFmtId="169" formatCode="0.0000%"/>
    <numFmt numFmtId="170" formatCode="&quot;$&quot;\ #,##0"/>
    <numFmt numFmtId="171" formatCode="_-&quot;$&quot;\ * #,##0_-;\-&quot;$&quot;\ * #,##0_-;_-&quot;$&quot;\ * &quot;-&quot;??_-;_-@_-"/>
    <numFmt numFmtId="172" formatCode="0.0"/>
    <numFmt numFmtId="173" formatCode="0.000"/>
    <numFmt numFmtId="174" formatCode="_(&quot;$&quot;* #,##0_);_(&quot;$&quot;* \(#,##0\);_(&quot;$&quot;* &quot;-&quot;??_);_(@_)"/>
    <numFmt numFmtId="175" formatCode="_-* #,##0_-;\-* #,##0_-;_-* &quot;-&quot;??_-;_-@_-"/>
    <numFmt numFmtId="176" formatCode="_(&quot;$&quot;* #,##0.000_);_(&quot;$&quot;* \(#,##0.000\);_(&quot;$&quot;* &quot;-&quot;???_);_(@_)"/>
    <numFmt numFmtId="177" formatCode="0.000%"/>
    <numFmt numFmtId="178" formatCode="&quot;$&quot;#,##0"/>
    <numFmt numFmtId="179" formatCode="#,##0.0000"/>
    <numFmt numFmtId="180" formatCode="0.0000"/>
  </numFmts>
  <fonts count="43" x14ac:knownFonts="1">
    <font>
      <sz val="10"/>
      <name val="Arial"/>
    </font>
    <font>
      <sz val="8"/>
      <name val="Arial"/>
      <family val="2"/>
    </font>
    <font>
      <sz val="10"/>
      <name val="Arial"/>
      <family val="2"/>
    </font>
    <font>
      <b/>
      <u/>
      <sz val="12"/>
      <color indexed="56"/>
      <name val="Arial"/>
      <family val="2"/>
    </font>
    <font>
      <b/>
      <sz val="12"/>
      <name val="Arial"/>
      <family val="2"/>
    </font>
    <font>
      <b/>
      <sz val="12"/>
      <color indexed="8"/>
      <name val="Arial"/>
      <family val="2"/>
    </font>
    <font>
      <b/>
      <sz val="10"/>
      <name val="Arial"/>
      <family val="2"/>
    </font>
    <font>
      <b/>
      <sz val="12"/>
      <color indexed="56"/>
      <name val="Arial"/>
      <family val="2"/>
    </font>
    <font>
      <sz val="10"/>
      <name val="Arial"/>
      <family val="2"/>
    </font>
    <font>
      <sz val="10"/>
      <name val="Arial"/>
      <family val="2"/>
    </font>
    <font>
      <sz val="11"/>
      <name val="Calibri"/>
      <family val="2"/>
    </font>
    <font>
      <sz val="9"/>
      <color indexed="81"/>
      <name val="Tahoma"/>
      <family val="2"/>
    </font>
    <font>
      <b/>
      <sz val="9"/>
      <color indexed="81"/>
      <name val="Tahoma"/>
      <family val="2"/>
    </font>
    <font>
      <b/>
      <sz val="12"/>
      <color indexed="30"/>
      <name val="Arial"/>
      <family val="2"/>
    </font>
    <font>
      <sz val="12"/>
      <color indexed="30"/>
      <name val="Arial"/>
      <family val="2"/>
    </font>
    <font>
      <sz val="10"/>
      <color rgb="FF003580"/>
      <name val="Arial"/>
      <family val="2"/>
    </font>
    <font>
      <b/>
      <u/>
      <sz val="12"/>
      <color rgb="FF003580"/>
      <name val="Arial"/>
      <family val="2"/>
    </font>
    <font>
      <sz val="10"/>
      <color theme="1"/>
      <name val="Arial"/>
      <family val="2"/>
    </font>
    <font>
      <sz val="10"/>
      <color theme="0"/>
      <name val="Arial"/>
      <family val="2"/>
    </font>
    <font>
      <b/>
      <sz val="10"/>
      <color theme="1"/>
      <name val="Arial"/>
      <family val="2"/>
    </font>
    <font>
      <b/>
      <sz val="10"/>
      <color theme="3"/>
      <name val="Arial"/>
      <family val="2"/>
    </font>
    <font>
      <b/>
      <sz val="12"/>
      <color theme="0"/>
      <name val="Arial"/>
      <family val="2"/>
    </font>
    <font>
      <b/>
      <sz val="12"/>
      <color rgb="FF003580"/>
      <name val="Arial"/>
      <family val="2"/>
    </font>
    <font>
      <b/>
      <sz val="12"/>
      <color theme="3"/>
      <name val="Arial"/>
      <family val="2"/>
    </font>
    <font>
      <sz val="10"/>
      <color theme="3"/>
      <name val="Arial"/>
      <family val="2"/>
    </font>
    <font>
      <sz val="12"/>
      <color theme="3"/>
      <name val="Arial"/>
      <family val="2"/>
    </font>
    <font>
      <b/>
      <sz val="10"/>
      <color rgb="FFFF0000"/>
      <name val="Arial"/>
      <family val="2"/>
    </font>
    <font>
      <b/>
      <u/>
      <sz val="14"/>
      <color rgb="FF003580"/>
      <name val="Arial"/>
      <family val="2"/>
    </font>
    <font>
      <sz val="12"/>
      <color rgb="FF003580"/>
      <name val="Arial"/>
      <family val="2"/>
    </font>
    <font>
      <sz val="11"/>
      <color rgb="FFFF0000"/>
      <name val="Calibri"/>
      <family val="2"/>
    </font>
    <font>
      <sz val="10"/>
      <color rgb="FFFF0000"/>
      <name val="Arial"/>
      <family val="2"/>
    </font>
    <font>
      <sz val="9"/>
      <color theme="3"/>
      <name val="Arial"/>
      <family val="2"/>
    </font>
    <font>
      <b/>
      <sz val="12"/>
      <color rgb="FF0091DA"/>
      <name val="Arial"/>
      <family val="2"/>
    </font>
    <font>
      <b/>
      <sz val="10"/>
      <color theme="0"/>
      <name val="Arial"/>
      <family val="2"/>
    </font>
    <font>
      <sz val="10"/>
      <color rgb="FF0091DA"/>
      <name val="Arial"/>
      <family val="2"/>
    </font>
    <font>
      <b/>
      <u/>
      <sz val="14"/>
      <color rgb="FF0091DA"/>
      <name val="Arial"/>
      <family val="2"/>
    </font>
    <font>
      <b/>
      <u/>
      <sz val="12"/>
      <color rgb="FF0091DA"/>
      <name val="Arial"/>
      <family val="2"/>
    </font>
    <font>
      <sz val="12"/>
      <color rgb="FF0091DA"/>
      <name val="Arial"/>
      <family val="2"/>
    </font>
    <font>
      <sz val="12"/>
      <color rgb="FF0091DA"/>
      <name val="Calibri"/>
      <family val="2"/>
      <scheme val="minor"/>
    </font>
    <font>
      <sz val="11"/>
      <color rgb="FF0091DA"/>
      <name val="Calibri"/>
      <family val="2"/>
    </font>
    <font>
      <b/>
      <u/>
      <sz val="14"/>
      <color theme="3"/>
      <name val="Arial"/>
      <family val="2"/>
    </font>
    <font>
      <sz val="12"/>
      <color rgb="FF000000"/>
      <name val="Arial"/>
      <family val="2"/>
    </font>
    <font>
      <sz val="11"/>
      <color rgb="FF706F6F"/>
      <name val="Helvetica Neue"/>
      <family val="2"/>
    </font>
  </fonts>
  <fills count="7">
    <fill>
      <patternFill patternType="none"/>
    </fill>
    <fill>
      <patternFill patternType="gray125"/>
    </fill>
    <fill>
      <patternFill patternType="solid">
        <fgColor theme="0"/>
        <bgColor indexed="64"/>
      </patternFill>
    </fill>
    <fill>
      <patternFill patternType="solid">
        <fgColor rgb="FFF2F2F2"/>
        <bgColor indexed="64"/>
      </patternFill>
    </fill>
    <fill>
      <patternFill patternType="solid">
        <fgColor rgb="FFCF7600"/>
        <bgColor indexed="64"/>
      </patternFill>
    </fill>
    <fill>
      <patternFill patternType="solid">
        <fgColor rgb="FFC4ECFF"/>
        <bgColor indexed="64"/>
      </patternFill>
    </fill>
    <fill>
      <patternFill patternType="solid">
        <fgColor rgb="FF0091DA"/>
        <bgColor indexed="64"/>
      </patternFill>
    </fill>
  </fills>
  <borders count="24">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diagonal/>
    </border>
    <border>
      <left style="thin">
        <color indexed="64"/>
      </left>
      <right style="thin">
        <color indexed="64"/>
      </right>
      <top style="thin">
        <color indexed="64"/>
      </top>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s>
  <cellStyleXfs count="4">
    <xf numFmtId="0" fontId="0" fillId="0" borderId="0"/>
    <xf numFmtId="164" fontId="9" fillId="0" borderId="0" applyFont="0" applyFill="0" applyBorder="0" applyAlignment="0" applyProtection="0"/>
    <xf numFmtId="167" fontId="8" fillId="0" borderId="0" applyFont="0" applyFill="0" applyBorder="0" applyAlignment="0" applyProtection="0"/>
    <xf numFmtId="9" fontId="8" fillId="0" borderId="0" applyFont="0" applyFill="0" applyBorder="0" applyAlignment="0" applyProtection="0"/>
  </cellStyleXfs>
  <cellXfs count="225">
    <xf numFmtId="0" fontId="0" fillId="0" borderId="0" xfId="0"/>
    <xf numFmtId="0" fontId="2" fillId="2" borderId="0" xfId="0" applyFont="1" applyFill="1"/>
    <xf numFmtId="0" fontId="6" fillId="2" borderId="0" xfId="0" applyFont="1" applyFill="1"/>
    <xf numFmtId="0" fontId="2" fillId="2" borderId="1" xfId="0" applyFont="1" applyFill="1" applyBorder="1"/>
    <xf numFmtId="0" fontId="2" fillId="2" borderId="2" xfId="0" applyFont="1" applyFill="1" applyBorder="1"/>
    <xf numFmtId="0" fontId="2" fillId="2" borderId="3" xfId="0" applyFont="1" applyFill="1" applyBorder="1"/>
    <xf numFmtId="0" fontId="2" fillId="2" borderId="4" xfId="0" applyFont="1" applyFill="1" applyBorder="1"/>
    <xf numFmtId="0" fontId="2" fillId="2" borderId="5" xfId="0" applyFont="1" applyFill="1" applyBorder="1"/>
    <xf numFmtId="0" fontId="6" fillId="2" borderId="4" xfId="0" applyFont="1" applyFill="1" applyBorder="1"/>
    <xf numFmtId="0" fontId="6" fillId="2" borderId="5" xfId="0" applyFont="1" applyFill="1" applyBorder="1"/>
    <xf numFmtId="0" fontId="2" fillId="2" borderId="6" xfId="0" applyFont="1" applyFill="1" applyBorder="1"/>
    <xf numFmtId="0" fontId="2" fillId="2" borderId="7" xfId="0" applyFont="1" applyFill="1" applyBorder="1"/>
    <xf numFmtId="0" fontId="2" fillId="2" borderId="8" xfId="0" applyFont="1" applyFill="1" applyBorder="1"/>
    <xf numFmtId="0" fontId="4" fillId="2" borderId="0" xfId="0" applyFont="1" applyFill="1" applyAlignment="1">
      <alignment horizontal="center" vertical="center"/>
    </xf>
    <xf numFmtId="4" fontId="5" fillId="2" borderId="0" xfId="0" applyNumberFormat="1" applyFont="1" applyFill="1" applyAlignment="1">
      <alignment horizontal="center" vertical="center" wrapText="1"/>
    </xf>
    <xf numFmtId="0" fontId="15" fillId="2" borderId="0" xfId="0" applyFont="1" applyFill="1"/>
    <xf numFmtId="0" fontId="16" fillId="2" borderId="0" xfId="0" applyFont="1" applyFill="1"/>
    <xf numFmtId="0" fontId="17" fillId="2" borderId="0" xfId="0" applyFont="1" applyFill="1"/>
    <xf numFmtId="0" fontId="18" fillId="2" borderId="0" xfId="0" applyFont="1" applyFill="1"/>
    <xf numFmtId="168" fontId="18" fillId="2" borderId="0" xfId="0" applyNumberFormat="1" applyFont="1" applyFill="1"/>
    <xf numFmtId="0" fontId="19" fillId="2" borderId="0" xfId="0" applyFont="1" applyFill="1"/>
    <xf numFmtId="0" fontId="20" fillId="2" borderId="0" xfId="0" applyFont="1" applyFill="1" applyAlignment="1" applyProtection="1">
      <alignment horizontal="left"/>
      <protection hidden="1"/>
    </xf>
    <xf numFmtId="166" fontId="2" fillId="2" borderId="0" xfId="0" applyNumberFormat="1" applyFont="1" applyFill="1"/>
    <xf numFmtId="9" fontId="18" fillId="2" borderId="0" xfId="0" applyNumberFormat="1" applyFont="1" applyFill="1"/>
    <xf numFmtId="10" fontId="18" fillId="2" borderId="0" xfId="0" applyNumberFormat="1" applyFont="1" applyFill="1"/>
    <xf numFmtId="0" fontId="18" fillId="2" borderId="4" xfId="0" applyFont="1" applyFill="1" applyBorder="1"/>
    <xf numFmtId="0" fontId="7" fillId="2" borderId="0" xfId="0" applyFont="1" applyFill="1" applyAlignment="1">
      <alignment horizontal="center"/>
    </xf>
    <xf numFmtId="171" fontId="2" fillId="2" borderId="0" xfId="2" applyNumberFormat="1" applyFont="1" applyFill="1" applyBorder="1"/>
    <xf numFmtId="0" fontId="7" fillId="2" borderId="0" xfId="0" applyFont="1" applyFill="1"/>
    <xf numFmtId="168" fontId="21" fillId="2" borderId="0" xfId="0" applyNumberFormat="1" applyFont="1" applyFill="1" applyAlignment="1" applyProtection="1">
      <alignment horizontal="center"/>
      <protection locked="0"/>
    </xf>
    <xf numFmtId="0" fontId="22" fillId="2" borderId="0" xfId="0" applyFont="1" applyFill="1" applyAlignment="1">
      <alignment horizontal="right"/>
    </xf>
    <xf numFmtId="172" fontId="0" fillId="0" borderId="0" xfId="0" applyNumberFormat="1"/>
    <xf numFmtId="0" fontId="2" fillId="0" borderId="0" xfId="0" applyFont="1"/>
    <xf numFmtId="168" fontId="0" fillId="0" borderId="0" xfId="3" applyNumberFormat="1" applyFont="1"/>
    <xf numFmtId="10" fontId="0" fillId="0" borderId="0" xfId="3" applyNumberFormat="1" applyFont="1"/>
    <xf numFmtId="173" fontId="0" fillId="0" borderId="0" xfId="0" applyNumberFormat="1"/>
    <xf numFmtId="174" fontId="0" fillId="0" borderId="0" xfId="0" applyNumberFormat="1"/>
    <xf numFmtId="173" fontId="0" fillId="0" borderId="0" xfId="2" applyNumberFormat="1" applyFont="1"/>
    <xf numFmtId="0" fontId="16" fillId="2" borderId="0" xfId="0" applyFont="1" applyFill="1" applyAlignment="1">
      <alignment horizontal="center"/>
    </xf>
    <xf numFmtId="0" fontId="20" fillId="2" borderId="0" xfId="0" applyFont="1" applyFill="1"/>
    <xf numFmtId="168" fontId="20" fillId="2" borderId="0" xfId="0" applyNumberFormat="1" applyFont="1" applyFill="1" applyProtection="1">
      <protection hidden="1"/>
    </xf>
    <xf numFmtId="0" fontId="20" fillId="2" borderId="0" xfId="0" applyFont="1" applyFill="1" applyProtection="1">
      <protection hidden="1"/>
    </xf>
    <xf numFmtId="0" fontId="23" fillId="3" borderId="9" xfId="0" applyFont="1" applyFill="1" applyBorder="1" applyAlignment="1">
      <alignment horizontal="center" vertical="center" wrapText="1"/>
    </xf>
    <xf numFmtId="0" fontId="23" fillId="2" borderId="10" xfId="0" applyFont="1" applyFill="1" applyBorder="1" applyAlignment="1">
      <alignment horizontal="center" vertical="center" wrapText="1"/>
    </xf>
    <xf numFmtId="0" fontId="23" fillId="3" borderId="10" xfId="0" applyFont="1" applyFill="1" applyBorder="1" applyAlignment="1">
      <alignment horizontal="center" vertical="center" wrapText="1"/>
    </xf>
    <xf numFmtId="0" fontId="23" fillId="2" borderId="11" xfId="0" applyFont="1" applyFill="1" applyBorder="1" applyAlignment="1">
      <alignment horizontal="center" vertical="center" wrapText="1"/>
    </xf>
    <xf numFmtId="0" fontId="24" fillId="2" borderId="0" xfId="0" applyFont="1" applyFill="1"/>
    <xf numFmtId="0" fontId="23" fillId="2" borderId="0" xfId="0" applyFont="1" applyFill="1" applyAlignment="1">
      <alignment horizontal="right"/>
    </xf>
    <xf numFmtId="0" fontId="2" fillId="2" borderId="0" xfId="0" applyFont="1" applyFill="1" applyAlignment="1">
      <alignment horizontal="right"/>
    </xf>
    <xf numFmtId="0" fontId="23" fillId="2" borderId="12" xfId="0" applyFont="1" applyFill="1" applyBorder="1" applyAlignment="1">
      <alignment horizontal="center" vertical="center" wrapText="1"/>
    </xf>
    <xf numFmtId="9" fontId="23" fillId="2" borderId="12" xfId="0" applyNumberFormat="1" applyFont="1" applyFill="1" applyBorder="1" applyAlignment="1">
      <alignment horizontal="center" vertical="center" wrapText="1"/>
    </xf>
    <xf numFmtId="0" fontId="23" fillId="2" borderId="0" xfId="0" applyFont="1" applyFill="1" applyAlignment="1">
      <alignment horizontal="right" vertical="center"/>
    </xf>
    <xf numFmtId="171" fontId="25" fillId="3" borderId="13" xfId="2" applyNumberFormat="1" applyFont="1" applyFill="1" applyBorder="1" applyAlignment="1" applyProtection="1">
      <alignment horizontal="center" vertical="center" wrapText="1"/>
      <protection hidden="1"/>
    </xf>
    <xf numFmtId="171" fontId="25" fillId="2" borderId="14" xfId="2" applyNumberFormat="1" applyFont="1" applyFill="1" applyBorder="1" applyAlignment="1" applyProtection="1">
      <alignment horizontal="center" vertical="center" wrapText="1"/>
      <protection hidden="1"/>
    </xf>
    <xf numFmtId="171" fontId="25" fillId="3" borderId="14" xfId="2" applyNumberFormat="1" applyFont="1" applyFill="1" applyBorder="1" applyAlignment="1" applyProtection="1">
      <alignment horizontal="center" vertical="center" wrapText="1"/>
      <protection hidden="1"/>
    </xf>
    <xf numFmtId="171" fontId="25" fillId="2" borderId="15" xfId="2" applyNumberFormat="1" applyFont="1" applyFill="1" applyBorder="1" applyAlignment="1" applyProtection="1">
      <alignment horizontal="center" vertical="center" wrapText="1"/>
      <protection hidden="1"/>
    </xf>
    <xf numFmtId="0" fontId="23" fillId="0" borderId="12" xfId="0" applyFont="1" applyBorder="1" applyAlignment="1" applyProtection="1">
      <alignment horizontal="center" vertical="center" wrapText="1"/>
      <protection locked="0"/>
    </xf>
    <xf numFmtId="0" fontId="20" fillId="2" borderId="16" xfId="0" applyFont="1" applyFill="1" applyBorder="1" applyAlignment="1">
      <alignment vertical="center" wrapText="1"/>
    </xf>
    <xf numFmtId="10" fontId="20" fillId="4" borderId="12" xfId="0" applyNumberFormat="1" applyFont="1" applyFill="1" applyBorder="1" applyAlignment="1" applyProtection="1">
      <alignment horizontal="left"/>
      <protection locked="0"/>
    </xf>
    <xf numFmtId="171" fontId="23" fillId="2" borderId="12" xfId="0" applyNumberFormat="1" applyFont="1" applyFill="1" applyBorder="1" applyAlignment="1">
      <alignment horizontal="center" vertical="center" wrapText="1"/>
    </xf>
    <xf numFmtId="0" fontId="23" fillId="2" borderId="17" xfId="0" applyFont="1" applyFill="1" applyBorder="1" applyAlignment="1">
      <alignment horizontal="center" wrapText="1"/>
    </xf>
    <xf numFmtId="0" fontId="23" fillId="2" borderId="18" xfId="0" applyFont="1" applyFill="1" applyBorder="1" applyAlignment="1">
      <alignment horizontal="center" vertical="center" wrapText="1"/>
    </xf>
    <xf numFmtId="9" fontId="23" fillId="2" borderId="19" xfId="0" applyNumberFormat="1" applyFont="1" applyFill="1" applyBorder="1" applyAlignment="1">
      <alignment horizontal="center" vertical="center" wrapText="1"/>
    </xf>
    <xf numFmtId="0" fontId="26" fillId="0" borderId="0" xfId="0" applyFont="1" applyAlignment="1">
      <alignment horizontal="right" vertical="center"/>
    </xf>
    <xf numFmtId="0" fontId="20" fillId="2" borderId="0" xfId="0" applyFont="1" applyFill="1" applyAlignment="1">
      <alignment horizontal="center" vertical="center"/>
    </xf>
    <xf numFmtId="0" fontId="26" fillId="2" borderId="0" xfId="0" applyFont="1" applyFill="1" applyAlignment="1">
      <alignment horizontal="right" vertical="center"/>
    </xf>
    <xf numFmtId="3" fontId="25" fillId="3" borderId="16" xfId="0" applyNumberFormat="1" applyFont="1" applyFill="1" applyBorder="1" applyAlignment="1" applyProtection="1">
      <alignment horizontal="center" vertical="center" wrapText="1"/>
      <protection hidden="1"/>
    </xf>
    <xf numFmtId="3" fontId="25" fillId="2" borderId="0" xfId="0" applyNumberFormat="1" applyFont="1" applyFill="1" applyAlignment="1" applyProtection="1">
      <alignment horizontal="center" vertical="center" wrapText="1"/>
      <protection hidden="1"/>
    </xf>
    <xf numFmtId="3" fontId="25" fillId="3" borderId="0" xfId="0" applyNumberFormat="1" applyFont="1" applyFill="1" applyAlignment="1" applyProtection="1">
      <alignment horizontal="center" vertical="center" wrapText="1"/>
      <protection hidden="1"/>
    </xf>
    <xf numFmtId="3" fontId="25" fillId="2" borderId="20" xfId="0" applyNumberFormat="1" applyFont="1" applyFill="1" applyBorder="1" applyAlignment="1" applyProtection="1">
      <alignment horizontal="center" vertical="center" wrapText="1"/>
      <protection hidden="1"/>
    </xf>
    <xf numFmtId="3" fontId="25" fillId="3" borderId="16" xfId="2" applyNumberFormat="1" applyFont="1" applyFill="1" applyBorder="1" applyAlignment="1" applyProtection="1">
      <alignment horizontal="center" vertical="center" wrapText="1"/>
      <protection hidden="1"/>
    </xf>
    <xf numFmtId="3" fontId="25" fillId="2" borderId="0" xfId="2" applyNumberFormat="1" applyFont="1" applyFill="1" applyBorder="1" applyAlignment="1" applyProtection="1">
      <alignment horizontal="center" vertical="center" wrapText="1"/>
      <protection hidden="1"/>
    </xf>
    <xf numFmtId="3" fontId="25" fillId="3" borderId="0" xfId="2" applyNumberFormat="1" applyFont="1" applyFill="1" applyBorder="1" applyAlignment="1" applyProtection="1">
      <alignment horizontal="center" vertical="center" wrapText="1"/>
      <protection hidden="1"/>
    </xf>
    <xf numFmtId="3" fontId="25" fillId="2" borderId="20" xfId="2" applyNumberFormat="1" applyFont="1" applyFill="1" applyBorder="1" applyAlignment="1" applyProtection="1">
      <alignment horizontal="center" vertical="center" wrapText="1"/>
      <protection hidden="1"/>
    </xf>
    <xf numFmtId="175" fontId="2" fillId="2" borderId="0" xfId="1" applyNumberFormat="1" applyFont="1" applyFill="1" applyBorder="1" applyProtection="1"/>
    <xf numFmtId="0" fontId="27" fillId="2" borderId="0" xfId="0" applyFont="1" applyFill="1" applyAlignment="1">
      <alignment horizontal="center" vertical="center"/>
    </xf>
    <xf numFmtId="0" fontId="28" fillId="2" borderId="0" xfId="0" applyFont="1" applyFill="1"/>
    <xf numFmtId="175" fontId="28" fillId="2" borderId="0" xfId="1" applyNumberFormat="1" applyFont="1" applyFill="1" applyBorder="1" applyProtection="1"/>
    <xf numFmtId="0" fontId="28" fillId="2" borderId="0" xfId="0" applyFont="1" applyFill="1" applyAlignment="1">
      <alignment wrapText="1"/>
    </xf>
    <xf numFmtId="0" fontId="27" fillId="2" borderId="0" xfId="0" applyFont="1" applyFill="1" applyAlignment="1">
      <alignment vertical="center"/>
    </xf>
    <xf numFmtId="175" fontId="2" fillId="2" borderId="3" xfId="1" applyNumberFormat="1" applyFont="1" applyFill="1" applyBorder="1" applyProtection="1"/>
    <xf numFmtId="175" fontId="2" fillId="2" borderId="5" xfId="1" applyNumberFormat="1" applyFont="1" applyFill="1" applyBorder="1" applyProtection="1"/>
    <xf numFmtId="0" fontId="27" fillId="2" borderId="5" xfId="0" applyFont="1" applyFill="1" applyBorder="1" applyAlignment="1">
      <alignment vertical="center"/>
    </xf>
    <xf numFmtId="0" fontId="27" fillId="2" borderId="5" xfId="0" applyFont="1" applyFill="1" applyBorder="1" applyAlignment="1">
      <alignment horizontal="center" vertical="center"/>
    </xf>
    <xf numFmtId="175" fontId="28" fillId="2" borderId="5" xfId="1" applyNumberFormat="1" applyFont="1" applyFill="1" applyBorder="1" applyProtection="1"/>
    <xf numFmtId="0" fontId="28" fillId="2" borderId="5" xfId="0" applyFont="1" applyFill="1" applyBorder="1" applyAlignment="1">
      <alignment wrapText="1"/>
    </xf>
    <xf numFmtId="4" fontId="2" fillId="2" borderId="0" xfId="0" applyNumberFormat="1" applyFont="1" applyFill="1"/>
    <xf numFmtId="0" fontId="22" fillId="2" borderId="0" xfId="0" applyFont="1" applyFill="1"/>
    <xf numFmtId="167" fontId="0" fillId="0" borderId="0" xfId="2" applyFont="1"/>
    <xf numFmtId="176" fontId="0" fillId="0" borderId="0" xfId="0" applyNumberFormat="1"/>
    <xf numFmtId="165" fontId="0" fillId="0" borderId="0" xfId="0" applyNumberFormat="1"/>
    <xf numFmtId="171" fontId="0" fillId="0" borderId="0" xfId="2" applyNumberFormat="1" applyFont="1"/>
    <xf numFmtId="9" fontId="0" fillId="0" borderId="0" xfId="0" applyNumberFormat="1"/>
    <xf numFmtId="177" fontId="0" fillId="0" borderId="0" xfId="3" applyNumberFormat="1" applyFont="1"/>
    <xf numFmtId="171" fontId="0" fillId="0" borderId="0" xfId="0" applyNumberFormat="1"/>
    <xf numFmtId="2" fontId="0" fillId="0" borderId="0" xfId="0" applyNumberFormat="1"/>
    <xf numFmtId="40" fontId="0" fillId="0" borderId="0" xfId="0" applyNumberFormat="1"/>
    <xf numFmtId="171" fontId="18" fillId="2" borderId="0" xfId="2" applyNumberFormat="1" applyFont="1" applyFill="1"/>
    <xf numFmtId="9" fontId="18" fillId="2" borderId="0" xfId="3" applyFont="1" applyFill="1" applyBorder="1"/>
    <xf numFmtId="172" fontId="18" fillId="2" borderId="0" xfId="0" applyNumberFormat="1" applyFont="1" applyFill="1"/>
    <xf numFmtId="171" fontId="18" fillId="2" borderId="0" xfId="0" applyNumberFormat="1" applyFont="1" applyFill="1"/>
    <xf numFmtId="1" fontId="18" fillId="2" borderId="0" xfId="0" applyNumberFormat="1" applyFont="1" applyFill="1"/>
    <xf numFmtId="10" fontId="18" fillId="2" borderId="0" xfId="3" applyNumberFormat="1" applyFont="1" applyFill="1"/>
    <xf numFmtId="0" fontId="2" fillId="2" borderId="2" xfId="0" applyFont="1" applyFill="1" applyBorder="1" applyProtection="1">
      <protection hidden="1"/>
    </xf>
    <xf numFmtId="175" fontId="2" fillId="2" borderId="2" xfId="1" applyNumberFormat="1" applyFont="1" applyFill="1" applyBorder="1" applyProtection="1">
      <protection hidden="1"/>
    </xf>
    <xf numFmtId="0" fontId="2" fillId="2" borderId="0" xfId="0" applyFont="1" applyFill="1" applyProtection="1">
      <protection hidden="1"/>
    </xf>
    <xf numFmtId="175" fontId="2" fillId="2" borderId="0" xfId="1" applyNumberFormat="1" applyFont="1" applyFill="1" applyBorder="1" applyProtection="1">
      <protection hidden="1"/>
    </xf>
    <xf numFmtId="0" fontId="10" fillId="0" borderId="0" xfId="0" applyFont="1"/>
    <xf numFmtId="0" fontId="10" fillId="0" borderId="0" xfId="0" applyFont="1" applyAlignment="1">
      <alignment horizontal="left" indent="4"/>
    </xf>
    <xf numFmtId="0" fontId="10" fillId="2" borderId="0" xfId="0" applyFont="1" applyFill="1" applyAlignment="1">
      <alignment horizontal="left" indent="4"/>
    </xf>
    <xf numFmtId="0" fontId="10" fillId="2" borderId="0" xfId="0" applyFont="1" applyFill="1" applyAlignment="1">
      <alignment wrapText="1"/>
    </xf>
    <xf numFmtId="0" fontId="29" fillId="0" borderId="0" xfId="0" applyFont="1"/>
    <xf numFmtId="0" fontId="28" fillId="2" borderId="0" xfId="0" applyFont="1" applyFill="1" applyAlignment="1" applyProtection="1">
      <alignment vertical="center" wrapText="1"/>
      <protection hidden="1"/>
    </xf>
    <xf numFmtId="175" fontId="2" fillId="2" borderId="2" xfId="1" applyNumberFormat="1" applyFont="1" applyFill="1" applyBorder="1" applyProtection="1"/>
    <xf numFmtId="0" fontId="0" fillId="2" borderId="0" xfId="0" applyFill="1"/>
    <xf numFmtId="0" fontId="0" fillId="2" borderId="1" xfId="0" applyFill="1" applyBorder="1"/>
    <xf numFmtId="0" fontId="0" fillId="2" borderId="2" xfId="0" applyFill="1" applyBorder="1"/>
    <xf numFmtId="0" fontId="0" fillId="2" borderId="3" xfId="0" applyFill="1" applyBorder="1"/>
    <xf numFmtId="0" fontId="0" fillId="2" borderId="4" xfId="0" applyFill="1" applyBorder="1"/>
    <xf numFmtId="0" fontId="0" fillId="2" borderId="5" xfId="0" applyFill="1" applyBorder="1"/>
    <xf numFmtId="0" fontId="0" fillId="2" borderId="6" xfId="0" applyFill="1" applyBorder="1"/>
    <xf numFmtId="0" fontId="0" fillId="2" borderId="7" xfId="0" applyFill="1" applyBorder="1"/>
    <xf numFmtId="0" fontId="0" fillId="2" borderId="8" xfId="0" applyFill="1" applyBorder="1"/>
    <xf numFmtId="171" fontId="23" fillId="2" borderId="12" xfId="2" applyNumberFormat="1" applyFont="1" applyFill="1" applyBorder="1" applyAlignment="1" applyProtection="1">
      <alignment horizontal="center"/>
      <protection hidden="1"/>
    </xf>
    <xf numFmtId="14" fontId="23" fillId="2" borderId="12" xfId="2" applyNumberFormat="1" applyFont="1" applyFill="1" applyBorder="1" applyAlignment="1" applyProtection="1">
      <alignment horizontal="center"/>
      <protection hidden="1"/>
    </xf>
    <xf numFmtId="10" fontId="23" fillId="2" borderId="12" xfId="0" applyNumberFormat="1" applyFont="1" applyFill="1" applyBorder="1" applyAlignment="1" applyProtection="1">
      <alignment horizontal="center"/>
      <protection hidden="1"/>
    </xf>
    <xf numFmtId="0" fontId="23" fillId="2" borderId="12" xfId="0" applyFont="1" applyFill="1" applyBorder="1" applyAlignment="1" applyProtection="1">
      <alignment horizontal="center"/>
      <protection hidden="1"/>
    </xf>
    <xf numFmtId="180" fontId="23" fillId="2" borderId="12" xfId="0" applyNumberFormat="1" applyFont="1" applyFill="1" applyBorder="1" applyAlignment="1" applyProtection="1">
      <alignment horizontal="center" vertical="center" wrapText="1"/>
      <protection hidden="1"/>
    </xf>
    <xf numFmtId="0" fontId="30" fillId="2" borderId="0" xfId="0" applyFont="1" applyFill="1"/>
    <xf numFmtId="0" fontId="0" fillId="2" borderId="0" xfId="0" applyFill="1" applyProtection="1">
      <protection hidden="1"/>
    </xf>
    <xf numFmtId="0" fontId="30" fillId="2" borderId="0" xfId="0" applyFont="1" applyFill="1" applyProtection="1">
      <protection hidden="1"/>
    </xf>
    <xf numFmtId="171" fontId="18" fillId="2" borderId="0" xfId="2" applyNumberFormat="1" applyFont="1" applyFill="1" applyProtection="1">
      <protection hidden="1"/>
    </xf>
    <xf numFmtId="0" fontId="18" fillId="2" borderId="0" xfId="0" applyFont="1" applyFill="1" applyProtection="1">
      <protection hidden="1"/>
    </xf>
    <xf numFmtId="168" fontId="18" fillId="2" borderId="0" xfId="3" applyNumberFormat="1" applyFont="1" applyFill="1" applyProtection="1">
      <protection hidden="1"/>
    </xf>
    <xf numFmtId="0" fontId="31" fillId="0" borderId="0" xfId="0" applyFont="1" applyAlignment="1">
      <alignment vertical="center"/>
    </xf>
    <xf numFmtId="0" fontId="3" fillId="2" borderId="0" xfId="0" applyFont="1" applyFill="1"/>
    <xf numFmtId="167" fontId="2" fillId="2" borderId="0" xfId="0" applyNumberFormat="1" applyFont="1" applyFill="1"/>
    <xf numFmtId="4" fontId="25" fillId="3" borderId="16" xfId="0" applyNumberFormat="1" applyFont="1" applyFill="1" applyBorder="1" applyAlignment="1" applyProtection="1">
      <alignment horizontal="center" vertical="center" wrapText="1"/>
      <protection hidden="1"/>
    </xf>
    <xf numFmtId="4" fontId="25" fillId="2" borderId="0" xfId="0" applyNumberFormat="1" applyFont="1" applyFill="1" applyAlignment="1" applyProtection="1">
      <alignment horizontal="center" vertical="center" wrapText="1"/>
      <protection hidden="1"/>
    </xf>
    <xf numFmtId="4" fontId="25" fillId="3" borderId="0" xfId="0" applyNumberFormat="1" applyFont="1" applyFill="1" applyAlignment="1" applyProtection="1">
      <alignment horizontal="center" vertical="center" wrapText="1"/>
      <protection hidden="1"/>
    </xf>
    <xf numFmtId="4" fontId="25" fillId="2" borderId="20" xfId="0" applyNumberFormat="1" applyFont="1" applyFill="1" applyBorder="1" applyAlignment="1" applyProtection="1">
      <alignment horizontal="center" vertical="center" wrapText="1"/>
      <protection hidden="1"/>
    </xf>
    <xf numFmtId="4" fontId="25" fillId="3" borderId="16" xfId="2" applyNumberFormat="1" applyFont="1" applyFill="1" applyBorder="1" applyAlignment="1" applyProtection="1">
      <alignment horizontal="center" vertical="center" wrapText="1"/>
      <protection hidden="1"/>
    </xf>
    <xf numFmtId="4" fontId="25" fillId="2" borderId="0" xfId="2" applyNumberFormat="1" applyFont="1" applyFill="1" applyBorder="1" applyAlignment="1" applyProtection="1">
      <alignment horizontal="center" vertical="center" wrapText="1"/>
      <protection hidden="1"/>
    </xf>
    <xf numFmtId="4" fontId="25" fillId="3" borderId="0" xfId="2" applyNumberFormat="1" applyFont="1" applyFill="1" applyBorder="1" applyAlignment="1" applyProtection="1">
      <alignment horizontal="center" vertical="center" wrapText="1"/>
      <protection hidden="1"/>
    </xf>
    <xf numFmtId="4" fontId="25" fillId="2" borderId="20" xfId="2" applyNumberFormat="1" applyFont="1" applyFill="1" applyBorder="1" applyAlignment="1" applyProtection="1">
      <alignment horizontal="center" vertical="center" wrapText="1"/>
      <protection hidden="1"/>
    </xf>
    <xf numFmtId="0" fontId="20" fillId="5" borderId="21" xfId="0" applyFont="1" applyFill="1" applyBorder="1" applyAlignment="1">
      <alignment horizontal="left" vertical="center"/>
    </xf>
    <xf numFmtId="0" fontId="20" fillId="5" borderId="18" xfId="0" applyFont="1" applyFill="1" applyBorder="1" applyAlignment="1">
      <alignment horizontal="left" vertical="center"/>
    </xf>
    <xf numFmtId="0" fontId="20" fillId="5" borderId="22" xfId="0" applyFont="1" applyFill="1" applyBorder="1" applyAlignment="1">
      <alignment horizontal="left" vertical="center"/>
    </xf>
    <xf numFmtId="178" fontId="20" fillId="5" borderId="12" xfId="0" applyNumberFormat="1" applyFont="1" applyFill="1" applyBorder="1" applyAlignment="1" applyProtection="1">
      <alignment vertical="center"/>
      <protection locked="0"/>
    </xf>
    <xf numFmtId="179" fontId="20" fillId="5" borderId="12" xfId="0" applyNumberFormat="1" applyFont="1" applyFill="1" applyBorder="1" applyAlignment="1" applyProtection="1">
      <alignment vertical="center"/>
      <protection locked="0"/>
    </xf>
    <xf numFmtId="0" fontId="20" fillId="5" borderId="12" xfId="0" applyFont="1" applyFill="1" applyBorder="1" applyAlignment="1" applyProtection="1">
      <alignment horizontal="right" vertical="center"/>
      <protection locked="0"/>
    </xf>
    <xf numFmtId="14" fontId="20" fillId="5" borderId="12" xfId="0" applyNumberFormat="1" applyFont="1" applyFill="1" applyBorder="1" applyAlignment="1" applyProtection="1">
      <alignment vertical="center"/>
      <protection locked="0"/>
    </xf>
    <xf numFmtId="10" fontId="20" fillId="5" borderId="12" xfId="3" applyNumberFormat="1" applyFont="1" applyFill="1" applyBorder="1" applyAlignment="1" applyProtection="1">
      <alignment vertical="center"/>
      <protection locked="0"/>
    </xf>
    <xf numFmtId="0" fontId="32" fillId="2" borderId="0" xfId="0" applyFont="1" applyFill="1" applyAlignment="1">
      <alignment horizontal="right"/>
    </xf>
    <xf numFmtId="179" fontId="21" fillId="6" borderId="19" xfId="1" applyNumberFormat="1" applyFont="1" applyFill="1" applyBorder="1" applyAlignment="1" applyProtection="1">
      <alignment horizontal="center" vertical="center" wrapText="1"/>
      <protection hidden="1"/>
    </xf>
    <xf numFmtId="169" fontId="33" fillId="6" borderId="12" xfId="0" applyNumberFormat="1" applyFont="1" applyFill="1" applyBorder="1" applyAlignment="1" applyProtection="1">
      <alignment horizontal="center" vertical="center"/>
      <protection hidden="1"/>
    </xf>
    <xf numFmtId="175" fontId="34" fillId="2" borderId="0" xfId="1" applyNumberFormat="1" applyFont="1" applyFill="1" applyBorder="1" applyProtection="1"/>
    <xf numFmtId="0" fontId="35" fillId="2" borderId="0" xfId="0" applyFont="1" applyFill="1" applyAlignment="1">
      <alignment vertical="center"/>
    </xf>
    <xf numFmtId="0" fontId="35" fillId="2" borderId="0" xfId="0" applyFont="1" applyFill="1" applyAlignment="1">
      <alignment horizontal="center" vertical="center"/>
    </xf>
    <xf numFmtId="0" fontId="36" fillId="2" borderId="0" xfId="0" applyFont="1" applyFill="1" applyProtection="1">
      <protection hidden="1"/>
    </xf>
    <xf numFmtId="0" fontId="37" fillId="2" borderId="0" xfId="0" applyFont="1" applyFill="1" applyProtection="1">
      <protection hidden="1"/>
    </xf>
    <xf numFmtId="175" fontId="37" fillId="2" borderId="0" xfId="1" applyNumberFormat="1" applyFont="1" applyFill="1" applyBorder="1" applyProtection="1">
      <protection hidden="1"/>
    </xf>
    <xf numFmtId="0" fontId="38" fillId="2" borderId="0" xfId="0" applyFont="1" applyFill="1" applyProtection="1">
      <protection hidden="1"/>
    </xf>
    <xf numFmtId="180" fontId="21" fillId="6" borderId="17" xfId="0" applyNumberFormat="1" applyFont="1" applyFill="1" applyBorder="1" applyAlignment="1" applyProtection="1">
      <alignment horizontal="center" vertical="center" wrapText="1"/>
      <protection hidden="1"/>
    </xf>
    <xf numFmtId="167" fontId="21" fillId="6" borderId="12" xfId="2" applyFont="1" applyFill="1" applyBorder="1" applyAlignment="1" applyProtection="1">
      <alignment horizontal="center" vertical="center"/>
      <protection hidden="1"/>
    </xf>
    <xf numFmtId="0" fontId="34" fillId="2" borderId="0" xfId="0" applyFont="1" applyFill="1" applyProtection="1">
      <protection hidden="1"/>
    </xf>
    <xf numFmtId="0" fontId="0" fillId="0" borderId="1" xfId="0" applyBorder="1"/>
    <xf numFmtId="0" fontId="0" fillId="0" borderId="2" xfId="0" applyBorder="1"/>
    <xf numFmtId="9" fontId="0" fillId="0" borderId="2" xfId="3" applyFont="1" applyBorder="1"/>
    <xf numFmtId="0" fontId="0" fillId="0" borderId="3" xfId="0" applyBorder="1"/>
    <xf numFmtId="172" fontId="0" fillId="0" borderId="4" xfId="0" applyNumberFormat="1" applyBorder="1"/>
    <xf numFmtId="168" fontId="0" fillId="0" borderId="0" xfId="3" applyNumberFormat="1" applyFont="1" applyBorder="1"/>
    <xf numFmtId="0" fontId="0" fillId="0" borderId="5" xfId="0" applyBorder="1"/>
    <xf numFmtId="172" fontId="0" fillId="0" borderId="6" xfId="0" applyNumberFormat="1" applyBorder="1"/>
    <xf numFmtId="0" fontId="2" fillId="0" borderId="7" xfId="0" applyFont="1" applyBorder="1" applyAlignment="1">
      <alignment horizontal="center"/>
    </xf>
    <xf numFmtId="168" fontId="0" fillId="0" borderId="7" xfId="3" applyNumberFormat="1" applyFont="1" applyBorder="1"/>
    <xf numFmtId="0" fontId="0" fillId="0" borderId="8" xfId="0" applyBorder="1"/>
    <xf numFmtId="172" fontId="21" fillId="6" borderId="12" xfId="0" applyNumberFormat="1" applyFont="1" applyFill="1" applyBorder="1" applyAlignment="1" applyProtection="1">
      <alignment horizontal="center" vertical="center" wrapText="1"/>
      <protection hidden="1"/>
    </xf>
    <xf numFmtId="0" fontId="6" fillId="0" borderId="0" xfId="0" applyFont="1"/>
    <xf numFmtId="3" fontId="6" fillId="0" borderId="0" xfId="0" applyNumberFormat="1" applyFont="1"/>
    <xf numFmtId="0" fontId="35" fillId="2" borderId="0" xfId="0" applyFont="1" applyFill="1" applyAlignment="1" applyProtection="1">
      <alignment horizontal="center" vertical="center"/>
      <protection hidden="1"/>
    </xf>
    <xf numFmtId="0" fontId="23" fillId="2" borderId="17" xfId="0" applyFont="1" applyFill="1" applyBorder="1" applyAlignment="1">
      <alignment horizontal="center" vertical="center" wrapText="1"/>
    </xf>
    <xf numFmtId="0" fontId="23" fillId="2" borderId="0" xfId="0" applyFont="1" applyFill="1" applyAlignment="1">
      <alignment horizontal="right" vertical="center" wrapText="1"/>
    </xf>
    <xf numFmtId="171" fontId="21" fillId="6" borderId="14" xfId="2" applyNumberFormat="1" applyFont="1" applyFill="1" applyBorder="1" applyAlignment="1" applyProtection="1">
      <protection locked="0"/>
    </xf>
    <xf numFmtId="167" fontId="21" fillId="6" borderId="12" xfId="2" applyFont="1" applyFill="1" applyBorder="1" applyAlignment="1" applyProtection="1">
      <alignment horizontal="center" vertical="center"/>
      <protection locked="0"/>
    </xf>
    <xf numFmtId="171" fontId="21" fillId="6" borderId="0" xfId="2" applyNumberFormat="1" applyFont="1" applyFill="1" applyBorder="1" applyAlignment="1" applyProtection="1"/>
    <xf numFmtId="3" fontId="42" fillId="0" borderId="0" xfId="0" applyNumberFormat="1" applyFont="1"/>
    <xf numFmtId="4" fontId="42" fillId="0" borderId="0" xfId="0" applyNumberFormat="1" applyFont="1"/>
    <xf numFmtId="0" fontId="39" fillId="2" borderId="0" xfId="0" applyFont="1" applyFill="1" applyAlignment="1">
      <alignment horizontal="left" wrapText="1"/>
    </xf>
    <xf numFmtId="0" fontId="39" fillId="2" borderId="7" xfId="0" applyFont="1" applyFill="1" applyBorder="1" applyAlignment="1">
      <alignment horizontal="left" wrapText="1"/>
    </xf>
    <xf numFmtId="0" fontId="37" fillId="2" borderId="0" xfId="0" applyFont="1" applyFill="1" applyAlignment="1" applyProtection="1">
      <alignment horizontal="left" wrapText="1"/>
      <protection hidden="1"/>
    </xf>
    <xf numFmtId="0" fontId="37" fillId="2" borderId="0" xfId="0" applyFont="1" applyFill="1" applyAlignment="1" applyProtection="1">
      <alignment horizontal="left"/>
      <protection hidden="1"/>
    </xf>
    <xf numFmtId="0" fontId="37" fillId="2" borderId="0" xfId="0" applyFont="1" applyFill="1" applyAlignment="1" applyProtection="1">
      <alignment horizontal="justify" wrapText="1"/>
      <protection hidden="1"/>
    </xf>
    <xf numFmtId="0" fontId="39" fillId="0" borderId="0" xfId="0" applyFont="1" applyAlignment="1">
      <alignment horizontal="left" wrapText="1"/>
    </xf>
    <xf numFmtId="0" fontId="20" fillId="5" borderId="21" xfId="0" applyFont="1" applyFill="1" applyBorder="1" applyAlignment="1">
      <alignment horizontal="center" vertical="center"/>
    </xf>
    <xf numFmtId="0" fontId="20" fillId="5" borderId="18" xfId="0" applyFont="1" applyFill="1" applyBorder="1" applyAlignment="1">
      <alignment horizontal="center" vertical="center"/>
    </xf>
    <xf numFmtId="0" fontId="20" fillId="5" borderId="22" xfId="0" applyFont="1" applyFill="1" applyBorder="1" applyAlignment="1">
      <alignment horizontal="center" vertical="center"/>
    </xf>
    <xf numFmtId="0" fontId="24" fillId="2" borderId="0" xfId="0" applyFont="1" applyFill="1" applyAlignment="1">
      <alignment horizontal="left" vertical="center" wrapText="1"/>
    </xf>
    <xf numFmtId="180" fontId="23" fillId="2" borderId="9" xfId="0" applyNumberFormat="1" applyFont="1" applyFill="1" applyBorder="1" applyAlignment="1" applyProtection="1">
      <alignment horizontal="center" vertical="center" wrapText="1"/>
      <protection hidden="1"/>
    </xf>
    <xf numFmtId="180" fontId="23" fillId="2" borderId="19" xfId="0" applyNumberFormat="1" applyFont="1" applyFill="1" applyBorder="1" applyAlignment="1" applyProtection="1">
      <alignment horizontal="center" vertical="center" wrapText="1"/>
      <protection hidden="1"/>
    </xf>
    <xf numFmtId="0" fontId="23" fillId="2" borderId="13" xfId="0" applyFont="1" applyFill="1" applyBorder="1" applyAlignment="1">
      <alignment horizontal="center" vertical="center" wrapText="1"/>
    </xf>
    <xf numFmtId="0" fontId="23" fillId="2" borderId="14" xfId="0" applyFont="1" applyFill="1" applyBorder="1" applyAlignment="1">
      <alignment horizontal="center" vertical="center" wrapText="1"/>
    </xf>
    <xf numFmtId="0" fontId="23" fillId="2" borderId="19" xfId="0" applyFont="1" applyFill="1" applyBorder="1" applyAlignment="1">
      <alignment horizontal="center" vertical="center" wrapText="1"/>
    </xf>
    <xf numFmtId="0" fontId="23" fillId="2" borderId="17" xfId="0" applyFont="1" applyFill="1" applyBorder="1" applyAlignment="1">
      <alignment horizontal="center" vertical="center" wrapText="1"/>
    </xf>
    <xf numFmtId="0" fontId="23" fillId="2" borderId="23" xfId="0" applyFont="1" applyFill="1" applyBorder="1" applyAlignment="1">
      <alignment horizontal="center" vertical="center" wrapText="1"/>
    </xf>
    <xf numFmtId="0" fontId="40" fillId="0" borderId="4" xfId="0" applyFont="1" applyBorder="1" applyAlignment="1">
      <alignment horizontal="right"/>
    </xf>
    <xf numFmtId="0" fontId="40" fillId="0" borderId="0" xfId="0" applyFont="1" applyAlignment="1">
      <alignment horizontal="right"/>
    </xf>
    <xf numFmtId="17" fontId="31" fillId="2" borderId="0" xfId="0" applyNumberFormat="1" applyFont="1" applyFill="1" applyAlignment="1">
      <alignment horizontal="right"/>
    </xf>
    <xf numFmtId="0" fontId="31" fillId="2" borderId="0" xfId="0" applyFont="1" applyFill="1" applyAlignment="1">
      <alignment horizontal="right"/>
    </xf>
    <xf numFmtId="0" fontId="35" fillId="2" borderId="0" xfId="0" applyFont="1" applyFill="1" applyAlignment="1" applyProtection="1">
      <alignment horizontal="center" vertical="center"/>
      <protection hidden="1"/>
    </xf>
    <xf numFmtId="0" fontId="20" fillId="2" borderId="0" xfId="0" applyFont="1" applyFill="1" applyAlignment="1">
      <alignment horizontal="right" vertical="center"/>
    </xf>
    <xf numFmtId="0" fontId="39" fillId="2" borderId="0" xfId="0" applyFont="1" applyFill="1" applyAlignment="1">
      <alignment horizontal="justify" vertical="center" wrapText="1"/>
    </xf>
    <xf numFmtId="0" fontId="34" fillId="0" borderId="0" xfId="0" applyFont="1" applyAlignment="1">
      <alignment horizontal="left" wrapText="1"/>
    </xf>
    <xf numFmtId="0" fontId="34" fillId="0" borderId="5" xfId="0" applyFont="1" applyBorder="1" applyAlignment="1">
      <alignment horizontal="left" wrapText="1"/>
    </xf>
    <xf numFmtId="170" fontId="20" fillId="5" borderId="21" xfId="0" applyNumberFormat="1" applyFont="1" applyFill="1" applyBorder="1" applyAlignment="1">
      <alignment horizontal="center"/>
    </xf>
    <xf numFmtId="170" fontId="20" fillId="5" borderId="18" xfId="0" applyNumberFormat="1" applyFont="1" applyFill="1" applyBorder="1" applyAlignment="1">
      <alignment horizontal="center"/>
    </xf>
    <xf numFmtId="170" fontId="20" fillId="5" borderId="22" xfId="0" applyNumberFormat="1" applyFont="1" applyFill="1" applyBorder="1" applyAlignment="1">
      <alignment horizontal="center"/>
    </xf>
    <xf numFmtId="0" fontId="23" fillId="2" borderId="0" xfId="0" applyFont="1" applyFill="1" applyAlignment="1">
      <alignment horizontal="right" vertical="center" wrapText="1"/>
    </xf>
    <xf numFmtId="0" fontId="37" fillId="2" borderId="0" xfId="0" applyFont="1" applyFill="1" applyAlignment="1" applyProtection="1">
      <alignment horizontal="justify"/>
      <protection hidden="1"/>
    </xf>
    <xf numFmtId="0" fontId="34" fillId="0" borderId="0" xfId="0" applyFont="1" applyAlignment="1">
      <alignment horizontal="left" vertical="center" wrapText="1"/>
    </xf>
    <xf numFmtId="0" fontId="34" fillId="0" borderId="5" xfId="0" applyFont="1" applyBorder="1" applyAlignment="1">
      <alignment horizontal="left" vertical="center" wrapText="1"/>
    </xf>
    <xf numFmtId="0" fontId="39" fillId="2" borderId="0" xfId="0" applyFont="1" applyFill="1" applyAlignment="1">
      <alignment horizontal="justify" wrapText="1"/>
    </xf>
    <xf numFmtId="0" fontId="0" fillId="2" borderId="20" xfId="0" applyFill="1" applyBorder="1" applyAlignment="1">
      <alignment horizontal="center"/>
    </xf>
    <xf numFmtId="0" fontId="0" fillId="2" borderId="0" xfId="0" applyFill="1" applyAlignment="1">
      <alignment horizontal="left"/>
    </xf>
    <xf numFmtId="14" fontId="0" fillId="2" borderId="20" xfId="0" applyNumberFormat="1" applyFill="1" applyBorder="1" applyAlignment="1">
      <alignment horizontal="center"/>
    </xf>
  </cellXfs>
  <cellStyles count="4">
    <cellStyle name="Millares" xfId="1" builtinId="3"/>
    <cellStyle name="Moneda" xfId="2" builtinId="4"/>
    <cellStyle name="Normal" xfId="0" builtinId="0"/>
    <cellStyle name="Porcentaje" xfId="3" builtinId="5"/>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508000</xdr:colOff>
          <xdr:row>14</xdr:row>
          <xdr:rowOff>25400</xdr:rowOff>
        </xdr:from>
        <xdr:to>
          <xdr:col>3</xdr:col>
          <xdr:colOff>1409700</xdr:colOff>
          <xdr:row>18</xdr:row>
          <xdr:rowOff>25400</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_tradnl" sz="1200" b="0" i="0" u="none" strike="noStrike" baseline="0">
                  <a:solidFill>
                    <a:srgbClr val="000000"/>
                  </a:solidFill>
                  <a:latin typeface="Arial" pitchFamily="2" charset="0"/>
                  <a:cs typeface="Arial" pitchFamily="2" charset="0"/>
                </a:rPr>
                <a:t>APV-A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1600200</xdr:colOff>
          <xdr:row>13</xdr:row>
          <xdr:rowOff>139700</xdr:rowOff>
        </xdr:from>
        <xdr:to>
          <xdr:col>7</xdr:col>
          <xdr:colOff>63500</xdr:colOff>
          <xdr:row>18</xdr:row>
          <xdr:rowOff>25400</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_tradnl" sz="1200" b="0" i="0" u="none" strike="noStrike" baseline="0">
                  <a:solidFill>
                    <a:srgbClr val="000000"/>
                  </a:solidFill>
                  <a:latin typeface="Arial" pitchFamily="2" charset="0"/>
                  <a:cs typeface="Arial" pitchFamily="2" charset="0"/>
                </a:rPr>
                <a:t>APV-B</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7</xdr:col>
      <xdr:colOff>9525</xdr:colOff>
      <xdr:row>0</xdr:row>
      <xdr:rowOff>104775</xdr:rowOff>
    </xdr:from>
    <xdr:to>
      <xdr:col>7</xdr:col>
      <xdr:colOff>636270</xdr:colOff>
      <xdr:row>3</xdr:row>
      <xdr:rowOff>179070</xdr:rowOff>
    </xdr:to>
    <xdr:pic macro="[0]!apva">
      <xdr:nvPicPr>
        <xdr:cNvPr id="2425" name="Picture 2">
          <a:extLst>
            <a:ext uri="{FF2B5EF4-FFF2-40B4-BE49-F238E27FC236}">
              <a16:creationId xmlns:a16="http://schemas.microsoft.com/office/drawing/2014/main" id="{00000000-0008-0000-0100-00007909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981325" y="104775"/>
          <a:ext cx="619125" cy="752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2</xdr:col>
      <xdr:colOff>9525</xdr:colOff>
      <xdr:row>6</xdr:row>
      <xdr:rowOff>28575</xdr:rowOff>
    </xdr:from>
    <xdr:to>
      <xdr:col>5</xdr:col>
      <xdr:colOff>882015</xdr:colOff>
      <xdr:row>8</xdr:row>
      <xdr:rowOff>38100</xdr:rowOff>
    </xdr:to>
    <xdr:pic>
      <xdr:nvPicPr>
        <xdr:cNvPr id="2426" name="Imagen 3">
          <a:extLst>
            <a:ext uri="{FF2B5EF4-FFF2-40B4-BE49-F238E27FC236}">
              <a16:creationId xmlns:a16="http://schemas.microsoft.com/office/drawing/2014/main" id="{00000000-0008-0000-0100-00007A09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14325" y="1095375"/>
          <a:ext cx="1047750" cy="390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5</xdr:col>
      <xdr:colOff>76200</xdr:colOff>
      <xdr:row>0</xdr:row>
      <xdr:rowOff>76200</xdr:rowOff>
    </xdr:from>
    <xdr:to>
      <xdr:col>5</xdr:col>
      <xdr:colOff>693420</xdr:colOff>
      <xdr:row>3</xdr:row>
      <xdr:rowOff>144780</xdr:rowOff>
    </xdr:to>
    <xdr:pic macro="[0]!apvb">
      <xdr:nvPicPr>
        <xdr:cNvPr id="1599" name="Picture 2">
          <a:extLst>
            <a:ext uri="{FF2B5EF4-FFF2-40B4-BE49-F238E27FC236}">
              <a16:creationId xmlns:a16="http://schemas.microsoft.com/office/drawing/2014/main" id="{00000000-0008-0000-0200-00003F06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981325" y="76200"/>
          <a:ext cx="619125"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1</xdr:col>
      <xdr:colOff>85725</xdr:colOff>
      <xdr:row>6</xdr:row>
      <xdr:rowOff>19050</xdr:rowOff>
    </xdr:from>
    <xdr:to>
      <xdr:col>4</xdr:col>
      <xdr:colOff>30480</xdr:colOff>
      <xdr:row>8</xdr:row>
      <xdr:rowOff>60960</xdr:rowOff>
    </xdr:to>
    <xdr:pic>
      <xdr:nvPicPr>
        <xdr:cNvPr id="1600" name="Imagen 3">
          <a:extLst>
            <a:ext uri="{FF2B5EF4-FFF2-40B4-BE49-F238E27FC236}">
              <a16:creationId xmlns:a16="http://schemas.microsoft.com/office/drawing/2014/main" id="{00000000-0008-0000-0200-00004006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66700" y="1028700"/>
          <a:ext cx="1419225" cy="419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57150</xdr:colOff>
      <xdr:row>65</xdr:row>
      <xdr:rowOff>76200</xdr:rowOff>
    </xdr:from>
    <xdr:to>
      <xdr:col>4</xdr:col>
      <xdr:colOff>182880</xdr:colOff>
      <xdr:row>68</xdr:row>
      <xdr:rowOff>76200</xdr:rowOff>
    </xdr:to>
    <xdr:pic>
      <xdr:nvPicPr>
        <xdr:cNvPr id="1601" name="Imagen 3">
          <a:extLst>
            <a:ext uri="{FF2B5EF4-FFF2-40B4-BE49-F238E27FC236}">
              <a16:creationId xmlns:a16="http://schemas.microsoft.com/office/drawing/2014/main" id="{00000000-0008-0000-0200-00004106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38125" y="12982575"/>
          <a:ext cx="1600200" cy="485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Principal color">
  <a:themeElements>
    <a:clrScheme name="Principal color">
      <a:dk1>
        <a:sysClr val="windowText" lastClr="000000"/>
      </a:dk1>
      <a:lt1>
        <a:sysClr val="window" lastClr="FFFFFF"/>
      </a:lt1>
      <a:dk2>
        <a:srgbClr val="0091DA"/>
      </a:dk2>
      <a:lt2>
        <a:srgbClr val="19B9D7"/>
      </a:lt2>
      <a:accent1>
        <a:srgbClr val="4B4687"/>
      </a:accent1>
      <a:accent2>
        <a:srgbClr val="FF841C"/>
      </a:accent2>
      <a:accent3>
        <a:srgbClr val="FFD20F"/>
      </a:accent3>
      <a:accent4>
        <a:srgbClr val="00C19F"/>
      </a:accent4>
      <a:accent5>
        <a:srgbClr val="70478D"/>
      </a:accent5>
      <a:accent6>
        <a:srgbClr val="666666"/>
      </a:accent6>
      <a:hlink>
        <a:srgbClr val="0563C1"/>
      </a:hlink>
      <a:folHlink>
        <a:srgbClr val="0563C1"/>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customProperty" Target="../customProperty2.bin"/><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customProperty" Target="../customProperty3.bin"/><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customProperty" Target="../customProperty4.bin"/><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customProperty" Target="../customProperty5.bin"/><Relationship Id="rId1" Type="http://schemas.openxmlformats.org/officeDocument/2006/relationships/printerSettings" Target="../printerSettings/printerSettings5.bin"/><Relationship Id="rId4" Type="http://schemas.openxmlformats.org/officeDocument/2006/relationships/comments" Target="../comments1.xml"/></Relationships>
</file>

<file path=xl/worksheets/_rels/sheet6.xml.rels><?xml version="1.0" encoding="UTF-8" standalone="yes"?>
<Relationships xmlns="http://schemas.openxmlformats.org/package/2006/relationships"><Relationship Id="rId2" Type="http://schemas.openxmlformats.org/officeDocument/2006/relationships/customProperty" Target="../customProperty6.bin"/><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ustomProperty" Target="../customProperty7.bin"/><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B1:P23"/>
  <sheetViews>
    <sheetView workbookViewId="0">
      <selection activeCell="H34" sqref="H34"/>
    </sheetView>
  </sheetViews>
  <sheetFormatPr baseColWidth="10" defaultColWidth="11.33203125" defaultRowHeight="13" x14ac:dyDescent="0.15"/>
  <cols>
    <col min="1" max="1" width="11.33203125" style="114"/>
    <col min="2" max="3" width="0.6640625" style="114" customWidth="1"/>
    <col min="4" max="4" width="43.1640625" style="114" bestFit="1" customWidth="1"/>
    <col min="5" max="5" width="12.83203125" style="114" bestFit="1" customWidth="1"/>
    <col min="6" max="7" width="0.83203125" style="114" customWidth="1"/>
    <col min="8" max="8" width="11.33203125" style="114"/>
    <col min="9" max="9" width="12.83203125" style="114" bestFit="1" customWidth="1"/>
    <col min="10" max="16384" width="11.33203125" style="114"/>
  </cols>
  <sheetData>
    <row r="1" spans="2:16" x14ac:dyDescent="0.15">
      <c r="B1" s="145" t="s">
        <v>0</v>
      </c>
      <c r="C1" s="146"/>
      <c r="D1" s="146"/>
      <c r="E1" s="146"/>
      <c r="F1" s="146"/>
      <c r="G1" s="147"/>
      <c r="I1" s="128"/>
      <c r="K1" s="128"/>
      <c r="L1" s="128"/>
      <c r="M1" s="65" t="s">
        <v>1</v>
      </c>
      <c r="N1" s="128"/>
      <c r="P1" s="128"/>
    </row>
    <row r="2" spans="2:16" x14ac:dyDescent="0.15">
      <c r="I2" s="128"/>
      <c r="K2" s="128"/>
      <c r="L2" s="128"/>
      <c r="M2" s="65" t="s">
        <v>2</v>
      </c>
      <c r="N2" s="128"/>
      <c r="P2" s="128"/>
    </row>
    <row r="3" spans="2:16" ht="14" thickBot="1" x14ac:dyDescent="0.2">
      <c r="H3" s="129"/>
      <c r="I3" s="130"/>
      <c r="J3" s="130"/>
      <c r="K3" s="130"/>
      <c r="L3" s="130"/>
      <c r="M3" s="130"/>
      <c r="N3" s="130"/>
      <c r="O3" s="130"/>
      <c r="P3" s="128"/>
    </row>
    <row r="4" spans="2:16" x14ac:dyDescent="0.15">
      <c r="B4" s="115"/>
      <c r="C4" s="116"/>
      <c r="D4" s="116"/>
      <c r="E4" s="116"/>
      <c r="F4" s="116"/>
      <c r="G4" s="117"/>
      <c r="H4" s="129"/>
      <c r="I4" s="105"/>
      <c r="J4" s="105"/>
      <c r="K4" s="105"/>
      <c r="L4" s="105"/>
      <c r="M4" s="105"/>
      <c r="N4" s="105"/>
      <c r="O4" s="105"/>
      <c r="P4" s="1"/>
    </row>
    <row r="5" spans="2:16" ht="16" x14ac:dyDescent="0.2">
      <c r="B5" s="118"/>
      <c r="D5" s="153" t="s">
        <v>3</v>
      </c>
      <c r="E5" s="148">
        <v>2500000</v>
      </c>
      <c r="G5" s="119"/>
      <c r="H5" s="129"/>
      <c r="I5" s="131">
        <f>IF(E5/'APV-A'!K9&lt;70.3,0.1*E5,70.3*0.1*'APV-A'!K9)</f>
        <v>250000</v>
      </c>
      <c r="J5" s="132" t="s">
        <v>4</v>
      </c>
      <c r="K5" s="133">
        <v>0.02</v>
      </c>
      <c r="L5" s="105"/>
      <c r="M5" s="105"/>
      <c r="N5" s="105"/>
      <c r="O5" s="105"/>
      <c r="P5" s="1"/>
    </row>
    <row r="6" spans="2:16" ht="16" x14ac:dyDescent="0.2">
      <c r="B6" s="118"/>
      <c r="D6" s="153" t="s">
        <v>5</v>
      </c>
      <c r="E6" s="149">
        <v>5</v>
      </c>
      <c r="G6" s="119"/>
      <c r="H6" s="129"/>
      <c r="I6" s="105"/>
      <c r="J6" s="132" t="s">
        <v>6</v>
      </c>
      <c r="K6" s="133">
        <f>K5+0.005</f>
        <v>2.5000000000000001E-2</v>
      </c>
      <c r="L6" s="105"/>
      <c r="M6" s="105"/>
      <c r="N6" s="105"/>
      <c r="O6" s="105"/>
      <c r="P6" s="1"/>
    </row>
    <row r="7" spans="2:16" ht="16" x14ac:dyDescent="0.2">
      <c r="B7" s="118"/>
      <c r="D7" s="153" t="s">
        <v>7</v>
      </c>
      <c r="E7" s="150" t="s">
        <v>6</v>
      </c>
      <c r="G7" s="119"/>
      <c r="H7" s="129"/>
      <c r="I7" s="105"/>
      <c r="J7" s="132"/>
      <c r="K7" s="133">
        <f t="shared" ref="K7:K16" si="0">K6+0.005</f>
        <v>3.0000000000000002E-2</v>
      </c>
      <c r="L7" s="105"/>
      <c r="M7" s="105"/>
      <c r="N7" s="105"/>
      <c r="O7" s="105"/>
      <c r="P7" s="1"/>
    </row>
    <row r="8" spans="2:16" ht="16" x14ac:dyDescent="0.2">
      <c r="B8" s="118"/>
      <c r="D8" s="153" t="s">
        <v>8</v>
      </c>
      <c r="E8" s="151"/>
      <c r="G8" s="119"/>
      <c r="H8" s="129"/>
      <c r="I8" s="105"/>
      <c r="J8" s="132"/>
      <c r="K8" s="133">
        <f t="shared" si="0"/>
        <v>3.5000000000000003E-2</v>
      </c>
      <c r="L8" s="105"/>
      <c r="M8" s="105"/>
      <c r="N8" s="105"/>
      <c r="O8" s="105"/>
      <c r="P8" s="1"/>
    </row>
    <row r="9" spans="2:16" x14ac:dyDescent="0.15">
      <c r="B9" s="118"/>
      <c r="G9" s="119"/>
      <c r="H9" s="129"/>
      <c r="I9" s="105"/>
      <c r="J9" s="132"/>
      <c r="K9" s="133">
        <f t="shared" si="0"/>
        <v>0.04</v>
      </c>
      <c r="L9" s="105"/>
      <c r="M9" s="105"/>
      <c r="N9" s="105"/>
      <c r="O9" s="105"/>
      <c r="P9" s="1"/>
    </row>
    <row r="10" spans="2:16" ht="16" customHeight="1" x14ac:dyDescent="0.15">
      <c r="B10" s="118"/>
      <c r="C10" s="182"/>
      <c r="D10" s="182" t="s">
        <v>9</v>
      </c>
      <c r="E10" s="152">
        <v>2.5000000000000001E-2</v>
      </c>
      <c r="G10" s="119"/>
      <c r="H10" s="129"/>
      <c r="I10" s="105"/>
      <c r="J10" s="132"/>
      <c r="K10" s="133">
        <f t="shared" si="0"/>
        <v>4.4999999999999998E-2</v>
      </c>
      <c r="L10" s="105"/>
      <c r="M10" s="105"/>
      <c r="N10" s="105"/>
      <c r="O10" s="105"/>
      <c r="P10" s="1"/>
    </row>
    <row r="11" spans="2:16" ht="13" customHeight="1" x14ac:dyDescent="0.15">
      <c r="B11" s="118"/>
      <c r="C11" s="182"/>
      <c r="D11" s="182"/>
      <c r="E11" s="1"/>
      <c r="G11" s="119"/>
      <c r="H11" s="129"/>
      <c r="I11" s="105"/>
      <c r="J11" s="132"/>
      <c r="K11" s="133">
        <f t="shared" si="0"/>
        <v>4.9999999999999996E-2</v>
      </c>
      <c r="L11" s="105"/>
      <c r="M11" s="105"/>
      <c r="N11" s="105"/>
      <c r="O11" s="105"/>
      <c r="P11" s="1"/>
    </row>
    <row r="12" spans="2:16" ht="14" thickBot="1" x14ac:dyDescent="0.2">
      <c r="B12" s="120"/>
      <c r="C12" s="121"/>
      <c r="D12" s="121"/>
      <c r="E12" s="121"/>
      <c r="F12" s="121"/>
      <c r="G12" s="122"/>
      <c r="H12" s="129"/>
      <c r="I12" s="105"/>
      <c r="J12" s="132"/>
      <c r="K12" s="133">
        <f t="shared" si="0"/>
        <v>5.4999999999999993E-2</v>
      </c>
      <c r="L12" s="105"/>
      <c r="M12" s="105"/>
      <c r="N12" s="105"/>
      <c r="O12" s="105"/>
      <c r="P12" s="1"/>
    </row>
    <row r="13" spans="2:16" x14ac:dyDescent="0.15">
      <c r="H13" s="129"/>
      <c r="I13" s="105"/>
      <c r="J13" s="132"/>
      <c r="K13" s="133">
        <f>K12+0.005</f>
        <v>5.9999999999999991E-2</v>
      </c>
      <c r="L13" s="105"/>
      <c r="M13" s="105"/>
      <c r="N13" s="105"/>
      <c r="O13" s="105"/>
      <c r="P13" s="1"/>
    </row>
    <row r="14" spans="2:16" x14ac:dyDescent="0.15">
      <c r="H14" s="129"/>
      <c r="I14" s="105"/>
      <c r="J14" s="132"/>
      <c r="K14" s="133">
        <f t="shared" si="0"/>
        <v>6.4999999999999988E-2</v>
      </c>
      <c r="L14" s="105"/>
      <c r="M14" s="105"/>
      <c r="N14" s="105"/>
      <c r="O14" s="105"/>
      <c r="P14" s="1"/>
    </row>
    <row r="15" spans="2:16" x14ac:dyDescent="0.15">
      <c r="H15" s="129"/>
      <c r="I15" s="105"/>
      <c r="J15" s="132"/>
      <c r="K15" s="133">
        <f t="shared" si="0"/>
        <v>6.9999999999999993E-2</v>
      </c>
      <c r="L15" s="105"/>
      <c r="M15" s="105"/>
      <c r="N15" s="105"/>
      <c r="O15" s="105"/>
      <c r="P15" s="1"/>
    </row>
    <row r="16" spans="2:16" x14ac:dyDescent="0.15">
      <c r="H16" s="129"/>
      <c r="I16" s="105"/>
      <c r="J16" s="132"/>
      <c r="K16" s="133">
        <f t="shared" si="0"/>
        <v>7.4999999999999997E-2</v>
      </c>
      <c r="L16" s="105"/>
      <c r="M16" s="105"/>
      <c r="N16" s="105"/>
      <c r="O16" s="105"/>
      <c r="P16" s="1"/>
    </row>
    <row r="17" spans="8:16" x14ac:dyDescent="0.15">
      <c r="H17" s="129"/>
      <c r="I17" s="105"/>
      <c r="J17" s="132"/>
      <c r="K17" s="133">
        <f>K16+0.005</f>
        <v>0.08</v>
      </c>
      <c r="L17" s="105"/>
      <c r="M17" s="105"/>
      <c r="N17" s="105"/>
      <c r="O17" s="105"/>
      <c r="P17" s="1"/>
    </row>
    <row r="18" spans="8:16" x14ac:dyDescent="0.15">
      <c r="H18" s="129"/>
      <c r="I18" s="105"/>
      <c r="J18" s="132"/>
      <c r="K18" s="133">
        <f>K17+0.005</f>
        <v>8.5000000000000006E-2</v>
      </c>
      <c r="L18" s="105"/>
      <c r="M18" s="105"/>
      <c r="N18" s="105"/>
      <c r="O18" s="105"/>
      <c r="P18" s="1"/>
    </row>
    <row r="19" spans="8:16" x14ac:dyDescent="0.15">
      <c r="H19" s="129"/>
      <c r="I19" s="105"/>
      <c r="J19" s="132"/>
      <c r="K19" s="133">
        <f>K18+0.005</f>
        <v>9.0000000000000011E-2</v>
      </c>
      <c r="L19" s="105"/>
      <c r="M19" s="105"/>
      <c r="N19" s="105"/>
      <c r="O19" s="105"/>
      <c r="P19" s="1"/>
    </row>
    <row r="20" spans="8:16" x14ac:dyDescent="0.15">
      <c r="H20" s="129"/>
      <c r="I20" s="129"/>
      <c r="J20" s="129"/>
      <c r="K20" s="129"/>
      <c r="L20" s="129"/>
      <c r="M20" s="129"/>
      <c r="N20" s="129"/>
      <c r="O20" s="129"/>
    </row>
    <row r="21" spans="8:16" x14ac:dyDescent="0.15">
      <c r="H21" s="129"/>
      <c r="I21" s="129"/>
      <c r="J21" s="129"/>
      <c r="K21" s="129"/>
      <c r="L21" s="129"/>
      <c r="M21" s="129"/>
      <c r="N21" s="129"/>
      <c r="O21" s="129"/>
    </row>
    <row r="22" spans="8:16" x14ac:dyDescent="0.15">
      <c r="H22" s="129"/>
      <c r="I22" s="129"/>
      <c r="J22" s="129"/>
      <c r="K22" s="129"/>
      <c r="L22" s="129"/>
      <c r="M22" s="129"/>
      <c r="N22" s="129"/>
      <c r="O22" s="129"/>
    </row>
    <row r="23" spans="8:16" x14ac:dyDescent="0.15">
      <c r="H23" s="129"/>
      <c r="I23" s="129"/>
      <c r="J23" s="129"/>
      <c r="K23" s="129"/>
      <c r="L23" s="129"/>
      <c r="M23" s="129"/>
      <c r="N23" s="129"/>
      <c r="O23" s="129"/>
    </row>
  </sheetData>
  <sheetProtection password="C709" sheet="1"/>
  <dataValidations count="2">
    <dataValidation type="list" allowBlank="1" showInputMessage="1" showErrorMessage="1" sqref="E10" xr:uid="{00000000-0002-0000-0000-000000000000}">
      <formula1>$K$5:$K$19</formula1>
    </dataValidation>
    <dataValidation type="list" allowBlank="1" showInputMessage="1" showErrorMessage="1" sqref="E7" xr:uid="{00000000-0002-0000-0000-000001000000}">
      <formula1>$J$5:$J$6</formula1>
    </dataValidation>
  </dataValidations>
  <pageMargins left="0.7" right="0.7" top="0.75" bottom="0.75" header="0.3" footer="0.3"/>
  <pageSetup orientation="portrait" verticalDpi="300" r:id="rId1"/>
  <headerFooter>
    <oddFooter>&amp;L&amp;1#&amp;"Calibri"&amp;9&amp;K737373Classification: Customer Confidential</oddFooter>
  </headerFooter>
  <customProperties>
    <customPr name="QAA_DRILLPATH_NODE_ID" r:id="rId2"/>
  </customProperties>
  <drawing r:id="rId3"/>
  <legacyDrawing r:id="rId4"/>
  <mc:AlternateContent xmlns:mc="http://schemas.openxmlformats.org/markup-compatibility/2006">
    <mc:Choice Requires="x14">
      <controls>
        <mc:AlternateContent xmlns:mc="http://schemas.openxmlformats.org/markup-compatibility/2006">
          <mc:Choice Requires="x14">
            <control shapeId="4099" r:id="rId5" name="Button 3">
              <controlPr defaultSize="0" print="0" autoFill="0" autoPict="0" macro="[0]!Macro2">
                <anchor moveWithCells="1" sizeWithCells="1">
                  <from>
                    <xdr:col>0</xdr:col>
                    <xdr:colOff>508000</xdr:colOff>
                    <xdr:row>14</xdr:row>
                    <xdr:rowOff>25400</xdr:rowOff>
                  </from>
                  <to>
                    <xdr:col>3</xdr:col>
                    <xdr:colOff>1409700</xdr:colOff>
                    <xdr:row>18</xdr:row>
                    <xdr:rowOff>25400</xdr:rowOff>
                  </to>
                </anchor>
              </controlPr>
            </control>
          </mc:Choice>
        </mc:AlternateContent>
        <mc:AlternateContent xmlns:mc="http://schemas.openxmlformats.org/markup-compatibility/2006">
          <mc:Choice Requires="x14">
            <control shapeId="4100" r:id="rId6" name="Button 4">
              <controlPr defaultSize="0" print="0" autoFill="0" autoPict="0" macro="[0]!Macro3">
                <anchor moveWithCells="1" sizeWithCells="1">
                  <from>
                    <xdr:col>3</xdr:col>
                    <xdr:colOff>1600200</xdr:colOff>
                    <xdr:row>13</xdr:row>
                    <xdr:rowOff>139700</xdr:rowOff>
                  </from>
                  <to>
                    <xdr:col>7</xdr:col>
                    <xdr:colOff>63500</xdr:colOff>
                    <xdr:row>18</xdr:row>
                    <xdr:rowOff>25400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B1:AD109"/>
  <sheetViews>
    <sheetView zoomScale="110" zoomScaleNormal="100" workbookViewId="0">
      <selection activeCell="O13" sqref="O13"/>
    </sheetView>
  </sheetViews>
  <sheetFormatPr baseColWidth="10" defaultColWidth="11.33203125" defaultRowHeight="13" x14ac:dyDescent="0.15"/>
  <cols>
    <col min="1" max="1" width="3.6640625" style="1" customWidth="1"/>
    <col min="2" max="5" width="0.83203125" style="1" customWidth="1"/>
    <col min="6" max="11" width="18.6640625" style="1" customWidth="1"/>
    <col min="12" max="12" width="18.1640625" style="1" customWidth="1"/>
    <col min="13" max="13" width="3.6640625" style="1" customWidth="1"/>
    <col min="14" max="14" width="12.83203125" style="1" bestFit="1" customWidth="1"/>
    <col min="15" max="17" width="11.33203125" style="1"/>
    <col min="18" max="19" width="11.6640625" style="1" bestFit="1" customWidth="1"/>
    <col min="20" max="29" width="11.33203125" style="1"/>
    <col min="30" max="30" width="11.33203125" style="17"/>
    <col min="31" max="16384" width="11.33203125" style="1"/>
  </cols>
  <sheetData>
    <row r="1" spans="2:30" ht="18" customHeight="1" x14ac:dyDescent="0.15">
      <c r="B1" s="194" t="s">
        <v>0</v>
      </c>
      <c r="C1" s="195"/>
      <c r="D1" s="195"/>
      <c r="E1" s="195"/>
      <c r="F1" s="195"/>
      <c r="G1" s="196"/>
      <c r="L1" s="63" t="s">
        <v>1</v>
      </c>
    </row>
    <row r="2" spans="2:30" ht="18" customHeight="1" x14ac:dyDescent="0.15">
      <c r="B2" s="64"/>
      <c r="C2" s="64"/>
      <c r="D2" s="64"/>
      <c r="E2" s="64"/>
      <c r="F2" s="64"/>
      <c r="G2" s="64"/>
      <c r="L2" s="65" t="s">
        <v>2</v>
      </c>
    </row>
    <row r="3" spans="2:30" ht="18" customHeight="1" x14ac:dyDescent="0.15">
      <c r="B3" s="64"/>
      <c r="C3" s="64"/>
      <c r="D3" s="64"/>
      <c r="E3" s="64"/>
      <c r="F3" s="64"/>
      <c r="G3" s="64"/>
      <c r="L3" s="65"/>
    </row>
    <row r="4" spans="2:30" ht="18" customHeight="1" x14ac:dyDescent="0.15">
      <c r="B4" s="64"/>
      <c r="C4" s="64"/>
      <c r="D4" s="64"/>
      <c r="E4" s="64"/>
      <c r="F4" s="64"/>
      <c r="G4" s="64"/>
      <c r="L4" s="63"/>
    </row>
    <row r="5" spans="2:30" ht="6" customHeight="1" thickBot="1" x14ac:dyDescent="0.2"/>
    <row r="6" spans="2:30" ht="6" customHeight="1" x14ac:dyDescent="0.15">
      <c r="B6" s="3"/>
      <c r="C6" s="4"/>
      <c r="D6" s="4"/>
      <c r="E6" s="4"/>
      <c r="F6" s="4"/>
      <c r="G6" s="4"/>
      <c r="H6" s="4"/>
      <c r="I6" s="4"/>
      <c r="J6" s="4"/>
      <c r="K6" s="4"/>
      <c r="L6" s="5"/>
    </row>
    <row r="7" spans="2:30" ht="18" customHeight="1" x14ac:dyDescent="0.2">
      <c r="B7" s="205" t="s">
        <v>10</v>
      </c>
      <c r="C7" s="206"/>
      <c r="D7" s="206"/>
      <c r="E7" s="206"/>
      <c r="F7" s="206"/>
      <c r="G7" s="206"/>
      <c r="H7" s="206"/>
      <c r="I7" s="206"/>
      <c r="K7" s="134"/>
      <c r="L7" s="7"/>
      <c r="P7" s="18" t="s">
        <v>4</v>
      </c>
    </row>
    <row r="8" spans="2:30" ht="12.25" customHeight="1" x14ac:dyDescent="0.2">
      <c r="B8" s="6"/>
      <c r="F8"/>
      <c r="G8" s="135"/>
      <c r="H8" s="135"/>
      <c r="I8" s="135"/>
      <c r="J8" s="207" t="s">
        <v>107</v>
      </c>
      <c r="K8" s="208"/>
      <c r="L8" s="7"/>
      <c r="P8" s="18" t="s">
        <v>6</v>
      </c>
      <c r="AD8" s="18" t="s">
        <v>11</v>
      </c>
    </row>
    <row r="9" spans="2:30" ht="16" customHeight="1" x14ac:dyDescent="0.2">
      <c r="B9" s="6"/>
      <c r="F9" s="28"/>
      <c r="G9" s="153" t="s">
        <v>7</v>
      </c>
      <c r="H9" s="126" t="str">
        <f>Antecedentes!E7</f>
        <v>F</v>
      </c>
      <c r="J9" s="47" t="s">
        <v>12</v>
      </c>
      <c r="K9" s="185">
        <f>IF(L9=UF!C3,UF!B3,UF!B4)</f>
        <v>39267.07</v>
      </c>
      <c r="L9" s="183" t="s">
        <v>105</v>
      </c>
      <c r="AD9" s="23">
        <v>0.03</v>
      </c>
    </row>
    <row r="10" spans="2:30" ht="6" customHeight="1" x14ac:dyDescent="0.2">
      <c r="B10" s="6"/>
      <c r="F10" s="26"/>
      <c r="G10" s="26"/>
      <c r="H10" s="26"/>
      <c r="I10" s="26"/>
      <c r="J10" s="26"/>
      <c r="K10" s="26"/>
      <c r="L10" s="7"/>
      <c r="AD10" s="23"/>
    </row>
    <row r="11" spans="2:30" ht="16" customHeight="1" x14ac:dyDescent="0.2">
      <c r="B11" s="6"/>
      <c r="F11" s="26"/>
      <c r="G11" s="26"/>
      <c r="I11" s="26"/>
      <c r="J11" s="51" t="s">
        <v>9</v>
      </c>
      <c r="K11" s="125">
        <f>Antecedentes!E10</f>
        <v>2.5000000000000001E-2</v>
      </c>
      <c r="L11" s="7"/>
      <c r="AD11" s="23"/>
    </row>
    <row r="12" spans="2:30" ht="12.25" customHeight="1" x14ac:dyDescent="0.2">
      <c r="B12" s="6"/>
      <c r="K12" s="29"/>
      <c r="L12" s="7"/>
      <c r="AD12" s="24">
        <v>3.5000000000000003E-2</v>
      </c>
    </row>
    <row r="13" spans="2:30" ht="35.25" customHeight="1" x14ac:dyDescent="0.2">
      <c r="B13" s="6"/>
      <c r="F13" s="203" t="s">
        <v>13</v>
      </c>
      <c r="G13" s="61" t="s">
        <v>14</v>
      </c>
      <c r="H13" s="60" t="s">
        <v>15</v>
      </c>
      <c r="I13" s="200" t="s">
        <v>16</v>
      </c>
      <c r="J13" s="203" t="s">
        <v>17</v>
      </c>
      <c r="K13" s="203" t="s">
        <v>17</v>
      </c>
      <c r="L13" s="7"/>
      <c r="AD13" s="19">
        <v>4.4999999999999998E-2</v>
      </c>
    </row>
    <row r="14" spans="2:30" ht="17.75" customHeight="1" x14ac:dyDescent="0.15">
      <c r="B14" s="6"/>
      <c r="F14" s="204"/>
      <c r="G14" s="198">
        <f>Antecedentes!E6</f>
        <v>5</v>
      </c>
      <c r="H14" s="62">
        <v>0.15</v>
      </c>
      <c r="I14" s="201"/>
      <c r="J14" s="204"/>
      <c r="K14" s="204"/>
      <c r="L14" s="7"/>
      <c r="AD14" s="19">
        <v>0.05</v>
      </c>
    </row>
    <row r="15" spans="2:30" ht="17.75" customHeight="1" x14ac:dyDescent="0.15">
      <c r="B15" s="6"/>
      <c r="F15" s="202"/>
      <c r="G15" s="199"/>
      <c r="H15" s="154">
        <f>MIN(G14*H14,(10*cot_oblg/12)/K9,6*utm/(12*uf))</f>
        <v>0.75</v>
      </c>
      <c r="I15" s="202"/>
      <c r="J15" s="202"/>
      <c r="K15" s="202"/>
      <c r="L15" s="7"/>
      <c r="AD15" s="19"/>
    </row>
    <row r="16" spans="2:30" ht="18" customHeight="1" x14ac:dyDescent="0.15">
      <c r="B16" s="6"/>
      <c r="F16" s="49" t="s">
        <v>18</v>
      </c>
      <c r="G16" s="56" t="s">
        <v>19</v>
      </c>
      <c r="H16" s="50" t="s">
        <v>19</v>
      </c>
      <c r="I16" s="49" t="s">
        <v>19</v>
      </c>
      <c r="J16" s="49" t="s">
        <v>19</v>
      </c>
      <c r="K16" s="59" t="s">
        <v>20</v>
      </c>
      <c r="L16" s="7"/>
      <c r="AD16" s="19"/>
    </row>
    <row r="17" spans="2:30" ht="17.25" customHeight="1" x14ac:dyDescent="0.15">
      <c r="B17" s="6"/>
      <c r="D17" s="18">
        <v>1</v>
      </c>
      <c r="F17" s="42">
        <v>1</v>
      </c>
      <c r="G17" s="66">
        <f t="shared" ref="G17:G56" si="0">FV($H$59,12*D17,-$G$14)</f>
        <v>60.68443488934976</v>
      </c>
      <c r="H17" s="66">
        <f>FV($K$11,D17,-12*$H$15)</f>
        <v>8.999999999999968</v>
      </c>
      <c r="I17" s="66">
        <f>H17+G17</f>
        <v>69.684434889349731</v>
      </c>
      <c r="J17" s="137">
        <f t="shared" ref="J17:J56" si="1">I17/(IF($H$9="M",CNU_H,CNU_M))</f>
        <v>0.27720755386009122</v>
      </c>
      <c r="K17" s="52">
        <f t="shared" ref="K17:K56" si="2">J17*$K$9</f>
        <v>10885.128421952972</v>
      </c>
      <c r="L17" s="7"/>
      <c r="AD17" s="19">
        <v>5.5E-2</v>
      </c>
    </row>
    <row r="18" spans="2:30" ht="17.25" customHeight="1" x14ac:dyDescent="0.15">
      <c r="B18" s="6"/>
      <c r="D18" s="18">
        <v>2</v>
      </c>
      <c r="F18" s="43">
        <v>2</v>
      </c>
      <c r="G18" s="67">
        <f t="shared" si="0"/>
        <v>122.88598065093305</v>
      </c>
      <c r="H18" s="67">
        <f t="shared" ref="H18:H56" si="3">FV($K$11,D18,-12*$H$15)</f>
        <v>18.224999999999973</v>
      </c>
      <c r="I18" s="67">
        <f t="shared" ref="I18:I56" si="4">H18+G18</f>
        <v>141.11098065093302</v>
      </c>
      <c r="J18" s="138">
        <f t="shared" si="1"/>
        <v>0.56134529656668397</v>
      </c>
      <c r="K18" s="53">
        <f t="shared" si="2"/>
        <v>22042.385054454739</v>
      </c>
      <c r="L18" s="7"/>
      <c r="M18" s="22"/>
      <c r="AD18" s="19">
        <v>0.06</v>
      </c>
    </row>
    <row r="19" spans="2:30" ht="17.25" customHeight="1" x14ac:dyDescent="0.15">
      <c r="B19" s="6"/>
      <c r="D19" s="18">
        <v>3</v>
      </c>
      <c r="F19" s="44">
        <v>3</v>
      </c>
      <c r="G19" s="68">
        <f t="shared" si="0"/>
        <v>186.6425650565559</v>
      </c>
      <c r="H19" s="68">
        <f t="shared" si="3"/>
        <v>27.680624999999957</v>
      </c>
      <c r="I19" s="68">
        <f t="shared" si="4"/>
        <v>214.32319005655586</v>
      </c>
      <c r="J19" s="139">
        <f t="shared" si="1"/>
        <v>0.85258648284094141</v>
      </c>
      <c r="K19" s="54">
        <f t="shared" si="2"/>
        <v>33478.573102769042</v>
      </c>
      <c r="L19" s="7"/>
      <c r="M19" s="22"/>
      <c r="AD19" s="19">
        <v>6.5000000000000002E-2</v>
      </c>
    </row>
    <row r="20" spans="2:30" ht="17.25" customHeight="1" x14ac:dyDescent="0.15">
      <c r="B20" s="6"/>
      <c r="D20" s="18">
        <v>4</v>
      </c>
      <c r="F20" s="43">
        <v>4</v>
      </c>
      <c r="G20" s="67">
        <f t="shared" si="0"/>
        <v>251.99306407231921</v>
      </c>
      <c r="H20" s="67">
        <f t="shared" si="3"/>
        <v>37.372640624999917</v>
      </c>
      <c r="I20" s="67">
        <f t="shared" si="4"/>
        <v>289.36570469731913</v>
      </c>
      <c r="J20" s="138">
        <f t="shared" si="1"/>
        <v>1.1511086987720549</v>
      </c>
      <c r="K20" s="53">
        <f t="shared" si="2"/>
        <v>45200.665852291197</v>
      </c>
      <c r="L20" s="7"/>
      <c r="M20" s="22"/>
      <c r="AD20" s="19">
        <v>7.0000000000000007E-2</v>
      </c>
    </row>
    <row r="21" spans="2:30" ht="17.25" customHeight="1" x14ac:dyDescent="0.15">
      <c r="B21" s="6"/>
      <c r="D21" s="18">
        <v>5</v>
      </c>
      <c r="F21" s="44">
        <v>5</v>
      </c>
      <c r="G21" s="68">
        <f t="shared" si="0"/>
        <v>318.97732556347677</v>
      </c>
      <c r="H21" s="68">
        <f t="shared" si="3"/>
        <v>47.306956640624875</v>
      </c>
      <c r="I21" s="68">
        <f t="shared" si="4"/>
        <v>366.28428220410166</v>
      </c>
      <c r="J21" s="139">
        <f t="shared" si="1"/>
        <v>1.4570939701014467</v>
      </c>
      <c r="K21" s="54">
        <f t="shared" si="2"/>
        <v>57215.810920551412</v>
      </c>
      <c r="L21" s="7"/>
      <c r="M21" s="22"/>
      <c r="AD21" s="19">
        <v>7.4999999999999997E-2</v>
      </c>
    </row>
    <row r="22" spans="2:30" ht="17.25" customHeight="1" x14ac:dyDescent="0.15">
      <c r="B22" s="6"/>
      <c r="D22" s="18">
        <v>6</v>
      </c>
      <c r="F22" s="43">
        <v>6</v>
      </c>
      <c r="G22" s="67">
        <f t="shared" si="0"/>
        <v>387.63619359191284</v>
      </c>
      <c r="H22" s="67">
        <f t="shared" si="3"/>
        <v>57.489630556640464</v>
      </c>
      <c r="I22" s="67">
        <f t="shared" si="4"/>
        <v>445.12582414855331</v>
      </c>
      <c r="J22" s="138">
        <f t="shared" si="1"/>
        <v>1.7707288732140716</v>
      </c>
      <c r="K22" s="53">
        <f t="shared" si="2"/>
        <v>69531.334615518077</v>
      </c>
      <c r="L22" s="7"/>
      <c r="M22" s="22"/>
      <c r="AD22" s="19">
        <v>0.08</v>
      </c>
    </row>
    <row r="23" spans="2:30" ht="17.25" customHeight="1" x14ac:dyDescent="0.15">
      <c r="B23" s="6"/>
      <c r="D23" s="18">
        <v>7</v>
      </c>
      <c r="F23" s="44">
        <v>7</v>
      </c>
      <c r="G23" s="68">
        <f t="shared" si="0"/>
        <v>458.01153332106026</v>
      </c>
      <c r="H23" s="68">
        <f t="shared" si="3"/>
        <v>67.926871320556501</v>
      </c>
      <c r="I23" s="68">
        <f t="shared" si="4"/>
        <v>525.93840464161678</v>
      </c>
      <c r="J23" s="139">
        <f t="shared" si="1"/>
        <v>2.0922046489045143</v>
      </c>
      <c r="K23" s="54">
        <f t="shared" si="2"/>
        <v>82154.746402858989</v>
      </c>
      <c r="L23" s="7"/>
      <c r="M23" s="22"/>
    </row>
    <row r="24" spans="2:30" ht="17.25" customHeight="1" x14ac:dyDescent="0.15">
      <c r="B24" s="6"/>
      <c r="D24" s="18">
        <v>8</v>
      </c>
      <c r="F24" s="43">
        <v>8</v>
      </c>
      <c r="G24" s="67">
        <f t="shared" si="0"/>
        <v>530.14625654343502</v>
      </c>
      <c r="H24" s="67">
        <f t="shared" si="3"/>
        <v>78.625043103570377</v>
      </c>
      <c r="I24" s="67">
        <f t="shared" si="4"/>
        <v>608.77129964700543</v>
      </c>
      <c r="J24" s="138">
        <f t="shared" si="1"/>
        <v>2.4217173189872123</v>
      </c>
      <c r="K24" s="53">
        <f t="shared" si="2"/>
        <v>95093.743484883191</v>
      </c>
      <c r="L24" s="7"/>
      <c r="M24" s="22"/>
    </row>
    <row r="25" spans="2:30" ht="17.25" customHeight="1" x14ac:dyDescent="0.15">
      <c r="B25" s="6"/>
      <c r="D25" s="18">
        <v>9</v>
      </c>
      <c r="F25" s="44">
        <v>9</v>
      </c>
      <c r="G25" s="68">
        <f t="shared" si="0"/>
        <v>604.08434784637006</v>
      </c>
      <c r="H25" s="68">
        <f t="shared" si="3"/>
        <v>89.590669181159555</v>
      </c>
      <c r="I25" s="68">
        <f t="shared" si="4"/>
        <v>693.67501702752963</v>
      </c>
      <c r="J25" s="139">
        <f t="shared" si="1"/>
        <v>2.759467805821981</v>
      </c>
      <c r="K25" s="54">
        <f t="shared" si="2"/>
        <v>108356.21549395814</v>
      </c>
      <c r="L25" s="7"/>
      <c r="M25" s="22"/>
    </row>
    <row r="26" spans="2:30" ht="17.25" customHeight="1" x14ac:dyDescent="0.15">
      <c r="B26" s="6"/>
      <c r="D26" s="18">
        <v>10</v>
      </c>
      <c r="F26" s="43">
        <v>10</v>
      </c>
      <c r="G26" s="67">
        <f t="shared" si="0"/>
        <v>679.87089143187859</v>
      </c>
      <c r="H26" s="67">
        <f t="shared" si="3"/>
        <v>100.83043591068855</v>
      </c>
      <c r="I26" s="67">
        <f t="shared" si="4"/>
        <v>780.70132734256708</v>
      </c>
      <c r="J26" s="138">
        <f t="shared" si="1"/>
        <v>3.1056620548276199</v>
      </c>
      <c r="K26" s="53">
        <f t="shared" si="2"/>
        <v>121950.24930325999</v>
      </c>
      <c r="L26" s="7"/>
      <c r="M26" s="22"/>
    </row>
    <row r="27" spans="2:30" ht="17.25" customHeight="1" x14ac:dyDescent="0.15">
      <c r="B27" s="6"/>
      <c r="D27" s="18">
        <v>11</v>
      </c>
      <c r="F27" s="44">
        <v>11</v>
      </c>
      <c r="G27" s="68">
        <f t="shared" si="0"/>
        <v>757.55209860702394</v>
      </c>
      <c r="H27" s="68">
        <f t="shared" si="3"/>
        <v>112.35119680845575</v>
      </c>
      <c r="I27" s="68">
        <f t="shared" si="4"/>
        <v>869.90329541547965</v>
      </c>
      <c r="J27" s="139">
        <f t="shared" si="1"/>
        <v>3.4605111600583962</v>
      </c>
      <c r="K27" s="54">
        <f t="shared" si="2"/>
        <v>135884.13395779426</v>
      </c>
      <c r="L27" s="7"/>
      <c r="M27" s="22"/>
      <c r="Q27" s="27"/>
      <c r="R27" s="27"/>
      <c r="S27" s="27"/>
    </row>
    <row r="28" spans="2:30" ht="17.25" customHeight="1" x14ac:dyDescent="0.15">
      <c r="B28" s="6"/>
      <c r="D28" s="18">
        <v>12</v>
      </c>
      <c r="F28" s="43">
        <v>12</v>
      </c>
      <c r="G28" s="67">
        <f t="shared" si="0"/>
        <v>837.17533596154817</v>
      </c>
      <c r="H28" s="67">
        <f t="shared" si="3"/>
        <v>124.1599767286671</v>
      </c>
      <c r="I28" s="67">
        <f t="shared" si="4"/>
        <v>961.33531269021523</v>
      </c>
      <c r="J28" s="138">
        <f t="shared" si="1"/>
        <v>3.8242314929199428</v>
      </c>
      <c r="K28" s="53">
        <f t="shared" si="2"/>
        <v>150166.36572869189</v>
      </c>
      <c r="L28" s="7"/>
      <c r="M28" s="22"/>
      <c r="Q28" s="27"/>
      <c r="R28" s="27"/>
      <c r="S28" s="27"/>
    </row>
    <row r="29" spans="2:30" ht="17.25" customHeight="1" x14ac:dyDescent="0.15">
      <c r="B29" s="6"/>
      <c r="D29" s="18">
        <v>13</v>
      </c>
      <c r="F29" s="44">
        <v>13</v>
      </c>
      <c r="G29" s="68">
        <f t="shared" si="0"/>
        <v>918.7891542499359</v>
      </c>
      <c r="H29" s="68">
        <f t="shared" si="3"/>
        <v>136.26397614688378</v>
      </c>
      <c r="I29" s="68">
        <f t="shared" si="4"/>
        <v>1055.0531303968196</v>
      </c>
      <c r="J29" s="139">
        <f t="shared" si="1"/>
        <v>4.1970448341030293</v>
      </c>
      <c r="K29" s="54">
        <f t="shared" si="2"/>
        <v>164805.65329386204</v>
      </c>
      <c r="L29" s="7"/>
      <c r="M29" s="22"/>
      <c r="Q29" s="27"/>
      <c r="R29" s="27"/>
      <c r="S29" s="27"/>
    </row>
    <row r="30" spans="2:30" ht="17.25" customHeight="1" x14ac:dyDescent="0.15">
      <c r="B30" s="6"/>
      <c r="D30" s="18">
        <v>14</v>
      </c>
      <c r="F30" s="43">
        <v>14</v>
      </c>
      <c r="G30" s="67">
        <f t="shared" si="0"/>
        <v>1002.4433179955321</v>
      </c>
      <c r="H30" s="67">
        <f t="shared" si="3"/>
        <v>148.67057555055578</v>
      </c>
      <c r="I30" s="67">
        <f t="shared" si="4"/>
        <v>1151.1138935460879</v>
      </c>
      <c r="J30" s="138">
        <f t="shared" si="1"/>
        <v>4.5791785088156889</v>
      </c>
      <c r="K30" s="53">
        <f t="shared" si="2"/>
        <v>179810.92304816126</v>
      </c>
      <c r="L30" s="7"/>
      <c r="M30" s="22"/>
      <c r="Q30" s="27"/>
      <c r="R30" s="27"/>
      <c r="S30" s="27"/>
    </row>
    <row r="31" spans="2:30" ht="17.25" customHeight="1" x14ac:dyDescent="0.15">
      <c r="B31" s="6"/>
      <c r="D31" s="18">
        <v>15</v>
      </c>
      <c r="F31" s="44">
        <v>15</v>
      </c>
      <c r="G31" s="68">
        <f t="shared" si="0"/>
        <v>1088.1888358347694</v>
      </c>
      <c r="H31" s="68">
        <f t="shared" si="3"/>
        <v>161.38733993931976</v>
      </c>
      <c r="I31" s="68">
        <f t="shared" si="4"/>
        <v>1249.5761757740893</v>
      </c>
      <c r="J31" s="139">
        <f t="shared" si="1"/>
        <v>4.97086552539617</v>
      </c>
      <c r="K31" s="54">
        <f t="shared" si="2"/>
        <v>195191.32454631818</v>
      </c>
      <c r="L31" s="7"/>
      <c r="M31" s="22"/>
      <c r="Q31" s="27"/>
      <c r="R31" s="27"/>
      <c r="S31" s="27"/>
    </row>
    <row r="32" spans="2:30" ht="17.25" customHeight="1" x14ac:dyDescent="0.15">
      <c r="B32" s="6"/>
      <c r="D32" s="18">
        <v>16</v>
      </c>
      <c r="F32" s="43">
        <v>16</v>
      </c>
      <c r="G32" s="67">
        <f t="shared" si="0"/>
        <v>1176.0779916199863</v>
      </c>
      <c r="H32" s="67">
        <f t="shared" si="3"/>
        <v>174.42202343780272</v>
      </c>
      <c r="I32" s="67">
        <f t="shared" si="4"/>
        <v>1350.5000150577889</v>
      </c>
      <c r="J32" s="138">
        <f t="shared" si="1"/>
        <v>5.3723447173911563</v>
      </c>
      <c r="K32" s="53">
        <f t="shared" si="2"/>
        <v>210956.23608192874</v>
      </c>
      <c r="L32" s="7"/>
      <c r="M32" s="22"/>
      <c r="Q32" s="27"/>
      <c r="R32" s="27"/>
      <c r="S32" s="27"/>
    </row>
    <row r="33" spans="2:13" ht="17.25" customHeight="1" x14ac:dyDescent="0.15">
      <c r="B33" s="6"/>
      <c r="D33" s="18">
        <v>17</v>
      </c>
      <c r="F33" s="44">
        <v>17</v>
      </c>
      <c r="G33" s="68">
        <f t="shared" si="0"/>
        <v>1266.1643762998342</v>
      </c>
      <c r="H33" s="68">
        <f t="shared" si="3"/>
        <v>187.78257402374771</v>
      </c>
      <c r="I33" s="68">
        <f t="shared" si="4"/>
        <v>1453.9469503235819</v>
      </c>
      <c r="J33" s="139">
        <f t="shared" si="1"/>
        <v>5.7838608891860206</v>
      </c>
      <c r="K33" s="54">
        <f t="shared" si="2"/>
        <v>227115.27040592971</v>
      </c>
      <c r="L33" s="7"/>
      <c r="M33" s="22"/>
    </row>
    <row r="34" spans="2:13" ht="17.25" customHeight="1" x14ac:dyDescent="0.15">
      <c r="B34" s="6"/>
      <c r="D34" s="18">
        <v>18</v>
      </c>
      <c r="F34" s="43">
        <v>18</v>
      </c>
      <c r="G34" s="67">
        <f t="shared" si="0"/>
        <v>1358.5029205966773</v>
      </c>
      <c r="H34" s="67">
        <f t="shared" si="3"/>
        <v>201.47713837434142</v>
      </c>
      <c r="I34" s="67">
        <f t="shared" si="4"/>
        <v>1559.9800589710187</v>
      </c>
      <c r="J34" s="138">
        <f t="shared" si="1"/>
        <v>6.2056649652757532</v>
      </c>
      <c r="K34" s="53">
        <f t="shared" si="2"/>
        <v>243678.28058803055</v>
      </c>
      <c r="L34" s="7"/>
      <c r="M34" s="22"/>
    </row>
    <row r="35" spans="2:13" ht="17.25" customHeight="1" x14ac:dyDescent="0.15">
      <c r="B35" s="6"/>
      <c r="D35" s="18">
        <v>19</v>
      </c>
      <c r="F35" s="44">
        <v>19</v>
      </c>
      <c r="G35" s="68">
        <f t="shared" si="0"/>
        <v>1453.1499285009422</v>
      </c>
      <c r="H35" s="68">
        <f t="shared" si="3"/>
        <v>215.51406683369996</v>
      </c>
      <c r="I35" s="68">
        <f t="shared" si="4"/>
        <v>1668.6639953346421</v>
      </c>
      <c r="J35" s="139">
        <f t="shared" si="1"/>
        <v>6.6380141432677302</v>
      </c>
      <c r="K35" s="54">
        <f t="shared" si="2"/>
        <v>260655.36602468399</v>
      </c>
      <c r="L35" s="7"/>
      <c r="M35" s="22"/>
    </row>
    <row r="36" spans="2:13" ht="17.25" customHeight="1" x14ac:dyDescent="0.15">
      <c r="B36" s="6"/>
      <c r="D36" s="18">
        <v>20</v>
      </c>
      <c r="F36" s="43">
        <v>20</v>
      </c>
      <c r="G36" s="67">
        <f t="shared" si="0"/>
        <v>1550.1631116028129</v>
      </c>
      <c r="H36" s="67">
        <f t="shared" si="3"/>
        <v>229.90191850454241</v>
      </c>
      <c r="I36" s="67">
        <f t="shared" si="4"/>
        <v>1780.0650301073554</v>
      </c>
      <c r="J36" s="138">
        <f t="shared" si="1"/>
        <v>7.0811720507095055</v>
      </c>
      <c r="K36" s="53">
        <f t="shared" si="2"/>
        <v>278056.8785972537</v>
      </c>
      <c r="L36" s="7"/>
      <c r="M36" s="22"/>
    </row>
    <row r="37" spans="2:13" ht="17.25" customHeight="1" x14ac:dyDescent="0.15">
      <c r="B37" s="6"/>
      <c r="D37" s="18">
        <v>21</v>
      </c>
      <c r="F37" s="44">
        <v>21</v>
      </c>
      <c r="G37" s="68">
        <f t="shared" si="0"/>
        <v>1649.6016242822318</v>
      </c>
      <c r="H37" s="68">
        <f t="shared" si="3"/>
        <v>244.64946646715589</v>
      </c>
      <c r="I37" s="68">
        <f t="shared" si="4"/>
        <v>1894.2510907493877</v>
      </c>
      <c r="J37" s="139">
        <f t="shared" si="1"/>
        <v>7.535408905837329</v>
      </c>
      <c r="K37" s="54">
        <f t="shared" si="2"/>
        <v>295893.42898413783</v>
      </c>
      <c r="L37" s="7"/>
      <c r="M37" s="22"/>
    </row>
    <row r="38" spans="2:13" ht="17.25" customHeight="1" x14ac:dyDescent="0.15">
      <c r="B38" s="6"/>
      <c r="D38" s="18">
        <v>22</v>
      </c>
      <c r="F38" s="43">
        <v>22</v>
      </c>
      <c r="G38" s="67">
        <f t="shared" si="0"/>
        <v>1751.5260997786345</v>
      </c>
      <c r="H38" s="67">
        <f t="shared" si="3"/>
        <v>259.76570312883473</v>
      </c>
      <c r="I38" s="67">
        <f t="shared" si="4"/>
        <v>2011.2918029074692</v>
      </c>
      <c r="J38" s="138">
        <f t="shared" si="1"/>
        <v>8.0010016823433414</v>
      </c>
      <c r="K38" s="53">
        <f t="shared" si="2"/>
        <v>314175.89313069376</v>
      </c>
      <c r="L38" s="7"/>
      <c r="M38" s="22"/>
    </row>
    <row r="39" spans="2:13" ht="17.25" customHeight="1" x14ac:dyDescent="0.15">
      <c r="B39" s="6"/>
      <c r="D39" s="18">
        <v>23</v>
      </c>
      <c r="F39" s="44">
        <v>23</v>
      </c>
      <c r="G39" s="68">
        <f t="shared" si="0"/>
        <v>1855.9986871624474</v>
      </c>
      <c r="H39" s="68">
        <f t="shared" si="3"/>
        <v>275.25984570705566</v>
      </c>
      <c r="I39" s="68">
        <f t="shared" si="4"/>
        <v>2131.2585328695031</v>
      </c>
      <c r="J39" s="139">
        <f t="shared" si="1"/>
        <v>8.4782342782620059</v>
      </c>
      <c r="K39" s="54">
        <f t="shared" si="2"/>
        <v>332915.41888091364</v>
      </c>
      <c r="L39" s="7"/>
    </row>
    <row r="40" spans="2:13" ht="17.25" customHeight="1" x14ac:dyDescent="0.15">
      <c r="B40" s="6"/>
      <c r="D40" s="18">
        <v>24</v>
      </c>
      <c r="F40" s="43">
        <v>24</v>
      </c>
      <c r="G40" s="67">
        <f t="shared" si="0"/>
        <v>1963.0830892308552</v>
      </c>
      <c r="H40" s="67">
        <f t="shared" si="3"/>
        <v>291.14134184973199</v>
      </c>
      <c r="I40" s="67">
        <f t="shared" si="4"/>
        <v>2254.2244310805872</v>
      </c>
      <c r="J40" s="138">
        <f t="shared" si="1"/>
        <v>8.9673976890786342</v>
      </c>
      <c r="K40" s="53">
        <f t="shared" si="2"/>
        <v>352123.43277488893</v>
      </c>
      <c r="L40" s="7"/>
    </row>
    <row r="41" spans="2:13" ht="17.25" customHeight="1" x14ac:dyDescent="0.15">
      <c r="B41" s="6"/>
      <c r="D41" s="18">
        <v>25</v>
      </c>
      <c r="F41" s="44">
        <v>25</v>
      </c>
      <c r="G41" s="68">
        <f t="shared" si="0"/>
        <v>2072.8446013509742</v>
      </c>
      <c r="H41" s="68">
        <f t="shared" si="3"/>
        <v>307.41987539597523</v>
      </c>
      <c r="I41" s="68">
        <f t="shared" si="4"/>
        <v>2380.2644767469496</v>
      </c>
      <c r="J41" s="139">
        <f t="shared" si="1"/>
        <v>9.4687901851656839</v>
      </c>
      <c r="K41" s="54">
        <f t="shared" si="2"/>
        <v>371811.64701621386</v>
      </c>
      <c r="L41" s="7"/>
    </row>
    <row r="42" spans="2:13" ht="17.25" customHeight="1" x14ac:dyDescent="0.15">
      <c r="B42" s="6"/>
      <c r="D42" s="18">
        <v>26</v>
      </c>
      <c r="F42" s="43">
        <v>26</v>
      </c>
      <c r="G42" s="67">
        <f t="shared" si="0"/>
        <v>2185.350151274095</v>
      </c>
      <c r="H42" s="67">
        <f t="shared" si="3"/>
        <v>324.10537228087452</v>
      </c>
      <c r="I42" s="67">
        <f t="shared" si="4"/>
        <v>2509.4555235549697</v>
      </c>
      <c r="J42" s="138">
        <f t="shared" si="1"/>
        <v>9.9827174936549046</v>
      </c>
      <c r="K42" s="53">
        <f t="shared" si="2"/>
        <v>391992.06661357172</v>
      </c>
      <c r="L42" s="7"/>
    </row>
    <row r="43" spans="2:13" ht="17.25" customHeight="1" x14ac:dyDescent="0.15">
      <c r="B43" s="6"/>
      <c r="D43" s="18">
        <v>27</v>
      </c>
      <c r="F43" s="44">
        <v>27</v>
      </c>
      <c r="G43" s="68">
        <f t="shared" si="0"/>
        <v>2300.6683399452936</v>
      </c>
      <c r="H43" s="68">
        <f t="shared" si="3"/>
        <v>341.20800658789636</v>
      </c>
      <c r="I43" s="68">
        <f t="shared" si="4"/>
        <v>2641.8763465331899</v>
      </c>
      <c r="J43" s="139">
        <f t="shared" si="1"/>
        <v>10.509492984856353</v>
      </c>
      <c r="K43" s="54">
        <f t="shared" si="2"/>
        <v>412676.99670086335</v>
      </c>
      <c r="L43" s="7"/>
    </row>
    <row r="44" spans="2:13" ht="17.25" customHeight="1" x14ac:dyDescent="0.15">
      <c r="B44" s="6"/>
      <c r="D44" s="18">
        <v>28</v>
      </c>
      <c r="F44" s="43">
        <v>28</v>
      </c>
      <c r="G44" s="67">
        <f t="shared" si="0"/>
        <v>2418.8694833332725</v>
      </c>
      <c r="H44" s="67">
        <f t="shared" si="3"/>
        <v>358.73820675259367</v>
      </c>
      <c r="I44" s="67">
        <f t="shared" si="4"/>
        <v>2777.6076900858661</v>
      </c>
      <c r="J44" s="138">
        <f t="shared" si="1"/>
        <v>11.04943786333784</v>
      </c>
      <c r="K44" s="53">
        <f t="shared" si="2"/>
        <v>433879.05004033737</v>
      </c>
      <c r="L44" s="7"/>
    </row>
    <row r="45" spans="2:13" ht="17.25" customHeight="1" x14ac:dyDescent="0.15">
      <c r="B45" s="6"/>
      <c r="D45" s="18">
        <v>29</v>
      </c>
      <c r="F45" s="44">
        <v>29</v>
      </c>
      <c r="G45" s="68">
        <f t="shared" si="0"/>
        <v>2540.0256553059512</v>
      </c>
      <c r="H45" s="68">
        <f t="shared" si="3"/>
        <v>376.70666192140862</v>
      </c>
      <c r="I45" s="68">
        <f t="shared" si="4"/>
        <v>2916.73231722736</v>
      </c>
      <c r="J45" s="139">
        <f t="shared" si="1"/>
        <v>11.602881363781368</v>
      </c>
      <c r="K45" s="54">
        <f t="shared" si="2"/>
        <v>455611.15471329843</v>
      </c>
      <c r="L45" s="7"/>
    </row>
    <row r="46" spans="2:13" ht="17.25" customHeight="1" x14ac:dyDescent="0.15">
      <c r="B46" s="6"/>
      <c r="D46" s="18">
        <v>30</v>
      </c>
      <c r="F46" s="43">
        <v>30</v>
      </c>
      <c r="G46" s="67">
        <f t="shared" si="0"/>
        <v>2664.2107315779454</v>
      </c>
      <c r="H46" s="67">
        <f t="shared" si="3"/>
        <v>395.12432846944364</v>
      </c>
      <c r="I46" s="67">
        <f t="shared" si="4"/>
        <v>3059.3350600473891</v>
      </c>
      <c r="J46" s="138">
        <f t="shared" si="1"/>
        <v>12.170160951735975</v>
      </c>
      <c r="K46" s="53">
        <f t="shared" si="2"/>
        <v>477886.56200308312</v>
      </c>
      <c r="L46" s="7"/>
    </row>
    <row r="47" spans="2:13" ht="17.25" customHeight="1" x14ac:dyDescent="0.15">
      <c r="B47" s="6"/>
      <c r="D47" s="18">
        <v>31</v>
      </c>
      <c r="F47" s="44">
        <v>31</v>
      </c>
      <c r="G47" s="68">
        <f t="shared" si="0"/>
        <v>2791.5004347567406</v>
      </c>
      <c r="H47" s="68">
        <f t="shared" si="3"/>
        <v>414.00243668117997</v>
      </c>
      <c r="I47" s="68">
        <f t="shared" si="4"/>
        <v>3205.5028714379205</v>
      </c>
      <c r="J47" s="139">
        <f t="shared" si="1"/>
        <v>12.751622529389453</v>
      </c>
      <c r="K47" s="54">
        <f t="shared" si="2"/>
        <v>500718.85447511269</v>
      </c>
      <c r="L47" s="7"/>
    </row>
    <row r="48" spans="2:13" ht="17.25" customHeight="1" x14ac:dyDescent="0.15">
      <c r="B48" s="6"/>
      <c r="D48" s="18">
        <v>32</v>
      </c>
      <c r="F48" s="43">
        <v>32</v>
      </c>
      <c r="G48" s="67">
        <f t="shared" si="0"/>
        <v>2921.9723805150038</v>
      </c>
      <c r="H48" s="67">
        <f t="shared" si="3"/>
        <v>433.35249759820931</v>
      </c>
      <c r="I48" s="67">
        <f t="shared" si="4"/>
        <v>3355.3248781132133</v>
      </c>
      <c r="J48" s="138">
        <f t="shared" si="1"/>
        <v>13.347620646484261</v>
      </c>
      <c r="K48" s="53">
        <f t="shared" si="2"/>
        <v>524121.95425894274</v>
      </c>
      <c r="L48" s="7"/>
    </row>
    <row r="49" spans="2:30" ht="17.25" customHeight="1" x14ac:dyDescent="0.15">
      <c r="B49" s="6"/>
      <c r="D49" s="18">
        <v>33</v>
      </c>
      <c r="F49" s="44">
        <v>33</v>
      </c>
      <c r="G49" s="68">
        <f t="shared" si="0"/>
        <v>3055.7061249172243</v>
      </c>
      <c r="H49" s="68">
        <f t="shared" si="3"/>
        <v>453.18631003816449</v>
      </c>
      <c r="I49" s="68">
        <f t="shared" si="4"/>
        <v>3508.892434955389</v>
      </c>
      <c r="J49" s="139">
        <f t="shared" si="1"/>
        <v>13.958518716506441</v>
      </c>
      <c r="K49" s="54">
        <f t="shared" si="2"/>
        <v>548110.13153736864</v>
      </c>
      <c r="L49" s="7"/>
    </row>
    <row r="50" spans="2:30" ht="17.25" customHeight="1" x14ac:dyDescent="0.15">
      <c r="B50" s="6"/>
      <c r="D50" s="18">
        <v>34</v>
      </c>
      <c r="F50" s="43">
        <v>34</v>
      </c>
      <c r="G50" s="67">
        <f t="shared" si="0"/>
        <v>3192.7832129295007</v>
      </c>
      <c r="H50" s="67">
        <f t="shared" si="3"/>
        <v>473.51596778911863</v>
      </c>
      <c r="I50" s="67">
        <f t="shared" si="4"/>
        <v>3666.2991807186195</v>
      </c>
      <c r="J50" s="138">
        <f t="shared" si="1"/>
        <v>14.584689238279177</v>
      </c>
      <c r="K50" s="53">
        <f t="shared" si="2"/>
        <v>572698.01324775512</v>
      </c>
      <c r="L50" s="7"/>
    </row>
    <row r="51" spans="2:30" ht="17.25" customHeight="1" x14ac:dyDescent="0.15">
      <c r="B51" s="6"/>
      <c r="D51" s="18">
        <v>35</v>
      </c>
      <c r="F51" s="44">
        <v>35</v>
      </c>
      <c r="G51" s="68">
        <f t="shared" si="0"/>
        <v>3333.2872281420828</v>
      </c>
      <c r="H51" s="68">
        <f t="shared" si="3"/>
        <v>494.3538669838465</v>
      </c>
      <c r="I51" s="68">
        <f t="shared" si="4"/>
        <v>3827.6410951259295</v>
      </c>
      <c r="J51" s="139">
        <f t="shared" si="1"/>
        <v>15.226514023096227</v>
      </c>
      <c r="K51" s="54">
        <f t="shared" si="2"/>
        <v>597900.59200090112</v>
      </c>
      <c r="L51" s="7"/>
    </row>
    <row r="52" spans="2:30" ht="17.25" customHeight="1" x14ac:dyDescent="0.15">
      <c r="B52" s="6"/>
      <c r="D52" s="18">
        <v>36</v>
      </c>
      <c r="F52" s="43">
        <v>36</v>
      </c>
      <c r="G52" s="67">
        <f t="shared" si="0"/>
        <v>3477.3038437349805</v>
      </c>
      <c r="H52" s="67">
        <f t="shared" si="3"/>
        <v>515.71271365844268</v>
      </c>
      <c r="I52" s="67">
        <f t="shared" si="4"/>
        <v>3993.0165573934232</v>
      </c>
      <c r="J52" s="138">
        <f t="shared" si="1"/>
        <v>15.884384427533707</v>
      </c>
      <c r="K52" s="53">
        <f t="shared" si="2"/>
        <v>623733.23522287596</v>
      </c>
      <c r="L52" s="7"/>
    </row>
    <row r="53" spans="2:30" ht="17.25" customHeight="1" x14ac:dyDescent="0.15">
      <c r="B53" s="6"/>
      <c r="D53" s="18">
        <v>37</v>
      </c>
      <c r="F53" s="44">
        <v>37</v>
      </c>
      <c r="G53" s="68">
        <f t="shared" si="0"/>
        <v>3624.9208747177004</v>
      </c>
      <c r="H53" s="68">
        <f t="shared" si="3"/>
        <v>537.60553149990369</v>
      </c>
      <c r="I53" s="68">
        <f t="shared" si="4"/>
        <v>4162.5264062176038</v>
      </c>
      <c r="J53" s="139">
        <f t="shared" si="1"/>
        <v>16.558701592082123</v>
      </c>
      <c r="K53" s="54">
        <f t="shared" si="2"/>
        <v>650211.69452540018</v>
      </c>
      <c r="L53" s="7"/>
    </row>
    <row r="54" spans="2:30" ht="17.25" customHeight="1" x14ac:dyDescent="0.15">
      <c r="B54" s="6"/>
      <c r="D54" s="18">
        <v>38</v>
      </c>
      <c r="F54" s="43">
        <v>38</v>
      </c>
      <c r="G54" s="67">
        <f t="shared" si="0"/>
        <v>3776.2283314749861</v>
      </c>
      <c r="H54" s="67">
        <f t="shared" si="3"/>
        <v>560.04566978740104</v>
      </c>
      <c r="I54" s="67">
        <f t="shared" si="4"/>
        <v>4336.2740012623872</v>
      </c>
      <c r="J54" s="138">
        <f t="shared" si="1"/>
        <v>17.24987668574424</v>
      </c>
      <c r="K54" s="53">
        <f t="shared" si="2"/>
        <v>677352.1153104871</v>
      </c>
      <c r="L54" s="7"/>
    </row>
    <row r="55" spans="2:30" ht="17.25" customHeight="1" x14ac:dyDescent="0.15">
      <c r="B55" s="6"/>
      <c r="D55" s="18">
        <v>39</v>
      </c>
      <c r="F55" s="44">
        <v>39</v>
      </c>
      <c r="G55" s="68">
        <f t="shared" si="0"/>
        <v>3931.3184746512065</v>
      </c>
      <c r="H55" s="68">
        <f t="shared" si="3"/>
        <v>583.04681153208605</v>
      </c>
      <c r="I55" s="68">
        <f t="shared" si="4"/>
        <v>4514.3652861832925</v>
      </c>
      <c r="J55" s="139">
        <f t="shared" si="1"/>
        <v>17.958331156747921</v>
      </c>
      <c r="K55" s="54">
        <f t="shared" si="2"/>
        <v>705171.04661520151</v>
      </c>
      <c r="L55" s="7"/>
    </row>
    <row r="56" spans="2:30" ht="17.25" customHeight="1" x14ac:dyDescent="0.15">
      <c r="B56" s="6"/>
      <c r="D56" s="18">
        <v>40</v>
      </c>
      <c r="F56" s="45">
        <v>40</v>
      </c>
      <c r="G56" s="69">
        <f t="shared" si="0"/>
        <v>4090.2858714068293</v>
      </c>
      <c r="H56" s="69">
        <f t="shared" si="3"/>
        <v>606.62298182038819</v>
      </c>
      <c r="I56" s="69">
        <f t="shared" si="4"/>
        <v>4696.9088532272172</v>
      </c>
      <c r="J56" s="140">
        <f t="shared" si="1"/>
        <v>18.684496989526682</v>
      </c>
      <c r="K56" s="55">
        <f t="shared" si="2"/>
        <v>733685.45120253344</v>
      </c>
      <c r="L56" s="7"/>
    </row>
    <row r="57" spans="2:30" ht="4.25" customHeight="1" x14ac:dyDescent="0.15">
      <c r="B57" s="6"/>
      <c r="G57" s="57"/>
      <c r="H57" s="57"/>
      <c r="I57" s="57"/>
      <c r="J57" s="57"/>
      <c r="K57" s="57"/>
      <c r="L57" s="7"/>
    </row>
    <row r="58" spans="2:30" ht="16.25" customHeight="1" x14ac:dyDescent="0.15">
      <c r="B58" s="6"/>
      <c r="F58" s="197" t="s">
        <v>21</v>
      </c>
      <c r="G58" s="197"/>
      <c r="H58" s="197"/>
      <c r="I58" s="197"/>
      <c r="J58" s="197"/>
      <c r="K58" s="197"/>
      <c r="L58" s="7"/>
    </row>
    <row r="59" spans="2:30" s="2" customFormat="1" ht="16.25" customHeight="1" x14ac:dyDescent="0.15">
      <c r="B59" s="8"/>
      <c r="F59" s="210" t="s">
        <v>22</v>
      </c>
      <c r="G59" s="210"/>
      <c r="H59" s="155">
        <f>+(1+G60)^(1/G61)-1</f>
        <v>2.0598362698427408E-3</v>
      </c>
      <c r="L59" s="9"/>
      <c r="AD59" s="20"/>
    </row>
    <row r="60" spans="2:30" hidden="1" x14ac:dyDescent="0.15">
      <c r="B60" s="6"/>
      <c r="F60" s="39" t="s">
        <v>23</v>
      </c>
      <c r="G60" s="40">
        <f>K11</f>
        <v>2.5000000000000001E-2</v>
      </c>
      <c r="L60" s="7"/>
    </row>
    <row r="61" spans="2:30" hidden="1" x14ac:dyDescent="0.15">
      <c r="B61" s="6"/>
      <c r="F61" s="39" t="s">
        <v>24</v>
      </c>
      <c r="G61" s="41">
        <v>12</v>
      </c>
      <c r="L61" s="7"/>
    </row>
    <row r="62" spans="2:30" ht="7.5" customHeight="1" x14ac:dyDescent="0.15">
      <c r="B62" s="6"/>
      <c r="F62" s="39"/>
      <c r="G62" s="41"/>
      <c r="L62" s="7"/>
    </row>
    <row r="63" spans="2:30" ht="13" customHeight="1" x14ac:dyDescent="0.15">
      <c r="B63" s="6"/>
      <c r="C63" s="212" t="str">
        <f>"Supuestos para el cálculo: Rentabilidad de "&amp;TEXT(K11*100,"#.#0,00")&amp;"% anual; la edad de jubilación legal para la mujer es 60 años y para el hombre es 65 años;    El CNU para una mujer de 60 años con cónyuge dos años mayor es de 241 y para un hombre de 65 con cónyuge dos años menor es de 212."</f>
        <v>Supuestos para el cálculo: Rentabilidad de 2,50% anual; la edad de jubilación legal para la mujer es 60 años y para el hombre es 65 años;    El CNU para una mujer de 60 años con cónyuge dos años mayor es de 241 y para un hombre de 65 con cónyuge dos años menor es de 212.</v>
      </c>
      <c r="D63" s="212"/>
      <c r="E63" s="212"/>
      <c r="F63" s="212"/>
      <c r="G63" s="212"/>
      <c r="H63" s="212"/>
      <c r="I63" s="212"/>
      <c r="J63" s="212"/>
      <c r="K63" s="212"/>
      <c r="L63" s="213"/>
    </row>
    <row r="64" spans="2:30" x14ac:dyDescent="0.15">
      <c r="B64" s="6"/>
      <c r="C64" s="212"/>
      <c r="D64" s="212"/>
      <c r="E64" s="212"/>
      <c r="F64" s="212"/>
      <c r="G64" s="212"/>
      <c r="H64" s="212"/>
      <c r="I64" s="212"/>
      <c r="J64" s="212"/>
      <c r="K64" s="212"/>
      <c r="L64" s="213"/>
    </row>
    <row r="65" spans="2:12" ht="6" customHeight="1" thickBot="1" x14ac:dyDescent="0.2">
      <c r="B65" s="6"/>
      <c r="L65" s="7"/>
    </row>
    <row r="66" spans="2:12" x14ac:dyDescent="0.15">
      <c r="B66" s="3"/>
      <c r="C66" s="4"/>
      <c r="D66" s="4"/>
      <c r="E66" s="103"/>
      <c r="F66" s="103"/>
      <c r="G66" s="103"/>
      <c r="H66" s="104"/>
      <c r="I66" s="104"/>
      <c r="J66" s="104"/>
      <c r="K66" s="113"/>
      <c r="L66" s="5"/>
    </row>
    <row r="67" spans="2:12" x14ac:dyDescent="0.15">
      <c r="B67" s="6"/>
      <c r="E67" s="105"/>
      <c r="F67" s="105"/>
      <c r="G67" s="105"/>
      <c r="H67" s="106"/>
      <c r="I67" s="106"/>
      <c r="J67" s="106"/>
      <c r="K67" s="74"/>
      <c r="L67" s="7"/>
    </row>
    <row r="68" spans="2:12" x14ac:dyDescent="0.15">
      <c r="B68" s="6"/>
      <c r="E68" s="105"/>
      <c r="F68" s="105"/>
      <c r="G68" s="105"/>
      <c r="H68" s="106"/>
      <c r="I68" s="106"/>
      <c r="J68" s="106"/>
      <c r="K68" s="74"/>
      <c r="L68" s="7"/>
    </row>
    <row r="69" spans="2:12" ht="18" x14ac:dyDescent="0.15">
      <c r="B69" s="6"/>
      <c r="E69" s="105"/>
      <c r="F69" s="209" t="s">
        <v>25</v>
      </c>
      <c r="G69" s="209"/>
      <c r="H69" s="209"/>
      <c r="I69" s="209"/>
      <c r="J69" s="209"/>
      <c r="K69" s="156"/>
      <c r="L69" s="7"/>
    </row>
    <row r="70" spans="2:12" ht="18" x14ac:dyDescent="0.15">
      <c r="B70" s="6"/>
      <c r="E70" s="105"/>
      <c r="F70" s="209" t="s">
        <v>26</v>
      </c>
      <c r="G70" s="209"/>
      <c r="H70" s="209"/>
      <c r="I70" s="209"/>
      <c r="J70" s="209"/>
      <c r="K70" s="157"/>
      <c r="L70" s="7"/>
    </row>
    <row r="71" spans="2:12" ht="18" x14ac:dyDescent="0.15">
      <c r="B71" s="6"/>
      <c r="E71" s="105"/>
      <c r="F71" s="180"/>
      <c r="G71" s="180"/>
      <c r="H71" s="180"/>
      <c r="I71" s="180"/>
      <c r="J71" s="180"/>
      <c r="K71" s="158"/>
      <c r="L71" s="7"/>
    </row>
    <row r="72" spans="2:12" ht="16" x14ac:dyDescent="0.2">
      <c r="B72" s="6"/>
      <c r="F72" s="159" t="s">
        <v>27</v>
      </c>
      <c r="G72" s="160"/>
      <c r="H72" s="160"/>
      <c r="I72" s="161"/>
      <c r="J72" s="161"/>
      <c r="K72" s="161"/>
      <c r="L72" s="7"/>
    </row>
    <row r="73" spans="2:12" ht="16" x14ac:dyDescent="0.2">
      <c r="B73" s="6"/>
      <c r="F73" s="160" t="str">
        <f>"* Usted gana "&amp;TEXT(Antecedentes!$E$5,"$###.#0") &amp;" mensuales y no esta dispuesto a ahorrar en APV-A."</f>
        <v>* Usted gana $2.500.000 mensuales y no esta dispuesto a ahorrar en APV-A.</v>
      </c>
      <c r="G73" s="160"/>
      <c r="H73" s="160"/>
      <c r="I73" s="161"/>
      <c r="J73" s="161"/>
      <c r="K73" s="161"/>
      <c r="L73" s="7"/>
    </row>
    <row r="74" spans="2:12" ht="16" x14ac:dyDescent="0.2">
      <c r="B74" s="6"/>
      <c r="F74" s="160" t="str">
        <f>"* Su saldo de ahorro voluntario es UF 0,00 ($0)."</f>
        <v>* Su saldo de ahorro voluntario es UF 0,00 ($0).</v>
      </c>
      <c r="G74" s="160"/>
      <c r="H74" s="160"/>
      <c r="I74" s="161"/>
      <c r="J74" s="161"/>
      <c r="K74" s="161"/>
      <c r="L74" s="7"/>
    </row>
    <row r="75" spans="2:12" ht="15" customHeight="1" x14ac:dyDescent="0.2">
      <c r="B75" s="6"/>
      <c r="F75" s="190" t="str">
        <f>"* Por lo tanto, su incremento de pensión por ahorro voluntario es UF 0,00 ($0)."</f>
        <v>* Por lo tanto, su incremento de pensión por ahorro voluntario es UF 0,00 ($0).</v>
      </c>
      <c r="G75" s="190"/>
      <c r="H75" s="190"/>
      <c r="I75" s="190"/>
      <c r="J75" s="190"/>
      <c r="K75" s="190"/>
      <c r="L75" s="7"/>
    </row>
    <row r="76" spans="2:12" x14ac:dyDescent="0.15">
      <c r="B76" s="6"/>
      <c r="F76" s="190" t="str">
        <f>"* Su pensión efectiva a los 65 años, sólo será la resultante del ahorro obligatorio que haya realizado, durante su vida activa UF "&amp;TEXT(VLOOKUP('APV-B'!L22,ahorroacum,6),"###.#0")&amp;" ("&amp;TEXT(VLOOKUP('APV-B'!L22,ahorroacum,5),"$###.#0")&amp;"). "</f>
        <v xml:space="preserve">* Su pensión efectiva a los 65 años, sólo será la resultante del ahorro obligatorio que haya realizado, durante su vida activa UF 3.613 ($141.956.513). </v>
      </c>
      <c r="G76" s="190"/>
      <c r="H76" s="190"/>
      <c r="I76" s="190"/>
      <c r="J76" s="190"/>
      <c r="K76" s="190"/>
      <c r="L76" s="7"/>
    </row>
    <row r="77" spans="2:12" ht="18" customHeight="1" x14ac:dyDescent="0.15">
      <c r="B77" s="6"/>
      <c r="F77" s="190"/>
      <c r="G77" s="190"/>
      <c r="H77" s="190"/>
      <c r="I77" s="190"/>
      <c r="J77" s="190"/>
      <c r="K77" s="190"/>
      <c r="L77" s="7"/>
    </row>
    <row r="78" spans="2:12" ht="16" x14ac:dyDescent="0.2">
      <c r="B78" s="6"/>
      <c r="F78" s="160"/>
      <c r="G78" s="160"/>
      <c r="H78" s="160"/>
      <c r="I78" s="161"/>
      <c r="J78" s="161"/>
      <c r="K78" s="161"/>
      <c r="L78" s="7"/>
    </row>
    <row r="79" spans="2:12" ht="16" x14ac:dyDescent="0.2">
      <c r="B79" s="6"/>
      <c r="F79" s="159" t="s">
        <v>28</v>
      </c>
      <c r="G79" s="160"/>
      <c r="H79" s="160"/>
      <c r="I79" s="161"/>
      <c r="J79" s="161"/>
      <c r="K79" s="161"/>
      <c r="L79" s="7"/>
    </row>
    <row r="80" spans="2:12" ht="16" x14ac:dyDescent="0.2">
      <c r="B80" s="6"/>
      <c r="F80" s="191" t="str">
        <f>"* Usted gana "&amp;TEXT(Antecedentes!$E$5,"$#.#0,0")&amp;" mensuales y esta dispuesto a ahorrar en APV-A."</f>
        <v>* Usted gana $2.500.000,0 mensuales y esta dispuesto a ahorrar en APV-A.</v>
      </c>
      <c r="G80" s="191"/>
      <c r="H80" s="191"/>
      <c r="I80" s="191"/>
      <c r="J80" s="191"/>
      <c r="K80" s="191"/>
      <c r="L80" s="7"/>
    </row>
    <row r="81" spans="2:14" ht="16" x14ac:dyDescent="0.2">
      <c r="B81" s="6"/>
      <c r="F81" s="160" t="str">
        <f>"* Ahorra voluntariamente en APV-A, UF "&amp;TEXT(G14,"###.#0") &amp; " ("&amp;TEXT(G14*K9,"$###.#0")&amp;")"</f>
        <v>* Ahorra voluntariamente en APV-A, UF 5 ($196.335)</v>
      </c>
      <c r="G81" s="160"/>
      <c r="H81" s="160"/>
      <c r="I81" s="161"/>
      <c r="J81" s="161"/>
      <c r="K81" s="161"/>
      <c r="L81" s="7"/>
    </row>
    <row r="82" spans="2:14" ht="15" customHeight="1" x14ac:dyDescent="0.15">
      <c r="B82" s="6"/>
      <c r="F82" s="190" t="e">
        <f ca="1">"* Su saldo de ahorro voluntario en "&amp;'APV-B'!L18&amp;" años es UF "&amp;TEXT(VLOOKUP('APV-B'!L18,Tabla1,4),"###.#0")&amp;" ("&amp;TEXT(VLOOKUP('APV-B'!L18,Tabla1,4)*K9,"$###.#0")&amp;").""De los cuales Usted aportó el  UF "&amp;TEXT(VLOOKUP('APV-B'!L18,Tabla1,2),"###.#0")&amp;" ("&amp;TEXT(VLOOKUP('APV-B'!L18,Tabla1,2)*K9,"$###.#0")&amp;")"&amp;" y el Fisco mediante el bono del 15% aportó con UF "&amp;TEXT(VLOOKUP('APV-B'!L18,Tabla1,3),"###.#0")&amp;" ("&amp;TEXT(VLOOKUP('APV-B'!L18,Tabla1,3)*K9,"$###.#0")&amp;")."</f>
        <v>#N/A</v>
      </c>
      <c r="G82" s="190"/>
      <c r="H82" s="190"/>
      <c r="I82" s="190"/>
      <c r="J82" s="190"/>
      <c r="K82" s="190"/>
      <c r="L82" s="7"/>
      <c r="N82" s="136"/>
    </row>
    <row r="83" spans="2:14" ht="18.75" customHeight="1" x14ac:dyDescent="0.15">
      <c r="B83" s="6"/>
      <c r="F83" s="190"/>
      <c r="G83" s="190"/>
      <c r="H83" s="190"/>
      <c r="I83" s="190"/>
      <c r="J83" s="190"/>
      <c r="K83" s="190"/>
      <c r="L83" s="7"/>
    </row>
    <row r="84" spans="2:14" ht="15" customHeight="1" x14ac:dyDescent="0.15">
      <c r="B84" s="6"/>
      <c r="F84" s="190" t="e">
        <f ca="1">"* Con lo cual, su incremento de pensión por ahorro voluntario es UF "&amp;TEXT(VLOOKUP('APV-B'!L18,Tabla1,5),"###.#0,00")&amp;" ("&amp;TEXT(VLOOKUP('APV-B'!L18,Tabla1,6),"$###.#0")&amp;").""De los cuales Usted aportó  UF "  &amp;TEXT(VLOOKUP('APV-B'!L18,Tabla1,2),"###.#0") &amp; " ("&amp;TEXT(VLOOKUP('APV-B'!L18,Tabla1,2)*K9,"$###.#0")&amp;")"&amp;" y el Fisco aportó  UF "&amp;TEXT(VLOOKUP('APV-B'!L18,Tabla1,3),"###.#0,00")&amp;" ("&amp;TEXT(VLOOKUP('APV-B'!L18,Tabla1,3)*K9,"$###.#0")&amp;") a través del bono del 15%."</f>
        <v>#N/A</v>
      </c>
      <c r="G84" s="190"/>
      <c r="H84" s="190"/>
      <c r="I84" s="190"/>
      <c r="J84" s="190"/>
      <c r="K84" s="190"/>
      <c r="L84" s="7"/>
    </row>
    <row r="85" spans="2:14" ht="16.5" customHeight="1" x14ac:dyDescent="0.15">
      <c r="B85" s="6"/>
      <c r="F85" s="190"/>
      <c r="G85" s="190"/>
      <c r="H85" s="190"/>
      <c r="I85" s="190"/>
      <c r="J85" s="190"/>
      <c r="K85" s="190"/>
      <c r="L85" s="7"/>
    </row>
    <row r="86" spans="2:14" ht="15" customHeight="1" x14ac:dyDescent="0.15">
      <c r="B86" s="6"/>
      <c r="F86" s="190" t="e">
        <f ca="1">"* Su pensión efectiva a los "&amp;edadjub&amp; " años, será la resultante del ahorro obligatorio que haya realizado UF "&amp;TEXT(VLOOKUP('APV-B'!L22,ahorroacum,6),"###.#0")&amp;" ("&amp;TEXT(VLOOKUP('APV-B'!L22,ahorroacum,5),"$###.#0")&amp;"), durante su vida activa, más las UF "&amp;TEXT(VLOOKUP('APV-B'!L18,Tabla1,5),"###.#0,00")&amp;" ("&amp;TEXT(VLOOKUP('APV-B'!L18,Tabla1,6),"###.#0")&amp;") de pensión ahorradas voluntariamente."</f>
        <v>#N/A</v>
      </c>
      <c r="G86" s="190"/>
      <c r="H86" s="190"/>
      <c r="I86" s="190"/>
      <c r="J86" s="190"/>
      <c r="K86" s="190"/>
      <c r="L86" s="7"/>
    </row>
    <row r="87" spans="2:14" ht="16" customHeight="1" x14ac:dyDescent="0.15">
      <c r="B87" s="6"/>
      <c r="F87" s="190"/>
      <c r="G87" s="190"/>
      <c r="H87" s="190"/>
      <c r="I87" s="190"/>
      <c r="J87" s="190"/>
      <c r="K87" s="190"/>
      <c r="L87" s="7"/>
    </row>
    <row r="88" spans="2:14" ht="32.25" customHeight="1" x14ac:dyDescent="0.15">
      <c r="B88" s="6"/>
      <c r="F88" s="192" t="e">
        <f ca="1">"* Usted obtuvo un saldo de ahorro voluntario no previsional de UF "&amp;TEXT(VLOOKUP('APV-B'!L18,Tabla1,4),"###.#0")&amp;" ("&amp;TEXT(VLOOKUP('APV-B'!L18,Tabla1,4)*K9,"$###.#0")&amp;"), los cuales podrá utilizar de acuerdo al beneficio tributario elegido y la modalidad de retiro a elegir, con una probable pensión adicional voluntaria de UF "&amp;TEXT(VLOOKUP('APV-B'!L18,Tabla1,5),"###.#0")&amp;" ("&amp;TEXT(VLOOKUP('APV-B'!L18,Tabla1,6),"$###.#0")&amp;") . "</f>
        <v>#N/A</v>
      </c>
      <c r="G88" s="192"/>
      <c r="H88" s="192"/>
      <c r="I88" s="192"/>
      <c r="J88" s="192"/>
      <c r="K88" s="192"/>
      <c r="L88" s="7"/>
    </row>
    <row r="89" spans="2:14" ht="15" customHeight="1" x14ac:dyDescent="0.15">
      <c r="B89" s="6"/>
      <c r="F89" s="192"/>
      <c r="G89" s="192"/>
      <c r="H89" s="192"/>
      <c r="I89" s="192"/>
      <c r="J89" s="192"/>
      <c r="K89" s="192"/>
      <c r="L89" s="7"/>
    </row>
    <row r="90" spans="2:14" ht="16" x14ac:dyDescent="0.2">
      <c r="B90" s="6"/>
      <c r="F90" s="160"/>
      <c r="G90" s="160"/>
      <c r="H90" s="160"/>
      <c r="I90" s="161"/>
      <c r="J90" s="161"/>
      <c r="K90" s="161"/>
      <c r="L90" s="7"/>
    </row>
    <row r="91" spans="2:14" ht="16" x14ac:dyDescent="0.2">
      <c r="B91" s="6"/>
      <c r="F91" s="159" t="s">
        <v>29</v>
      </c>
      <c r="G91" s="160"/>
      <c r="H91" s="160"/>
      <c r="I91" s="161"/>
      <c r="J91" s="161"/>
      <c r="K91" s="161"/>
      <c r="L91" s="7"/>
    </row>
    <row r="92" spans="2:14" ht="16" x14ac:dyDescent="0.2">
      <c r="B92" s="6"/>
      <c r="F92" s="160" t="s">
        <v>30</v>
      </c>
      <c r="G92" s="160"/>
      <c r="H92" s="160"/>
      <c r="I92" s="161"/>
      <c r="J92" s="161"/>
      <c r="K92" s="161"/>
      <c r="L92" s="7"/>
    </row>
    <row r="93" spans="2:14" ht="16" x14ac:dyDescent="0.2">
      <c r="B93" s="6"/>
      <c r="F93" s="160" t="s">
        <v>31</v>
      </c>
      <c r="G93" s="160"/>
      <c r="H93" s="160"/>
      <c r="I93" s="161"/>
      <c r="J93" s="161"/>
      <c r="K93" s="161"/>
      <c r="L93" s="7"/>
    </row>
    <row r="94" spans="2:14" ht="16" x14ac:dyDescent="0.2">
      <c r="B94" s="6"/>
      <c r="F94" s="160" t="s">
        <v>32</v>
      </c>
      <c r="G94" s="160"/>
      <c r="H94" s="160"/>
      <c r="I94" s="161"/>
      <c r="J94" s="161"/>
      <c r="K94" s="161"/>
      <c r="L94" s="7"/>
    </row>
    <row r="95" spans="2:14" ht="16" x14ac:dyDescent="0.2">
      <c r="B95" s="6"/>
      <c r="F95" s="160" t="s">
        <v>33</v>
      </c>
      <c r="G95" s="160"/>
      <c r="H95" s="160"/>
      <c r="I95" s="161"/>
      <c r="J95" s="161"/>
      <c r="K95" s="161"/>
      <c r="L95" s="7"/>
    </row>
    <row r="96" spans="2:14" ht="16" x14ac:dyDescent="0.2">
      <c r="B96" s="6"/>
      <c r="F96" s="160" t="s">
        <v>34</v>
      </c>
      <c r="G96" s="160"/>
      <c r="H96" s="160"/>
      <c r="I96" s="161"/>
      <c r="J96" s="161"/>
      <c r="K96" s="161"/>
      <c r="L96" s="7"/>
    </row>
    <row r="97" spans="2:12" ht="15" customHeight="1" x14ac:dyDescent="0.15">
      <c r="B97" s="6"/>
      <c r="F97" s="190" t="s">
        <v>35</v>
      </c>
      <c r="G97" s="190"/>
      <c r="H97" s="190"/>
      <c r="I97" s="190"/>
      <c r="J97" s="190"/>
      <c r="K97" s="190"/>
      <c r="L97" s="7"/>
    </row>
    <row r="98" spans="2:12" ht="15" customHeight="1" x14ac:dyDescent="0.15">
      <c r="B98" s="6"/>
      <c r="F98" s="190"/>
      <c r="G98" s="190"/>
      <c r="H98" s="190"/>
      <c r="I98" s="190"/>
      <c r="J98" s="190"/>
      <c r="K98" s="190"/>
      <c r="L98" s="7"/>
    </row>
    <row r="99" spans="2:12" ht="15" customHeight="1" x14ac:dyDescent="0.15">
      <c r="B99" s="6"/>
      <c r="F99" s="190" t="s">
        <v>36</v>
      </c>
      <c r="G99" s="190"/>
      <c r="H99" s="190"/>
      <c r="I99" s="190"/>
      <c r="J99" s="190"/>
      <c r="K99" s="190"/>
      <c r="L99" s="7"/>
    </row>
    <row r="100" spans="2:12" ht="15" customHeight="1" x14ac:dyDescent="0.15">
      <c r="B100" s="6"/>
      <c r="F100" s="190"/>
      <c r="G100" s="190"/>
      <c r="H100" s="190"/>
      <c r="I100" s="190"/>
      <c r="J100" s="190"/>
      <c r="K100" s="190"/>
      <c r="L100" s="7"/>
    </row>
    <row r="101" spans="2:12" ht="16" x14ac:dyDescent="0.2">
      <c r="B101" s="6"/>
      <c r="F101" s="160" t="s">
        <v>37</v>
      </c>
      <c r="G101" s="160"/>
      <c r="H101" s="160"/>
      <c r="I101" s="161"/>
      <c r="J101" s="161"/>
      <c r="K101" s="161"/>
      <c r="L101" s="7"/>
    </row>
    <row r="102" spans="2:12" ht="7.5" customHeight="1" x14ac:dyDescent="0.2">
      <c r="B102" s="6"/>
      <c r="F102" s="160"/>
      <c r="G102" s="160"/>
      <c r="H102" s="160"/>
      <c r="I102" s="161"/>
      <c r="J102" s="161"/>
      <c r="K102" s="161"/>
      <c r="L102" s="7"/>
    </row>
    <row r="103" spans="2:12" ht="16" x14ac:dyDescent="0.2">
      <c r="B103" s="6"/>
      <c r="F103" s="162" t="s">
        <v>38</v>
      </c>
      <c r="G103" s="160"/>
      <c r="H103" s="160"/>
      <c r="I103" s="161"/>
      <c r="J103" s="161"/>
      <c r="K103" s="161"/>
      <c r="L103" s="7"/>
    </row>
    <row r="104" spans="2:12" ht="15" customHeight="1" x14ac:dyDescent="0.15">
      <c r="B104" s="6"/>
      <c r="F104" s="211" t="s">
        <v>39</v>
      </c>
      <c r="G104" s="211"/>
      <c r="H104" s="211"/>
      <c r="I104" s="211"/>
      <c r="J104" s="211"/>
      <c r="K104" s="211"/>
      <c r="L104" s="7"/>
    </row>
    <row r="105" spans="2:12" ht="15" customHeight="1" x14ac:dyDescent="0.15">
      <c r="B105" s="6"/>
      <c r="F105" s="211"/>
      <c r="G105" s="211"/>
      <c r="H105" s="211"/>
      <c r="I105" s="211"/>
      <c r="J105" s="211"/>
      <c r="K105" s="211"/>
      <c r="L105" s="7"/>
    </row>
    <row r="106" spans="2:12" ht="15" customHeight="1" x14ac:dyDescent="0.15">
      <c r="B106" s="6"/>
      <c r="F106" s="211"/>
      <c r="G106" s="211"/>
      <c r="H106" s="211"/>
      <c r="I106" s="211"/>
      <c r="J106" s="211"/>
      <c r="K106" s="211"/>
      <c r="L106" s="7"/>
    </row>
    <row r="107" spans="2:12" ht="61" customHeight="1" x14ac:dyDescent="0.2">
      <c r="B107" s="6"/>
      <c r="F107" s="193" t="s">
        <v>40</v>
      </c>
      <c r="G107" s="193"/>
      <c r="H107" s="193"/>
      <c r="I107" s="193"/>
      <c r="J107" s="193"/>
      <c r="K107" s="193"/>
      <c r="L107" s="7"/>
    </row>
    <row r="108" spans="2:12" ht="15" customHeight="1" x14ac:dyDescent="0.15">
      <c r="B108" s="6"/>
      <c r="F108" s="188" t="s">
        <v>41</v>
      </c>
      <c r="G108" s="188"/>
      <c r="H108" s="188"/>
      <c r="I108" s="188"/>
      <c r="J108" s="188"/>
      <c r="K108" s="188"/>
      <c r="L108" s="7"/>
    </row>
    <row r="109" spans="2:12" ht="16" customHeight="1" thickBot="1" x14ac:dyDescent="0.2">
      <c r="B109" s="10"/>
      <c r="C109" s="11"/>
      <c r="D109" s="11"/>
      <c r="E109" s="11"/>
      <c r="F109" s="189"/>
      <c r="G109" s="189"/>
      <c r="H109" s="189"/>
      <c r="I109" s="189"/>
      <c r="J109" s="189"/>
      <c r="K109" s="189"/>
      <c r="L109" s="12"/>
    </row>
  </sheetData>
  <sheetProtection algorithmName="SHA-512" hashValue="ONvDKbluCdYhRLWNSgqbu6erP4BUl1dFbCUOsfp9f0M8yIYrkNVxppoLHkwQWZ9bJnv4S9sdil6DcL8PiKUcaA==" saltValue="AToc3MeGKISqJnTOf/XXKQ==" spinCount="100000" sheet="1" objects="1" scenarios="1"/>
  <mergeCells count="25">
    <mergeCell ref="F69:J69"/>
    <mergeCell ref="F70:J70"/>
    <mergeCell ref="F59:G59"/>
    <mergeCell ref="F75:K75"/>
    <mergeCell ref="F104:K106"/>
    <mergeCell ref="F76:K77"/>
    <mergeCell ref="C63:L64"/>
    <mergeCell ref="B1:G1"/>
    <mergeCell ref="F58:K58"/>
    <mergeCell ref="G14:G15"/>
    <mergeCell ref="I13:I15"/>
    <mergeCell ref="J13:J15"/>
    <mergeCell ref="K13:K15"/>
    <mergeCell ref="F13:F15"/>
    <mergeCell ref="B7:I7"/>
    <mergeCell ref="J8:K8"/>
    <mergeCell ref="F108:K109"/>
    <mergeCell ref="F97:K98"/>
    <mergeCell ref="F99:K100"/>
    <mergeCell ref="F80:K80"/>
    <mergeCell ref="F82:K83"/>
    <mergeCell ref="F84:K85"/>
    <mergeCell ref="F86:K87"/>
    <mergeCell ref="F88:K89"/>
    <mergeCell ref="F107:K107"/>
  </mergeCells>
  <phoneticPr fontId="1" type="noConversion"/>
  <printOptions horizontalCentered="1" verticalCentered="1"/>
  <pageMargins left="0.39370078740157483" right="0.39370078740157483" top="0.39370078740157483" bottom="0.39370078740157483" header="0" footer="0"/>
  <pageSetup scale="80" orientation="portrait" r:id="rId1"/>
  <headerFooter alignWithMargins="0">
    <oddFooter>&amp;L&amp;1#&amp;"Calibri"&amp;9&amp;K737373Classification: Customer Confidential</oddFooter>
  </headerFooter>
  <rowBreaks count="1" manualBreakCount="1">
    <brk id="65" max="16383" man="1"/>
  </rowBreaks>
  <colBreaks count="1" manualBreakCount="1">
    <brk id="1" max="1048575" man="1"/>
  </colBreaks>
  <customProperties>
    <customPr name="QAA_DRILLPATH_NODE_ID" r:id="rId2"/>
  </customProperties>
  <drawing r:id="rId3"/>
  <extLst>
    <ext xmlns:x14="http://schemas.microsoft.com/office/spreadsheetml/2009/9/main" uri="{CCE6A557-97BC-4b89-ADB6-D9C93CAAB3DF}">
      <x14:dataValidations xmlns:xm="http://schemas.microsoft.com/office/excel/2006/main" count="1">
        <x14:dataValidation type="list" allowBlank="1" showInputMessage="1" showErrorMessage="1" xr:uid="{9F7419FB-4558-44F5-A2E7-08AD56B18915}">
          <x14:formula1>
            <xm:f>UF!$C$3:$C$4</xm:f>
          </x14:formula1>
          <xm:sqref>L9</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X126"/>
  <sheetViews>
    <sheetView tabSelected="1" zoomScaleNormal="100" workbookViewId="0">
      <selection activeCell="H8" sqref="H8:I8"/>
    </sheetView>
  </sheetViews>
  <sheetFormatPr baseColWidth="10" defaultColWidth="11.33203125" defaultRowHeight="13" x14ac:dyDescent="0.15"/>
  <cols>
    <col min="1" max="1" width="2.6640625" style="1" customWidth="1"/>
    <col min="2" max="3" width="1.6640625" style="1" customWidth="1"/>
    <col min="4" max="5" width="18.6640625" style="1" customWidth="1"/>
    <col min="6" max="6" width="20.6640625" style="1" customWidth="1"/>
    <col min="7" max="9" width="18.6640625" style="1" customWidth="1"/>
    <col min="10" max="10" width="15.33203125" style="1" customWidth="1"/>
    <col min="11" max="11" width="11.33203125" style="1"/>
    <col min="12" max="12" width="19.33203125" style="1" bestFit="1" customWidth="1"/>
    <col min="13" max="23" width="11.33203125" style="1"/>
    <col min="24" max="24" width="11.33203125" style="18"/>
    <col min="25" max="16384" width="11.33203125" style="1"/>
  </cols>
  <sheetData>
    <row r="1" spans="2:24" ht="18" customHeight="1" x14ac:dyDescent="0.15">
      <c r="B1" s="214" t="s">
        <v>0</v>
      </c>
      <c r="C1" s="215"/>
      <c r="D1" s="215"/>
      <c r="E1" s="216"/>
      <c r="G1" s="48"/>
      <c r="H1" s="48"/>
      <c r="I1" s="48"/>
      <c r="J1" s="65" t="s">
        <v>1</v>
      </c>
    </row>
    <row r="2" spans="2:24" ht="18" customHeight="1" x14ac:dyDescent="0.15">
      <c r="J2" s="65" t="s">
        <v>2</v>
      </c>
      <c r="X2" s="18" t="s">
        <v>11</v>
      </c>
    </row>
    <row r="3" spans="2:24" ht="16" customHeight="1" x14ac:dyDescent="0.15"/>
    <row r="4" spans="2:24" ht="16" customHeight="1" x14ac:dyDescent="0.15">
      <c r="L4" s="18"/>
      <c r="M4" s="18"/>
      <c r="N4" s="18"/>
      <c r="O4" s="18"/>
      <c r="P4" s="18"/>
      <c r="Q4" s="18"/>
      <c r="R4" s="18"/>
    </row>
    <row r="5" spans="2:24" ht="6" customHeight="1" thickBot="1" x14ac:dyDescent="0.2">
      <c r="L5" s="18"/>
      <c r="M5" s="18"/>
      <c r="N5" s="18"/>
      <c r="O5" s="18"/>
      <c r="P5" s="18"/>
      <c r="Q5" s="18"/>
      <c r="R5" s="18"/>
    </row>
    <row r="6" spans="2:24" ht="6" customHeight="1" x14ac:dyDescent="0.15">
      <c r="B6" s="3"/>
      <c r="C6" s="4"/>
      <c r="D6" s="4"/>
      <c r="E6" s="4"/>
      <c r="F6" s="4"/>
      <c r="G6" s="4"/>
      <c r="H6" s="4"/>
      <c r="I6" s="4"/>
      <c r="J6" s="5"/>
      <c r="L6" s="18"/>
      <c r="M6" s="18"/>
      <c r="N6" s="18"/>
      <c r="O6" s="18"/>
      <c r="P6" s="18"/>
      <c r="Q6" s="18"/>
      <c r="R6" s="18"/>
      <c r="X6" s="19">
        <v>0.03</v>
      </c>
    </row>
    <row r="7" spans="2:24" ht="18" customHeight="1" x14ac:dyDescent="0.2">
      <c r="B7" s="205" t="s">
        <v>42</v>
      </c>
      <c r="C7" s="206"/>
      <c r="D7" s="206"/>
      <c r="E7" s="206"/>
      <c r="F7" s="206"/>
      <c r="G7" s="206"/>
      <c r="H7" s="206"/>
      <c r="I7" s="206"/>
      <c r="J7" s="7"/>
      <c r="L7" s="18"/>
      <c r="M7" s="18"/>
      <c r="N7" s="18"/>
      <c r="O7" s="18"/>
      <c r="P7" s="18"/>
      <c r="Q7" s="18"/>
      <c r="R7" s="18"/>
      <c r="X7" s="19">
        <f>X6+0.5%</f>
        <v>3.4999999999999996E-2</v>
      </c>
    </row>
    <row r="8" spans="2:24" ht="12.25" customHeight="1" x14ac:dyDescent="0.2">
      <c r="B8" s="6"/>
      <c r="D8"/>
      <c r="E8" s="16"/>
      <c r="F8" s="16"/>
      <c r="G8" s="16"/>
      <c r="H8" s="208" t="str">
        <f>'APV-A'!J8</f>
        <v>Actualizado a Julio 2025</v>
      </c>
      <c r="I8" s="208"/>
      <c r="J8" s="7"/>
      <c r="L8" s="18" t="s">
        <v>43</v>
      </c>
      <c r="M8" s="18"/>
      <c r="N8" s="18" t="s">
        <v>4</v>
      </c>
      <c r="O8" s="18"/>
      <c r="P8" s="18"/>
      <c r="Q8" s="18"/>
      <c r="R8" s="18"/>
      <c r="V8" s="18"/>
      <c r="W8" s="18"/>
      <c r="X8" s="19">
        <f t="shared" ref="X8:X15" si="0">X7+0.5%</f>
        <v>3.9999999999999994E-2</v>
      </c>
    </row>
    <row r="9" spans="2:24" ht="16" x14ac:dyDescent="0.2">
      <c r="B9" s="6"/>
      <c r="D9" s="38"/>
      <c r="E9" s="153" t="s">
        <v>3</v>
      </c>
      <c r="F9" s="123">
        <f>Antecedentes!E5</f>
        <v>2500000</v>
      </c>
      <c r="G9" s="30"/>
      <c r="H9" s="47" t="s">
        <v>12</v>
      </c>
      <c r="I9" s="164">
        <f>IF(J9=UF!C3,UF!B3,UF!B4)</f>
        <v>39290.61</v>
      </c>
      <c r="J9" s="184" t="s">
        <v>106</v>
      </c>
      <c r="L9" s="18">
        <f>Impuesto!C5</f>
        <v>63074</v>
      </c>
      <c r="M9" s="18"/>
      <c r="N9" s="18" t="s">
        <v>6</v>
      </c>
      <c r="O9" s="18"/>
      <c r="P9" s="18"/>
      <c r="Q9" s="18"/>
      <c r="R9" s="18"/>
      <c r="V9" s="18"/>
      <c r="W9" s="18"/>
      <c r="X9" s="19">
        <f t="shared" si="0"/>
        <v>4.4999999999999991E-2</v>
      </c>
    </row>
    <row r="10" spans="2:24" ht="18" customHeight="1" x14ac:dyDescent="0.2">
      <c r="B10" s="6"/>
      <c r="D10" s="38"/>
      <c r="E10" s="153" t="s">
        <v>44</v>
      </c>
      <c r="F10" s="127">
        <f>Antecedentes!E6</f>
        <v>5</v>
      </c>
      <c r="G10" s="217" t="s">
        <v>9</v>
      </c>
      <c r="H10" s="217"/>
      <c r="I10" s="125">
        <f>Antecedentes!E10</f>
        <v>2.5000000000000001E-2</v>
      </c>
      <c r="J10" s="7"/>
      <c r="L10" s="97">
        <f>IF(F9/I9&lt;70.3,F9*(1-0.17-0.02),F9-70.3*I9*(0.17+0.02))</f>
        <v>2024999.9999999998</v>
      </c>
      <c r="M10" s="18"/>
      <c r="N10" s="18">
        <v>0</v>
      </c>
      <c r="O10" s="18">
        <v>13.5</v>
      </c>
      <c r="P10" s="98">
        <v>0</v>
      </c>
      <c r="Q10" s="18"/>
      <c r="R10" s="18"/>
      <c r="V10" s="18"/>
      <c r="W10" s="18"/>
      <c r="X10" s="19">
        <f t="shared" si="0"/>
        <v>4.9999999999999989E-2</v>
      </c>
    </row>
    <row r="11" spans="2:24" ht="18" customHeight="1" x14ac:dyDescent="0.2">
      <c r="B11" s="6"/>
      <c r="D11" s="15"/>
      <c r="E11" s="153" t="s">
        <v>7</v>
      </c>
      <c r="F11" s="123" t="str">
        <f>Antecedentes!E7</f>
        <v>F</v>
      </c>
      <c r="G11" s="217"/>
      <c r="H11" s="217"/>
      <c r="J11" s="7"/>
      <c r="L11" s="97">
        <f>IF(F9/I9&lt;105.4,F9*0.006,105.4*0.006*I9)</f>
        <v>15000</v>
      </c>
      <c r="M11" s="18"/>
      <c r="N11" s="99">
        <f t="shared" ref="N11:N17" si="1">O10+0.001</f>
        <v>13.500999999999999</v>
      </c>
      <c r="O11" s="18">
        <v>30</v>
      </c>
      <c r="P11" s="98">
        <v>0.04</v>
      </c>
      <c r="Q11" s="18">
        <v>0.54</v>
      </c>
      <c r="R11" s="18"/>
      <c r="V11" s="18"/>
      <c r="W11" s="18"/>
      <c r="X11" s="19">
        <f t="shared" si="0"/>
        <v>5.4999999999999986E-2</v>
      </c>
    </row>
    <row r="12" spans="2:24" ht="18" customHeight="1" x14ac:dyDescent="0.2">
      <c r="B12" s="6"/>
      <c r="D12" s="15"/>
      <c r="E12" s="153" t="s">
        <v>45</v>
      </c>
      <c r="F12" s="124">
        <f>Antecedentes!E8</f>
        <v>0</v>
      </c>
      <c r="G12" s="182"/>
      <c r="H12" s="182"/>
      <c r="J12" s="7"/>
      <c r="L12" s="100">
        <f>L10-L11</f>
        <v>2009999.9999999998</v>
      </c>
      <c r="M12" s="18"/>
      <c r="N12" s="101">
        <f t="shared" si="1"/>
        <v>30.001000000000001</v>
      </c>
      <c r="O12" s="18">
        <v>50</v>
      </c>
      <c r="P12" s="98">
        <v>0.08</v>
      </c>
      <c r="Q12" s="18">
        <v>1.74</v>
      </c>
      <c r="R12" s="18"/>
      <c r="V12" s="18"/>
      <c r="W12" s="18"/>
      <c r="X12" s="19">
        <f t="shared" si="0"/>
        <v>5.9999999999999984E-2</v>
      </c>
    </row>
    <row r="13" spans="2:24" ht="6" customHeight="1" x14ac:dyDescent="0.2">
      <c r="B13" s="6"/>
      <c r="D13" s="15"/>
      <c r="E13" s="15"/>
      <c r="F13" s="16"/>
      <c r="G13" s="182"/>
      <c r="H13" s="182"/>
      <c r="J13" s="7"/>
      <c r="L13" s="18"/>
      <c r="M13" s="18"/>
      <c r="N13" s="101">
        <f t="shared" si="1"/>
        <v>50.000999999999998</v>
      </c>
      <c r="O13" s="18">
        <v>70</v>
      </c>
      <c r="P13" s="98">
        <v>0.13500000000000001</v>
      </c>
      <c r="Q13" s="18">
        <v>4.49</v>
      </c>
      <c r="R13" s="18"/>
      <c r="V13" s="18"/>
      <c r="W13" s="18"/>
      <c r="X13" s="19">
        <f>X12+0.5%</f>
        <v>6.4999999999999988E-2</v>
      </c>
    </row>
    <row r="14" spans="2:24" ht="35.25" customHeight="1" x14ac:dyDescent="0.15">
      <c r="B14" s="6"/>
      <c r="D14" s="203" t="s">
        <v>46</v>
      </c>
      <c r="E14" s="49" t="s">
        <v>47</v>
      </c>
      <c r="F14" s="181" t="s">
        <v>48</v>
      </c>
      <c r="G14" s="203" t="s">
        <v>49</v>
      </c>
      <c r="H14" s="203" t="s">
        <v>50</v>
      </c>
      <c r="I14" s="203" t="s">
        <v>50</v>
      </c>
      <c r="J14" s="7"/>
      <c r="L14" s="100">
        <f>(L12)/L9</f>
        <v>31.867330437264162</v>
      </c>
      <c r="M14" s="18"/>
      <c r="N14" s="101">
        <f t="shared" si="1"/>
        <v>70.001000000000005</v>
      </c>
      <c r="O14" s="18">
        <v>90</v>
      </c>
      <c r="P14" s="98">
        <v>0.23</v>
      </c>
      <c r="Q14" s="18">
        <v>11.14</v>
      </c>
      <c r="R14" s="18"/>
      <c r="V14" s="18"/>
      <c r="W14" s="18"/>
      <c r="X14" s="19">
        <f t="shared" si="0"/>
        <v>6.9999999999999993E-2</v>
      </c>
    </row>
    <row r="15" spans="2:24" ht="35.25" customHeight="1" x14ac:dyDescent="0.15">
      <c r="B15" s="6"/>
      <c r="D15" s="202"/>
      <c r="E15" s="177">
        <f>MIN(F10*(1-L15),50*(1-L15))+IF(F10&gt;50,F10-50,0)</f>
        <v>4.6000000000000005</v>
      </c>
      <c r="F15" s="163">
        <f>MIN(F10-E15,0.4*50)</f>
        <v>0.39999999999999947</v>
      </c>
      <c r="G15" s="204"/>
      <c r="H15" s="204"/>
      <c r="I15" s="204"/>
      <c r="J15" s="7"/>
      <c r="L15" s="102">
        <f>VLOOKUP(L14,N10:P17,3)</f>
        <v>0.08</v>
      </c>
      <c r="M15" s="18"/>
      <c r="N15" s="101">
        <f t="shared" si="1"/>
        <v>90.001000000000005</v>
      </c>
      <c r="O15" s="18">
        <v>120</v>
      </c>
      <c r="P15" s="98">
        <v>0.30399999999999999</v>
      </c>
      <c r="Q15" s="18">
        <v>17.8</v>
      </c>
      <c r="R15" s="18"/>
      <c r="V15" s="18"/>
      <c r="W15" s="18"/>
      <c r="X15" s="19">
        <f t="shared" si="0"/>
        <v>7.4999999999999997E-2</v>
      </c>
    </row>
    <row r="16" spans="2:24" ht="18" customHeight="1" x14ac:dyDescent="0.15">
      <c r="B16" s="6"/>
      <c r="D16" s="49" t="s">
        <v>18</v>
      </c>
      <c r="E16" s="56" t="s">
        <v>19</v>
      </c>
      <c r="F16" s="50" t="s">
        <v>19</v>
      </c>
      <c r="G16" s="49" t="s">
        <v>19</v>
      </c>
      <c r="H16" s="49" t="s">
        <v>19</v>
      </c>
      <c r="I16" s="49" t="s">
        <v>20</v>
      </c>
      <c r="J16" s="7"/>
      <c r="L16" s="18"/>
      <c r="M16" s="18"/>
      <c r="N16" s="101">
        <f t="shared" si="1"/>
        <v>120.001</v>
      </c>
      <c r="O16" s="18">
        <v>150</v>
      </c>
      <c r="P16" s="98">
        <v>0.35499999999999998</v>
      </c>
      <c r="Q16" s="18">
        <v>23.92</v>
      </c>
      <c r="R16" s="18"/>
      <c r="V16" s="18"/>
      <c r="W16" s="18"/>
      <c r="X16" s="19">
        <f>X15+0.5%</f>
        <v>0.08</v>
      </c>
    </row>
    <row r="17" spans="2:24" ht="17.25" customHeight="1" x14ac:dyDescent="0.15">
      <c r="B17" s="25">
        <v>1</v>
      </c>
      <c r="D17" s="42">
        <v>1</v>
      </c>
      <c r="E17" s="66">
        <f>FV($F$60,12*B17,-$E$15)</f>
        <v>55.829680098201791</v>
      </c>
      <c r="F17" s="66">
        <f>FV($F$60,12*B17,-$F$15)</f>
        <v>4.8547547911479745</v>
      </c>
      <c r="G17" s="70">
        <f>F17+E17</f>
        <v>60.684434889349767</v>
      </c>
      <c r="H17" s="141">
        <f t="shared" ref="H17:H56" si="2">G17/(IF($F$11="M",CNU_H,CNU_M))</f>
        <v>0.24140518294752872</v>
      </c>
      <c r="I17" s="52">
        <f>H17*$I$9</f>
        <v>9484.9568951700021</v>
      </c>
      <c r="J17" s="7"/>
      <c r="L17" s="18" t="s">
        <v>51</v>
      </c>
      <c r="M17" s="18"/>
      <c r="N17" s="101">
        <f t="shared" si="1"/>
        <v>150.001</v>
      </c>
      <c r="O17" s="18"/>
      <c r="P17" s="98">
        <v>0.4</v>
      </c>
      <c r="Q17" s="18">
        <v>30.67</v>
      </c>
      <c r="R17" s="18"/>
      <c r="V17" s="18"/>
      <c r="W17" s="18"/>
    </row>
    <row r="18" spans="2:24" ht="17.25" customHeight="1" x14ac:dyDescent="0.15">
      <c r="B18" s="25">
        <v>2</v>
      </c>
      <c r="D18" s="43">
        <v>2</v>
      </c>
      <c r="E18" s="67">
        <f>FV($F$60,12*B18,-$E$15)</f>
        <v>113.05510219885842</v>
      </c>
      <c r="F18" s="67">
        <f>FV($F$60,12*B18,-$F$15)</f>
        <v>9.8308784520746304</v>
      </c>
      <c r="G18" s="71">
        <f>F18+E18</f>
        <v>122.88598065093305</v>
      </c>
      <c r="H18" s="142">
        <f>G18/(IF($F$11="M",CNU_H,CNU_M))</f>
        <v>0.48884549546874473</v>
      </c>
      <c r="I18" s="53">
        <f t="shared" ref="I18:I56" si="3">H18*$I$9</f>
        <v>19207.037712719215</v>
      </c>
      <c r="J18" s="7"/>
      <c r="L18" s="18">
        <f ca="1">YEAR(F12)+edadjub-YEAR(TODAY())</f>
        <v>-65</v>
      </c>
      <c r="M18" s="18"/>
      <c r="N18" s="18"/>
      <c r="O18" s="18"/>
      <c r="P18" s="18"/>
      <c r="Q18" s="18"/>
      <c r="R18" s="18"/>
      <c r="V18" s="18"/>
      <c r="W18" s="18"/>
    </row>
    <row r="19" spans="2:24" ht="17.25" customHeight="1" x14ac:dyDescent="0.15">
      <c r="B19" s="25">
        <v>3</v>
      </c>
      <c r="D19" s="44">
        <v>3</v>
      </c>
      <c r="E19" s="68">
        <f t="shared" ref="E19:E56" si="4">FV($F$60,12*B19,-$E$15)</f>
        <v>171.71115985203144</v>
      </c>
      <c r="F19" s="68">
        <f>FV($F$60,12*B19,-$F$15)</f>
        <v>14.931405204524452</v>
      </c>
      <c r="G19" s="72">
        <f t="shared" ref="G19:G56" si="5">F19+E19</f>
        <v>186.6425650565559</v>
      </c>
      <c r="H19" s="143">
        <f t="shared" si="2"/>
        <v>0.74247181580299104</v>
      </c>
      <c r="I19" s="54">
        <f t="shared" si="3"/>
        <v>29172.170550707157</v>
      </c>
      <c r="J19" s="7"/>
      <c r="L19" s="18" t="s">
        <v>52</v>
      </c>
      <c r="M19" s="18"/>
      <c r="N19" s="18"/>
      <c r="O19" s="18"/>
      <c r="P19" s="18"/>
      <c r="Q19" s="18"/>
      <c r="R19" s="18"/>
      <c r="V19" s="18"/>
      <c r="W19" s="18"/>
    </row>
    <row r="20" spans="2:24" ht="17.25" customHeight="1" x14ac:dyDescent="0.15">
      <c r="B20" s="25">
        <v>4</v>
      </c>
      <c r="D20" s="43">
        <v>4</v>
      </c>
      <c r="E20" s="67">
        <f t="shared" si="4"/>
        <v>231.8336189465337</v>
      </c>
      <c r="F20" s="67">
        <f t="shared" ref="F20:F56" si="6">FV($F$60,12*B20,-$F$15)</f>
        <v>20.15944512578551</v>
      </c>
      <c r="G20" s="71">
        <f t="shared" si="5"/>
        <v>251.99306407231921</v>
      </c>
      <c r="H20" s="142">
        <f t="shared" si="2"/>
        <v>1.0024387941455932</v>
      </c>
      <c r="I20" s="53">
        <f t="shared" si="3"/>
        <v>39386.431709644785</v>
      </c>
      <c r="J20" s="7"/>
      <c r="L20" s="18">
        <f>IF(F11="M",65,60)</f>
        <v>60</v>
      </c>
      <c r="M20" s="18"/>
      <c r="N20" s="18"/>
      <c r="O20" s="18"/>
      <c r="P20" s="18"/>
      <c r="Q20" s="18"/>
      <c r="R20" s="18"/>
      <c r="V20" s="18"/>
      <c r="W20" s="18"/>
    </row>
    <row r="21" spans="2:24" ht="17.25" customHeight="1" x14ac:dyDescent="0.15">
      <c r="B21" s="25">
        <v>5</v>
      </c>
      <c r="D21" s="44">
        <v>5</v>
      </c>
      <c r="E21" s="68">
        <f t="shared" si="4"/>
        <v>293.45913951839867</v>
      </c>
      <c r="F21" s="68">
        <f t="shared" si="6"/>
        <v>25.518186045078107</v>
      </c>
      <c r="G21" s="72">
        <f t="shared" si="5"/>
        <v>318.97732556347677</v>
      </c>
      <c r="H21" s="143">
        <f t="shared" si="2"/>
        <v>1.268904946946761</v>
      </c>
      <c r="I21" s="54">
        <f t="shared" si="3"/>
        <v>49856.049397555878</v>
      </c>
      <c r="J21" s="7"/>
      <c r="L21" s="18" t="s">
        <v>53</v>
      </c>
      <c r="M21" s="18"/>
      <c r="N21" s="18"/>
      <c r="O21" s="18"/>
      <c r="P21" s="18"/>
      <c r="Q21" s="18"/>
      <c r="R21" s="18"/>
      <c r="V21" s="18"/>
      <c r="W21" s="18"/>
    </row>
    <row r="22" spans="2:24" ht="17.25" customHeight="1" x14ac:dyDescent="0.15">
      <c r="B22" s="25">
        <v>6</v>
      </c>
      <c r="D22" s="43">
        <v>6</v>
      </c>
      <c r="E22" s="67">
        <f t="shared" si="4"/>
        <v>356.62529810455982</v>
      </c>
      <c r="F22" s="67">
        <f t="shared" si="6"/>
        <v>31.010895487352983</v>
      </c>
      <c r="G22" s="71">
        <f t="shared" si="5"/>
        <v>387.63619359191279</v>
      </c>
      <c r="H22" s="142">
        <f t="shared" si="2"/>
        <v>1.5420327535679561</v>
      </c>
      <c r="I22" s="53">
        <f t="shared" si="3"/>
        <v>60587.407527664676</v>
      </c>
      <c r="J22" s="7"/>
      <c r="L22" s="18">
        <f>IF(F11="M",40,35)</f>
        <v>35</v>
      </c>
      <c r="M22" s="18"/>
      <c r="N22" s="18"/>
      <c r="O22" s="18"/>
      <c r="P22" s="18"/>
      <c r="Q22" s="18"/>
      <c r="R22" s="18"/>
      <c r="V22" s="18"/>
      <c r="W22" s="18"/>
    </row>
    <row r="23" spans="2:24" ht="17.25" customHeight="1" x14ac:dyDescent="0.15">
      <c r="B23" s="25">
        <v>7</v>
      </c>
      <c r="D23" s="44">
        <v>7</v>
      </c>
      <c r="E23" s="68">
        <f t="shared" si="4"/>
        <v>421.37061065537546</v>
      </c>
      <c r="F23" s="68">
        <f t="shared" si="6"/>
        <v>36.640922665684769</v>
      </c>
      <c r="G23" s="72">
        <f t="shared" si="5"/>
        <v>458.01153332106026</v>
      </c>
      <c r="H23" s="143">
        <f t="shared" si="2"/>
        <v>1.8219887553546832</v>
      </c>
      <c r="I23" s="54">
        <f t="shared" si="3"/>
        <v>71587.049611026276</v>
      </c>
      <c r="J23" s="7"/>
      <c r="L23" s="18"/>
      <c r="M23" s="18"/>
      <c r="N23" s="18"/>
      <c r="O23" s="18"/>
      <c r="P23" s="18"/>
      <c r="Q23" s="18"/>
      <c r="R23" s="18"/>
      <c r="X23" s="1"/>
    </row>
    <row r="24" spans="2:24" ht="17.25" customHeight="1" x14ac:dyDescent="0.15">
      <c r="B24" s="25">
        <v>8</v>
      </c>
      <c r="D24" s="43">
        <v>8</v>
      </c>
      <c r="E24" s="67">
        <f t="shared" si="4"/>
        <v>487.73455601996028</v>
      </c>
      <c r="F24" s="67">
        <f t="shared" si="6"/>
        <v>42.41170052347475</v>
      </c>
      <c r="G24" s="71">
        <f t="shared" si="5"/>
        <v>530.14625654343502</v>
      </c>
      <c r="H24" s="142">
        <f t="shared" si="2"/>
        <v>2.1089436571860731</v>
      </c>
      <c r="I24" s="53">
        <f t="shared" si="3"/>
        <v>82861.682746471692</v>
      </c>
      <c r="J24" s="7"/>
      <c r="L24" s="18"/>
      <c r="M24" s="18"/>
      <c r="N24" s="18"/>
      <c r="O24" s="18"/>
      <c r="P24" s="18"/>
      <c r="Q24" s="18"/>
      <c r="R24" s="18"/>
    </row>
    <row r="25" spans="2:24" ht="17.25" customHeight="1" x14ac:dyDescent="0.15">
      <c r="B25" s="25">
        <v>9</v>
      </c>
      <c r="D25" s="44">
        <v>9</v>
      </c>
      <c r="E25" s="68">
        <f t="shared" si="4"/>
        <v>555.75760001866058</v>
      </c>
      <c r="F25" s="68">
        <f t="shared" si="6"/>
        <v>48.326747827709546</v>
      </c>
      <c r="G25" s="72">
        <f t="shared" si="5"/>
        <v>604.08434784637018</v>
      </c>
      <c r="H25" s="143">
        <f t="shared" si="2"/>
        <v>2.4030724315632517</v>
      </c>
      <c r="I25" s="54">
        <f t="shared" si="3"/>
        <v>94418.181710303412</v>
      </c>
      <c r="J25" s="7"/>
      <c r="L25" s="18"/>
      <c r="M25" s="18"/>
      <c r="N25" s="18"/>
      <c r="O25" s="18"/>
      <c r="P25" s="18"/>
    </row>
    <row r="26" spans="2:24" ht="17.25" customHeight="1" x14ac:dyDescent="0.15">
      <c r="B26" s="25">
        <v>10</v>
      </c>
      <c r="D26" s="43">
        <v>10</v>
      </c>
      <c r="E26" s="67">
        <f t="shared" si="4"/>
        <v>625.48122011732835</v>
      </c>
      <c r="F26" s="67">
        <f t="shared" si="6"/>
        <v>54.389671314550213</v>
      </c>
      <c r="G26" s="71">
        <f t="shared" si="5"/>
        <v>679.87089143187859</v>
      </c>
      <c r="H26" s="142">
        <f t="shared" si="2"/>
        <v>2.7045544252998592</v>
      </c>
      <c r="I26" s="53">
        <f t="shared" si="3"/>
        <v>106263.59314823091</v>
      </c>
      <c r="J26" s="7"/>
      <c r="L26" s="18"/>
      <c r="M26" s="18"/>
      <c r="N26" s="18"/>
      <c r="O26" s="18"/>
      <c r="P26" s="18"/>
    </row>
    <row r="27" spans="2:24" ht="17.25" customHeight="1" x14ac:dyDescent="0.15">
      <c r="B27" s="25">
        <v>11</v>
      </c>
      <c r="D27" s="44">
        <v>11</v>
      </c>
      <c r="E27" s="68">
        <f t="shared" si="4"/>
        <v>696.94793071846209</v>
      </c>
      <c r="F27" s="68">
        <f t="shared" si="6"/>
        <v>60.604167888561832</v>
      </c>
      <c r="G27" s="72">
        <f t="shared" si="5"/>
        <v>757.55209860702394</v>
      </c>
      <c r="H27" s="143">
        <f t="shared" si="2"/>
        <v>3.013573468879879</v>
      </c>
      <c r="I27" s="54">
        <f t="shared" si="3"/>
        <v>118405.13987210646</v>
      </c>
      <c r="J27" s="7"/>
      <c r="L27" s="18"/>
      <c r="M27" s="18"/>
      <c r="N27" s="18"/>
      <c r="O27" s="18"/>
      <c r="P27" s="18"/>
    </row>
    <row r="28" spans="2:24" ht="17.25" customHeight="1" x14ac:dyDescent="0.15">
      <c r="B28" s="25">
        <v>12</v>
      </c>
      <c r="D28" s="43">
        <v>12</v>
      </c>
      <c r="E28" s="67">
        <f t="shared" si="4"/>
        <v>770.20130908462443</v>
      </c>
      <c r="F28" s="67">
        <f t="shared" si="6"/>
        <v>66.974026876923773</v>
      </c>
      <c r="G28" s="71">
        <f t="shared" si="5"/>
        <v>837.17533596154817</v>
      </c>
      <c r="H28" s="142">
        <f t="shared" si="2"/>
        <v>3.3303179885494001</v>
      </c>
      <c r="I28" s="53">
        <f t="shared" si="3"/>
        <v>130850.22526407895</v>
      </c>
      <c r="J28" s="7"/>
      <c r="L28" s="18"/>
      <c r="M28" s="18"/>
      <c r="N28" s="18"/>
      <c r="O28" s="18"/>
      <c r="P28" s="18"/>
    </row>
    <row r="29" spans="2:24" ht="17.25" customHeight="1" x14ac:dyDescent="0.15">
      <c r="B29" s="25">
        <v>13</v>
      </c>
      <c r="D29" s="44">
        <v>13</v>
      </c>
      <c r="E29" s="68">
        <f t="shared" si="4"/>
        <v>845.28602190994116</v>
      </c>
      <c r="F29" s="68">
        <f t="shared" si="6"/>
        <v>73.503132339994778</v>
      </c>
      <c r="G29" s="72">
        <f t="shared" si="5"/>
        <v>918.7891542499359</v>
      </c>
      <c r="H29" s="143">
        <f t="shared" si="2"/>
        <v>3.6549811212106609</v>
      </c>
      <c r="I29" s="54">
        <f t="shared" si="3"/>
        <v>143606.43779085082</v>
      </c>
      <c r="J29" s="7"/>
      <c r="L29" s="18"/>
      <c r="M29" s="18"/>
      <c r="N29" s="18"/>
      <c r="O29" s="18"/>
      <c r="P29" s="18"/>
    </row>
    <row r="30" spans="2:24" ht="17.25" customHeight="1" x14ac:dyDescent="0.15">
      <c r="B30" s="25">
        <v>14</v>
      </c>
      <c r="D30" s="43">
        <v>14</v>
      </c>
      <c r="E30" s="67">
        <f t="shared" si="4"/>
        <v>922.24785255588961</v>
      </c>
      <c r="F30" s="67">
        <f t="shared" si="6"/>
        <v>80.195465439642462</v>
      </c>
      <c r="G30" s="71">
        <f t="shared" si="5"/>
        <v>1002.4433179955321</v>
      </c>
      <c r="H30" s="142">
        <f t="shared" si="2"/>
        <v>3.9877608321884481</v>
      </c>
      <c r="I30" s="53">
        <f t="shared" si="3"/>
        <v>156681.55563079176</v>
      </c>
      <c r="J30" s="7"/>
      <c r="L30" s="18"/>
      <c r="M30" s="18"/>
      <c r="N30" s="18"/>
      <c r="O30" s="18"/>
      <c r="P30" s="18"/>
    </row>
    <row r="31" spans="2:24" ht="17.25" customHeight="1" x14ac:dyDescent="0.15">
      <c r="B31" s="25">
        <v>15</v>
      </c>
      <c r="D31" s="44">
        <v>15</v>
      </c>
      <c r="E31" s="68">
        <f t="shared" si="4"/>
        <v>1001.1337289679878</v>
      </c>
      <c r="F31" s="68">
        <f t="shared" si="6"/>
        <v>87.055106866781429</v>
      </c>
      <c r="G31" s="72">
        <f t="shared" si="5"/>
        <v>1088.1888358347692</v>
      </c>
      <c r="H31" s="143">
        <f t="shared" si="2"/>
        <v>4.3288600359406839</v>
      </c>
      <c r="I31" s="54">
        <f t="shared" si="3"/>
        <v>170083.55141673141</v>
      </c>
      <c r="J31" s="7"/>
      <c r="L31" s="18"/>
      <c r="M31" s="18"/>
      <c r="N31" s="18"/>
      <c r="O31" s="18"/>
      <c r="P31" s="18"/>
    </row>
    <row r="32" spans="2:24" ht="17.25" customHeight="1" x14ac:dyDescent="0.15">
      <c r="B32" s="25">
        <v>16</v>
      </c>
      <c r="D32" s="43">
        <v>16</v>
      </c>
      <c r="E32" s="67">
        <f t="shared" si="4"/>
        <v>1081.9917522903875</v>
      </c>
      <c r="F32" s="67">
        <f t="shared" si="6"/>
        <v>94.086239329598783</v>
      </c>
      <c r="G32" s="71">
        <f t="shared" si="5"/>
        <v>1176.0779916199863</v>
      </c>
      <c r="H32" s="142">
        <f t="shared" si="2"/>
        <v>4.6784867197867221</v>
      </c>
      <c r="I32" s="53">
        <f t="shared" si="3"/>
        <v>183820.59709731938</v>
      </c>
      <c r="J32" s="7"/>
      <c r="L32" s="18"/>
      <c r="M32" s="18"/>
      <c r="N32" s="18"/>
      <c r="O32" s="18"/>
      <c r="P32" s="18"/>
    </row>
    <row r="33" spans="2:16" ht="17.25" customHeight="1" x14ac:dyDescent="0.15">
      <c r="B33" s="25">
        <v>17</v>
      </c>
      <c r="D33" s="44">
        <v>17</v>
      </c>
      <c r="E33" s="68">
        <f t="shared" si="4"/>
        <v>1164.8712261958474</v>
      </c>
      <c r="F33" s="68">
        <f t="shared" si="6"/>
        <v>101.29315010398659</v>
      </c>
      <c r="G33" s="72">
        <f t="shared" si="5"/>
        <v>1266.164376299834</v>
      </c>
      <c r="H33" s="143">
        <f t="shared" si="2"/>
        <v>5.0368540707289124</v>
      </c>
      <c r="I33" s="54">
        <f t="shared" si="3"/>
        <v>197901.06891992211</v>
      </c>
      <c r="J33" s="7"/>
      <c r="L33" s="18"/>
      <c r="M33" s="18"/>
      <c r="N33" s="18"/>
      <c r="O33" s="18"/>
      <c r="P33" s="18"/>
    </row>
    <row r="34" spans="2:16" ht="17.25" customHeight="1" x14ac:dyDescent="0.15">
      <c r="B34" s="25">
        <v>18</v>
      </c>
      <c r="D34" s="43">
        <v>18</v>
      </c>
      <c r="E34" s="67">
        <f t="shared" si="4"/>
        <v>1249.8226869489433</v>
      </c>
      <c r="F34" s="67">
        <f t="shared" si="6"/>
        <v>108.68023364773404</v>
      </c>
      <c r="G34" s="71">
        <f t="shared" si="5"/>
        <v>1358.5029205966773</v>
      </c>
      <c r="H34" s="142">
        <f t="shared" si="2"/>
        <v>5.4041806054446546</v>
      </c>
      <c r="I34" s="53">
        <f t="shared" si="3"/>
        <v>212333.5525380898</v>
      </c>
      <c r="J34" s="7"/>
      <c r="L34" s="18"/>
      <c r="M34" s="18"/>
      <c r="N34" s="18"/>
      <c r="O34" s="18"/>
      <c r="P34" s="18"/>
    </row>
    <row r="35" spans="2:16" ht="17.25" customHeight="1" x14ac:dyDescent="0.15">
      <c r="B35" s="25">
        <v>19</v>
      </c>
      <c r="D35" s="44">
        <v>19</v>
      </c>
      <c r="E35" s="68">
        <f t="shared" si="4"/>
        <v>1336.897934220867</v>
      </c>
      <c r="F35" s="68">
        <f t="shared" si="6"/>
        <v>116.25199428007522</v>
      </c>
      <c r="G35" s="72">
        <f t="shared" si="5"/>
        <v>1453.1499285009422</v>
      </c>
      <c r="H35" s="143">
        <f t="shared" si="2"/>
        <v>5.7806903035282931</v>
      </c>
      <c r="I35" s="54">
        <f t="shared" si="3"/>
        <v>227126.8482467118</v>
      </c>
      <c r="J35" s="7"/>
      <c r="L35" s="18"/>
      <c r="M35" s="18"/>
      <c r="N35" s="18"/>
      <c r="O35" s="18"/>
      <c r="P35" s="18"/>
    </row>
    <row r="36" spans="2:16" ht="17.25" customHeight="1" x14ac:dyDescent="0.15">
      <c r="B36" s="25">
        <v>20</v>
      </c>
      <c r="D36" s="43">
        <v>20</v>
      </c>
      <c r="E36" s="67">
        <f t="shared" si="4"/>
        <v>1426.1500626745881</v>
      </c>
      <c r="F36" s="67">
        <f t="shared" si="6"/>
        <v>124.01304892822488</v>
      </c>
      <c r="G36" s="71">
        <f t="shared" si="5"/>
        <v>1550.1631116028129</v>
      </c>
      <c r="H36" s="142">
        <f t="shared" si="2"/>
        <v>6.1666127440640182</v>
      </c>
      <c r="I36" s="53">
        <f t="shared" si="3"/>
        <v>242289.97634804915</v>
      </c>
      <c r="J36" s="7"/>
      <c r="L36" s="18"/>
      <c r="M36" s="18"/>
      <c r="N36" s="18"/>
      <c r="O36" s="18"/>
      <c r="P36" s="18"/>
    </row>
    <row r="37" spans="2:16" ht="17.25" customHeight="1" x14ac:dyDescent="0.15">
      <c r="B37" s="25">
        <v>21</v>
      </c>
      <c r="D37" s="44">
        <v>21</v>
      </c>
      <c r="E37" s="68">
        <f t="shared" si="4"/>
        <v>1517.6334943396535</v>
      </c>
      <c r="F37" s="68">
        <f t="shared" si="6"/>
        <v>131.96812994257837</v>
      </c>
      <c r="G37" s="72">
        <f t="shared" si="5"/>
        <v>1649.6016242822318</v>
      </c>
      <c r="H37" s="143">
        <f t="shared" si="2"/>
        <v>6.5621832456131424</v>
      </c>
      <c r="I37" s="54">
        <f t="shared" si="3"/>
        <v>257832.18265192019</v>
      </c>
      <c r="J37" s="7"/>
      <c r="L37" s="18"/>
      <c r="M37" s="18"/>
      <c r="N37" s="18"/>
      <c r="O37" s="18"/>
      <c r="P37" s="18"/>
    </row>
    <row r="38" spans="2:16" ht="17.25" customHeight="1" x14ac:dyDescent="0.15">
      <c r="B38" s="25">
        <v>22</v>
      </c>
      <c r="D38" s="43">
        <v>22</v>
      </c>
      <c r="E38" s="67">
        <f t="shared" si="4"/>
        <v>1611.4040117963439</v>
      </c>
      <c r="F38" s="67">
        <f t="shared" si="6"/>
        <v>140.12208798229057</v>
      </c>
      <c r="G38" s="71">
        <f t="shared" si="5"/>
        <v>1751.5260997786345</v>
      </c>
      <c r="H38" s="142">
        <f t="shared" si="2"/>
        <v>6.9676430097009883</v>
      </c>
      <c r="I38" s="53">
        <f t="shared" si="3"/>
        <v>273762.94411338773</v>
      </c>
      <c r="J38" s="7"/>
      <c r="L38" s="18"/>
      <c r="M38" s="18"/>
      <c r="N38" s="18"/>
      <c r="O38" s="18"/>
      <c r="P38" s="18"/>
    </row>
    <row r="39" spans="2:16" ht="17.25" customHeight="1" x14ac:dyDescent="0.15">
      <c r="B39" s="25">
        <v>23</v>
      </c>
      <c r="D39" s="44">
        <v>23</v>
      </c>
      <c r="E39" s="68">
        <f t="shared" si="4"/>
        <v>1707.5187921894519</v>
      </c>
      <c r="F39" s="68">
        <f t="shared" si="6"/>
        <v>148.4798949729956</v>
      </c>
      <c r="G39" s="72">
        <f t="shared" si="5"/>
        <v>1855.9986871624476</v>
      </c>
      <c r="H39" s="143">
        <f t="shared" si="2"/>
        <v>7.3832392678910317</v>
      </c>
      <c r="I39" s="54">
        <f t="shared" si="3"/>
        <v>290091.97461139207</v>
      </c>
      <c r="J39" s="7"/>
      <c r="L39" s="18"/>
      <c r="M39" s="18"/>
      <c r="N39" s="18"/>
      <c r="O39" s="18"/>
      <c r="P39" s="18"/>
    </row>
    <row r="40" spans="2:16" ht="17.25" customHeight="1" x14ac:dyDescent="0.15">
      <c r="B40" s="25">
        <v>24</v>
      </c>
      <c r="D40" s="43">
        <v>24</v>
      </c>
      <c r="E40" s="67">
        <f t="shared" si="4"/>
        <v>1806.036442092387</v>
      </c>
      <c r="F40" s="67">
        <f t="shared" si="6"/>
        <v>157.04664713846822</v>
      </c>
      <c r="G40" s="71">
        <f t="shared" si="5"/>
        <v>1963.0830892308552</v>
      </c>
      <c r="H40" s="142">
        <f t="shared" si="2"/>
        <v>7.8092254325358228</v>
      </c>
      <c r="I40" s="53">
        <f t="shared" si="3"/>
        <v>306829.23087184632</v>
      </c>
      <c r="J40" s="7"/>
      <c r="L40" s="18"/>
      <c r="M40" s="18"/>
      <c r="N40" s="18"/>
      <c r="O40" s="18"/>
      <c r="P40" s="18"/>
    </row>
    <row r="41" spans="2:16" ht="17.25" customHeight="1" x14ac:dyDescent="0.15">
      <c r="B41" s="25">
        <v>25</v>
      </c>
      <c r="D41" s="44">
        <v>25</v>
      </c>
      <c r="E41" s="68">
        <f t="shared" si="4"/>
        <v>1907.0170332428966</v>
      </c>
      <c r="F41" s="68">
        <f t="shared" si="6"/>
        <v>165.82756810807771</v>
      </c>
      <c r="G41" s="72">
        <f t="shared" si="5"/>
        <v>2072.8446013509742</v>
      </c>
      <c r="H41" s="143">
        <f t="shared" si="2"/>
        <v>8.2458612512967395</v>
      </c>
      <c r="I41" s="54">
        <f t="shared" si="3"/>
        <v>323984.9185388122</v>
      </c>
      <c r="J41" s="7"/>
      <c r="L41" s="18"/>
      <c r="M41" s="18"/>
      <c r="N41" s="18"/>
      <c r="O41" s="18"/>
      <c r="P41" s="18"/>
    </row>
    <row r="42" spans="2:16" ht="17.25" customHeight="1" x14ac:dyDescent="0.15">
      <c r="B42" s="25">
        <v>26</v>
      </c>
      <c r="D42" s="43">
        <v>26</v>
      </c>
      <c r="E42" s="67">
        <f t="shared" si="4"/>
        <v>2010.5221391721677</v>
      </c>
      <c r="F42" s="67">
        <f t="shared" si="6"/>
        <v>174.82801210192738</v>
      </c>
      <c r="G42" s="71">
        <f t="shared" si="5"/>
        <v>2185.350151274095</v>
      </c>
      <c r="H42" s="142">
        <f t="shared" si="2"/>
        <v>8.6934129655266723</v>
      </c>
      <c r="I42" s="53">
        <f t="shared" si="3"/>
        <v>341569.49839745194</v>
      </c>
      <c r="J42" s="7"/>
      <c r="L42" s="18"/>
      <c r="M42" s="18"/>
      <c r="N42" s="18"/>
      <c r="O42" s="18"/>
      <c r="P42" s="18"/>
    </row>
    <row r="43" spans="2:16" ht="17.25" customHeight="1" x14ac:dyDescent="0.15">
      <c r="B43" s="25">
        <v>27</v>
      </c>
      <c r="D43" s="44">
        <v>27</v>
      </c>
      <c r="E43" s="68">
        <f t="shared" si="4"/>
        <v>2116.6148727496702</v>
      </c>
      <c r="F43" s="68">
        <f t="shared" si="6"/>
        <v>184.05346719562326</v>
      </c>
      <c r="G43" s="72">
        <f t="shared" si="5"/>
        <v>2300.6683399452936</v>
      </c>
      <c r="H43" s="143">
        <f t="shared" si="2"/>
        <v>9.1521534726123548</v>
      </c>
      <c r="I43" s="54">
        <f t="shared" si="3"/>
        <v>359593.69275255769</v>
      </c>
      <c r="J43" s="7"/>
      <c r="L43" s="18"/>
      <c r="M43" s="18"/>
      <c r="N43" s="18"/>
      <c r="O43" s="18"/>
      <c r="P43" s="18"/>
    </row>
    <row r="44" spans="2:16" ht="17.25" customHeight="1" x14ac:dyDescent="0.15">
      <c r="B44" s="25">
        <v>28</v>
      </c>
      <c r="D44" s="43">
        <v>28</v>
      </c>
      <c r="E44" s="67">
        <f t="shared" si="4"/>
        <v>2225.3599246666108</v>
      </c>
      <c r="F44" s="67">
        <f t="shared" si="6"/>
        <v>193.50955866666155</v>
      </c>
      <c r="G44" s="71">
        <f t="shared" si="5"/>
        <v>2418.8694833332725</v>
      </c>
      <c r="H44" s="142">
        <f t="shared" si="2"/>
        <v>9.6223624923751796</v>
      </c>
      <c r="I44" s="53">
        <f t="shared" si="3"/>
        <v>378068.49196654116</v>
      </c>
      <c r="J44" s="7"/>
      <c r="L44" s="18"/>
      <c r="M44" s="18"/>
      <c r="N44" s="18"/>
      <c r="O44" s="18"/>
      <c r="P44" s="18"/>
    </row>
    <row r="45" spans="2:16" ht="17.25" customHeight="1" x14ac:dyDescent="0.15">
      <c r="B45" s="25">
        <v>29</v>
      </c>
      <c r="D45" s="44">
        <v>29</v>
      </c>
      <c r="E45" s="68">
        <f t="shared" si="4"/>
        <v>2336.8236028814754</v>
      </c>
      <c r="F45" s="68">
        <f t="shared" si="6"/>
        <v>203.20205242447582</v>
      </c>
      <c r="G45" s="72">
        <f t="shared" si="5"/>
        <v>2540.0256553059512</v>
      </c>
      <c r="H45" s="143">
        <f t="shared" si="2"/>
        <v>10.104326737632077</v>
      </c>
      <c r="I45" s="54">
        <f t="shared" si="3"/>
        <v>397005.16116087424</v>
      </c>
      <c r="J45" s="7"/>
      <c r="L45" s="18"/>
      <c r="M45" s="18"/>
      <c r="N45" s="18"/>
      <c r="O45" s="18"/>
      <c r="P45" s="18"/>
    </row>
    <row r="46" spans="2:16" ht="17.25" customHeight="1" x14ac:dyDescent="0.15">
      <c r="B46" s="25">
        <v>30</v>
      </c>
      <c r="D46" s="43">
        <v>30</v>
      </c>
      <c r="E46" s="67">
        <f t="shared" si="4"/>
        <v>2451.0738730517101</v>
      </c>
      <c r="F46" s="67">
        <f t="shared" si="6"/>
        <v>213.13685852623533</v>
      </c>
      <c r="G46" s="71">
        <f t="shared" si="5"/>
        <v>2664.2107315779454</v>
      </c>
      <c r="H46" s="142">
        <f t="shared" si="2"/>
        <v>10.59834008902039</v>
      </c>
      <c r="I46" s="53">
        <f t="shared" si="3"/>
        <v>416415.24708506541</v>
      </c>
      <c r="J46" s="7"/>
    </row>
    <row r="47" spans="2:16" ht="17.25" customHeight="1" x14ac:dyDescent="0.15">
      <c r="B47" s="25">
        <v>31</v>
      </c>
      <c r="D47" s="44">
        <v>31</v>
      </c>
      <c r="E47" s="68">
        <f t="shared" si="4"/>
        <v>2568.1803999762019</v>
      </c>
      <c r="F47" s="68">
        <f t="shared" si="6"/>
        <v>223.32003478053895</v>
      </c>
      <c r="G47" s="72">
        <f t="shared" si="5"/>
        <v>2791.500434756741</v>
      </c>
      <c r="H47" s="143">
        <f t="shared" si="2"/>
        <v>11.104703774193416</v>
      </c>
      <c r="I47" s="54">
        <f t="shared" si="3"/>
        <v>436310.58515736158</v>
      </c>
      <c r="J47" s="7"/>
    </row>
    <row r="48" spans="2:16" ht="17.25" customHeight="1" x14ac:dyDescent="0.15">
      <c r="B48" s="25">
        <v>32</v>
      </c>
      <c r="D48" s="43">
        <v>32</v>
      </c>
      <c r="E48" s="67">
        <f t="shared" si="4"/>
        <v>2688.2145900738037</v>
      </c>
      <c r="F48" s="67">
        <f t="shared" si="6"/>
        <v>233.7577904412</v>
      </c>
      <c r="G48" s="71">
        <f t="shared" si="5"/>
        <v>2921.9723805150038</v>
      </c>
      <c r="H48" s="142">
        <f t="shared" si="2"/>
        <v>11.623726551495759</v>
      </c>
      <c r="I48" s="53">
        <f t="shared" si="3"/>
        <v>456703.30668146478</v>
      </c>
      <c r="J48" s="7"/>
    </row>
    <row r="49" spans="1:10" ht="17.25" customHeight="1" x14ac:dyDescent="0.15">
      <c r="B49" s="25">
        <v>33</v>
      </c>
      <c r="D49" s="44">
        <v>33</v>
      </c>
      <c r="E49" s="68">
        <f t="shared" si="4"/>
        <v>2811.2496349238468</v>
      </c>
      <c r="F49" s="68">
        <f t="shared" si="6"/>
        <v>244.45648999337763</v>
      </c>
      <c r="G49" s="72">
        <f t="shared" si="5"/>
        <v>3055.7061249172243</v>
      </c>
      <c r="H49" s="143">
        <f t="shared" si="2"/>
        <v>12.155724898230664</v>
      </c>
      <c r="I49" s="54">
        <f t="shared" si="3"/>
        <v>477605.84624367073</v>
      </c>
      <c r="J49" s="7"/>
    </row>
    <row r="50" spans="1:10" ht="17.25" customHeight="1" x14ac:dyDescent="0.15">
      <c r="B50" s="25">
        <v>34</v>
      </c>
      <c r="D50" s="43">
        <v>34</v>
      </c>
      <c r="E50" s="67">
        <f t="shared" si="4"/>
        <v>2937.3605558951408</v>
      </c>
      <c r="F50" s="67">
        <f t="shared" si="6"/>
        <v>255.4226570343597</v>
      </c>
      <c r="G50" s="71">
        <f t="shared" si="5"/>
        <v>3192.7832129295007</v>
      </c>
      <c r="H50" s="142">
        <f t="shared" si="2"/>
        <v>12.701023203633943</v>
      </c>
      <c r="I50" s="53">
        <f t="shared" si="3"/>
        <v>499030.94929493184</v>
      </c>
      <c r="J50" s="7"/>
    </row>
    <row r="51" spans="1:10" ht="17.25" customHeight="1" x14ac:dyDescent="0.15">
      <c r="B51" s="25">
        <v>35</v>
      </c>
      <c r="D51" s="44">
        <v>35</v>
      </c>
      <c r="E51" s="68">
        <f t="shared" si="4"/>
        <v>3066.6242498907163</v>
      </c>
      <c r="F51" s="68">
        <f t="shared" si="6"/>
        <v>266.66297825136627</v>
      </c>
      <c r="G51" s="72">
        <f t="shared" si="5"/>
        <v>3333.2872281420828</v>
      </c>
      <c r="H51" s="143">
        <f t="shared" si="2"/>
        <v>13.259953966672301</v>
      </c>
      <c r="I51" s="54">
        <f t="shared" si="3"/>
        <v>520991.67992247437</v>
      </c>
      <c r="J51" s="7"/>
    </row>
    <row r="52" spans="1:10" ht="17.25" customHeight="1" x14ac:dyDescent="0.15">
      <c r="B52" s="25">
        <v>36</v>
      </c>
      <c r="D52" s="43">
        <v>36</v>
      </c>
      <c r="E52" s="67">
        <f t="shared" si="4"/>
        <v>3199.1195362361823</v>
      </c>
      <c r="F52" s="67">
        <f t="shared" si="6"/>
        <v>278.18430749879809</v>
      </c>
      <c r="G52" s="71">
        <f t="shared" si="5"/>
        <v>3477.3038437349805</v>
      </c>
      <c r="H52" s="142">
        <f t="shared" si="2"/>
        <v>13.83285799878662</v>
      </c>
      <c r="I52" s="53">
        <f t="shared" si="3"/>
        <v>543501.42881570559</v>
      </c>
      <c r="J52" s="7"/>
    </row>
    <row r="53" spans="1:10" ht="17.25" customHeight="1" x14ac:dyDescent="0.15">
      <c r="B53" s="25">
        <v>37</v>
      </c>
      <c r="D53" s="44">
        <v>37</v>
      </c>
      <c r="E53" s="68">
        <f t="shared" si="4"/>
        <v>3334.9272047402847</v>
      </c>
      <c r="F53" s="68">
        <f t="shared" si="6"/>
        <v>289.99366997741566</v>
      </c>
      <c r="G53" s="72">
        <f t="shared" si="5"/>
        <v>3624.9208747177004</v>
      </c>
      <c r="H53" s="143">
        <f t="shared" si="2"/>
        <v>14.420084631703796</v>
      </c>
      <c r="I53" s="54">
        <f t="shared" si="3"/>
        <v>566573.92143126752</v>
      </c>
      <c r="J53" s="7"/>
    </row>
    <row r="54" spans="1:10" ht="17.25" customHeight="1" x14ac:dyDescent="0.15">
      <c r="B54" s="25">
        <v>38</v>
      </c>
      <c r="D54" s="43">
        <v>38</v>
      </c>
      <c r="E54" s="67">
        <f t="shared" si="4"/>
        <v>3474.1300649569876</v>
      </c>
      <c r="F54" s="67">
        <f t="shared" si="6"/>
        <v>302.09826651799852</v>
      </c>
      <c r="G54" s="71">
        <f t="shared" si="5"/>
        <v>3776.2283314749861</v>
      </c>
      <c r="H54" s="142">
        <f t="shared" si="2"/>
        <v>15.021991930443894</v>
      </c>
      <c r="I54" s="53">
        <f t="shared" si="3"/>
        <v>590223.22636221815</v>
      </c>
      <c r="J54" s="7"/>
    </row>
    <row r="55" spans="1:10" ht="17.25" customHeight="1" x14ac:dyDescent="0.15">
      <c r="B55" s="25">
        <v>39</v>
      </c>
      <c r="D55" s="44">
        <v>39</v>
      </c>
      <c r="E55" s="68">
        <f t="shared" si="4"/>
        <v>3616.8129966791103</v>
      </c>
      <c r="F55" s="68">
        <f t="shared" si="6"/>
        <v>314.50547797209612</v>
      </c>
      <c r="G55" s="72">
        <f t="shared" si="5"/>
        <v>3931.3184746512065</v>
      </c>
      <c r="H55" s="143">
        <f t="shared" si="2"/>
        <v>15.638946911652505</v>
      </c>
      <c r="I55" s="54">
        <f t="shared" si="3"/>
        <v>614463.7639164431</v>
      </c>
      <c r="J55" s="7"/>
    </row>
    <row r="56" spans="1:10" ht="17.25" customHeight="1" x14ac:dyDescent="0.15">
      <c r="B56" s="25">
        <v>40</v>
      </c>
      <c r="D56" s="45">
        <v>40</v>
      </c>
      <c r="E56" s="69">
        <f t="shared" si="4"/>
        <v>3763.0630016942832</v>
      </c>
      <c r="F56" s="69">
        <f t="shared" si="6"/>
        <v>327.2228697125459</v>
      </c>
      <c r="G56" s="73">
        <f t="shared" si="5"/>
        <v>4090.2858714068293</v>
      </c>
      <c r="H56" s="144">
        <f t="shared" si="2"/>
        <v>16.271325767391318</v>
      </c>
      <c r="I56" s="55">
        <f t="shared" si="3"/>
        <v>639310.314909523</v>
      </c>
      <c r="J56" s="7"/>
    </row>
    <row r="57" spans="1:10" ht="6" customHeight="1" x14ac:dyDescent="0.15">
      <c r="B57" s="6"/>
      <c r="D57" s="13"/>
      <c r="E57" s="14"/>
      <c r="F57" s="14"/>
      <c r="G57" s="14"/>
      <c r="H57" s="14"/>
      <c r="I57" s="14"/>
      <c r="J57" s="7"/>
    </row>
    <row r="58" spans="1:10" ht="16.25" customHeight="1" x14ac:dyDescent="0.15">
      <c r="B58" s="6"/>
      <c r="D58" s="197" t="s">
        <v>54</v>
      </c>
      <c r="E58" s="197"/>
      <c r="F58" s="197"/>
      <c r="G58" s="197"/>
      <c r="H58" s="197"/>
      <c r="I58" s="197"/>
      <c r="J58" s="7"/>
    </row>
    <row r="59" spans="1:10" ht="18" hidden="1" customHeight="1" x14ac:dyDescent="0.15">
      <c r="B59" s="6"/>
      <c r="D59" s="39" t="s">
        <v>55</v>
      </c>
      <c r="E59" s="46"/>
      <c r="F59" s="46"/>
      <c r="G59" s="58">
        <f>I10</f>
        <v>2.5000000000000001E-2</v>
      </c>
      <c r="H59" s="46"/>
      <c r="I59" s="46"/>
      <c r="J59" s="7"/>
    </row>
    <row r="60" spans="1:10" ht="16.25" customHeight="1" x14ac:dyDescent="0.15">
      <c r="B60" s="6"/>
      <c r="D60" s="210" t="s">
        <v>22</v>
      </c>
      <c r="E60" s="210"/>
      <c r="F60" s="155">
        <f>+(1+G59)^(1/G61)-1</f>
        <v>2.0598362698427408E-3</v>
      </c>
      <c r="H60" s="46"/>
      <c r="I60" s="46"/>
      <c r="J60" s="7"/>
    </row>
    <row r="61" spans="1:10" ht="18" hidden="1" customHeight="1" x14ac:dyDescent="0.15">
      <c r="B61" s="6"/>
      <c r="D61" s="39" t="s">
        <v>24</v>
      </c>
      <c r="E61" s="46"/>
      <c r="F61" s="46"/>
      <c r="G61" s="21">
        <v>12</v>
      </c>
      <c r="H61" s="46"/>
      <c r="I61" s="46"/>
      <c r="J61" s="7"/>
    </row>
    <row r="62" spans="1:10" ht="7.5" customHeight="1" x14ac:dyDescent="0.15">
      <c r="B62" s="6"/>
      <c r="D62" s="39"/>
      <c r="E62" s="46"/>
      <c r="F62" s="46"/>
      <c r="G62" s="21"/>
      <c r="H62" s="46"/>
      <c r="I62" s="46"/>
      <c r="J62" s="7"/>
    </row>
    <row r="63" spans="1:10" ht="17.25" customHeight="1" x14ac:dyDescent="0.15">
      <c r="A63" s="6"/>
      <c r="B63" s="6"/>
      <c r="C63" s="219" t="str">
        <f>"Supuestos para el cálculo: Rentabilidad de "&amp;TEXT(I10*100,"#.#0,00")&amp;"% anual; la edad de jubilación legal para la mujer es 60 años y para el hombre es 65 años;    El CNU para una mujer de 60 años con cónyuge dos años mayor es de 241 y para un hombre de 65 con cónyuge dos años menor es de 212."</f>
        <v>Supuestos para el cálculo: Rentabilidad de 2,50% anual; la edad de jubilación legal para la mujer es 60 años y para el hombre es 65 años;    El CNU para una mujer de 60 años con cónyuge dos años mayor es de 241 y para un hombre de 65 con cónyuge dos años menor es de 212.</v>
      </c>
      <c r="D63" s="219"/>
      <c r="E63" s="219"/>
      <c r="F63" s="219"/>
      <c r="G63" s="219"/>
      <c r="H63" s="219"/>
      <c r="I63" s="219"/>
      <c r="J63" s="220"/>
    </row>
    <row r="64" spans="1:10" ht="17.25" customHeight="1" x14ac:dyDescent="0.15">
      <c r="A64" s="6"/>
      <c r="B64" s="6"/>
      <c r="C64" s="219"/>
      <c r="D64" s="219"/>
      <c r="E64" s="219"/>
      <c r="F64" s="219"/>
      <c r="G64" s="219"/>
      <c r="H64" s="219"/>
      <c r="I64" s="219"/>
      <c r="J64" s="220"/>
    </row>
    <row r="65" spans="2:18" ht="6" customHeight="1" thickBot="1" x14ac:dyDescent="0.2">
      <c r="B65" s="10"/>
      <c r="C65" s="11"/>
      <c r="D65" s="11"/>
      <c r="E65" s="11"/>
      <c r="F65" s="11"/>
      <c r="G65" s="11"/>
      <c r="H65" s="11"/>
      <c r="I65" s="11"/>
      <c r="J65" s="12"/>
    </row>
    <row r="66" spans="2:18" x14ac:dyDescent="0.15">
      <c r="B66" s="3"/>
      <c r="C66" s="4"/>
      <c r="D66" s="103"/>
      <c r="E66" s="103"/>
      <c r="F66" s="103"/>
      <c r="G66" s="104"/>
      <c r="H66" s="104"/>
      <c r="I66" s="104"/>
      <c r="J66" s="80"/>
      <c r="K66" s="74"/>
      <c r="R66" s="86"/>
    </row>
    <row r="67" spans="2:18" x14ac:dyDescent="0.15">
      <c r="B67" s="6"/>
      <c r="D67" s="105"/>
      <c r="E67" s="105"/>
      <c r="F67" s="105"/>
      <c r="G67" s="106"/>
      <c r="H67" s="106"/>
      <c r="I67" s="106"/>
      <c r="J67" s="81"/>
      <c r="K67" s="74"/>
      <c r="R67" s="86"/>
    </row>
    <row r="68" spans="2:18" x14ac:dyDescent="0.15">
      <c r="B68" s="6"/>
      <c r="D68"/>
      <c r="E68" s="105"/>
      <c r="F68" s="105"/>
      <c r="G68" s="106"/>
      <c r="H68" s="106"/>
      <c r="I68" s="106"/>
      <c r="J68" s="81"/>
      <c r="K68" s="74"/>
      <c r="R68" s="86"/>
    </row>
    <row r="69" spans="2:18" ht="18" x14ac:dyDescent="0.15">
      <c r="B69" s="6"/>
      <c r="D69" s="165"/>
      <c r="E69" s="209" t="s">
        <v>25</v>
      </c>
      <c r="F69" s="209"/>
      <c r="G69" s="209"/>
      <c r="H69" s="209"/>
      <c r="I69" s="209"/>
      <c r="J69" s="81"/>
      <c r="K69" s="74"/>
      <c r="R69" s="86"/>
    </row>
    <row r="70" spans="2:18" ht="18" x14ac:dyDescent="0.15">
      <c r="B70" s="6"/>
      <c r="D70" s="165"/>
      <c r="E70" s="209" t="s">
        <v>42</v>
      </c>
      <c r="F70" s="209"/>
      <c r="G70" s="209"/>
      <c r="H70" s="209"/>
      <c r="I70" s="209"/>
      <c r="J70" s="82"/>
      <c r="K70" s="79"/>
      <c r="L70" s="79"/>
      <c r="M70" s="79"/>
      <c r="N70" s="79"/>
      <c r="R70" s="86"/>
    </row>
    <row r="71" spans="2:18" ht="18" customHeight="1" x14ac:dyDescent="0.15">
      <c r="B71" s="6"/>
      <c r="D71" s="165"/>
      <c r="E71" s="180"/>
      <c r="F71" s="180"/>
      <c r="G71" s="180"/>
      <c r="H71" s="180"/>
      <c r="I71" s="180"/>
      <c r="J71" s="83"/>
      <c r="K71" s="75"/>
      <c r="L71" s="75"/>
      <c r="M71" s="75"/>
      <c r="N71" s="75"/>
      <c r="R71" s="86"/>
    </row>
    <row r="72" spans="2:18" ht="18" customHeight="1" x14ac:dyDescent="0.2">
      <c r="B72" s="6"/>
      <c r="D72" s="159" t="s">
        <v>56</v>
      </c>
      <c r="E72" s="160"/>
      <c r="F72" s="160"/>
      <c r="G72" s="161"/>
      <c r="H72" s="161"/>
      <c r="I72" s="161"/>
      <c r="J72" s="84"/>
      <c r="K72" s="77"/>
      <c r="L72" s="76"/>
      <c r="M72" s="76"/>
      <c r="N72" s="76"/>
      <c r="O72" s="76"/>
      <c r="P72" s="76"/>
      <c r="R72" s="86"/>
    </row>
    <row r="73" spans="2:18" ht="18" customHeight="1" x14ac:dyDescent="0.2">
      <c r="B73" s="6"/>
      <c r="D73" s="160" t="str">
        <f>"* Usted gana "&amp;TEXT(F9,"$###.#0") &amp;" mensuales y no esta dispuesto a ahorrar en APV-B."</f>
        <v>* Usted gana $2.500.000 mensuales y no esta dispuesto a ahorrar en APV-B.</v>
      </c>
      <c r="E73" s="160"/>
      <c r="F73" s="160"/>
      <c r="G73" s="161"/>
      <c r="H73" s="161"/>
      <c r="I73" s="161"/>
      <c r="J73" s="84"/>
      <c r="K73" s="77"/>
      <c r="L73" s="76"/>
      <c r="M73" s="76"/>
      <c r="N73" s="76"/>
      <c r="O73" s="76"/>
      <c r="P73" s="76"/>
      <c r="R73" s="86"/>
    </row>
    <row r="74" spans="2:18" ht="18" customHeight="1" x14ac:dyDescent="0.2">
      <c r="B74" s="6"/>
      <c r="D74" s="160" t="str">
        <f>"* Su saldo de ahorro voluntario es UF 0,00 ($0)."</f>
        <v>* Su saldo de ahorro voluntario es UF 0,00 ($0).</v>
      </c>
      <c r="E74" s="160"/>
      <c r="F74" s="160"/>
      <c r="G74" s="161"/>
      <c r="H74" s="161"/>
      <c r="I74" s="161"/>
      <c r="J74" s="84"/>
      <c r="K74" s="77"/>
      <c r="L74" s="76"/>
      <c r="M74" s="76"/>
      <c r="N74" s="76"/>
      <c r="O74" s="76"/>
      <c r="P74" s="76"/>
      <c r="R74" s="86"/>
    </row>
    <row r="75" spans="2:18" ht="18" customHeight="1" x14ac:dyDescent="0.2">
      <c r="B75" s="6"/>
      <c r="D75" s="192" t="str">
        <f>"* Por lo tanto, su incremento de pensión por ahorro voluntario es UF 0,00 ($0)."</f>
        <v>* Por lo tanto, su incremento de pensión por ahorro voluntario es UF 0,00 ($0).</v>
      </c>
      <c r="E75" s="192"/>
      <c r="F75" s="192"/>
      <c r="G75" s="192"/>
      <c r="H75" s="192"/>
      <c r="I75" s="192"/>
      <c r="J75" s="85"/>
      <c r="K75" s="78"/>
      <c r="L75" s="78"/>
      <c r="M75" s="78"/>
      <c r="N75" s="78"/>
      <c r="O75" s="78"/>
      <c r="P75" s="78"/>
      <c r="R75" s="86"/>
    </row>
    <row r="76" spans="2:18" ht="17.25" customHeight="1" x14ac:dyDescent="0.2">
      <c r="B76" s="6"/>
      <c r="D76" s="192" t="str">
        <f>"* Su pensión efectiva a los 65 años, sólo será la resultante del ahorro obligatorio que haya realizado, durante su vida activa UF "&amp;TEXT(VLOOKUP(L22,ahorroacum,6),"###.#0")&amp;" ("&amp;TEXT(VLOOKUP(L22,ahorroacum,5),"$###.#0")&amp;"). "</f>
        <v xml:space="preserve">* Su pensión efectiva a los 65 años, sólo será la resultante del ahorro obligatorio que haya realizado, durante su vida activa UF 3.613 ($141.956.513). </v>
      </c>
      <c r="E76" s="192"/>
      <c r="F76" s="192"/>
      <c r="G76" s="192"/>
      <c r="H76" s="192"/>
      <c r="I76" s="192"/>
      <c r="J76" s="85"/>
      <c r="K76" s="78"/>
      <c r="L76" s="78"/>
      <c r="M76" s="78"/>
      <c r="N76" s="78"/>
      <c r="O76" s="78"/>
      <c r="P76" s="78"/>
      <c r="R76" s="86"/>
    </row>
    <row r="77" spans="2:18" ht="17.25" customHeight="1" x14ac:dyDescent="0.2">
      <c r="B77" s="6"/>
      <c r="D77" s="192"/>
      <c r="E77" s="192"/>
      <c r="F77" s="192"/>
      <c r="G77" s="192"/>
      <c r="H77" s="192"/>
      <c r="I77" s="192"/>
      <c r="J77" s="85"/>
      <c r="K77" s="78"/>
      <c r="L77" s="78"/>
      <c r="M77" s="78"/>
      <c r="N77" s="78"/>
      <c r="O77" s="78"/>
      <c r="P77" s="78"/>
      <c r="R77" s="86"/>
    </row>
    <row r="78" spans="2:18" ht="18" customHeight="1" x14ac:dyDescent="0.2">
      <c r="B78" s="6"/>
      <c r="D78" s="160"/>
      <c r="E78" s="160"/>
      <c r="F78" s="160"/>
      <c r="G78" s="161"/>
      <c r="H78" s="161"/>
      <c r="I78" s="161"/>
      <c r="J78" s="84"/>
      <c r="K78" s="77"/>
      <c r="L78" s="76"/>
      <c r="M78" s="76"/>
      <c r="N78" s="76"/>
      <c r="O78" s="76"/>
      <c r="P78" s="76"/>
      <c r="R78" s="86"/>
    </row>
    <row r="79" spans="2:18" ht="18" customHeight="1" x14ac:dyDescent="0.2">
      <c r="B79" s="6"/>
      <c r="D79" s="159" t="s">
        <v>57</v>
      </c>
      <c r="E79" s="160"/>
      <c r="F79" s="160"/>
      <c r="G79" s="161"/>
      <c r="H79" s="161"/>
      <c r="I79" s="161"/>
      <c r="J79" s="84"/>
      <c r="K79" s="77"/>
      <c r="L79" s="76"/>
      <c r="M79" s="76"/>
      <c r="N79" s="76"/>
      <c r="O79" s="76"/>
      <c r="P79" s="76"/>
      <c r="R79" s="86"/>
    </row>
    <row r="80" spans="2:18" ht="18" customHeight="1" x14ac:dyDescent="0.2">
      <c r="B80" s="6"/>
      <c r="D80" s="160" t="str">
        <f>"* Usted gana "&amp;TEXT(F9,"$###.#0")&amp;" mensuales y esta dispuesto a ahorrar en APV-B."</f>
        <v>* Usted gana $2.500.000 mensuales y esta dispuesto a ahorrar en APV-B.</v>
      </c>
      <c r="E80" s="160"/>
      <c r="F80" s="160"/>
      <c r="G80" s="161"/>
      <c r="H80" s="161"/>
      <c r="I80" s="161"/>
      <c r="J80" s="84"/>
      <c r="K80" s="77"/>
      <c r="L80" s="87"/>
      <c r="M80" s="76"/>
      <c r="N80" s="76"/>
      <c r="O80" s="76"/>
      <c r="P80" s="76"/>
      <c r="R80" s="86"/>
    </row>
    <row r="81" spans="2:18" ht="18" customHeight="1" x14ac:dyDescent="0.2">
      <c r="B81" s="6"/>
      <c r="D81" s="160" t="str">
        <f>"* Ahorra voluntariamente en APV-B, UF "&amp;TEXT(F10,"###.#0") &amp; " ("&amp;TEXT(F10*I9,"$###.#0")&amp;")"</f>
        <v>* Ahorra voluntariamente en APV-B, UF 5 ($196.453)</v>
      </c>
      <c r="E81" s="160"/>
      <c r="F81" s="160"/>
      <c r="G81" s="161"/>
      <c r="H81" s="161"/>
      <c r="I81" s="161"/>
      <c r="J81" s="84"/>
      <c r="K81" s="77"/>
      <c r="L81" s="76"/>
      <c r="M81" s="76"/>
      <c r="N81" s="76"/>
      <c r="O81" s="76"/>
      <c r="P81" s="76"/>
      <c r="R81" s="86"/>
    </row>
    <row r="82" spans="2:18" ht="17.25" customHeight="1" x14ac:dyDescent="0.2">
      <c r="B82" s="6"/>
      <c r="D82" s="218" t="e">
        <f ca="1">"* Su saldo de ahorro voluntario en "&amp;L18&amp;" años es UF "&amp;TEXT(VLOOKUP(L18,tabla,4),"###.#0")&amp;" ("&amp;TEXT(VLOOKUP(L18,tabla,4)*I9,"$###.#0")&amp;").""De los cuales Usted aportó el "&amp;(1-L15)*100&amp;"%"&amp; " UF "&amp;TEXT(VLOOKUP(L18,tabla,2),"###.#0")&amp;" ("&amp;TEXT(VLOOKUP(L18,tabla,2)*I9,"$###.#0")&amp;")"&amp;" y el Estado aportó el "&amp;L15*100&amp;"% "&amp;"UF "&amp;TEXT(VLOOKUP(L18,tabla,3),"###.#0")&amp;" ("&amp;TEXT(VLOOKUP(L18,tabla,3)*I9,"$###.#0")&amp;") a través de la rebaja en su base tributable."</f>
        <v>#N/A</v>
      </c>
      <c r="E82" s="218"/>
      <c r="F82" s="218"/>
      <c r="G82" s="218"/>
      <c r="H82" s="218"/>
      <c r="I82" s="218"/>
      <c r="J82" s="84"/>
      <c r="K82" s="77"/>
      <c r="L82" s="76"/>
      <c r="M82" s="76"/>
      <c r="N82" s="76"/>
      <c r="O82" s="76"/>
      <c r="P82" s="76"/>
      <c r="R82" s="86"/>
    </row>
    <row r="83" spans="2:18" ht="17.25" customHeight="1" x14ac:dyDescent="0.2">
      <c r="B83" s="6"/>
      <c r="D83" s="218"/>
      <c r="E83" s="218"/>
      <c r="F83" s="218"/>
      <c r="G83" s="218"/>
      <c r="H83" s="218"/>
      <c r="I83" s="218"/>
      <c r="J83" s="84"/>
      <c r="K83" s="77"/>
      <c r="L83" s="111"/>
      <c r="M83" s="76"/>
      <c r="N83" s="76"/>
      <c r="O83" s="76"/>
      <c r="P83" s="76"/>
      <c r="R83" s="86"/>
    </row>
    <row r="84" spans="2:18" ht="17.25" customHeight="1" x14ac:dyDescent="0.2">
      <c r="B84" s="6"/>
      <c r="D84" s="218" t="e">
        <f ca="1">"* Con lo cual, su incremento de pensión por ahorro voluntario es UF "&amp;TEXT(VLOOKUP(L18,tabla,5),"###.#0")&amp;" ("&amp;TEXT(VLOOKUP(L18,tabla,6),"$###.#0")&amp;").""De los Usted aportó el "&amp;(1-L15)*100&amp;"%" &amp; " UF "  &amp;TEXT(VLOOKUP(L18,tabla,5)*(1-L15),"###.#0") &amp; " ("&amp;TEXT(VLOOKUP(L18,tabla,5)*(1-L15)*I9,"$###.#0")&amp;")"&amp;" y el Estado aportó el "&amp;L15*100&amp;"% " &amp;"UF "&amp;TEXT(VLOOKUP(L18,tabla,5)*(L15),"###.#0")&amp;" ("&amp;TEXT(VLOOKUP(L18,tabla,5)*(L15)*I9,"$###.#0")&amp;") a través de la rebaja en su base tributable. "</f>
        <v>#N/A</v>
      </c>
      <c r="E84" s="218"/>
      <c r="F84" s="218"/>
      <c r="G84" s="218"/>
      <c r="H84" s="218"/>
      <c r="I84" s="218"/>
      <c r="J84" s="85"/>
      <c r="K84" s="78"/>
      <c r="L84" s="78"/>
      <c r="M84" s="78"/>
      <c r="N84" s="78"/>
      <c r="O84" s="78"/>
      <c r="P84" s="78"/>
      <c r="R84" s="86"/>
    </row>
    <row r="85" spans="2:18" ht="17.25" customHeight="1" x14ac:dyDescent="0.2">
      <c r="B85" s="6"/>
      <c r="D85" s="218"/>
      <c r="E85" s="218"/>
      <c r="F85" s="218"/>
      <c r="G85" s="218"/>
      <c r="H85" s="218"/>
      <c r="I85" s="218"/>
      <c r="J85" s="85"/>
      <c r="K85" s="78"/>
      <c r="L85" s="78"/>
      <c r="M85" s="78"/>
      <c r="N85" s="78"/>
      <c r="O85" s="78"/>
      <c r="P85" s="78"/>
      <c r="R85" s="86"/>
    </row>
    <row r="86" spans="2:18" ht="17.25" customHeight="1" x14ac:dyDescent="0.2">
      <c r="B86" s="6"/>
      <c r="D86" s="218" t="e">
        <f ca="1">"* Su pensión efectiva a los "&amp;edadjub&amp; " años, será la resultante del ahorro obligatorio que haya realizado UF "&amp;TEXT(VLOOKUP(L22,ahorroacum,6),"###.#0")&amp;" ("&amp;TEXT(VLOOKUP(L22,ahorroacum,5),"$###.#0")&amp;"), durante su vida activa, más las UF "&amp;TEXT(VLOOKUP(L18,tabla,5),"###.#0")&amp;" ("&amp;TEXT(VLOOKUP(L18,tabla,6),"###.#0")&amp;") de pensión ahorradas voluntariamente."</f>
        <v>#N/A</v>
      </c>
      <c r="E86" s="218"/>
      <c r="F86" s="218"/>
      <c r="G86" s="218"/>
      <c r="H86" s="218"/>
      <c r="I86" s="218"/>
      <c r="J86" s="85"/>
      <c r="K86" s="78"/>
      <c r="L86" s="111"/>
      <c r="M86" s="78"/>
      <c r="N86" s="78"/>
      <c r="O86" s="78"/>
      <c r="P86" s="78"/>
      <c r="R86" s="86"/>
    </row>
    <row r="87" spans="2:18" ht="17.25" customHeight="1" x14ac:dyDescent="0.2">
      <c r="B87" s="6"/>
      <c r="D87" s="218"/>
      <c r="E87" s="218"/>
      <c r="F87" s="218"/>
      <c r="G87" s="218"/>
      <c r="H87" s="218"/>
      <c r="I87" s="218"/>
      <c r="J87" s="84"/>
      <c r="K87" s="77"/>
      <c r="L87" s="76"/>
      <c r="M87" s="76"/>
      <c r="N87" s="76"/>
      <c r="O87" s="76"/>
      <c r="P87" s="76"/>
      <c r="R87" s="86"/>
    </row>
    <row r="88" spans="2:18" ht="17.25" customHeight="1" x14ac:dyDescent="0.2">
      <c r="B88" s="6"/>
      <c r="D88" s="192" t="str">
        <f>"* Como beneficio adicional, dado que Usted estaba dispuesto a desembolsar UF "&amp;TEXT(F10,"###.#0") &amp;" en ahorro, y como en esta modalidad el Estado aporto UF "&amp;TEXT(F10*L15,"###.#0")&amp; " de esas UF "&amp;TEXT(F10,"###.#0") &amp;" como beneficio tributario, se podría usar las UF "&amp;TEXT(F10*L15,"###.#0")&amp;" sobrantes del desembolso original que Usted dispuso, para ahorrar invirtiendo en otros beneficios tributarios, tales como:"</f>
        <v>* Como beneficio adicional, dado que Usted estaba dispuesto a desembolsar UF 5 en ahorro, y como en esta modalidad el Estado aporto UF 0 de esas UF 5 como beneficio tributario, se podría usar las UF 0 sobrantes del desembolso original que Usted dispuso, para ahorrar invirtiendo en otros beneficios tributarios, tales como:</v>
      </c>
      <c r="E88" s="192"/>
      <c r="F88" s="192"/>
      <c r="G88" s="192"/>
      <c r="H88" s="192"/>
      <c r="I88" s="192"/>
      <c r="J88" s="85"/>
      <c r="K88" s="78"/>
      <c r="L88" s="107"/>
      <c r="M88" s="78"/>
      <c r="N88" s="78"/>
      <c r="O88" s="78"/>
      <c r="P88" s="78"/>
      <c r="R88" s="86"/>
    </row>
    <row r="89" spans="2:18" ht="17.25" customHeight="1" x14ac:dyDescent="0.2">
      <c r="B89" s="6"/>
      <c r="D89" s="192"/>
      <c r="E89" s="192"/>
      <c r="F89" s="192"/>
      <c r="G89" s="192"/>
      <c r="H89" s="192"/>
      <c r="I89" s="192"/>
      <c r="J89" s="85"/>
      <c r="K89" s="78"/>
      <c r="L89" s="109"/>
      <c r="M89" s="78"/>
      <c r="N89" s="78"/>
      <c r="O89" s="78"/>
      <c r="P89" s="78"/>
      <c r="R89" s="86"/>
    </row>
    <row r="90" spans="2:18" ht="17.25" customHeight="1" x14ac:dyDescent="0.2">
      <c r="B90" s="6"/>
      <c r="D90" s="192"/>
      <c r="E90" s="192"/>
      <c r="F90" s="192"/>
      <c r="G90" s="192"/>
      <c r="H90" s="192"/>
      <c r="I90" s="192"/>
      <c r="J90" s="85"/>
      <c r="K90" s="78"/>
      <c r="L90" s="109"/>
      <c r="M90" s="78"/>
      <c r="N90" s="78"/>
      <c r="O90" s="78"/>
      <c r="P90" s="78"/>
      <c r="R90" s="86"/>
    </row>
    <row r="91" spans="2:18" ht="18" customHeight="1" x14ac:dyDescent="0.2">
      <c r="B91" s="6"/>
      <c r="D91" s="190" t="s">
        <v>58</v>
      </c>
      <c r="E91" s="190"/>
      <c r="F91" s="190"/>
      <c r="G91" s="190"/>
      <c r="H91" s="190"/>
      <c r="I91" s="190"/>
      <c r="J91" s="85"/>
      <c r="K91" s="78"/>
      <c r="L91" s="108"/>
      <c r="M91" s="78"/>
      <c r="N91" s="78"/>
      <c r="O91" s="78"/>
      <c r="P91" s="78"/>
      <c r="R91" s="86"/>
    </row>
    <row r="92" spans="2:18" ht="18" customHeight="1" x14ac:dyDescent="0.2">
      <c r="B92" s="6"/>
      <c r="D92" s="190" t="s">
        <v>59</v>
      </c>
      <c r="E92" s="190"/>
      <c r="F92" s="190"/>
      <c r="G92" s="190"/>
      <c r="H92" s="190"/>
      <c r="I92" s="190"/>
      <c r="J92" s="85"/>
      <c r="K92" s="78"/>
      <c r="L92" s="78"/>
      <c r="M92" s="78"/>
      <c r="N92" s="78"/>
      <c r="O92" s="78"/>
      <c r="P92" s="78"/>
      <c r="R92" s="86"/>
    </row>
    <row r="93" spans="2:18" ht="18" customHeight="1" x14ac:dyDescent="0.2">
      <c r="B93" s="6"/>
      <c r="D93" s="190" t="s">
        <v>60</v>
      </c>
      <c r="E93" s="190"/>
      <c r="F93" s="190"/>
      <c r="G93" s="190"/>
      <c r="H93" s="190"/>
      <c r="I93" s="190"/>
      <c r="J93" s="85"/>
      <c r="K93" s="78"/>
      <c r="L93" s="78"/>
      <c r="M93" s="78"/>
      <c r="N93" s="78"/>
      <c r="O93" s="78"/>
      <c r="P93" s="78"/>
      <c r="R93" s="86"/>
    </row>
    <row r="94" spans="2:18" ht="18" customHeight="1" x14ac:dyDescent="0.2">
      <c r="B94" s="6"/>
      <c r="D94" s="160" t="s">
        <v>61</v>
      </c>
      <c r="E94" s="160"/>
      <c r="F94" s="160"/>
      <c r="G94" s="161"/>
      <c r="H94" s="161"/>
      <c r="I94" s="161"/>
      <c r="J94" s="84"/>
      <c r="K94" s="77"/>
      <c r="L94" s="76"/>
      <c r="M94" s="76"/>
      <c r="N94" s="76"/>
      <c r="O94" s="76"/>
      <c r="P94" s="76"/>
      <c r="R94" s="86"/>
    </row>
    <row r="95" spans="2:18" ht="17.25" customHeight="1" x14ac:dyDescent="0.2">
      <c r="B95" s="6"/>
      <c r="D95" s="192" t="e">
        <f ca="1">"* Usted obtuvo un saldo de ahorro voluntario no previsional de UF "&amp;TEXT(VLOOKUP(L18,tabla,4),"###.#0")&amp;" ("&amp;TEXT(VLOOKUP(L18,tabla,4)*I9,"$###.#0")&amp;"), los cuales podrá utilizar de acuerdo al beneficio tributario elegido y la modalidad de retiro a elegir, con una probable pensión adicional voluntaria de UF "&amp;TEXT(VLOOKUP(L18,tabla,5),"###.#0")&amp;" ("&amp;TEXT(VLOOKUP(L18,tabla,6),"$###.#0")&amp;") . "</f>
        <v>#N/A</v>
      </c>
      <c r="E95" s="192"/>
      <c r="F95" s="192"/>
      <c r="G95" s="192"/>
      <c r="H95" s="192"/>
      <c r="I95" s="192"/>
      <c r="J95" s="84"/>
      <c r="K95" s="77"/>
      <c r="L95" s="76"/>
      <c r="M95" s="76"/>
      <c r="N95" s="76"/>
      <c r="O95" s="76"/>
      <c r="P95" s="76"/>
      <c r="R95" s="86"/>
    </row>
    <row r="96" spans="2:18" ht="17.25" customHeight="1" x14ac:dyDescent="0.2">
      <c r="B96" s="6"/>
      <c r="D96" s="192"/>
      <c r="E96" s="192"/>
      <c r="F96" s="192"/>
      <c r="G96" s="192"/>
      <c r="H96" s="192"/>
      <c r="I96" s="192"/>
      <c r="J96" s="84"/>
      <c r="K96" s="77"/>
      <c r="L96" s="76"/>
      <c r="M96" s="76"/>
      <c r="N96" s="76"/>
      <c r="O96" s="76"/>
      <c r="P96" s="76"/>
      <c r="R96" s="86"/>
    </row>
    <row r="97" spans="2:18" ht="17.25" customHeight="1" x14ac:dyDescent="0.2">
      <c r="B97" s="6"/>
      <c r="D97" s="192"/>
      <c r="E97" s="192"/>
      <c r="F97" s="192"/>
      <c r="G97" s="192"/>
      <c r="H97" s="192"/>
      <c r="I97" s="192"/>
      <c r="J97" s="84"/>
      <c r="K97" s="77"/>
      <c r="L97" s="76"/>
      <c r="M97" s="76"/>
      <c r="N97" s="76"/>
      <c r="O97" s="76"/>
      <c r="P97" s="76"/>
      <c r="R97" s="86"/>
    </row>
    <row r="98" spans="2:18" ht="18" customHeight="1" x14ac:dyDescent="0.2">
      <c r="B98" s="6"/>
      <c r="D98" s="160"/>
      <c r="E98" s="160"/>
      <c r="F98" s="160"/>
      <c r="G98" s="161"/>
      <c r="H98" s="161"/>
      <c r="I98" s="161"/>
      <c r="J98" s="84"/>
      <c r="K98" s="77"/>
      <c r="L98" s="76"/>
      <c r="M98" s="76"/>
      <c r="N98" s="76"/>
      <c r="O98" s="76"/>
      <c r="P98" s="76"/>
      <c r="R98" s="86"/>
    </row>
    <row r="99" spans="2:18" ht="18" customHeight="1" x14ac:dyDescent="0.2">
      <c r="B99" s="6"/>
      <c r="D99" s="159" t="s">
        <v>29</v>
      </c>
      <c r="E99" s="160"/>
      <c r="F99" s="160"/>
      <c r="G99" s="161"/>
      <c r="H99" s="161"/>
      <c r="I99" s="161"/>
      <c r="J99" s="84"/>
      <c r="K99" s="77"/>
      <c r="L99" s="76"/>
      <c r="M99" s="76"/>
      <c r="N99" s="76"/>
      <c r="O99" s="76"/>
      <c r="P99" s="76"/>
      <c r="R99" s="86"/>
    </row>
    <row r="100" spans="2:18" ht="18" customHeight="1" x14ac:dyDescent="0.2">
      <c r="B100" s="6"/>
      <c r="D100" s="160" t="s">
        <v>30</v>
      </c>
      <c r="E100" s="160"/>
      <c r="F100" s="160"/>
      <c r="G100" s="161"/>
      <c r="H100" s="161"/>
      <c r="I100" s="161"/>
      <c r="J100" s="84"/>
      <c r="K100" s="77"/>
      <c r="L100" s="76"/>
      <c r="M100" s="76"/>
      <c r="N100" s="76"/>
      <c r="O100" s="76"/>
      <c r="P100" s="76"/>
      <c r="R100" s="86"/>
    </row>
    <row r="101" spans="2:18" ht="18" customHeight="1" x14ac:dyDescent="0.2">
      <c r="B101" s="6"/>
      <c r="D101" s="160" t="s">
        <v>31</v>
      </c>
      <c r="E101" s="160"/>
      <c r="F101" s="160"/>
      <c r="G101" s="161"/>
      <c r="H101" s="161"/>
      <c r="I101" s="161"/>
      <c r="J101" s="84"/>
      <c r="K101" s="77"/>
      <c r="L101" s="76"/>
      <c r="M101" s="76"/>
      <c r="N101" s="76"/>
      <c r="O101" s="76"/>
      <c r="P101" s="76"/>
      <c r="R101" s="86"/>
    </row>
    <row r="102" spans="2:18" ht="18" customHeight="1" x14ac:dyDescent="0.2">
      <c r="B102" s="6"/>
      <c r="D102" s="160" t="s">
        <v>32</v>
      </c>
      <c r="E102" s="160"/>
      <c r="F102" s="160"/>
      <c r="G102" s="161"/>
      <c r="H102" s="161"/>
      <c r="I102" s="161"/>
      <c r="J102" s="84"/>
      <c r="K102" s="77"/>
      <c r="L102" s="76"/>
      <c r="M102" s="76"/>
      <c r="N102" s="76"/>
      <c r="O102" s="76"/>
      <c r="P102" s="76"/>
      <c r="R102" s="86"/>
    </row>
    <row r="103" spans="2:18" ht="18" customHeight="1" x14ac:dyDescent="0.2">
      <c r="B103" s="6"/>
      <c r="D103" s="160" t="s">
        <v>33</v>
      </c>
      <c r="E103" s="160"/>
      <c r="F103" s="160"/>
      <c r="G103" s="161"/>
      <c r="H103" s="161"/>
      <c r="I103" s="161"/>
      <c r="J103" s="84"/>
      <c r="K103" s="77"/>
      <c r="L103" s="76"/>
      <c r="M103" s="76"/>
      <c r="N103" s="76"/>
      <c r="O103" s="76"/>
      <c r="P103" s="76"/>
      <c r="R103" s="86"/>
    </row>
    <row r="104" spans="2:18" ht="18" customHeight="1" x14ac:dyDescent="0.2">
      <c r="B104" s="6"/>
      <c r="D104" s="160" t="s">
        <v>34</v>
      </c>
      <c r="E104" s="160"/>
      <c r="F104" s="160"/>
      <c r="G104" s="161"/>
      <c r="H104" s="161"/>
      <c r="I104" s="161"/>
      <c r="J104" s="84"/>
      <c r="K104" s="77"/>
      <c r="L104" s="76"/>
      <c r="M104" s="76"/>
      <c r="N104" s="76"/>
      <c r="O104" s="76"/>
      <c r="P104" s="76"/>
      <c r="R104" s="86"/>
    </row>
    <row r="105" spans="2:18" ht="17.25" customHeight="1" x14ac:dyDescent="0.2">
      <c r="B105" s="6"/>
      <c r="D105" s="192" t="s">
        <v>35</v>
      </c>
      <c r="E105" s="192"/>
      <c r="F105" s="192"/>
      <c r="G105" s="192"/>
      <c r="H105" s="192"/>
      <c r="I105" s="192"/>
      <c r="J105" s="85"/>
      <c r="K105" s="78"/>
      <c r="L105" s="78"/>
      <c r="M105" s="78"/>
      <c r="N105" s="78"/>
      <c r="O105" s="78"/>
      <c r="P105" s="78"/>
      <c r="R105" s="86"/>
    </row>
    <row r="106" spans="2:18" ht="17.25" customHeight="1" x14ac:dyDescent="0.2">
      <c r="B106" s="6"/>
      <c r="D106" s="192"/>
      <c r="E106" s="192"/>
      <c r="F106" s="192"/>
      <c r="G106" s="192"/>
      <c r="H106" s="192"/>
      <c r="I106" s="192"/>
      <c r="J106" s="85"/>
      <c r="K106" s="78"/>
      <c r="L106" s="78"/>
      <c r="M106" s="78"/>
      <c r="N106" s="78"/>
      <c r="O106" s="78"/>
      <c r="P106" s="78"/>
      <c r="R106" s="86"/>
    </row>
    <row r="107" spans="2:18" ht="17.25" customHeight="1" x14ac:dyDescent="0.2">
      <c r="B107" s="6"/>
      <c r="D107" s="192" t="s">
        <v>36</v>
      </c>
      <c r="E107" s="192"/>
      <c r="F107" s="192"/>
      <c r="G107" s="192"/>
      <c r="H107" s="192"/>
      <c r="I107" s="192"/>
      <c r="J107" s="85"/>
      <c r="K107" s="112"/>
      <c r="L107" s="112"/>
      <c r="M107" s="112"/>
      <c r="N107" s="112"/>
      <c r="O107" s="112"/>
      <c r="P107" s="112"/>
      <c r="R107" s="86"/>
    </row>
    <row r="108" spans="2:18" ht="17.25" customHeight="1" x14ac:dyDescent="0.2">
      <c r="B108" s="6"/>
      <c r="D108" s="192"/>
      <c r="E108" s="192"/>
      <c r="F108" s="192"/>
      <c r="G108" s="192"/>
      <c r="H108" s="192"/>
      <c r="I108" s="192"/>
      <c r="J108" s="85"/>
      <c r="K108" s="112"/>
      <c r="L108" s="112"/>
      <c r="M108" s="112"/>
      <c r="N108" s="112"/>
      <c r="O108" s="112"/>
      <c r="P108" s="112"/>
      <c r="R108" s="86"/>
    </row>
    <row r="109" spans="2:18" ht="18" customHeight="1" x14ac:dyDescent="0.2">
      <c r="B109" s="6"/>
      <c r="D109" s="160" t="s">
        <v>62</v>
      </c>
      <c r="E109" s="160"/>
      <c r="F109" s="160"/>
      <c r="G109" s="161"/>
      <c r="H109" s="161"/>
      <c r="I109" s="161"/>
      <c r="J109" s="84"/>
      <c r="K109" s="77"/>
      <c r="L109" s="76"/>
      <c r="M109" s="76"/>
      <c r="N109" s="76"/>
      <c r="O109" s="76"/>
      <c r="P109" s="76"/>
      <c r="R109" s="86"/>
    </row>
    <row r="110" spans="2:18" ht="12.25" customHeight="1" x14ac:dyDescent="0.2">
      <c r="B110" s="6"/>
      <c r="D110" s="160"/>
      <c r="E110" s="160"/>
      <c r="F110" s="160"/>
      <c r="G110" s="161"/>
      <c r="H110" s="161"/>
      <c r="I110" s="161"/>
      <c r="J110" s="84"/>
      <c r="K110" s="77"/>
      <c r="L110" s="76"/>
      <c r="M110" s="76"/>
      <c r="N110" s="76"/>
      <c r="O110" s="76"/>
      <c r="P110" s="76"/>
      <c r="R110" s="86"/>
    </row>
    <row r="111" spans="2:18" ht="16.25" customHeight="1" x14ac:dyDescent="0.2">
      <c r="B111" s="6"/>
      <c r="D111" s="162" t="s">
        <v>38</v>
      </c>
      <c r="E111" s="160"/>
      <c r="F111" s="160"/>
      <c r="G111" s="161"/>
      <c r="H111" s="161"/>
      <c r="I111" s="161"/>
      <c r="J111" s="84"/>
      <c r="K111" s="77"/>
      <c r="L111" s="76"/>
      <c r="M111" s="76"/>
      <c r="N111" s="76"/>
      <c r="O111" s="76"/>
      <c r="P111" s="76"/>
      <c r="R111" s="86"/>
    </row>
    <row r="112" spans="2:18" ht="16.25" customHeight="1" x14ac:dyDescent="0.2">
      <c r="B112" s="6"/>
      <c r="D112" s="221" t="s">
        <v>39</v>
      </c>
      <c r="E112" s="221"/>
      <c r="F112" s="221"/>
      <c r="G112" s="221"/>
      <c r="H112" s="221"/>
      <c r="I112" s="221"/>
      <c r="J112" s="84"/>
      <c r="K112" s="77"/>
      <c r="L112" s="76"/>
      <c r="M112" s="76"/>
      <c r="N112" s="76"/>
      <c r="O112" s="76"/>
      <c r="P112" s="76"/>
      <c r="R112" s="86"/>
    </row>
    <row r="113" spans="2:18" ht="16.25" customHeight="1" x14ac:dyDescent="0.2">
      <c r="B113" s="6"/>
      <c r="D113" s="221"/>
      <c r="E113" s="221"/>
      <c r="F113" s="221"/>
      <c r="G113" s="221"/>
      <c r="H113" s="221"/>
      <c r="I113" s="221"/>
      <c r="J113" s="84"/>
      <c r="K113" s="77"/>
      <c r="L113" s="76"/>
      <c r="M113" s="76"/>
      <c r="N113" s="76"/>
      <c r="O113" s="76"/>
      <c r="P113" s="76"/>
      <c r="R113" s="86"/>
    </row>
    <row r="114" spans="2:18" ht="16.25" customHeight="1" x14ac:dyDescent="0.2">
      <c r="B114" s="6"/>
      <c r="D114" s="221"/>
      <c r="E114" s="221"/>
      <c r="F114" s="221"/>
      <c r="G114" s="221"/>
      <c r="H114" s="221"/>
      <c r="I114" s="221"/>
      <c r="J114" s="84"/>
      <c r="K114" s="77"/>
      <c r="L114" s="76"/>
      <c r="M114" s="76"/>
      <c r="N114" s="76"/>
      <c r="O114" s="76"/>
      <c r="P114" s="76"/>
      <c r="R114" s="86"/>
    </row>
    <row r="115" spans="2:18" ht="90.75" customHeight="1" x14ac:dyDescent="0.2">
      <c r="B115" s="6"/>
      <c r="D115" s="188" t="s">
        <v>63</v>
      </c>
      <c r="E115" s="188"/>
      <c r="F115" s="188"/>
      <c r="G115" s="188"/>
      <c r="H115" s="188"/>
      <c r="I115" s="188"/>
      <c r="J115" s="84"/>
      <c r="K115" s="77"/>
      <c r="L115" s="76"/>
      <c r="M115" s="76"/>
      <c r="N115" s="76"/>
      <c r="O115" s="76"/>
      <c r="P115" s="76"/>
      <c r="R115" s="86"/>
    </row>
    <row r="116" spans="2:18" ht="16.25" customHeight="1" x14ac:dyDescent="0.2">
      <c r="B116" s="6"/>
      <c r="D116" s="221" t="s">
        <v>41</v>
      </c>
      <c r="E116" s="221"/>
      <c r="F116" s="221"/>
      <c r="G116" s="221"/>
      <c r="H116" s="221"/>
      <c r="I116" s="221"/>
      <c r="J116" s="84"/>
      <c r="K116" s="77"/>
      <c r="L116" s="76"/>
      <c r="M116" s="76"/>
      <c r="N116" s="76"/>
      <c r="O116" s="76"/>
      <c r="P116" s="76"/>
      <c r="R116" s="86"/>
    </row>
    <row r="117" spans="2:18" ht="16.25" customHeight="1" x14ac:dyDescent="0.2">
      <c r="B117" s="6"/>
      <c r="D117" s="221"/>
      <c r="E117" s="221"/>
      <c r="F117" s="221"/>
      <c r="G117" s="221"/>
      <c r="H117" s="221"/>
      <c r="I117" s="221"/>
      <c r="J117" s="84"/>
      <c r="K117" s="77"/>
      <c r="L117" s="76"/>
      <c r="M117" s="76"/>
      <c r="N117" s="76"/>
      <c r="O117" s="76"/>
      <c r="P117" s="76"/>
      <c r="R117" s="86"/>
    </row>
    <row r="118" spans="2:18" ht="5.25" customHeight="1" thickBot="1" x14ac:dyDescent="0.2">
      <c r="B118" s="10"/>
      <c r="C118" s="11"/>
      <c r="D118" s="11"/>
      <c r="E118" s="11"/>
      <c r="F118" s="11"/>
      <c r="G118" s="11"/>
      <c r="H118" s="11"/>
      <c r="I118" s="11"/>
      <c r="J118" s="12"/>
    </row>
    <row r="120" spans="2:18" ht="18" customHeight="1" x14ac:dyDescent="0.15"/>
    <row r="121" spans="2:18" ht="12.25" customHeight="1" x14ac:dyDescent="0.15"/>
    <row r="122" spans="2:18" ht="13" customHeight="1" x14ac:dyDescent="0.15"/>
    <row r="124" spans="2:18" ht="15" customHeight="1" x14ac:dyDescent="0.15"/>
    <row r="125" spans="2:18" ht="13" customHeight="1" x14ac:dyDescent="0.15"/>
    <row r="126" spans="2:18" ht="13" customHeight="1" x14ac:dyDescent="0.2">
      <c r="D126" s="110"/>
      <c r="E126" s="110"/>
      <c r="F126" s="110"/>
      <c r="G126" s="110"/>
      <c r="H126" s="110"/>
      <c r="I126" s="110"/>
    </row>
  </sheetData>
  <sheetProtection algorithmName="SHA-512" hashValue="BsUyBROHlwaLFKNcPkD7Ml6Yp7WoWr2fc/lQue/1KDW7caj1wr0PuG2KANhRRJpDFHW55uoFOVdr+Z6soTIy8A==" saltValue="P8ogfMjKKit5I2OKTcvS8w==" spinCount="100000" sheet="1" objects="1" scenarios="1"/>
  <protectedRanges>
    <protectedRange sqref="D1" name="Rango1"/>
  </protectedRanges>
  <mergeCells count="28">
    <mergeCell ref="D115:I115"/>
    <mergeCell ref="D107:I108"/>
    <mergeCell ref="D112:I114"/>
    <mergeCell ref="D116:I117"/>
    <mergeCell ref="D95:I97"/>
    <mergeCell ref="D105:I106"/>
    <mergeCell ref="D58:I58"/>
    <mergeCell ref="D93:I93"/>
    <mergeCell ref="D91:I91"/>
    <mergeCell ref="D92:I92"/>
    <mergeCell ref="E69:I69"/>
    <mergeCell ref="E70:I70"/>
    <mergeCell ref="D75:I75"/>
    <mergeCell ref="D76:I77"/>
    <mergeCell ref="D82:I83"/>
    <mergeCell ref="D84:I85"/>
    <mergeCell ref="C63:J64"/>
    <mergeCell ref="D60:E60"/>
    <mergeCell ref="D86:I87"/>
    <mergeCell ref="D88:I90"/>
    <mergeCell ref="B7:I7"/>
    <mergeCell ref="H8:I8"/>
    <mergeCell ref="B1:E1"/>
    <mergeCell ref="G14:G15"/>
    <mergeCell ref="H14:H15"/>
    <mergeCell ref="I14:I15"/>
    <mergeCell ref="G10:H11"/>
    <mergeCell ref="D14:D15"/>
  </mergeCells>
  <phoneticPr fontId="1" type="noConversion"/>
  <dataValidations count="1">
    <dataValidation type="list" allowBlank="1" showInputMessage="1" showErrorMessage="1" sqref="G59" xr:uid="{00000000-0002-0000-0200-000000000000}">
      <formula1>$X$6:$X$15</formula1>
    </dataValidation>
  </dataValidations>
  <printOptions horizontalCentered="1" verticalCentered="1"/>
  <pageMargins left="0.39370078740157483" right="0.39370078740157483" top="0.39370078740157483" bottom="0.39370078740157483" header="0" footer="0"/>
  <pageSetup scale="78" orientation="portrait" horizontalDpi="300" verticalDpi="300" r:id="rId1"/>
  <headerFooter alignWithMargins="0">
    <oddFooter>&amp;L&amp;1#&amp;"Calibri"&amp;9&amp;K737373Classification: Customer Confidential</oddFooter>
  </headerFooter>
  <rowBreaks count="1" manualBreakCount="1">
    <brk id="65" min="1" max="9" man="1"/>
  </rowBreaks>
  <customProperties>
    <customPr name="QAA_DRILLPATH_NODE_ID" r:id="rId2"/>
  </customProperties>
  <drawing r:id="rId3"/>
  <extLst>
    <ext xmlns:x14="http://schemas.microsoft.com/office/spreadsheetml/2009/9/main" uri="{CCE6A557-97BC-4b89-ADB6-D9C93CAAB3DF}">
      <x14:dataValidations xmlns:xm="http://schemas.microsoft.com/office/excel/2006/main" count="1">
        <x14:dataValidation type="list" allowBlank="1" showInputMessage="1" showErrorMessage="1" xr:uid="{BCBE4BDC-6192-4B82-A180-37BEE608A746}">
          <x14:formula1>
            <xm:f>UF!$C$3:$C$4</xm:f>
          </x14:formula1>
          <xm:sqref>J9</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2AD7A2-ACE5-4CE3-AC29-A8C0AA8264DD}">
  <dimension ref="B2:G4"/>
  <sheetViews>
    <sheetView workbookViewId="0">
      <selection activeCell="B2" sqref="B2:G4"/>
    </sheetView>
  </sheetViews>
  <sheetFormatPr baseColWidth="10" defaultColWidth="11.5" defaultRowHeight="13" x14ac:dyDescent="0.15"/>
  <sheetData>
    <row r="2" spans="2:7" ht="14" x14ac:dyDescent="0.15">
      <c r="B2" t="s">
        <v>19</v>
      </c>
      <c r="C2" t="s">
        <v>64</v>
      </c>
      <c r="F2" s="32" t="s">
        <v>104</v>
      </c>
      <c r="G2" s="186">
        <v>68923</v>
      </c>
    </row>
    <row r="3" spans="2:7" ht="14" x14ac:dyDescent="0.15">
      <c r="B3" s="187">
        <v>39267.07</v>
      </c>
      <c r="C3" s="32" t="s">
        <v>105</v>
      </c>
    </row>
    <row r="4" spans="2:7" ht="14" x14ac:dyDescent="0.15">
      <c r="B4" s="187">
        <v>39290.61</v>
      </c>
      <c r="C4" s="32" t="s">
        <v>106</v>
      </c>
    </row>
  </sheetData>
  <pageMargins left="0.7" right="0.7" top="0.75" bottom="0.75" header="0.3" footer="0.3"/>
  <pageSetup orientation="portrait" r:id="rId1"/>
  <headerFooter>
    <oddFooter>&amp;L&amp;1#&amp;"Calibri"&amp;9&amp;K737373Classification: Customer Confidential</oddFooter>
  </headerFooter>
  <customProperties>
    <customPr name="QAA_DRILLPATH_NODE_ID" r:id="rId2"/>
  </customPropertie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4"/>
  <dimension ref="B1:H20"/>
  <sheetViews>
    <sheetView workbookViewId="0">
      <selection activeCell="C5" sqref="C5"/>
    </sheetView>
  </sheetViews>
  <sheetFormatPr baseColWidth="10" defaultColWidth="8.83203125" defaultRowHeight="13" x14ac:dyDescent="0.15"/>
  <cols>
    <col min="1" max="1" width="11.6640625" customWidth="1"/>
    <col min="2" max="2" width="14.83203125" customWidth="1"/>
    <col min="3" max="3" width="13.83203125" bestFit="1" customWidth="1"/>
  </cols>
  <sheetData>
    <row r="1" spans="2:8" x14ac:dyDescent="0.15">
      <c r="B1" s="32" t="s">
        <v>65</v>
      </c>
      <c r="C1">
        <v>84.3</v>
      </c>
    </row>
    <row r="2" spans="2:8" x14ac:dyDescent="0.15">
      <c r="B2" s="32" t="s">
        <v>66</v>
      </c>
      <c r="C2">
        <v>122.6</v>
      </c>
    </row>
    <row r="3" spans="2:8" ht="14" thickBot="1" x14ac:dyDescent="0.2">
      <c r="B3" s="32" t="s">
        <v>67</v>
      </c>
      <c r="C3" s="34">
        <v>7.7000000000000002E-3</v>
      </c>
    </row>
    <row r="4" spans="2:8" x14ac:dyDescent="0.15">
      <c r="B4" s="32" t="s">
        <v>68</v>
      </c>
      <c r="C4" s="31">
        <v>35565.15</v>
      </c>
      <c r="E4" s="166">
        <v>0</v>
      </c>
      <c r="F4" s="167">
        <v>13.5</v>
      </c>
      <c r="G4" s="168">
        <v>0</v>
      </c>
      <c r="H4" s="169">
        <v>0</v>
      </c>
    </row>
    <row r="5" spans="2:8" x14ac:dyDescent="0.15">
      <c r="B5" s="178" t="s">
        <v>69</v>
      </c>
      <c r="C5" s="179">
        <v>63074</v>
      </c>
      <c r="E5" s="170">
        <f>F4+0.001</f>
        <v>13.500999999999999</v>
      </c>
      <c r="F5">
        <v>30</v>
      </c>
      <c r="G5" s="171">
        <v>0.04</v>
      </c>
      <c r="H5" s="172">
        <v>0.54</v>
      </c>
    </row>
    <row r="6" spans="2:8" x14ac:dyDescent="0.15">
      <c r="E6" s="170">
        <f t="shared" ref="E6:E11" si="0">F5+0.001</f>
        <v>30.001000000000001</v>
      </c>
      <c r="F6">
        <v>50</v>
      </c>
      <c r="G6" s="171">
        <v>0.08</v>
      </c>
      <c r="H6" s="172">
        <v>1.74</v>
      </c>
    </row>
    <row r="7" spans="2:8" x14ac:dyDescent="0.15">
      <c r="E7" s="170">
        <f t="shared" si="0"/>
        <v>50.000999999999998</v>
      </c>
      <c r="F7">
        <v>70</v>
      </c>
      <c r="G7" s="171">
        <v>0.13500000000000001</v>
      </c>
      <c r="H7" s="172">
        <v>4.49</v>
      </c>
    </row>
    <row r="8" spans="2:8" x14ac:dyDescent="0.15">
      <c r="B8" s="32" t="s">
        <v>70</v>
      </c>
      <c r="C8">
        <f>'APV-B'!F9</f>
        <v>2500000</v>
      </c>
      <c r="E8" s="170">
        <f t="shared" si="0"/>
        <v>70.001000000000005</v>
      </c>
      <c r="F8">
        <v>90</v>
      </c>
      <c r="G8" s="171">
        <v>0.23</v>
      </c>
      <c r="H8" s="172">
        <v>11.14</v>
      </c>
    </row>
    <row r="9" spans="2:8" x14ac:dyDescent="0.15">
      <c r="B9" s="32" t="s">
        <v>71</v>
      </c>
      <c r="C9" s="35">
        <f>C8/C4</f>
        <v>70.29353172979728</v>
      </c>
      <c r="E9" s="170">
        <f t="shared" si="0"/>
        <v>90.001000000000005</v>
      </c>
      <c r="F9">
        <v>120</v>
      </c>
      <c r="G9" s="171">
        <v>0.30399999999999999</v>
      </c>
      <c r="H9" s="172">
        <v>17.8</v>
      </c>
    </row>
    <row r="10" spans="2:8" x14ac:dyDescent="0.15">
      <c r="B10" s="32" t="s">
        <v>72</v>
      </c>
      <c r="C10" s="31">
        <f>'APV-B'!F10</f>
        <v>5</v>
      </c>
      <c r="D10" s="35"/>
      <c r="E10" s="170">
        <f t="shared" si="0"/>
        <v>120.001</v>
      </c>
      <c r="F10">
        <v>310</v>
      </c>
      <c r="G10" s="171">
        <v>0.35</v>
      </c>
      <c r="H10" s="172">
        <v>23.32</v>
      </c>
    </row>
    <row r="11" spans="2:8" ht="14" thickBot="1" x14ac:dyDescent="0.2">
      <c r="B11" s="32" t="s">
        <v>73</v>
      </c>
      <c r="C11" s="31">
        <f>IF(C9&lt;C1,C9*(1-0.176-C3),IF(C9&lt;C2,C9-C1*(0.17+C3)-C9*0.006,C9-C1*(0.17+C3)-C2*0.006))</f>
        <v>57.38060995103352</v>
      </c>
      <c r="E11" s="173">
        <f t="shared" si="0"/>
        <v>310.00099999999998</v>
      </c>
      <c r="F11" s="174" t="s">
        <v>74</v>
      </c>
      <c r="G11" s="175">
        <v>0.4</v>
      </c>
      <c r="H11" s="176">
        <v>38.82</v>
      </c>
    </row>
    <row r="12" spans="2:8" x14ac:dyDescent="0.15">
      <c r="B12" s="32" t="s">
        <v>75</v>
      </c>
      <c r="C12" s="31">
        <f>C11-C10</f>
        <v>52.38060995103352</v>
      </c>
    </row>
    <row r="14" spans="2:8" x14ac:dyDescent="0.15">
      <c r="B14" s="32" t="s">
        <v>76</v>
      </c>
      <c r="C14" s="37">
        <f>C12*(1-VLOOKUP(C12*C4/C5,$E$4:$H$11,3))+VLOOKUP(C12*C4/C5,$E$4:$H$11,4)*C5/C4</f>
        <v>51.243063504582423</v>
      </c>
    </row>
    <row r="15" spans="2:8" x14ac:dyDescent="0.15">
      <c r="B15" s="32" t="s">
        <v>77</v>
      </c>
      <c r="C15" s="36">
        <f>C14*C4</f>
        <v>1822467.2399999998</v>
      </c>
    </row>
    <row r="16" spans="2:8" x14ac:dyDescent="0.15">
      <c r="B16" s="32" t="s">
        <v>78</v>
      </c>
      <c r="C16" s="33">
        <f>VLOOKUP(C11*C4/C5,$E$4:$H$11,3)</f>
        <v>0.08</v>
      </c>
      <c r="D16" s="35"/>
    </row>
    <row r="19" spans="2:3" x14ac:dyDescent="0.15">
      <c r="B19" s="32" t="s">
        <v>79</v>
      </c>
      <c r="C19">
        <v>217.1</v>
      </c>
    </row>
    <row r="20" spans="2:3" x14ac:dyDescent="0.15">
      <c r="B20" s="32" t="s">
        <v>80</v>
      </c>
      <c r="C20" s="95">
        <v>251.38</v>
      </c>
    </row>
  </sheetData>
  <pageMargins left="0.7" right="0.7" top="0.75" bottom="0.75" header="0.3" footer="0.3"/>
  <pageSetup orientation="portrait" verticalDpi="300" r:id="rId1"/>
  <headerFooter>
    <oddFooter>&amp;L&amp;1#&amp;"Calibri"&amp;9&amp;K737373Classification: Customer Confidential</oddFooter>
  </headerFooter>
  <customProperties>
    <customPr name="QAA_DRILLPATH_NODE_ID" r:id="rId2"/>
  </customProperties>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5"/>
  <dimension ref="C2:L494"/>
  <sheetViews>
    <sheetView workbookViewId="0">
      <selection activeCell="D6" sqref="D6"/>
    </sheetView>
  </sheetViews>
  <sheetFormatPr baseColWidth="10" defaultColWidth="8.83203125" defaultRowHeight="13" x14ac:dyDescent="0.15"/>
  <cols>
    <col min="1" max="2" width="11.6640625" customWidth="1"/>
    <col min="3" max="3" width="13.33203125" bestFit="1" customWidth="1"/>
    <col min="4" max="4" width="14.33203125" bestFit="1" customWidth="1"/>
    <col min="5" max="5" width="11.83203125" bestFit="1" customWidth="1"/>
    <col min="6" max="6" width="10.33203125" bestFit="1" customWidth="1"/>
    <col min="7" max="7" width="13.83203125" bestFit="1" customWidth="1"/>
    <col min="8" max="8" width="15.83203125" bestFit="1" customWidth="1"/>
    <col min="9" max="12" width="13.83203125" bestFit="1" customWidth="1"/>
  </cols>
  <sheetData>
    <row r="2" spans="3:12" x14ac:dyDescent="0.15">
      <c r="C2" t="s">
        <v>81</v>
      </c>
      <c r="D2">
        <v>81.7</v>
      </c>
    </row>
    <row r="3" spans="3:12" x14ac:dyDescent="0.15">
      <c r="C3" t="s">
        <v>19</v>
      </c>
      <c r="D3" s="88">
        <f>'APV-B'!I9</f>
        <v>39290.61</v>
      </c>
    </row>
    <row r="4" spans="3:12" x14ac:dyDescent="0.15">
      <c r="C4" t="s">
        <v>82</v>
      </c>
      <c r="D4">
        <f ca="1">'APV-B'!L18</f>
        <v>-65</v>
      </c>
    </row>
    <row r="5" spans="3:12" x14ac:dyDescent="0.15">
      <c r="C5" t="s">
        <v>83</v>
      </c>
      <c r="D5" s="93">
        <f>(1+'APV-B'!I10)^(1/12)-1</f>
        <v>2.0598362698427408E-3</v>
      </c>
      <c r="H5" s="88"/>
      <c r="I5" s="89"/>
    </row>
    <row r="6" spans="3:12" x14ac:dyDescent="0.15">
      <c r="H6" s="88"/>
    </row>
    <row r="7" spans="3:12" x14ac:dyDescent="0.15">
      <c r="C7" t="s">
        <v>84</v>
      </c>
      <c r="D7" s="91">
        <f>'APV-B'!F9</f>
        <v>2500000</v>
      </c>
    </row>
    <row r="8" spans="3:12" x14ac:dyDescent="0.15">
      <c r="C8" t="s">
        <v>85</v>
      </c>
      <c r="D8" s="91">
        <f>IF(D7/D3&lt;D2,0.1*D7,0.1*D2*D3)</f>
        <v>250000</v>
      </c>
      <c r="H8" s="36"/>
    </row>
    <row r="9" spans="3:12" x14ac:dyDescent="0.15">
      <c r="C9" t="s">
        <v>86</v>
      </c>
      <c r="D9" s="92">
        <v>0.15</v>
      </c>
      <c r="I9" t="s">
        <v>18</v>
      </c>
      <c r="J9" t="s">
        <v>87</v>
      </c>
      <c r="K9" t="s">
        <v>88</v>
      </c>
    </row>
    <row r="10" spans="3:12" x14ac:dyDescent="0.15">
      <c r="C10" t="s">
        <v>89</v>
      </c>
      <c r="D10" s="90">
        <f>(1-D9)*D8</f>
        <v>212500</v>
      </c>
      <c r="H10" s="90"/>
      <c r="I10">
        <v>40</v>
      </c>
      <c r="J10" s="94">
        <f>G492</f>
        <v>173624649.53479049</v>
      </c>
      <c r="K10" s="95">
        <f>J10/D3</f>
        <v>4418.9858476310364</v>
      </c>
      <c r="L10" s="90">
        <f>J10/205</f>
        <v>846949.50992580724</v>
      </c>
    </row>
    <row r="11" spans="3:12" x14ac:dyDescent="0.15">
      <c r="C11" t="s">
        <v>90</v>
      </c>
      <c r="D11" s="92">
        <v>0</v>
      </c>
      <c r="H11" s="90"/>
      <c r="I11">
        <v>35</v>
      </c>
      <c r="J11" s="94">
        <f>G432</f>
        <v>141452207.19603872</v>
      </c>
      <c r="K11" s="95">
        <f>J11/D3</f>
        <v>3600.1529931970699</v>
      </c>
      <c r="L11" s="90">
        <f>J11/210</f>
        <v>673581.93902875588</v>
      </c>
    </row>
    <row r="12" spans="3:12" x14ac:dyDescent="0.15">
      <c r="D12" s="90"/>
      <c r="H12" s="90"/>
    </row>
    <row r="13" spans="3:12" x14ac:dyDescent="0.15">
      <c r="C13" t="s">
        <v>91</v>
      </c>
      <c r="D13" t="s">
        <v>92</v>
      </c>
      <c r="E13" t="s">
        <v>93</v>
      </c>
      <c r="F13" t="s">
        <v>94</v>
      </c>
      <c r="G13" t="s">
        <v>95</v>
      </c>
      <c r="H13" s="90" t="s">
        <v>88</v>
      </c>
      <c r="J13" s="36"/>
      <c r="K13" s="36"/>
    </row>
    <row r="14" spans="3:12" x14ac:dyDescent="0.15">
      <c r="C14">
        <v>1</v>
      </c>
      <c r="D14">
        <v>1</v>
      </c>
      <c r="E14" s="94">
        <f>D7</f>
        <v>2500000</v>
      </c>
      <c r="F14" s="91">
        <f>IF(E14/$D$3&lt;$D$2*(1+$D$11)^(C14-1),0.1*E14,0.1*$D$2*$D$3*(1+$D$11)^(C14-1))*(1-$D$9)</f>
        <v>212500</v>
      </c>
      <c r="G14" s="91">
        <f>F14*(1+$D$5)</f>
        <v>212937.71520734159</v>
      </c>
      <c r="H14" s="96">
        <f>G14/$D$3</f>
        <v>5.4195573753459563</v>
      </c>
    </row>
    <row r="15" spans="3:12" x14ac:dyDescent="0.15">
      <c r="C15">
        <f>IF(MOD(D14,12)=0,C14+1,C14)</f>
        <v>1</v>
      </c>
      <c r="D15">
        <f>IF(MOD(D14,12)=0,1,D14+1)</f>
        <v>2</v>
      </c>
      <c r="E15" s="94">
        <f>E14</f>
        <v>2500000</v>
      </c>
      <c r="F15" s="91">
        <f t="shared" ref="F15:F78" si="0">IF(E15/$D$3&lt;$D$2*(1+$D$11)^(C15-1),0.1*E15,0.1*$D$2*$D$3*(1+$D$11)^(C15-1))*(1-$D$9)</f>
        <v>212500</v>
      </c>
      <c r="G15" s="91">
        <f>(F15+G14)*(1+$D$5)</f>
        <v>426314.0472436847</v>
      </c>
      <c r="H15" s="96">
        <f t="shared" ref="H15:H78" si="1">G15/$D$3</f>
        <v>10.850278151540143</v>
      </c>
    </row>
    <row r="16" spans="3:12" x14ac:dyDescent="0.15">
      <c r="C16">
        <f t="shared" ref="C16:C45" si="2">IF(MOD(D15,12)=0,C15+1,C15)</f>
        <v>1</v>
      </c>
      <c r="D16">
        <f t="shared" ref="D16:D45" si="3">IF(MOD(D15,12)=0,1,D15+1)</f>
        <v>3</v>
      </c>
      <c r="E16" s="94">
        <f>E15</f>
        <v>2500000</v>
      </c>
      <c r="F16" s="91">
        <f t="shared" si="0"/>
        <v>212500</v>
      </c>
      <c r="G16" s="91">
        <f t="shared" ref="G16:G79" si="4">(F16+G15)*(1+$D$5)</f>
        <v>640129.89958788233</v>
      </c>
      <c r="H16" s="96">
        <f t="shared" si="1"/>
        <v>16.292185323360528</v>
      </c>
    </row>
    <row r="17" spans="3:8" x14ac:dyDescent="0.15">
      <c r="C17">
        <f t="shared" si="2"/>
        <v>1</v>
      </c>
      <c r="D17">
        <f t="shared" si="3"/>
        <v>4</v>
      </c>
      <c r="E17" s="94">
        <f t="shared" ref="E17:E80" si="5">E16</f>
        <v>2500000</v>
      </c>
      <c r="F17" s="91">
        <f t="shared" si="0"/>
        <v>212500</v>
      </c>
      <c r="G17" s="91">
        <f t="shared" si="4"/>
        <v>854386.17757980584</v>
      </c>
      <c r="H17" s="96">
        <f t="shared" si="1"/>
        <v>21.745301932950539</v>
      </c>
    </row>
    <row r="18" spans="3:8" x14ac:dyDescent="0.15">
      <c r="C18">
        <f t="shared" si="2"/>
        <v>1</v>
      </c>
      <c r="D18">
        <f t="shared" si="3"/>
        <v>5</v>
      </c>
      <c r="E18" s="94">
        <f t="shared" si="5"/>
        <v>2500000</v>
      </c>
      <c r="F18" s="91">
        <f t="shared" si="0"/>
        <v>212500</v>
      </c>
      <c r="G18" s="91">
        <f t="shared" si="4"/>
        <v>1069083.7884241785</v>
      </c>
      <c r="H18" s="96">
        <f t="shared" si="1"/>
        <v>27.209651069916667</v>
      </c>
    </row>
    <row r="19" spans="3:8" x14ac:dyDescent="0.15">
      <c r="C19">
        <f t="shared" si="2"/>
        <v>1</v>
      </c>
      <c r="D19">
        <f t="shared" si="3"/>
        <v>6</v>
      </c>
      <c r="E19" s="94">
        <f t="shared" si="5"/>
        <v>2500000</v>
      </c>
      <c r="F19" s="91">
        <f t="shared" si="0"/>
        <v>212500</v>
      </c>
      <c r="G19" s="91">
        <f t="shared" si="4"/>
        <v>1284223.6411944171</v>
      </c>
      <c r="H19" s="96">
        <f t="shared" si="1"/>
        <v>32.685255871426207</v>
      </c>
    </row>
    <row r="20" spans="3:8" x14ac:dyDescent="0.15">
      <c r="C20">
        <f t="shared" si="2"/>
        <v>1</v>
      </c>
      <c r="D20">
        <f t="shared" si="3"/>
        <v>7</v>
      </c>
      <c r="E20" s="94">
        <f t="shared" si="5"/>
        <v>2500000</v>
      </c>
      <c r="F20" s="91">
        <f t="shared" si="0"/>
        <v>212500</v>
      </c>
      <c r="G20" s="91">
        <f t="shared" si="4"/>
        <v>1499806.6468364806</v>
      </c>
      <c r="H20" s="96">
        <f t="shared" si="1"/>
        <v>38.172139522305216</v>
      </c>
    </row>
    <row r="21" spans="3:8" x14ac:dyDescent="0.15">
      <c r="C21">
        <f t="shared" si="2"/>
        <v>1</v>
      </c>
      <c r="D21">
        <f t="shared" si="3"/>
        <v>8</v>
      </c>
      <c r="E21" s="94">
        <f t="shared" si="5"/>
        <v>2500000</v>
      </c>
      <c r="F21" s="91">
        <f t="shared" si="0"/>
        <v>212500</v>
      </c>
      <c r="G21" s="91">
        <f t="shared" si="4"/>
        <v>1715833.7181727272</v>
      </c>
      <c r="H21" s="96">
        <f t="shared" si="1"/>
        <v>43.670325255136717</v>
      </c>
    </row>
    <row r="22" spans="3:8" x14ac:dyDescent="0.15">
      <c r="C22">
        <f t="shared" si="2"/>
        <v>1</v>
      </c>
      <c r="D22">
        <f t="shared" si="3"/>
        <v>9</v>
      </c>
      <c r="E22" s="94">
        <f t="shared" si="5"/>
        <v>2500000</v>
      </c>
      <c r="F22" s="91">
        <f t="shared" si="0"/>
        <v>212500</v>
      </c>
      <c r="G22" s="91">
        <f t="shared" si="4"/>
        <v>1932305.76990578</v>
      </c>
      <c r="H22" s="96">
        <f t="shared" si="1"/>
        <v>49.179836350359025</v>
      </c>
    </row>
    <row r="23" spans="3:8" x14ac:dyDescent="0.15">
      <c r="C23">
        <f t="shared" si="2"/>
        <v>1</v>
      </c>
      <c r="D23">
        <f t="shared" si="3"/>
        <v>10</v>
      </c>
      <c r="E23" s="94">
        <f t="shared" si="5"/>
        <v>2500000</v>
      </c>
      <c r="F23" s="91">
        <f t="shared" si="0"/>
        <v>212500</v>
      </c>
      <c r="G23" s="91">
        <f t="shared" si="4"/>
        <v>2149223.7186224</v>
      </c>
      <c r="H23" s="96">
        <f t="shared" si="1"/>
        <v>54.700696136364385</v>
      </c>
    </row>
    <row r="24" spans="3:8" x14ac:dyDescent="0.15">
      <c r="C24">
        <f t="shared" si="2"/>
        <v>1</v>
      </c>
      <c r="D24">
        <f>IF(MOD(D23,12)=0,1,D23+1)</f>
        <v>11</v>
      </c>
      <c r="E24" s="94">
        <f t="shared" si="5"/>
        <v>2500000</v>
      </c>
      <c r="F24" s="91">
        <f t="shared" si="0"/>
        <v>212500</v>
      </c>
      <c r="G24" s="91">
        <f t="shared" si="4"/>
        <v>2366588.4827973661</v>
      </c>
      <c r="H24" s="96">
        <f t="shared" si="1"/>
        <v>60.23292798959767</v>
      </c>
    </row>
    <row r="25" spans="3:8" x14ac:dyDescent="0.15">
      <c r="C25">
        <f t="shared" si="2"/>
        <v>1</v>
      </c>
      <c r="D25">
        <f t="shared" si="3"/>
        <v>12</v>
      </c>
      <c r="E25" s="94">
        <f t="shared" si="5"/>
        <v>2500000</v>
      </c>
      <c r="F25" s="91">
        <f t="shared" si="0"/>
        <v>212500</v>
      </c>
      <c r="G25" s="91">
        <f t="shared" si="4"/>
        <v>2584400.9827973656</v>
      </c>
      <c r="H25" s="96">
        <f t="shared" si="1"/>
        <v>65.776555334655427</v>
      </c>
    </row>
    <row r="26" spans="3:8" x14ac:dyDescent="0.15">
      <c r="C26">
        <f t="shared" si="2"/>
        <v>2</v>
      </c>
      <c r="D26">
        <f t="shared" si="3"/>
        <v>1</v>
      </c>
      <c r="E26" s="94">
        <f t="shared" si="5"/>
        <v>2500000</v>
      </c>
      <c r="F26" s="91">
        <f t="shared" si="0"/>
        <v>212500</v>
      </c>
      <c r="G26" s="91">
        <f t="shared" si="4"/>
        <v>2802662.1408848907</v>
      </c>
      <c r="H26" s="96">
        <f t="shared" si="1"/>
        <v>71.331601644385017</v>
      </c>
    </row>
    <row r="27" spans="3:8" x14ac:dyDescent="0.15">
      <c r="C27">
        <f t="shared" si="2"/>
        <v>2</v>
      </c>
      <c r="D27">
        <f t="shared" si="3"/>
        <v>2</v>
      </c>
      <c r="E27" s="94">
        <f t="shared" si="5"/>
        <v>2500000</v>
      </c>
      <c r="F27" s="91">
        <f t="shared" si="0"/>
        <v>212500</v>
      </c>
      <c r="G27" s="91">
        <f t="shared" si="4"/>
        <v>3021372.8812221419</v>
      </c>
      <c r="H27" s="96">
        <f t="shared" si="1"/>
        <v>76.89809043998406</v>
      </c>
    </row>
    <row r="28" spans="3:8" x14ac:dyDescent="0.15">
      <c r="C28">
        <f t="shared" si="2"/>
        <v>2</v>
      </c>
      <c r="D28">
        <f t="shared" si="3"/>
        <v>3</v>
      </c>
      <c r="E28" s="94">
        <f t="shared" si="5"/>
        <v>2500000</v>
      </c>
      <c r="F28" s="91">
        <f t="shared" si="0"/>
        <v>212500</v>
      </c>
      <c r="G28" s="91">
        <f t="shared" si="4"/>
        <v>3240534.1298749442</v>
      </c>
      <c r="H28" s="96">
        <f t="shared" si="1"/>
        <v>82.476045291099936</v>
      </c>
    </row>
    <row r="29" spans="3:8" x14ac:dyDescent="0.15">
      <c r="C29">
        <f t="shared" si="2"/>
        <v>2</v>
      </c>
      <c r="D29">
        <f t="shared" si="3"/>
        <v>4</v>
      </c>
      <c r="E29" s="94">
        <f t="shared" si="5"/>
        <v>2500000</v>
      </c>
      <c r="F29" s="91">
        <f t="shared" si="0"/>
        <v>212500</v>
      </c>
      <c r="G29" s="91">
        <f t="shared" si="4"/>
        <v>3460146.8148166654</v>
      </c>
      <c r="H29" s="96">
        <f t="shared" si="1"/>
        <v>88.065489815929695</v>
      </c>
    </row>
    <row r="30" spans="3:8" x14ac:dyDescent="0.15">
      <c r="C30">
        <f t="shared" si="2"/>
        <v>2</v>
      </c>
      <c r="D30">
        <f t="shared" si="3"/>
        <v>5</v>
      </c>
      <c r="E30" s="94">
        <f t="shared" si="5"/>
        <v>2500000</v>
      </c>
      <c r="F30" s="91">
        <f t="shared" si="0"/>
        <v>212500</v>
      </c>
      <c r="G30" s="91">
        <f t="shared" si="4"/>
        <v>3680211.865932147</v>
      </c>
      <c r="H30" s="96">
        <f t="shared" si="1"/>
        <v>93.666447681319966</v>
      </c>
    </row>
    <row r="31" spans="3:8" x14ac:dyDescent="0.15">
      <c r="C31">
        <f t="shared" si="2"/>
        <v>2</v>
      </c>
      <c r="D31">
        <f t="shared" si="3"/>
        <v>6</v>
      </c>
      <c r="E31" s="94">
        <f t="shared" si="5"/>
        <v>2500000</v>
      </c>
      <c r="F31" s="91">
        <f t="shared" si="0"/>
        <v>212500</v>
      </c>
      <c r="G31" s="91">
        <f t="shared" si="4"/>
        <v>3900730.2150216415</v>
      </c>
      <c r="H31" s="96">
        <f t="shared" si="1"/>
        <v>99.278942602867232</v>
      </c>
    </row>
    <row r="32" spans="3:8" x14ac:dyDescent="0.15">
      <c r="C32">
        <f>IF(MOD(D31,12)=0,C31+1,C31)</f>
        <v>2</v>
      </c>
      <c r="D32">
        <f t="shared" si="3"/>
        <v>7</v>
      </c>
      <c r="E32" s="94">
        <f t="shared" si="5"/>
        <v>2500000</v>
      </c>
      <c r="F32" s="91">
        <f t="shared" si="0"/>
        <v>212500</v>
      </c>
      <c r="G32" s="91">
        <f t="shared" si="4"/>
        <v>4121702.7958047562</v>
      </c>
      <c r="H32" s="96">
        <f t="shared" si="1"/>
        <v>104.90299834501822</v>
      </c>
    </row>
    <row r="33" spans="3:8" x14ac:dyDescent="0.15">
      <c r="C33">
        <f t="shared" si="2"/>
        <v>2</v>
      </c>
      <c r="D33">
        <f t="shared" si="3"/>
        <v>8</v>
      </c>
      <c r="E33" s="94">
        <f t="shared" si="5"/>
        <v>2500000</v>
      </c>
      <c r="F33" s="91">
        <f t="shared" si="0"/>
        <v>212500</v>
      </c>
      <c r="G33" s="91">
        <f t="shared" si="4"/>
        <v>4343130.543924408</v>
      </c>
      <c r="H33" s="96">
        <f t="shared" si="1"/>
        <v>110.53863872117047</v>
      </c>
    </row>
    <row r="34" spans="3:8" x14ac:dyDescent="0.15">
      <c r="C34">
        <f t="shared" si="2"/>
        <v>2</v>
      </c>
      <c r="D34">
        <f t="shared" si="3"/>
        <v>9</v>
      </c>
      <c r="E34" s="94">
        <f t="shared" si="5"/>
        <v>2500000</v>
      </c>
      <c r="F34" s="91">
        <f t="shared" si="0"/>
        <v>212500</v>
      </c>
      <c r="G34" s="91">
        <f t="shared" si="4"/>
        <v>4565014.3969507869</v>
      </c>
      <c r="H34" s="96">
        <f t="shared" si="1"/>
        <v>116.18588759377334</v>
      </c>
    </row>
    <row r="35" spans="3:8" x14ac:dyDescent="0.15">
      <c r="C35">
        <f t="shared" si="2"/>
        <v>2</v>
      </c>
      <c r="D35">
        <f t="shared" si="3"/>
        <v>10</v>
      </c>
      <c r="E35" s="94">
        <f t="shared" si="5"/>
        <v>2500000</v>
      </c>
      <c r="F35" s="91">
        <f t="shared" si="0"/>
        <v>212500</v>
      </c>
      <c r="G35" s="91">
        <f t="shared" si="4"/>
        <v>4787355.2943853224</v>
      </c>
      <c r="H35" s="96">
        <f t="shared" si="1"/>
        <v>121.84476887442884</v>
      </c>
    </row>
    <row r="36" spans="3:8" x14ac:dyDescent="0.15">
      <c r="C36">
        <f t="shared" si="2"/>
        <v>2</v>
      </c>
      <c r="D36">
        <f t="shared" si="3"/>
        <v>11</v>
      </c>
      <c r="E36" s="94">
        <f t="shared" si="5"/>
        <v>2500000</v>
      </c>
      <c r="F36" s="91">
        <f t="shared" si="0"/>
        <v>212500</v>
      </c>
      <c r="G36" s="91">
        <f t="shared" si="4"/>
        <v>5010154.1776646627</v>
      </c>
      <c r="H36" s="96">
        <f t="shared" si="1"/>
        <v>127.51530652399295</v>
      </c>
    </row>
    <row r="37" spans="3:8" x14ac:dyDescent="0.15">
      <c r="C37">
        <f t="shared" si="2"/>
        <v>2</v>
      </c>
      <c r="D37">
        <f t="shared" si="3"/>
        <v>12</v>
      </c>
      <c r="E37" s="94">
        <f t="shared" si="5"/>
        <v>2500000</v>
      </c>
      <c r="F37" s="91">
        <f t="shared" si="0"/>
        <v>212500</v>
      </c>
      <c r="G37" s="91">
        <f t="shared" si="4"/>
        <v>5233411.9901646618</v>
      </c>
      <c r="H37" s="96">
        <f t="shared" si="1"/>
        <v>133.19752455267712</v>
      </c>
    </row>
    <row r="38" spans="3:8" x14ac:dyDescent="0.15">
      <c r="C38">
        <f t="shared" si="2"/>
        <v>3</v>
      </c>
      <c r="D38">
        <f t="shared" si="3"/>
        <v>1</v>
      </c>
      <c r="E38" s="94">
        <f t="shared" si="5"/>
        <v>2500000</v>
      </c>
      <c r="F38" s="91">
        <f t="shared" si="0"/>
        <v>212500</v>
      </c>
      <c r="G38" s="91">
        <f t="shared" si="4"/>
        <v>5457129.6772043742</v>
      </c>
      <c r="H38" s="96">
        <f t="shared" si="1"/>
        <v>138.89144702014997</v>
      </c>
    </row>
    <row r="39" spans="3:8" x14ac:dyDescent="0.15">
      <c r="C39">
        <f t="shared" si="2"/>
        <v>3</v>
      </c>
      <c r="D39">
        <f t="shared" si="3"/>
        <v>2</v>
      </c>
      <c r="E39" s="94">
        <f t="shared" si="5"/>
        <v>2500000</v>
      </c>
      <c r="F39" s="91">
        <f t="shared" si="0"/>
        <v>212500</v>
      </c>
      <c r="G39" s="91">
        <f t="shared" si="4"/>
        <v>5681308.1860500565</v>
      </c>
      <c r="H39" s="96">
        <f t="shared" si="1"/>
        <v>144.59709803563896</v>
      </c>
    </row>
    <row r="40" spans="3:8" x14ac:dyDescent="0.15">
      <c r="C40">
        <f t="shared" si="2"/>
        <v>3</v>
      </c>
      <c r="D40">
        <f t="shared" si="3"/>
        <v>3</v>
      </c>
      <c r="E40" s="94">
        <f t="shared" si="5"/>
        <v>2500000</v>
      </c>
      <c r="F40" s="91">
        <f t="shared" si="0"/>
        <v>212500</v>
      </c>
      <c r="G40" s="91">
        <f t="shared" si="4"/>
        <v>5905948.465919178</v>
      </c>
      <c r="H40" s="96">
        <f t="shared" si="1"/>
        <v>150.31450175803272</v>
      </c>
    </row>
    <row r="41" spans="3:8" x14ac:dyDescent="0.15">
      <c r="C41">
        <f t="shared" si="2"/>
        <v>3</v>
      </c>
      <c r="D41">
        <f t="shared" si="3"/>
        <v>4</v>
      </c>
      <c r="E41" s="94">
        <f t="shared" si="5"/>
        <v>2500000</v>
      </c>
      <c r="F41" s="91">
        <f t="shared" si="0"/>
        <v>212500</v>
      </c>
      <c r="G41" s="91">
        <f t="shared" si="4"/>
        <v>6131051.4679844417</v>
      </c>
      <c r="H41" s="96">
        <f t="shared" si="1"/>
        <v>156.04368239598321</v>
      </c>
    </row>
    <row r="42" spans="3:8" x14ac:dyDescent="0.15">
      <c r="C42">
        <f t="shared" si="2"/>
        <v>3</v>
      </c>
      <c r="D42">
        <f t="shared" si="3"/>
        <v>5</v>
      </c>
      <c r="E42" s="94">
        <f t="shared" si="5"/>
        <v>2500000</v>
      </c>
      <c r="F42" s="91">
        <f t="shared" si="0"/>
        <v>212500</v>
      </c>
      <c r="G42" s="91">
        <f t="shared" si="4"/>
        <v>6356618.1453778101</v>
      </c>
      <c r="H42" s="96">
        <f t="shared" si="1"/>
        <v>161.78466420800822</v>
      </c>
    </row>
    <row r="43" spans="3:8" x14ac:dyDescent="0.15">
      <c r="C43">
        <f t="shared" si="2"/>
        <v>3</v>
      </c>
      <c r="D43">
        <f t="shared" si="3"/>
        <v>6</v>
      </c>
      <c r="E43" s="94">
        <f t="shared" si="5"/>
        <v>2500000</v>
      </c>
      <c r="F43" s="91">
        <f t="shared" si="0"/>
        <v>212500</v>
      </c>
      <c r="G43" s="91">
        <f t="shared" si="4"/>
        <v>6582649.4531945419</v>
      </c>
      <c r="H43" s="96">
        <f t="shared" si="1"/>
        <v>167.53747150259417</v>
      </c>
    </row>
    <row r="44" spans="3:8" x14ac:dyDescent="0.15">
      <c r="C44">
        <f t="shared" si="2"/>
        <v>3</v>
      </c>
      <c r="D44">
        <f t="shared" si="3"/>
        <v>7</v>
      </c>
      <c r="E44" s="94">
        <f t="shared" si="5"/>
        <v>2500000</v>
      </c>
      <c r="F44" s="91">
        <f t="shared" si="0"/>
        <v>212500</v>
      </c>
      <c r="G44" s="91">
        <f t="shared" si="4"/>
        <v>6809146.3484972343</v>
      </c>
      <c r="H44" s="96">
        <f t="shared" si="1"/>
        <v>173.30212863829894</v>
      </c>
    </row>
    <row r="45" spans="3:8" x14ac:dyDescent="0.15">
      <c r="C45">
        <f t="shared" si="2"/>
        <v>3</v>
      </c>
      <c r="D45">
        <f t="shared" si="3"/>
        <v>8</v>
      </c>
      <c r="E45" s="94">
        <f t="shared" si="5"/>
        <v>2500000</v>
      </c>
      <c r="F45" s="91">
        <f t="shared" si="0"/>
        <v>212500</v>
      </c>
      <c r="G45" s="91">
        <f t="shared" si="4"/>
        <v>7036109.7903198777</v>
      </c>
      <c r="H45" s="96">
        <f t="shared" si="1"/>
        <v>179.07866002385501</v>
      </c>
    </row>
    <row r="46" spans="3:8" x14ac:dyDescent="0.15">
      <c r="C46">
        <f t="shared" ref="C46:C96" si="6">IF(MOD(D45,12)=0,C45+1,C45)</f>
        <v>3</v>
      </c>
      <c r="D46">
        <f t="shared" ref="D46:D96" si="7">IF(MOD(D45,12)=0,1,D45+1)</f>
        <v>9</v>
      </c>
      <c r="E46" s="94">
        <f t="shared" si="5"/>
        <v>2500000</v>
      </c>
      <c r="F46" s="91">
        <f t="shared" si="0"/>
        <v>212500</v>
      </c>
      <c r="G46" s="91">
        <f t="shared" si="4"/>
        <v>7263540.7396719158</v>
      </c>
      <c r="H46" s="96">
        <f t="shared" si="1"/>
        <v>184.86709011827293</v>
      </c>
    </row>
    <row r="47" spans="3:8" x14ac:dyDescent="0.15">
      <c r="C47">
        <f t="shared" si="6"/>
        <v>3</v>
      </c>
      <c r="D47">
        <f t="shared" si="7"/>
        <v>10</v>
      </c>
      <c r="E47" s="94">
        <f t="shared" si="5"/>
        <v>2500000</v>
      </c>
      <c r="F47" s="91">
        <f t="shared" si="0"/>
        <v>212500</v>
      </c>
      <c r="G47" s="91">
        <f t="shared" si="4"/>
        <v>7491440.1595423138</v>
      </c>
      <c r="H47" s="96">
        <f t="shared" si="1"/>
        <v>190.66744343094479</v>
      </c>
    </row>
    <row r="48" spans="3:8" x14ac:dyDescent="0.15">
      <c r="C48">
        <f t="shared" si="6"/>
        <v>3</v>
      </c>
      <c r="D48">
        <f t="shared" si="7"/>
        <v>11</v>
      </c>
      <c r="E48" s="94">
        <f t="shared" si="5"/>
        <v>2500000</v>
      </c>
      <c r="F48" s="91">
        <f t="shared" si="0"/>
        <v>212500</v>
      </c>
      <c r="G48" s="91">
        <f t="shared" si="4"/>
        <v>7719809.0149036366</v>
      </c>
      <c r="H48" s="96">
        <f t="shared" si="1"/>
        <v>196.47974452174799</v>
      </c>
    </row>
    <row r="49" spans="3:8" x14ac:dyDescent="0.15">
      <c r="C49">
        <f t="shared" si="6"/>
        <v>3</v>
      </c>
      <c r="D49">
        <f t="shared" si="7"/>
        <v>12</v>
      </c>
      <c r="E49" s="94">
        <f t="shared" si="5"/>
        <v>2500000</v>
      </c>
      <c r="F49" s="91">
        <f t="shared" si="0"/>
        <v>212500</v>
      </c>
      <c r="G49" s="91">
        <f t="shared" si="4"/>
        <v>7948648.2727161357</v>
      </c>
      <c r="H49" s="96">
        <f t="shared" si="1"/>
        <v>202.30401800114927</v>
      </c>
    </row>
    <row r="50" spans="3:8" x14ac:dyDescent="0.15">
      <c r="C50">
        <f t="shared" si="6"/>
        <v>4</v>
      </c>
      <c r="D50">
        <f t="shared" si="7"/>
        <v>1</v>
      </c>
      <c r="E50" s="94">
        <f t="shared" si="5"/>
        <v>2500000</v>
      </c>
      <c r="F50" s="91">
        <f t="shared" si="0"/>
        <v>212500</v>
      </c>
      <c r="G50" s="91">
        <f t="shared" si="4"/>
        <v>8177958.9019318409</v>
      </c>
      <c r="H50" s="96">
        <f t="shared" si="1"/>
        <v>208.14028853030891</v>
      </c>
    </row>
    <row r="51" spans="3:8" x14ac:dyDescent="0.15">
      <c r="C51">
        <f t="shared" si="6"/>
        <v>4</v>
      </c>
      <c r="D51">
        <f t="shared" si="7"/>
        <v>2</v>
      </c>
      <c r="E51" s="94">
        <f t="shared" si="5"/>
        <v>2500000</v>
      </c>
      <c r="F51" s="91">
        <f t="shared" si="0"/>
        <v>212500</v>
      </c>
      <c r="G51" s="91">
        <f t="shared" si="4"/>
        <v>8407741.8734986652</v>
      </c>
      <c r="H51" s="96">
        <f t="shared" si="1"/>
        <v>213.98858082118514</v>
      </c>
    </row>
    <row r="52" spans="3:8" x14ac:dyDescent="0.15">
      <c r="C52">
        <f t="shared" si="6"/>
        <v>4</v>
      </c>
      <c r="D52">
        <f t="shared" si="7"/>
        <v>3</v>
      </c>
      <c r="E52" s="94">
        <f t="shared" si="5"/>
        <v>2500000</v>
      </c>
      <c r="F52" s="91">
        <f t="shared" si="0"/>
        <v>212500</v>
      </c>
      <c r="G52" s="91">
        <f t="shared" si="4"/>
        <v>8637998.1603645142</v>
      </c>
      <c r="H52" s="96">
        <f t="shared" si="1"/>
        <v>219.84891963663873</v>
      </c>
    </row>
    <row r="53" spans="3:8" x14ac:dyDescent="0.15">
      <c r="C53">
        <f t="shared" si="6"/>
        <v>4</v>
      </c>
      <c r="D53">
        <f t="shared" si="7"/>
        <v>4</v>
      </c>
      <c r="E53" s="94">
        <f t="shared" si="5"/>
        <v>2500000</v>
      </c>
      <c r="F53" s="91">
        <f t="shared" si="0"/>
        <v>212500</v>
      </c>
      <c r="G53" s="91">
        <f t="shared" si="4"/>
        <v>8868728.7374814097</v>
      </c>
      <c r="H53" s="96">
        <f t="shared" si="1"/>
        <v>225.72132979053799</v>
      </c>
    </row>
    <row r="54" spans="3:8" x14ac:dyDescent="0.15">
      <c r="C54">
        <f t="shared" si="6"/>
        <v>4</v>
      </c>
      <c r="D54">
        <f t="shared" si="7"/>
        <v>5</v>
      </c>
      <c r="E54" s="94">
        <f t="shared" si="5"/>
        <v>2500000</v>
      </c>
      <c r="F54" s="91">
        <f t="shared" si="0"/>
        <v>212500</v>
      </c>
      <c r="G54" s="91">
        <f t="shared" si="4"/>
        <v>9099934.581809612</v>
      </c>
      <c r="H54" s="96">
        <f t="shared" si="1"/>
        <v>231.60583614786361</v>
      </c>
    </row>
    <row r="55" spans="3:8" x14ac:dyDescent="0.15">
      <c r="C55">
        <f t="shared" si="6"/>
        <v>4</v>
      </c>
      <c r="D55">
        <f t="shared" si="7"/>
        <v>6</v>
      </c>
      <c r="E55" s="94">
        <f t="shared" si="5"/>
        <v>2500000</v>
      </c>
      <c r="F55" s="91">
        <f t="shared" si="0"/>
        <v>212500</v>
      </c>
      <c r="G55" s="91">
        <f t="shared" si="4"/>
        <v>9331616.672321761</v>
      </c>
      <c r="H55" s="96">
        <f t="shared" si="1"/>
        <v>237.5024636248142</v>
      </c>
    </row>
    <row r="56" spans="3:8" x14ac:dyDescent="0.15">
      <c r="C56">
        <f t="shared" si="6"/>
        <v>4</v>
      </c>
      <c r="D56">
        <f t="shared" si="7"/>
        <v>7</v>
      </c>
      <c r="E56" s="94">
        <f t="shared" si="5"/>
        <v>2500000</v>
      </c>
      <c r="F56" s="91">
        <f t="shared" si="0"/>
        <v>212500</v>
      </c>
      <c r="G56" s="91">
        <f t="shared" si="4"/>
        <v>9563775.9900070205</v>
      </c>
      <c r="H56" s="96">
        <f t="shared" si="1"/>
        <v>243.41123718891157</v>
      </c>
    </row>
    <row r="57" spans="3:8" x14ac:dyDescent="0.15">
      <c r="C57">
        <f t="shared" si="6"/>
        <v>4</v>
      </c>
      <c r="D57">
        <f t="shared" si="7"/>
        <v>8</v>
      </c>
      <c r="E57" s="94">
        <f t="shared" si="5"/>
        <v>2500000</v>
      </c>
      <c r="F57" s="91">
        <f t="shared" si="0"/>
        <v>212500</v>
      </c>
      <c r="G57" s="91">
        <f t="shared" si="4"/>
        <v>9796413.5178752299</v>
      </c>
      <c r="H57" s="96">
        <f t="shared" si="1"/>
        <v>249.33218185910653</v>
      </c>
    </row>
    <row r="58" spans="3:8" x14ac:dyDescent="0.15">
      <c r="C58">
        <f t="shared" si="6"/>
        <v>4</v>
      </c>
      <c r="D58">
        <f t="shared" si="7"/>
        <v>9</v>
      </c>
      <c r="E58" s="94">
        <f t="shared" si="5"/>
        <v>2500000</v>
      </c>
      <c r="F58" s="91">
        <f t="shared" si="0"/>
        <v>212500</v>
      </c>
      <c r="G58" s="91">
        <f t="shared" si="4"/>
        <v>10029530.240961069</v>
      </c>
      <c r="H58" s="96">
        <f t="shared" si="1"/>
        <v>255.26532270588493</v>
      </c>
    </row>
    <row r="59" spans="3:8" x14ac:dyDescent="0.15">
      <c r="C59">
        <f t="shared" si="6"/>
        <v>4</v>
      </c>
      <c r="D59">
        <f t="shared" si="7"/>
        <v>10</v>
      </c>
      <c r="E59" s="94">
        <f t="shared" si="5"/>
        <v>2500000</v>
      </c>
      <c r="F59" s="91">
        <f t="shared" si="0"/>
        <v>212500</v>
      </c>
      <c r="G59" s="91">
        <f t="shared" si="4"/>
        <v>10263127.146328228</v>
      </c>
      <c r="H59" s="96">
        <f t="shared" si="1"/>
        <v>261.21068485137357</v>
      </c>
    </row>
    <row r="60" spans="3:8" x14ac:dyDescent="0.15">
      <c r="C60">
        <f t="shared" si="6"/>
        <v>4</v>
      </c>
      <c r="D60">
        <f t="shared" si="7"/>
        <v>11</v>
      </c>
      <c r="E60" s="94">
        <f t="shared" si="5"/>
        <v>2500000</v>
      </c>
      <c r="F60" s="91">
        <f t="shared" si="0"/>
        <v>212500</v>
      </c>
      <c r="G60" s="91">
        <f t="shared" si="4"/>
        <v>10497205.223073583</v>
      </c>
      <c r="H60" s="96">
        <f t="shared" si="1"/>
        <v>267.16829346944684</v>
      </c>
    </row>
    <row r="61" spans="3:8" x14ac:dyDescent="0.15">
      <c r="C61">
        <f t="shared" si="6"/>
        <v>4</v>
      </c>
      <c r="D61">
        <f t="shared" si="7"/>
        <v>12</v>
      </c>
      <c r="E61" s="94">
        <f t="shared" si="5"/>
        <v>2500000</v>
      </c>
      <c r="F61" s="91">
        <f t="shared" si="0"/>
        <v>212500</v>
      </c>
      <c r="G61" s="91">
        <f t="shared" si="4"/>
        <v>10731765.462331394</v>
      </c>
      <c r="H61" s="96">
        <f t="shared" si="1"/>
        <v>273.13817378583315</v>
      </c>
    </row>
    <row r="62" spans="3:8" x14ac:dyDescent="0.15">
      <c r="C62">
        <f t="shared" si="6"/>
        <v>5</v>
      </c>
      <c r="D62">
        <f t="shared" si="7"/>
        <v>1</v>
      </c>
      <c r="E62" s="94">
        <f t="shared" si="5"/>
        <v>2500000</v>
      </c>
      <c r="F62" s="91">
        <f t="shared" si="0"/>
        <v>212500</v>
      </c>
      <c r="G62" s="91">
        <f t="shared" si="4"/>
        <v>10966808.857277492</v>
      </c>
      <c r="H62" s="96">
        <f t="shared" si="1"/>
        <v>279.1203510782218</v>
      </c>
    </row>
    <row r="63" spans="3:8" x14ac:dyDescent="0.15">
      <c r="C63">
        <f t="shared" si="6"/>
        <v>5</v>
      </c>
      <c r="D63">
        <f t="shared" si="7"/>
        <v>2</v>
      </c>
      <c r="E63" s="94">
        <f t="shared" si="5"/>
        <v>2500000</v>
      </c>
      <c r="F63" s="91">
        <f t="shared" si="0"/>
        <v>212500</v>
      </c>
      <c r="G63" s="91">
        <f t="shared" si="4"/>
        <v>11202336.403133487</v>
      </c>
      <c r="H63" s="96">
        <f t="shared" si="1"/>
        <v>285.11485067636994</v>
      </c>
    </row>
    <row r="64" spans="3:8" x14ac:dyDescent="0.15">
      <c r="C64">
        <f t="shared" si="6"/>
        <v>5</v>
      </c>
      <c r="D64">
        <f t="shared" si="7"/>
        <v>3</v>
      </c>
      <c r="E64" s="94">
        <f t="shared" si="5"/>
        <v>2500000</v>
      </c>
      <c r="F64" s="91">
        <f t="shared" si="0"/>
        <v>212500</v>
      </c>
      <c r="G64" s="91">
        <f t="shared" si="4"/>
        <v>11438349.097170983</v>
      </c>
      <c r="H64" s="96">
        <f t="shared" si="1"/>
        <v>291.12169796220985</v>
      </c>
    </row>
    <row r="65" spans="3:8" x14ac:dyDescent="0.15">
      <c r="C65">
        <f t="shared" si="6"/>
        <v>5</v>
      </c>
      <c r="D65">
        <f t="shared" si="7"/>
        <v>4</v>
      </c>
      <c r="E65" s="94">
        <f t="shared" si="5"/>
        <v>2500000</v>
      </c>
      <c r="F65" s="91">
        <f t="shared" si="0"/>
        <v>212500</v>
      </c>
      <c r="G65" s="91">
        <f t="shared" si="4"/>
        <v>11674847.938715801</v>
      </c>
      <c r="H65" s="96">
        <f t="shared" si="1"/>
        <v>297.14091836995658</v>
      </c>
    </row>
    <row r="66" spans="3:8" x14ac:dyDescent="0.15">
      <c r="C66">
        <f t="shared" si="6"/>
        <v>5</v>
      </c>
      <c r="D66">
        <f t="shared" si="7"/>
        <v>5</v>
      </c>
      <c r="E66" s="94">
        <f t="shared" si="5"/>
        <v>2500000</v>
      </c>
      <c r="F66" s="91">
        <f t="shared" si="0"/>
        <v>212500</v>
      </c>
      <c r="G66" s="91">
        <f t="shared" si="4"/>
        <v>11911833.929152207</v>
      </c>
      <c r="H66" s="96">
        <f t="shared" si="1"/>
        <v>303.17253738621537</v>
      </c>
    </row>
    <row r="67" spans="3:8" x14ac:dyDescent="0.15">
      <c r="C67">
        <f t="shared" si="6"/>
        <v>5</v>
      </c>
      <c r="D67">
        <f t="shared" si="7"/>
        <v>6</v>
      </c>
      <c r="E67" s="94">
        <f t="shared" si="5"/>
        <v>2500000</v>
      </c>
      <c r="F67" s="91">
        <f t="shared" si="0"/>
        <v>212500</v>
      </c>
      <c r="G67" s="91">
        <f t="shared" si="4"/>
        <v>12149308.07192716</v>
      </c>
      <c r="H67" s="96">
        <f t="shared" si="1"/>
        <v>309.2165805500897</v>
      </c>
    </row>
    <row r="68" spans="3:8" x14ac:dyDescent="0.15">
      <c r="C68">
        <f t="shared" si="6"/>
        <v>5</v>
      </c>
      <c r="D68">
        <f t="shared" si="7"/>
        <v>7</v>
      </c>
      <c r="E68" s="94">
        <f t="shared" si="5"/>
        <v>2500000</v>
      </c>
      <c r="F68" s="91">
        <f t="shared" si="0"/>
        <v>212500</v>
      </c>
      <c r="G68" s="91">
        <f t="shared" si="4"/>
        <v>12387271.37255455</v>
      </c>
      <c r="H68" s="96">
        <f t="shared" si="1"/>
        <v>315.27307345328944</v>
      </c>
    </row>
    <row r="69" spans="3:8" x14ac:dyDescent="0.15">
      <c r="C69">
        <f t="shared" si="6"/>
        <v>5</v>
      </c>
      <c r="D69">
        <f t="shared" si="7"/>
        <v>8</v>
      </c>
      <c r="E69" s="94">
        <f t="shared" si="5"/>
        <v>2500000</v>
      </c>
      <c r="F69" s="91">
        <f t="shared" si="0"/>
        <v>212500</v>
      </c>
      <c r="G69" s="91">
        <f t="shared" si="4"/>
        <v>12625724.838619463</v>
      </c>
      <c r="H69" s="96">
        <f t="shared" si="1"/>
        <v>321.34204174023927</v>
      </c>
    </row>
    <row r="70" spans="3:8" x14ac:dyDescent="0.15">
      <c r="C70">
        <f t="shared" si="6"/>
        <v>5</v>
      </c>
      <c r="D70">
        <f t="shared" si="7"/>
        <v>9</v>
      </c>
      <c r="E70" s="94">
        <f t="shared" si="5"/>
        <v>2500000</v>
      </c>
      <c r="F70" s="91">
        <f t="shared" si="0"/>
        <v>212500</v>
      </c>
      <c r="G70" s="91">
        <f t="shared" si="4"/>
        <v>12864669.479782447</v>
      </c>
      <c r="H70" s="96">
        <f t="shared" si="1"/>
        <v>327.42351110818709</v>
      </c>
    </row>
    <row r="71" spans="3:8" x14ac:dyDescent="0.15">
      <c r="C71">
        <f t="shared" si="6"/>
        <v>5</v>
      </c>
      <c r="D71">
        <f t="shared" si="7"/>
        <v>10</v>
      </c>
      <c r="E71" s="94">
        <f t="shared" si="5"/>
        <v>2500000</v>
      </c>
      <c r="F71" s="91">
        <f t="shared" si="0"/>
        <v>212500</v>
      </c>
      <c r="G71" s="91">
        <f t="shared" si="4"/>
        <v>13104106.307783784</v>
      </c>
      <c r="H71" s="96">
        <f t="shared" si="1"/>
        <v>333.517507307313</v>
      </c>
    </row>
    <row r="72" spans="3:8" x14ac:dyDescent="0.15">
      <c r="C72">
        <f t="shared" si="6"/>
        <v>5</v>
      </c>
      <c r="D72">
        <f t="shared" si="7"/>
        <v>11</v>
      </c>
      <c r="E72" s="94">
        <f t="shared" si="5"/>
        <v>2500000</v>
      </c>
      <c r="F72" s="91">
        <f t="shared" si="0"/>
        <v>212500</v>
      </c>
      <c r="G72" s="91">
        <f t="shared" si="4"/>
        <v>13344036.336447774</v>
      </c>
      <c r="H72" s="96">
        <f t="shared" si="1"/>
        <v>339.62405614083804</v>
      </c>
    </row>
    <row r="73" spans="3:8" x14ac:dyDescent="0.15">
      <c r="C73">
        <f t="shared" si="6"/>
        <v>5</v>
      </c>
      <c r="D73">
        <f t="shared" si="7"/>
        <v>12</v>
      </c>
      <c r="E73" s="94">
        <f t="shared" si="5"/>
        <v>2500000</v>
      </c>
      <c r="F73" s="91">
        <f t="shared" si="0"/>
        <v>212500</v>
      </c>
      <c r="G73" s="91">
        <f t="shared" si="4"/>
        <v>13584460.581687029</v>
      </c>
      <c r="H73" s="96">
        <f t="shared" si="1"/>
        <v>345.743183465134</v>
      </c>
    </row>
    <row r="74" spans="3:8" x14ac:dyDescent="0.15">
      <c r="C74">
        <f t="shared" si="6"/>
        <v>6</v>
      </c>
      <c r="D74">
        <f t="shared" si="7"/>
        <v>1</v>
      </c>
      <c r="E74" s="94">
        <f t="shared" si="5"/>
        <v>2500000</v>
      </c>
      <c r="F74" s="91">
        <f t="shared" si="0"/>
        <v>212500</v>
      </c>
      <c r="G74" s="91">
        <f t="shared" si="4"/>
        <v>13825380.06150678</v>
      </c>
      <c r="H74" s="96">
        <f t="shared" si="1"/>
        <v>351.87491518983239</v>
      </c>
    </row>
    <row r="75" spans="3:8" x14ac:dyDescent="0.15">
      <c r="C75">
        <f t="shared" si="6"/>
        <v>6</v>
      </c>
      <c r="D75">
        <f t="shared" si="7"/>
        <v>2</v>
      </c>
      <c r="E75" s="94">
        <f t="shared" si="5"/>
        <v>2500000</v>
      </c>
      <c r="F75" s="91">
        <f t="shared" si="0"/>
        <v>212500</v>
      </c>
      <c r="G75" s="91">
        <f t="shared" si="4"/>
        <v>14066795.796009174</v>
      </c>
      <c r="H75" s="96">
        <f t="shared" si="1"/>
        <v>358.01927727793418</v>
      </c>
    </row>
    <row r="76" spans="3:8" x14ac:dyDescent="0.15">
      <c r="C76">
        <f t="shared" si="6"/>
        <v>6</v>
      </c>
      <c r="D76">
        <f t="shared" si="7"/>
        <v>3</v>
      </c>
      <c r="E76" s="94">
        <f t="shared" si="5"/>
        <v>2500000</v>
      </c>
      <c r="F76" s="91">
        <f t="shared" si="0"/>
        <v>212500</v>
      </c>
      <c r="G76" s="91">
        <f t="shared" si="4"/>
        <v>14308708.807397606</v>
      </c>
      <c r="H76" s="96">
        <f t="shared" si="1"/>
        <v>364.17629574592007</v>
      </c>
    </row>
    <row r="77" spans="3:8" x14ac:dyDescent="0.15">
      <c r="C77">
        <f t="shared" si="6"/>
        <v>6</v>
      </c>
      <c r="D77">
        <f t="shared" si="7"/>
        <v>4</v>
      </c>
      <c r="E77" s="94">
        <f t="shared" si="5"/>
        <v>2500000</v>
      </c>
      <c r="F77" s="91">
        <f t="shared" si="0"/>
        <v>212500</v>
      </c>
      <c r="G77" s="91">
        <f t="shared" si="4"/>
        <v>14551120.119981043</v>
      </c>
      <c r="H77" s="96">
        <f t="shared" si="1"/>
        <v>370.34599666386049</v>
      </c>
    </row>
    <row r="78" spans="3:8" x14ac:dyDescent="0.15">
      <c r="C78">
        <f t="shared" si="6"/>
        <v>6</v>
      </c>
      <c r="D78">
        <f t="shared" si="7"/>
        <v>5</v>
      </c>
      <c r="E78" s="94">
        <f t="shared" si="5"/>
        <v>2500000</v>
      </c>
      <c r="F78" s="91">
        <f t="shared" si="0"/>
        <v>212500</v>
      </c>
      <c r="G78" s="91">
        <f t="shared" si="4"/>
        <v>14794030.760178359</v>
      </c>
      <c r="H78" s="96">
        <f t="shared" si="1"/>
        <v>376.52840615552566</v>
      </c>
    </row>
    <row r="79" spans="3:8" x14ac:dyDescent="0.15">
      <c r="C79">
        <f t="shared" si="6"/>
        <v>6</v>
      </c>
      <c r="D79">
        <f t="shared" si="7"/>
        <v>6</v>
      </c>
      <c r="E79" s="94">
        <f t="shared" si="5"/>
        <v>2500000</v>
      </c>
      <c r="F79" s="91">
        <f t="shared" ref="F79:F142" si="8">IF(E79/$D$3&lt;$D$2*(1+$D$11)^(C79-1),0.1*E79,0.1*$D$2*$D$3*(1+$D$11)^(C79-1))*(1-$D$9)</f>
        <v>212500</v>
      </c>
      <c r="G79" s="91">
        <f t="shared" si="4"/>
        <v>15037441.756522685</v>
      </c>
      <c r="H79" s="96">
        <f t="shared" ref="H79:H142" si="9">G79/$D$3</f>
        <v>382.72355039849685</v>
      </c>
    </row>
    <row r="80" spans="3:8" x14ac:dyDescent="0.15">
      <c r="C80">
        <f t="shared" si="6"/>
        <v>6</v>
      </c>
      <c r="D80">
        <f t="shared" si="7"/>
        <v>7</v>
      </c>
      <c r="E80" s="94">
        <f t="shared" si="5"/>
        <v>2500000</v>
      </c>
      <c r="F80" s="91">
        <f t="shared" si="8"/>
        <v>212500</v>
      </c>
      <c r="G80" s="91">
        <f t="shared" ref="G80:G143" si="10">(F80+G79)*(1+$D$5)</f>
        <v>15281354.13966576</v>
      </c>
      <c r="H80" s="96">
        <f t="shared" si="9"/>
        <v>388.93145562427662</v>
      </c>
    </row>
    <row r="81" spans="3:8" x14ac:dyDescent="0.15">
      <c r="C81">
        <f t="shared" si="6"/>
        <v>6</v>
      </c>
      <c r="D81">
        <f t="shared" si="7"/>
        <v>8</v>
      </c>
      <c r="E81" s="94">
        <f t="shared" ref="E81:E144" si="11">E80</f>
        <v>2500000</v>
      </c>
      <c r="F81" s="91">
        <f t="shared" si="8"/>
        <v>212500</v>
      </c>
      <c r="G81" s="91">
        <f t="shared" si="10"/>
        <v>15525768.942382297</v>
      </c>
      <c r="H81" s="96">
        <f t="shared" si="9"/>
        <v>395.15214811840019</v>
      </c>
    </row>
    <row r="82" spans="3:8" x14ac:dyDescent="0.15">
      <c r="C82">
        <f t="shared" si="6"/>
        <v>6</v>
      </c>
      <c r="D82">
        <f t="shared" si="7"/>
        <v>9</v>
      </c>
      <c r="E82" s="94">
        <f t="shared" si="11"/>
        <v>2500000</v>
      </c>
      <c r="F82" s="91">
        <f t="shared" si="8"/>
        <v>212500</v>
      </c>
      <c r="G82" s="91">
        <f t="shared" si="10"/>
        <v>15770687.199574355</v>
      </c>
      <c r="H82" s="96">
        <f t="shared" si="9"/>
        <v>401.38565422054671</v>
      </c>
    </row>
    <row r="83" spans="3:8" x14ac:dyDescent="0.15">
      <c r="C83">
        <f t="shared" si="6"/>
        <v>6</v>
      </c>
      <c r="D83">
        <f t="shared" si="7"/>
        <v>10</v>
      </c>
      <c r="E83" s="94">
        <f t="shared" si="11"/>
        <v>2500000</v>
      </c>
      <c r="F83" s="91">
        <f t="shared" si="8"/>
        <v>212500</v>
      </c>
      <c r="G83" s="91">
        <f t="shared" si="10"/>
        <v>16016109.948275724</v>
      </c>
      <c r="H83" s="96">
        <f t="shared" si="9"/>
        <v>407.63200032465068</v>
      </c>
    </row>
    <row r="84" spans="3:8" x14ac:dyDescent="0.15">
      <c r="C84">
        <f t="shared" si="6"/>
        <v>6</v>
      </c>
      <c r="D84">
        <f t="shared" si="7"/>
        <v>11</v>
      </c>
      <c r="E84" s="94">
        <f t="shared" si="11"/>
        <v>2500000</v>
      </c>
      <c r="F84" s="91">
        <f t="shared" si="8"/>
        <v>212500</v>
      </c>
      <c r="G84" s="91">
        <f t="shared" si="10"/>
        <v>16262038.227656314</v>
      </c>
      <c r="H84" s="96">
        <f t="shared" si="9"/>
        <v>413.89121287901395</v>
      </c>
    </row>
    <row r="85" spans="3:8" x14ac:dyDescent="0.15">
      <c r="C85">
        <f t="shared" si="6"/>
        <v>6</v>
      </c>
      <c r="D85">
        <f t="shared" si="7"/>
        <v>12</v>
      </c>
      <c r="E85" s="94">
        <f t="shared" si="11"/>
        <v>2500000</v>
      </c>
      <c r="F85" s="91">
        <f t="shared" si="8"/>
        <v>212500</v>
      </c>
      <c r="G85" s="91">
        <f t="shared" si="10"/>
        <v>16508473.079026552</v>
      </c>
      <c r="H85" s="96">
        <f t="shared" si="9"/>
        <v>420.1633183864173</v>
      </c>
    </row>
    <row r="86" spans="3:8" x14ac:dyDescent="0.15">
      <c r="C86">
        <f t="shared" si="6"/>
        <v>7</v>
      </c>
      <c r="D86">
        <f t="shared" si="7"/>
        <v>1</v>
      </c>
      <c r="E86" s="94">
        <f t="shared" si="11"/>
        <v>2500000</v>
      </c>
      <c r="F86" s="91">
        <f t="shared" si="8"/>
        <v>212500</v>
      </c>
      <c r="G86" s="91">
        <f t="shared" si="10"/>
        <v>16755415.545841794</v>
      </c>
      <c r="H86" s="96">
        <f t="shared" si="9"/>
        <v>426.44834340423307</v>
      </c>
    </row>
    <row r="87" spans="3:8" x14ac:dyDescent="0.15">
      <c r="C87">
        <f t="shared" si="6"/>
        <v>7</v>
      </c>
      <c r="D87">
        <f t="shared" si="7"/>
        <v>2</v>
      </c>
      <c r="E87" s="94">
        <f t="shared" si="11"/>
        <v>2500000</v>
      </c>
      <c r="F87" s="91">
        <f t="shared" si="8"/>
        <v>212500</v>
      </c>
      <c r="G87" s="91">
        <f t="shared" si="10"/>
        <v>17002866.673706748</v>
      </c>
      <c r="H87" s="96">
        <f t="shared" si="9"/>
        <v>432.74631454453743</v>
      </c>
    </row>
    <row r="88" spans="3:8" x14ac:dyDescent="0.15">
      <c r="C88">
        <f t="shared" si="6"/>
        <v>7</v>
      </c>
      <c r="D88">
        <f t="shared" si="7"/>
        <v>3</v>
      </c>
      <c r="E88" s="94">
        <f t="shared" si="11"/>
        <v>2500000</v>
      </c>
      <c r="F88" s="91">
        <f t="shared" si="8"/>
        <v>212500</v>
      </c>
      <c r="G88" s="91">
        <f t="shared" si="10"/>
        <v>17250827.510379892</v>
      </c>
      <c r="H88" s="96">
        <f t="shared" si="9"/>
        <v>439.05725847422303</v>
      </c>
    </row>
    <row r="89" spans="3:8" x14ac:dyDescent="0.15">
      <c r="C89">
        <f t="shared" si="6"/>
        <v>7</v>
      </c>
      <c r="D89">
        <f t="shared" si="7"/>
        <v>4</v>
      </c>
      <c r="E89" s="94">
        <f t="shared" si="11"/>
        <v>2500000</v>
      </c>
      <c r="F89" s="91">
        <f t="shared" si="8"/>
        <v>212500</v>
      </c>
      <c r="G89" s="91">
        <f t="shared" si="10"/>
        <v>17499299.105777916</v>
      </c>
      <c r="H89" s="96">
        <f t="shared" si="9"/>
        <v>445.38120191511189</v>
      </c>
    </row>
    <row r="90" spans="3:8" x14ac:dyDescent="0.15">
      <c r="C90">
        <f t="shared" si="6"/>
        <v>7</v>
      </c>
      <c r="D90">
        <f t="shared" si="7"/>
        <v>5</v>
      </c>
      <c r="E90" s="94">
        <f t="shared" si="11"/>
        <v>2500000</v>
      </c>
      <c r="F90" s="91">
        <f t="shared" si="8"/>
        <v>212500</v>
      </c>
      <c r="G90" s="91">
        <f t="shared" si="10"/>
        <v>17748282.511980165</v>
      </c>
      <c r="H90" s="96">
        <f t="shared" si="9"/>
        <v>451.71817164406878</v>
      </c>
    </row>
    <row r="91" spans="3:8" x14ac:dyDescent="0.15">
      <c r="C91">
        <f t="shared" si="6"/>
        <v>7</v>
      </c>
      <c r="D91">
        <f t="shared" si="7"/>
        <v>6</v>
      </c>
      <c r="E91" s="94">
        <f t="shared" si="11"/>
        <v>2500000</v>
      </c>
      <c r="F91" s="91">
        <f t="shared" si="8"/>
        <v>212500</v>
      </c>
      <c r="G91" s="91">
        <f t="shared" si="10"/>
        <v>17997778.783233099</v>
      </c>
      <c r="H91" s="96">
        <f t="shared" si="9"/>
        <v>458.06819449311422</v>
      </c>
    </row>
    <row r="92" spans="3:8" x14ac:dyDescent="0.15">
      <c r="C92">
        <f t="shared" si="6"/>
        <v>7</v>
      </c>
      <c r="D92">
        <f t="shared" si="7"/>
        <v>7</v>
      </c>
      <c r="E92" s="94">
        <f t="shared" si="11"/>
        <v>2500000</v>
      </c>
      <c r="F92" s="91">
        <f t="shared" si="8"/>
        <v>212500</v>
      </c>
      <c r="G92" s="91">
        <f t="shared" si="10"/>
        <v>18247788.975954749</v>
      </c>
      <c r="H92" s="96">
        <f t="shared" si="9"/>
        <v>464.43129734953845</v>
      </c>
    </row>
    <row r="93" spans="3:8" x14ac:dyDescent="0.15">
      <c r="C93">
        <f t="shared" si="6"/>
        <v>7</v>
      </c>
      <c r="D93">
        <f t="shared" si="7"/>
        <v>8</v>
      </c>
      <c r="E93" s="94">
        <f t="shared" si="11"/>
        <v>2500000</v>
      </c>
      <c r="F93" s="91">
        <f t="shared" si="8"/>
        <v>212500</v>
      </c>
      <c r="G93" s="91">
        <f t="shared" si="10"/>
        <v>18498314.1487392</v>
      </c>
      <c r="H93" s="96">
        <f t="shared" si="9"/>
        <v>470.80750715601516</v>
      </c>
    </row>
    <row r="94" spans="3:8" x14ac:dyDescent="0.15">
      <c r="C94">
        <f t="shared" si="6"/>
        <v>7</v>
      </c>
      <c r="D94">
        <f t="shared" si="7"/>
        <v>9</v>
      </c>
      <c r="E94" s="94">
        <f t="shared" si="11"/>
        <v>2500000</v>
      </c>
      <c r="F94" s="91">
        <f t="shared" si="8"/>
        <v>212500</v>
      </c>
      <c r="G94" s="91">
        <f t="shared" si="10"/>
        <v>18749355.362361059</v>
      </c>
      <c r="H94" s="96">
        <f t="shared" si="9"/>
        <v>477.19685091071528</v>
      </c>
    </row>
    <row r="95" spans="3:8" x14ac:dyDescent="0.15">
      <c r="C95">
        <f t="shared" si="6"/>
        <v>7</v>
      </c>
      <c r="D95">
        <f t="shared" si="7"/>
        <v>10</v>
      </c>
      <c r="E95" s="94">
        <f t="shared" si="11"/>
        <v>2500000</v>
      </c>
      <c r="F95" s="91">
        <f t="shared" si="8"/>
        <v>212500</v>
      </c>
      <c r="G95" s="91">
        <f t="shared" si="10"/>
        <v>19000913.679779962</v>
      </c>
      <c r="H95" s="96">
        <f t="shared" si="9"/>
        <v>483.59935566742183</v>
      </c>
    </row>
    <row r="96" spans="3:8" x14ac:dyDescent="0.15">
      <c r="C96">
        <f t="shared" si="6"/>
        <v>7</v>
      </c>
      <c r="D96">
        <f t="shared" si="7"/>
        <v>11</v>
      </c>
      <c r="E96" s="94">
        <f t="shared" si="11"/>
        <v>2500000</v>
      </c>
      <c r="F96" s="91">
        <f t="shared" si="8"/>
        <v>212500</v>
      </c>
      <c r="G96" s="91">
        <f t="shared" si="10"/>
        <v>19252990.166145064</v>
      </c>
      <c r="H96" s="96">
        <f t="shared" si="9"/>
        <v>490.0150485356441</v>
      </c>
    </row>
    <row r="97" spans="3:8" x14ac:dyDescent="0.15">
      <c r="C97">
        <f t="shared" ref="C97:C160" si="12">IF(MOD(D96,12)=0,C96+1,C96)</f>
        <v>7</v>
      </c>
      <c r="D97">
        <f t="shared" ref="D97:D160" si="13">IF(MOD(D96,12)=0,1,D96+1)</f>
        <v>12</v>
      </c>
      <c r="E97" s="94">
        <f t="shared" si="11"/>
        <v>2500000</v>
      </c>
      <c r="F97" s="91">
        <f t="shared" si="8"/>
        <v>212500</v>
      </c>
      <c r="G97" s="91">
        <f t="shared" si="10"/>
        <v>19505585.888799556</v>
      </c>
      <c r="H97" s="96">
        <f t="shared" si="9"/>
        <v>496.44395668073253</v>
      </c>
    </row>
    <row r="98" spans="3:8" x14ac:dyDescent="0.15">
      <c r="C98">
        <f t="shared" si="12"/>
        <v>8</v>
      </c>
      <c r="D98">
        <f t="shared" si="13"/>
        <v>1</v>
      </c>
      <c r="E98" s="94">
        <f t="shared" si="11"/>
        <v>2500000</v>
      </c>
      <c r="F98" s="91">
        <f t="shared" si="8"/>
        <v>212500</v>
      </c>
      <c r="G98" s="91">
        <f t="shared" si="10"/>
        <v>19758701.917285178</v>
      </c>
      <c r="H98" s="96">
        <f t="shared" si="9"/>
        <v>502.88610732399366</v>
      </c>
    </row>
    <row r="99" spans="3:8" x14ac:dyDescent="0.15">
      <c r="C99">
        <f t="shared" si="12"/>
        <v>8</v>
      </c>
      <c r="D99">
        <f t="shared" si="13"/>
        <v>2</v>
      </c>
      <c r="E99" s="94">
        <f t="shared" si="11"/>
        <v>2500000</v>
      </c>
      <c r="F99" s="91">
        <f t="shared" si="8"/>
        <v>212500</v>
      </c>
      <c r="G99" s="91">
        <f t="shared" si="10"/>
        <v>20012339.323346756</v>
      </c>
      <c r="H99" s="96">
        <f t="shared" si="9"/>
        <v>509.34152774280562</v>
      </c>
    </row>
    <row r="100" spans="3:8" x14ac:dyDescent="0.15">
      <c r="C100">
        <f t="shared" si="12"/>
        <v>8</v>
      </c>
      <c r="D100">
        <f t="shared" si="13"/>
        <v>3</v>
      </c>
      <c r="E100" s="94">
        <f t="shared" si="11"/>
        <v>2500000</v>
      </c>
      <c r="F100" s="91">
        <f t="shared" si="8"/>
        <v>212500</v>
      </c>
      <c r="G100" s="91">
        <f t="shared" si="10"/>
        <v>20266499.180936728</v>
      </c>
      <c r="H100" s="96">
        <f t="shared" si="9"/>
        <v>515.81024527073328</v>
      </c>
    </row>
    <row r="101" spans="3:8" x14ac:dyDescent="0.15">
      <c r="C101">
        <f t="shared" si="12"/>
        <v>8</v>
      </c>
      <c r="D101">
        <f t="shared" si="13"/>
        <v>4</v>
      </c>
      <c r="E101" s="94">
        <f t="shared" si="11"/>
        <v>2500000</v>
      </c>
      <c r="F101" s="91">
        <f t="shared" si="8"/>
        <v>212500</v>
      </c>
      <c r="G101" s="91">
        <f t="shared" si="10"/>
        <v>20521182.566219702</v>
      </c>
      <c r="H101" s="96">
        <f t="shared" si="9"/>
        <v>522.29228729764441</v>
      </c>
    </row>
    <row r="102" spans="3:8" x14ac:dyDescent="0.15">
      <c r="C102">
        <f t="shared" si="12"/>
        <v>8</v>
      </c>
      <c r="D102">
        <f t="shared" si="13"/>
        <v>5</v>
      </c>
      <c r="E102" s="94">
        <f t="shared" si="11"/>
        <v>2500000</v>
      </c>
      <c r="F102" s="91">
        <f t="shared" si="8"/>
        <v>212500</v>
      </c>
      <c r="G102" s="91">
        <f t="shared" si="10"/>
        <v>20776390.557577007</v>
      </c>
      <c r="H102" s="96">
        <f t="shared" si="9"/>
        <v>528.78768126982516</v>
      </c>
    </row>
    <row r="103" spans="3:8" x14ac:dyDescent="0.15">
      <c r="C103">
        <f t="shared" si="12"/>
        <v>8</v>
      </c>
      <c r="D103">
        <f t="shared" si="13"/>
        <v>6</v>
      </c>
      <c r="E103" s="94">
        <f t="shared" si="11"/>
        <v>2500000</v>
      </c>
      <c r="F103" s="91">
        <f t="shared" si="8"/>
        <v>212500</v>
      </c>
      <c r="G103" s="91">
        <f t="shared" si="10"/>
        <v>21032124.235611264</v>
      </c>
      <c r="H103" s="96">
        <f t="shared" si="9"/>
        <v>535.29645469009677</v>
      </c>
    </row>
    <row r="104" spans="3:8" x14ac:dyDescent="0.15">
      <c r="C104">
        <f t="shared" si="12"/>
        <v>8</v>
      </c>
      <c r="D104">
        <f t="shared" si="13"/>
        <v>7</v>
      </c>
      <c r="E104" s="94">
        <f t="shared" si="11"/>
        <v>2500000</v>
      </c>
      <c r="F104" s="91">
        <f t="shared" si="8"/>
        <v>212500</v>
      </c>
      <c r="G104" s="91">
        <f t="shared" si="10"/>
        <v>21288384.683150955</v>
      </c>
      <c r="H104" s="96">
        <f t="shared" si="9"/>
        <v>541.81863511793165</v>
      </c>
    </row>
    <row r="105" spans="3:8" x14ac:dyDescent="0.15">
      <c r="C105">
        <f t="shared" si="12"/>
        <v>8</v>
      </c>
      <c r="D105">
        <f t="shared" si="13"/>
        <v>8</v>
      </c>
      <c r="E105" s="94">
        <f t="shared" si="11"/>
        <v>2500000</v>
      </c>
      <c r="F105" s="91">
        <f t="shared" si="8"/>
        <v>212500</v>
      </c>
      <c r="G105" s="91">
        <f t="shared" si="10"/>
        <v>21545172.985255014</v>
      </c>
      <c r="H105" s="96">
        <f t="shared" si="9"/>
        <v>548.35425016957015</v>
      </c>
    </row>
    <row r="106" spans="3:8" x14ac:dyDescent="0.15">
      <c r="C106">
        <f t="shared" si="12"/>
        <v>8</v>
      </c>
      <c r="D106">
        <f t="shared" si="13"/>
        <v>9</v>
      </c>
      <c r="E106" s="94">
        <f t="shared" si="11"/>
        <v>2500000</v>
      </c>
      <c r="F106" s="91">
        <f t="shared" si="8"/>
        <v>212500</v>
      </c>
      <c r="G106" s="91">
        <f t="shared" si="10"/>
        <v>21802490.229217421</v>
      </c>
      <c r="H106" s="96">
        <f t="shared" si="9"/>
        <v>554.90332751813787</v>
      </c>
    </row>
    <row r="107" spans="3:8" x14ac:dyDescent="0.15">
      <c r="C107">
        <f t="shared" si="12"/>
        <v>8</v>
      </c>
      <c r="D107">
        <f t="shared" si="13"/>
        <v>10</v>
      </c>
      <c r="E107" s="94">
        <f t="shared" si="11"/>
        <v>2500000</v>
      </c>
      <c r="F107" s="91">
        <f t="shared" si="8"/>
        <v>212500</v>
      </c>
      <c r="G107" s="91">
        <f t="shared" si="10"/>
        <v>22060337.504571795</v>
      </c>
      <c r="H107" s="96">
        <f t="shared" si="9"/>
        <v>561.46589489376197</v>
      </c>
    </row>
    <row r="108" spans="3:8" x14ac:dyDescent="0.15">
      <c r="C108">
        <f t="shared" si="12"/>
        <v>8</v>
      </c>
      <c r="D108">
        <f t="shared" si="13"/>
        <v>11</v>
      </c>
      <c r="E108" s="94">
        <f t="shared" si="11"/>
        <v>2500000</v>
      </c>
      <c r="F108" s="91">
        <f t="shared" si="8"/>
        <v>212500</v>
      </c>
      <c r="G108" s="91">
        <f t="shared" si="10"/>
        <v>22318715.903096028</v>
      </c>
      <c r="H108" s="96">
        <f t="shared" si="9"/>
        <v>568.04198008368985</v>
      </c>
    </row>
    <row r="109" spans="3:8" x14ac:dyDescent="0.15">
      <c r="C109">
        <f t="shared" si="12"/>
        <v>8</v>
      </c>
      <c r="D109">
        <f t="shared" si="13"/>
        <v>12</v>
      </c>
      <c r="E109" s="94">
        <f t="shared" si="11"/>
        <v>2500000</v>
      </c>
      <c r="F109" s="91">
        <f t="shared" si="8"/>
        <v>212500</v>
      </c>
      <c r="G109" s="91">
        <f t="shared" si="10"/>
        <v>22577626.518816881</v>
      </c>
      <c r="H109" s="96">
        <f t="shared" si="9"/>
        <v>574.63161093240547</v>
      </c>
    </row>
    <row r="110" spans="3:8" x14ac:dyDescent="0.15">
      <c r="C110">
        <f t="shared" si="12"/>
        <v>9</v>
      </c>
      <c r="D110">
        <f t="shared" si="13"/>
        <v>1</v>
      </c>
      <c r="E110" s="94">
        <f t="shared" si="11"/>
        <v>2500000</v>
      </c>
      <c r="F110" s="91">
        <f t="shared" si="8"/>
        <v>212500</v>
      </c>
      <c r="G110" s="91">
        <f t="shared" si="10"/>
        <v>22837070.448014643</v>
      </c>
      <c r="H110" s="96">
        <f t="shared" si="9"/>
        <v>581.23481534174812</v>
      </c>
    </row>
    <row r="111" spans="3:8" x14ac:dyDescent="0.15">
      <c r="C111">
        <f t="shared" si="12"/>
        <v>9</v>
      </c>
      <c r="D111">
        <f t="shared" si="13"/>
        <v>2</v>
      </c>
      <c r="E111" s="94">
        <f t="shared" si="11"/>
        <v>2500000</v>
      </c>
      <c r="F111" s="91">
        <f t="shared" si="8"/>
        <v>212500</v>
      </c>
      <c r="G111" s="91">
        <f t="shared" si="10"/>
        <v>23097048.789227758</v>
      </c>
      <c r="H111" s="96">
        <f t="shared" si="9"/>
        <v>587.85162127103035</v>
      </c>
    </row>
    <row r="112" spans="3:8" x14ac:dyDescent="0.15">
      <c r="C112">
        <f t="shared" si="12"/>
        <v>9</v>
      </c>
      <c r="D112">
        <f t="shared" si="13"/>
        <v>3</v>
      </c>
      <c r="E112" s="94">
        <f t="shared" si="11"/>
        <v>2500000</v>
      </c>
      <c r="F112" s="91">
        <f t="shared" si="8"/>
        <v>212500</v>
      </c>
      <c r="G112" s="91">
        <f t="shared" si="10"/>
        <v>23357562.643257476</v>
      </c>
      <c r="H112" s="96">
        <f t="shared" si="9"/>
        <v>594.4820567371562</v>
      </c>
    </row>
    <row r="113" spans="3:8" x14ac:dyDescent="0.15">
      <c r="C113">
        <f t="shared" si="12"/>
        <v>9</v>
      </c>
      <c r="D113">
        <f t="shared" si="13"/>
        <v>4</v>
      </c>
      <c r="E113" s="94">
        <f t="shared" si="11"/>
        <v>2500000</v>
      </c>
      <c r="F113" s="91">
        <f t="shared" si="8"/>
        <v>212500</v>
      </c>
      <c r="G113" s="91">
        <f t="shared" si="10"/>
        <v>23618613.113172524</v>
      </c>
      <c r="H113" s="96">
        <f t="shared" si="9"/>
        <v>601.12614981474007</v>
      </c>
    </row>
    <row r="114" spans="3:8" x14ac:dyDescent="0.15">
      <c r="C114">
        <f t="shared" si="12"/>
        <v>9</v>
      </c>
      <c r="D114">
        <f t="shared" si="13"/>
        <v>5</v>
      </c>
      <c r="E114" s="94">
        <f t="shared" si="11"/>
        <v>2500000</v>
      </c>
      <c r="F114" s="91">
        <f t="shared" si="8"/>
        <v>212500</v>
      </c>
      <c r="G114" s="91">
        <f t="shared" si="10"/>
        <v>23880201.30431376</v>
      </c>
      <c r="H114" s="96">
        <f t="shared" si="9"/>
        <v>607.78392863622526</v>
      </c>
    </row>
    <row r="115" spans="3:8" x14ac:dyDescent="0.15">
      <c r="C115">
        <f t="shared" si="12"/>
        <v>9</v>
      </c>
      <c r="D115">
        <f t="shared" si="13"/>
        <v>6</v>
      </c>
      <c r="E115" s="94">
        <f t="shared" si="11"/>
        <v>2500000</v>
      </c>
      <c r="F115" s="91">
        <f t="shared" si="8"/>
        <v>212500</v>
      </c>
      <c r="G115" s="91">
        <f t="shared" si="10"/>
        <v>24142328.324298874</v>
      </c>
      <c r="H115" s="96">
        <f t="shared" si="9"/>
        <v>614.4554213920037</v>
      </c>
    </row>
    <row r="116" spans="3:8" x14ac:dyDescent="0.15">
      <c r="C116">
        <f t="shared" si="12"/>
        <v>9</v>
      </c>
      <c r="D116">
        <f t="shared" si="13"/>
        <v>7</v>
      </c>
      <c r="E116" s="94">
        <f t="shared" si="11"/>
        <v>2500000</v>
      </c>
      <c r="F116" s="91">
        <f t="shared" si="8"/>
        <v>212500</v>
      </c>
      <c r="G116" s="91">
        <f t="shared" si="10"/>
        <v>24404995.283027057</v>
      </c>
      <c r="H116" s="96">
        <f t="shared" si="9"/>
        <v>621.1406563305344</v>
      </c>
    </row>
    <row r="117" spans="3:8" x14ac:dyDescent="0.15">
      <c r="C117">
        <f t="shared" si="12"/>
        <v>9</v>
      </c>
      <c r="D117">
        <f t="shared" si="13"/>
        <v>8</v>
      </c>
      <c r="E117" s="94">
        <f t="shared" si="11"/>
        <v>2500000</v>
      </c>
      <c r="F117" s="91">
        <f t="shared" si="8"/>
        <v>212500</v>
      </c>
      <c r="G117" s="91">
        <f t="shared" si="10"/>
        <v>24668203.292683717</v>
      </c>
      <c r="H117" s="96">
        <f t="shared" si="9"/>
        <v>627.83966175846388</v>
      </c>
    </row>
    <row r="118" spans="3:8" x14ac:dyDescent="0.15">
      <c r="C118">
        <f t="shared" si="12"/>
        <v>9</v>
      </c>
      <c r="D118">
        <f t="shared" si="13"/>
        <v>9</v>
      </c>
      <c r="E118" s="94">
        <f t="shared" si="11"/>
        <v>2500000</v>
      </c>
      <c r="F118" s="91">
        <f t="shared" si="8"/>
        <v>212500</v>
      </c>
      <c r="G118" s="91">
        <f t="shared" si="10"/>
        <v>24931953.467745181</v>
      </c>
      <c r="H118" s="96">
        <f t="shared" si="9"/>
        <v>634.55246604074568</v>
      </c>
    </row>
    <row r="119" spans="3:8" x14ac:dyDescent="0.15">
      <c r="C119">
        <f t="shared" si="12"/>
        <v>9</v>
      </c>
      <c r="D119">
        <f t="shared" si="13"/>
        <v>10</v>
      </c>
      <c r="E119" s="94">
        <f t="shared" si="11"/>
        <v>2500000</v>
      </c>
      <c r="F119" s="91">
        <f t="shared" si="8"/>
        <v>212500</v>
      </c>
      <c r="G119" s="91">
        <f t="shared" si="10"/>
        <v>25196246.924983416</v>
      </c>
      <c r="H119" s="96">
        <f t="shared" si="9"/>
        <v>641.27909760076045</v>
      </c>
    </row>
    <row r="120" spans="3:8" x14ac:dyDescent="0.15">
      <c r="C120">
        <f t="shared" si="12"/>
        <v>9</v>
      </c>
      <c r="D120">
        <f t="shared" si="13"/>
        <v>11</v>
      </c>
      <c r="E120" s="94">
        <f t="shared" si="11"/>
        <v>2500000</v>
      </c>
      <c r="F120" s="91">
        <f t="shared" si="8"/>
        <v>212500</v>
      </c>
      <c r="G120" s="91">
        <f t="shared" si="10"/>
        <v>25461084.783470754</v>
      </c>
      <c r="H120" s="96">
        <f t="shared" si="9"/>
        <v>648.0195849204365</v>
      </c>
    </row>
    <row r="121" spans="3:8" x14ac:dyDescent="0.15">
      <c r="C121">
        <f t="shared" si="12"/>
        <v>9</v>
      </c>
      <c r="D121">
        <f t="shared" si="13"/>
        <v>12</v>
      </c>
      <c r="E121" s="94">
        <f t="shared" si="11"/>
        <v>2500000</v>
      </c>
      <c r="F121" s="91">
        <f t="shared" si="8"/>
        <v>212500</v>
      </c>
      <c r="G121" s="91">
        <f t="shared" si="10"/>
        <v>25726468.164584629</v>
      </c>
      <c r="H121" s="96">
        <f t="shared" si="9"/>
        <v>654.77395654037002</v>
      </c>
    </row>
    <row r="122" spans="3:8" x14ac:dyDescent="0.15">
      <c r="C122">
        <f t="shared" si="12"/>
        <v>10</v>
      </c>
      <c r="D122">
        <f t="shared" si="13"/>
        <v>1</v>
      </c>
      <c r="E122" s="94">
        <f t="shared" si="11"/>
        <v>2500000</v>
      </c>
      <c r="F122" s="91">
        <f t="shared" si="8"/>
        <v>212500</v>
      </c>
      <c r="G122" s="91">
        <f t="shared" si="10"/>
        <v>25992398.192012336</v>
      </c>
      <c r="H122" s="96">
        <f t="shared" si="9"/>
        <v>661.54224105994626</v>
      </c>
    </row>
    <row r="123" spans="3:8" x14ac:dyDescent="0.15">
      <c r="C123">
        <f t="shared" si="12"/>
        <v>10</v>
      </c>
      <c r="D123">
        <f t="shared" si="13"/>
        <v>2</v>
      </c>
      <c r="E123" s="94">
        <f t="shared" si="11"/>
        <v>2500000</v>
      </c>
      <c r="F123" s="91">
        <f t="shared" si="8"/>
        <v>212500</v>
      </c>
      <c r="G123" s="91">
        <f t="shared" si="10"/>
        <v>26258875.99175578</v>
      </c>
      <c r="H123" s="96">
        <f t="shared" si="9"/>
        <v>668.3244671374606</v>
      </c>
    </row>
    <row r="124" spans="3:8" x14ac:dyDescent="0.15">
      <c r="C124">
        <f t="shared" si="12"/>
        <v>10</v>
      </c>
      <c r="D124">
        <f t="shared" si="13"/>
        <v>3</v>
      </c>
      <c r="E124" s="94">
        <f t="shared" si="11"/>
        <v>2500000</v>
      </c>
      <c r="F124" s="91">
        <f t="shared" si="8"/>
        <v>212500</v>
      </c>
      <c r="G124" s="91">
        <f t="shared" si="10"/>
        <v>26525902.692136243</v>
      </c>
      <c r="H124" s="96">
        <f t="shared" si="9"/>
        <v>675.12066349023962</v>
      </c>
    </row>
    <row r="125" spans="3:8" x14ac:dyDescent="0.15">
      <c r="C125">
        <f t="shared" si="12"/>
        <v>10</v>
      </c>
      <c r="D125">
        <f t="shared" si="13"/>
        <v>4</v>
      </c>
      <c r="E125" s="94">
        <f t="shared" si="11"/>
        <v>2500000</v>
      </c>
      <c r="F125" s="91">
        <f t="shared" si="8"/>
        <v>212500</v>
      </c>
      <c r="G125" s="91">
        <f t="shared" si="10"/>
        <v>26793479.423799165</v>
      </c>
      <c r="H125" s="96">
        <f t="shared" si="9"/>
        <v>681.93085889476299</v>
      </c>
    </row>
    <row r="126" spans="3:8" x14ac:dyDescent="0.15">
      <c r="C126">
        <f t="shared" si="12"/>
        <v>10</v>
      </c>
      <c r="D126">
        <f t="shared" si="13"/>
        <v>5</v>
      </c>
      <c r="E126" s="94">
        <f t="shared" si="11"/>
        <v>2500000</v>
      </c>
      <c r="F126" s="91">
        <f t="shared" si="8"/>
        <v>212500</v>
      </c>
      <c r="G126" s="91">
        <f t="shared" si="10"/>
        <v>27061607.319718935</v>
      </c>
      <c r="H126" s="96">
        <f t="shared" si="9"/>
        <v>688.75508218678544</v>
      </c>
    </row>
    <row r="127" spans="3:8" x14ac:dyDescent="0.15">
      <c r="C127">
        <f t="shared" si="12"/>
        <v>10</v>
      </c>
      <c r="D127">
        <f t="shared" si="13"/>
        <v>6</v>
      </c>
      <c r="E127" s="94">
        <f t="shared" si="11"/>
        <v>2500000</v>
      </c>
      <c r="F127" s="91">
        <f t="shared" si="8"/>
        <v>212500</v>
      </c>
      <c r="G127" s="91">
        <f t="shared" si="10"/>
        <v>27330287.515203673</v>
      </c>
      <c r="H127" s="96">
        <f t="shared" si="9"/>
        <v>695.5933622614582</v>
      </c>
    </row>
    <row r="128" spans="3:8" x14ac:dyDescent="0.15">
      <c r="C128">
        <f t="shared" si="12"/>
        <v>10</v>
      </c>
      <c r="D128">
        <f t="shared" si="13"/>
        <v>7</v>
      </c>
      <c r="E128" s="94">
        <f t="shared" si="11"/>
        <v>2500000</v>
      </c>
      <c r="F128" s="91">
        <f t="shared" si="8"/>
        <v>212500</v>
      </c>
      <c r="G128" s="91">
        <f t="shared" si="10"/>
        <v>27599521.147900064</v>
      </c>
      <c r="H128" s="96">
        <f t="shared" si="9"/>
        <v>702.44572807345219</v>
      </c>
    </row>
    <row r="129" spans="3:8" x14ac:dyDescent="0.15">
      <c r="C129">
        <f t="shared" si="12"/>
        <v>10</v>
      </c>
      <c r="D129">
        <f t="shared" si="13"/>
        <v>8</v>
      </c>
      <c r="E129" s="94">
        <f t="shared" si="11"/>
        <v>2500000</v>
      </c>
      <c r="F129" s="91">
        <f t="shared" si="8"/>
        <v>212500</v>
      </c>
      <c r="G129" s="91">
        <f t="shared" si="10"/>
        <v>27869309.35779814</v>
      </c>
      <c r="H129" s="96">
        <f t="shared" si="9"/>
        <v>709.31220863707995</v>
      </c>
    </row>
    <row r="130" spans="3:8" x14ac:dyDescent="0.15">
      <c r="C130">
        <f t="shared" si="12"/>
        <v>10</v>
      </c>
      <c r="D130">
        <f t="shared" si="13"/>
        <v>9</v>
      </c>
      <c r="E130" s="94">
        <f t="shared" si="11"/>
        <v>2500000</v>
      </c>
      <c r="F130" s="91">
        <f t="shared" si="8"/>
        <v>212500</v>
      </c>
      <c r="G130" s="91">
        <f t="shared" si="10"/>
        <v>28139653.287236143</v>
      </c>
      <c r="H130" s="96">
        <f t="shared" si="9"/>
        <v>716.19283302641884</v>
      </c>
    </row>
    <row r="131" spans="3:8" x14ac:dyDescent="0.15">
      <c r="C131">
        <f t="shared" si="12"/>
        <v>10</v>
      </c>
      <c r="D131">
        <f t="shared" si="13"/>
        <v>10</v>
      </c>
      <c r="E131" s="94">
        <f t="shared" si="11"/>
        <v>2500000</v>
      </c>
      <c r="F131" s="91">
        <f t="shared" si="8"/>
        <v>212500</v>
      </c>
      <c r="G131" s="91">
        <f t="shared" si="10"/>
        <v>28410554.080905333</v>
      </c>
      <c r="H131" s="96">
        <f t="shared" si="9"/>
        <v>723.08763037543406</v>
      </c>
    </row>
    <row r="132" spans="3:8" x14ac:dyDescent="0.15">
      <c r="C132">
        <f t="shared" si="12"/>
        <v>10</v>
      </c>
      <c r="D132">
        <f t="shared" si="13"/>
        <v>11</v>
      </c>
      <c r="E132" s="94">
        <f t="shared" si="11"/>
        <v>2500000</v>
      </c>
      <c r="F132" s="91">
        <f t="shared" si="8"/>
        <v>212500</v>
      </c>
      <c r="G132" s="91">
        <f t="shared" si="10"/>
        <v>28682012.885854851</v>
      </c>
      <c r="H132" s="96">
        <f t="shared" si="9"/>
        <v>729.996629878102</v>
      </c>
    </row>
    <row r="133" spans="3:8" x14ac:dyDescent="0.15">
      <c r="C133">
        <f t="shared" si="12"/>
        <v>10</v>
      </c>
      <c r="D133">
        <f t="shared" si="13"/>
        <v>12</v>
      </c>
      <c r="E133" s="94">
        <f t="shared" si="11"/>
        <v>2500000</v>
      </c>
      <c r="F133" s="91">
        <f t="shared" si="8"/>
        <v>212500</v>
      </c>
      <c r="G133" s="91">
        <f t="shared" si="10"/>
        <v>28954030.851496574</v>
      </c>
      <c r="H133" s="96">
        <f t="shared" si="9"/>
        <v>736.91986078853381</v>
      </c>
    </row>
    <row r="134" spans="3:8" x14ac:dyDescent="0.15">
      <c r="C134">
        <f t="shared" si="12"/>
        <v>11</v>
      </c>
      <c r="D134">
        <f t="shared" si="13"/>
        <v>1</v>
      </c>
      <c r="E134" s="94">
        <f t="shared" si="11"/>
        <v>2500000</v>
      </c>
      <c r="F134" s="91">
        <f t="shared" si="8"/>
        <v>212500</v>
      </c>
      <c r="G134" s="91">
        <f t="shared" si="10"/>
        <v>29226609.129609972</v>
      </c>
      <c r="H134" s="96">
        <f t="shared" si="9"/>
        <v>743.85735242109934</v>
      </c>
    </row>
    <row r="135" spans="3:8" x14ac:dyDescent="0.15">
      <c r="C135">
        <f t="shared" si="12"/>
        <v>11</v>
      </c>
      <c r="D135">
        <f t="shared" si="13"/>
        <v>2</v>
      </c>
      <c r="E135" s="94">
        <f t="shared" si="11"/>
        <v>2500000</v>
      </c>
      <c r="F135" s="91">
        <f t="shared" si="8"/>
        <v>212500</v>
      </c>
      <c r="G135" s="91">
        <f t="shared" si="10"/>
        <v>29499748.874347001</v>
      </c>
      <c r="H135" s="96">
        <f t="shared" si="9"/>
        <v>750.80913415055147</v>
      </c>
    </row>
    <row r="136" spans="3:8" x14ac:dyDescent="0.15">
      <c r="C136">
        <f t="shared" si="12"/>
        <v>11</v>
      </c>
      <c r="D136">
        <f t="shared" si="13"/>
        <v>3</v>
      </c>
      <c r="E136" s="94">
        <f t="shared" si="11"/>
        <v>2500000</v>
      </c>
      <c r="F136" s="91">
        <f t="shared" si="8"/>
        <v>212500</v>
      </c>
      <c r="G136" s="91">
        <f t="shared" si="10"/>
        <v>29773451.242236976</v>
      </c>
      <c r="H136" s="96">
        <f t="shared" si="9"/>
        <v>757.77523541214998</v>
      </c>
    </row>
    <row r="137" spans="3:8" x14ac:dyDescent="0.15">
      <c r="C137">
        <f t="shared" si="12"/>
        <v>11</v>
      </c>
      <c r="D137">
        <f t="shared" si="13"/>
        <v>4</v>
      </c>
      <c r="E137" s="94">
        <f t="shared" si="11"/>
        <v>2500000</v>
      </c>
      <c r="F137" s="91">
        <f t="shared" si="8"/>
        <v>212500</v>
      </c>
      <c r="G137" s="91">
        <f t="shared" si="10"/>
        <v>30047717.39219147</v>
      </c>
      <c r="H137" s="96">
        <f t="shared" si="9"/>
        <v>764.75568570178643</v>
      </c>
    </row>
    <row r="138" spans="3:8" x14ac:dyDescent="0.15">
      <c r="C138">
        <f t="shared" si="12"/>
        <v>11</v>
      </c>
      <c r="D138">
        <f t="shared" si="13"/>
        <v>5</v>
      </c>
      <c r="E138" s="94">
        <f t="shared" si="11"/>
        <v>2500000</v>
      </c>
      <c r="F138" s="91">
        <f t="shared" si="8"/>
        <v>212500</v>
      </c>
      <c r="G138" s="91">
        <f t="shared" si="10"/>
        <v>30322548.485509232</v>
      </c>
      <c r="H138" s="96">
        <f t="shared" si="9"/>
        <v>771.75051457610948</v>
      </c>
    </row>
    <row r="139" spans="3:8" x14ac:dyDescent="0.15">
      <c r="C139">
        <f t="shared" si="12"/>
        <v>11</v>
      </c>
      <c r="D139">
        <f t="shared" si="13"/>
        <v>6</v>
      </c>
      <c r="E139" s="94">
        <f t="shared" si="11"/>
        <v>2500000</v>
      </c>
      <c r="F139" s="91">
        <f t="shared" si="8"/>
        <v>212500</v>
      </c>
      <c r="G139" s="91">
        <f t="shared" si="10"/>
        <v>30597945.685881089</v>
      </c>
      <c r="H139" s="96">
        <f t="shared" si="9"/>
        <v>778.75975165264902</v>
      </c>
    </row>
    <row r="140" spans="3:8" x14ac:dyDescent="0.15">
      <c r="C140">
        <f t="shared" si="12"/>
        <v>11</v>
      </c>
      <c r="D140">
        <f t="shared" si="13"/>
        <v>7</v>
      </c>
      <c r="E140" s="94">
        <f t="shared" si="11"/>
        <v>2500000</v>
      </c>
      <c r="F140" s="91">
        <f t="shared" si="8"/>
        <v>212500</v>
      </c>
      <c r="G140" s="91">
        <f t="shared" si="10"/>
        <v>30873910.159394886</v>
      </c>
      <c r="H140" s="96">
        <f t="shared" si="9"/>
        <v>785.78342660994281</v>
      </c>
    </row>
    <row r="141" spans="3:8" x14ac:dyDescent="0.15">
      <c r="C141">
        <f t="shared" si="12"/>
        <v>11</v>
      </c>
      <c r="D141">
        <f t="shared" si="13"/>
        <v>8</v>
      </c>
      <c r="E141" s="94">
        <f t="shared" si="11"/>
        <v>2500000</v>
      </c>
      <c r="F141" s="91">
        <f t="shared" si="8"/>
        <v>212500</v>
      </c>
      <c r="G141" s="91">
        <f t="shared" si="10"/>
        <v>31150443.074540418</v>
      </c>
      <c r="H141" s="96">
        <f t="shared" si="9"/>
        <v>792.82156918766134</v>
      </c>
    </row>
    <row r="142" spans="3:8" x14ac:dyDescent="0.15">
      <c r="C142">
        <f t="shared" si="12"/>
        <v>11</v>
      </c>
      <c r="D142">
        <f t="shared" si="13"/>
        <v>9</v>
      </c>
      <c r="E142" s="94">
        <f t="shared" si="11"/>
        <v>2500000</v>
      </c>
      <c r="F142" s="91">
        <f t="shared" si="8"/>
        <v>212500</v>
      </c>
      <c r="G142" s="91">
        <f t="shared" si="10"/>
        <v>31427545.60221437</v>
      </c>
      <c r="H142" s="96">
        <f t="shared" si="9"/>
        <v>799.87420918673365</v>
      </c>
    </row>
    <row r="143" spans="3:8" x14ac:dyDescent="0.15">
      <c r="C143">
        <f t="shared" si="12"/>
        <v>11</v>
      </c>
      <c r="D143">
        <f t="shared" si="13"/>
        <v>10</v>
      </c>
      <c r="E143" s="94">
        <f t="shared" si="11"/>
        <v>2500000</v>
      </c>
      <c r="F143" s="91">
        <f t="shared" ref="F143:F206" si="14">IF(E143/$D$3&lt;$D$2*(1+$D$11)^(C143-1),0.1*E143,0.1*$D$2*$D$3*(1+$D$11)^(C143-1))*(1-$D$9)</f>
        <v>212500</v>
      </c>
      <c r="G143" s="91">
        <f t="shared" si="10"/>
        <v>31705218.915725291</v>
      </c>
      <c r="H143" s="96">
        <f t="shared" ref="H143:H206" si="15">G143/$D$3</f>
        <v>806.94137646947422</v>
      </c>
    </row>
    <row r="144" spans="3:8" x14ac:dyDescent="0.15">
      <c r="C144">
        <f t="shared" si="12"/>
        <v>11</v>
      </c>
      <c r="D144">
        <f t="shared" si="13"/>
        <v>11</v>
      </c>
      <c r="E144" s="94">
        <f t="shared" si="11"/>
        <v>2500000</v>
      </c>
      <c r="F144" s="91">
        <f t="shared" si="14"/>
        <v>212500</v>
      </c>
      <c r="G144" s="91">
        <f t="shared" ref="G144:G207" si="16">(F144+G143)*(1+$D$5)</f>
        <v>31983464.190798547</v>
      </c>
      <c r="H144" s="96">
        <f t="shared" si="15"/>
        <v>814.02310095970881</v>
      </c>
    </row>
    <row r="145" spans="3:8" x14ac:dyDescent="0.15">
      <c r="C145">
        <f t="shared" si="12"/>
        <v>11</v>
      </c>
      <c r="D145">
        <f t="shared" si="13"/>
        <v>12</v>
      </c>
      <c r="E145" s="94">
        <f t="shared" ref="E145:E208" si="17">E144</f>
        <v>2500000</v>
      </c>
      <c r="F145" s="91">
        <f t="shared" si="14"/>
        <v>212500</v>
      </c>
      <c r="G145" s="91">
        <f t="shared" si="16"/>
        <v>32262282.605581313</v>
      </c>
      <c r="H145" s="96">
        <f t="shared" si="15"/>
        <v>821.11941264290147</v>
      </c>
    </row>
    <row r="146" spans="3:8" x14ac:dyDescent="0.15">
      <c r="C146">
        <f t="shared" si="12"/>
        <v>12</v>
      </c>
      <c r="D146">
        <f t="shared" si="13"/>
        <v>1</v>
      </c>
      <c r="E146" s="94">
        <f t="shared" si="17"/>
        <v>2500000</v>
      </c>
      <c r="F146" s="91">
        <f t="shared" si="14"/>
        <v>212500</v>
      </c>
      <c r="G146" s="91">
        <f t="shared" si="16"/>
        <v>32541675.340647548</v>
      </c>
      <c r="H146" s="96">
        <f t="shared" si="15"/>
        <v>828.23034156628125</v>
      </c>
    </row>
    <row r="147" spans="3:8" x14ac:dyDescent="0.15">
      <c r="C147">
        <f t="shared" si="12"/>
        <v>12</v>
      </c>
      <c r="D147">
        <f t="shared" si="13"/>
        <v>2</v>
      </c>
      <c r="E147" s="94">
        <f t="shared" si="17"/>
        <v>2500000</v>
      </c>
      <c r="F147" s="91">
        <f t="shared" si="14"/>
        <v>212500</v>
      </c>
      <c r="G147" s="91">
        <f t="shared" si="16"/>
        <v>32821643.579003002</v>
      </c>
      <c r="H147" s="96">
        <f t="shared" si="15"/>
        <v>835.35591783896973</v>
      </c>
    </row>
    <row r="148" spans="3:8" x14ac:dyDescent="0.15">
      <c r="C148">
        <f t="shared" si="12"/>
        <v>12</v>
      </c>
      <c r="D148">
        <f t="shared" si="13"/>
        <v>3</v>
      </c>
      <c r="E148" s="94">
        <f t="shared" si="17"/>
        <v>2500000</v>
      </c>
      <c r="F148" s="91">
        <f t="shared" si="14"/>
        <v>212500</v>
      </c>
      <c r="G148" s="91">
        <f t="shared" si="16"/>
        <v>33102188.506090224</v>
      </c>
      <c r="H148" s="96">
        <f t="shared" si="15"/>
        <v>842.49617163210814</v>
      </c>
    </row>
    <row r="149" spans="3:8" x14ac:dyDescent="0.15">
      <c r="C149">
        <f t="shared" si="12"/>
        <v>12</v>
      </c>
      <c r="D149">
        <f t="shared" si="13"/>
        <v>4</v>
      </c>
      <c r="E149" s="94">
        <f t="shared" si="17"/>
        <v>2500000</v>
      </c>
      <c r="F149" s="91">
        <f t="shared" si="14"/>
        <v>212500</v>
      </c>
      <c r="G149" s="91">
        <f t="shared" si="16"/>
        <v>33383311.30979358</v>
      </c>
      <c r="H149" s="96">
        <f t="shared" si="15"/>
        <v>849.65113317898556</v>
      </c>
    </row>
    <row r="150" spans="3:8" x14ac:dyDescent="0.15">
      <c r="C150">
        <f t="shared" si="12"/>
        <v>12</v>
      </c>
      <c r="D150">
        <f t="shared" si="13"/>
        <v>5</v>
      </c>
      <c r="E150" s="94">
        <f t="shared" si="17"/>
        <v>2500000</v>
      </c>
      <c r="F150" s="91">
        <f t="shared" si="14"/>
        <v>212500</v>
      </c>
      <c r="G150" s="91">
        <f t="shared" si="16"/>
        <v>33665013.180444285</v>
      </c>
      <c r="H150" s="96">
        <f t="shared" si="15"/>
        <v>856.82083277516654</v>
      </c>
    </row>
    <row r="151" spans="3:8" x14ac:dyDescent="0.15">
      <c r="C151">
        <f t="shared" si="12"/>
        <v>12</v>
      </c>
      <c r="D151">
        <f t="shared" si="13"/>
        <v>6</v>
      </c>
      <c r="E151" s="94">
        <f t="shared" si="17"/>
        <v>2500000</v>
      </c>
      <c r="F151" s="91">
        <f t="shared" si="14"/>
        <v>212500</v>
      </c>
      <c r="G151" s="91">
        <f t="shared" si="16"/>
        <v>33947295.310825437</v>
      </c>
      <c r="H151" s="96">
        <f t="shared" si="15"/>
        <v>864.00530077861958</v>
      </c>
    </row>
    <row r="152" spans="3:8" x14ac:dyDescent="0.15">
      <c r="C152">
        <f t="shared" si="12"/>
        <v>12</v>
      </c>
      <c r="D152">
        <f t="shared" si="13"/>
        <v>7</v>
      </c>
      <c r="E152" s="94">
        <f t="shared" si="17"/>
        <v>2500000</v>
      </c>
      <c r="F152" s="91">
        <f t="shared" si="14"/>
        <v>212500</v>
      </c>
      <c r="G152" s="91">
        <f t="shared" si="16"/>
        <v>34230158.896177076</v>
      </c>
      <c r="H152" s="96">
        <f t="shared" si="15"/>
        <v>871.20456760984564</v>
      </c>
    </row>
    <row r="153" spans="3:8" x14ac:dyDescent="0.15">
      <c r="C153">
        <f t="shared" si="12"/>
        <v>12</v>
      </c>
      <c r="D153">
        <f t="shared" si="13"/>
        <v>8</v>
      </c>
      <c r="E153" s="94">
        <f t="shared" si="17"/>
        <v>2500000</v>
      </c>
      <c r="F153" s="91">
        <f t="shared" si="14"/>
        <v>212500</v>
      </c>
      <c r="G153" s="91">
        <f t="shared" si="16"/>
        <v>34513605.134201244</v>
      </c>
      <c r="H153" s="96">
        <f t="shared" si="15"/>
        <v>878.41866375200698</v>
      </c>
    </row>
    <row r="154" spans="3:8" x14ac:dyDescent="0.15">
      <c r="C154">
        <f t="shared" si="12"/>
        <v>12</v>
      </c>
      <c r="D154">
        <f t="shared" si="13"/>
        <v>9</v>
      </c>
      <c r="E154" s="94">
        <f t="shared" si="17"/>
        <v>2500000</v>
      </c>
      <c r="F154" s="91">
        <f t="shared" si="14"/>
        <v>212500</v>
      </c>
      <c r="G154" s="91">
        <f t="shared" si="16"/>
        <v>34797635.225067042</v>
      </c>
      <c r="H154" s="96">
        <f t="shared" si="15"/>
        <v>885.64761975105603</v>
      </c>
    </row>
    <row r="155" spans="3:8" x14ac:dyDescent="0.15">
      <c r="C155">
        <f t="shared" si="12"/>
        <v>12</v>
      </c>
      <c r="D155">
        <f t="shared" si="13"/>
        <v>10</v>
      </c>
      <c r="E155" s="94">
        <f t="shared" si="17"/>
        <v>2500000</v>
      </c>
      <c r="F155" s="91">
        <f t="shared" si="14"/>
        <v>212500</v>
      </c>
      <c r="G155" s="91">
        <f t="shared" si="16"/>
        <v>35082250.371415734</v>
      </c>
      <c r="H155" s="96">
        <f t="shared" si="15"/>
        <v>892.89146621586519</v>
      </c>
    </row>
    <row r="156" spans="3:8" x14ac:dyDescent="0.15">
      <c r="C156">
        <f t="shared" si="12"/>
        <v>12</v>
      </c>
      <c r="D156">
        <f t="shared" si="13"/>
        <v>11</v>
      </c>
      <c r="E156" s="94">
        <f t="shared" si="17"/>
        <v>2500000</v>
      </c>
      <c r="F156" s="91">
        <f t="shared" si="14"/>
        <v>212500</v>
      </c>
      <c r="G156" s="91">
        <f t="shared" si="16"/>
        <v>35367451.778365821</v>
      </c>
      <c r="H156" s="96">
        <f t="shared" si="15"/>
        <v>900.15023381835556</v>
      </c>
    </row>
    <row r="157" spans="3:8" x14ac:dyDescent="0.15">
      <c r="C157">
        <f t="shared" si="12"/>
        <v>12</v>
      </c>
      <c r="D157">
        <f t="shared" si="13"/>
        <v>12</v>
      </c>
      <c r="E157" s="94">
        <f t="shared" si="17"/>
        <v>2500000</v>
      </c>
      <c r="F157" s="91">
        <f t="shared" si="14"/>
        <v>212500</v>
      </c>
      <c r="G157" s="91">
        <f t="shared" si="16"/>
        <v>35653240.653518155</v>
      </c>
      <c r="H157" s="96">
        <f t="shared" si="15"/>
        <v>907.42395329362807</v>
      </c>
    </row>
    <row r="158" spans="3:8" x14ac:dyDescent="0.15">
      <c r="C158">
        <f t="shared" si="12"/>
        <v>13</v>
      </c>
      <c r="D158">
        <f t="shared" si="13"/>
        <v>1</v>
      </c>
      <c r="E158" s="94">
        <f t="shared" si="17"/>
        <v>2500000</v>
      </c>
      <c r="F158" s="91">
        <f t="shared" si="14"/>
        <v>212500</v>
      </c>
      <c r="G158" s="91">
        <f t="shared" si="16"/>
        <v>35939618.206961043</v>
      </c>
      <c r="H158" s="96">
        <f t="shared" si="15"/>
        <v>914.71265544009225</v>
      </c>
    </row>
    <row r="159" spans="3:8" x14ac:dyDescent="0.15">
      <c r="C159">
        <f t="shared" si="12"/>
        <v>13</v>
      </c>
      <c r="D159">
        <f t="shared" si="13"/>
        <v>2</v>
      </c>
      <c r="E159" s="94">
        <f t="shared" si="17"/>
        <v>2500000</v>
      </c>
      <c r="F159" s="91">
        <f t="shared" si="14"/>
        <v>212500</v>
      </c>
      <c r="G159" s="91">
        <f t="shared" si="16"/>
        <v>36226585.651275381</v>
      </c>
      <c r="H159" s="96">
        <f t="shared" si="15"/>
        <v>922.01637111959781</v>
      </c>
    </row>
    <row r="160" spans="3:8" x14ac:dyDescent="0.15">
      <c r="C160">
        <f t="shared" si="12"/>
        <v>13</v>
      </c>
      <c r="D160">
        <f t="shared" si="13"/>
        <v>3</v>
      </c>
      <c r="E160" s="94">
        <f t="shared" si="17"/>
        <v>2500000</v>
      </c>
      <c r="F160" s="91">
        <f t="shared" si="14"/>
        <v>212500</v>
      </c>
      <c r="G160" s="91">
        <f t="shared" si="16"/>
        <v>36514144.201539785</v>
      </c>
      <c r="H160" s="96">
        <f t="shared" si="15"/>
        <v>929.33513125756474</v>
      </c>
    </row>
    <row r="161" spans="3:8" x14ac:dyDescent="0.15">
      <c r="C161">
        <f t="shared" ref="C161:C224" si="18">IF(MOD(D160,12)=0,C160+1,C160)</f>
        <v>13</v>
      </c>
      <c r="D161">
        <f t="shared" ref="D161:D224" si="19">IF(MOD(D160,12)=0,1,D160+1)</f>
        <v>4</v>
      </c>
      <c r="E161" s="94">
        <f t="shared" si="17"/>
        <v>2500000</v>
      </c>
      <c r="F161" s="91">
        <f t="shared" si="14"/>
        <v>212500</v>
      </c>
      <c r="G161" s="91">
        <f t="shared" si="16"/>
        <v>36802295.075335726</v>
      </c>
      <c r="H161" s="96">
        <f t="shared" si="15"/>
        <v>936.66896684311405</v>
      </c>
    </row>
    <row r="162" spans="3:8" x14ac:dyDescent="0.15">
      <c r="C162">
        <f t="shared" si="18"/>
        <v>13</v>
      </c>
      <c r="D162">
        <f t="shared" si="19"/>
        <v>5</v>
      </c>
      <c r="E162" s="94">
        <f t="shared" si="17"/>
        <v>2500000</v>
      </c>
      <c r="F162" s="91">
        <f t="shared" si="14"/>
        <v>212500</v>
      </c>
      <c r="G162" s="91">
        <f t="shared" si="16"/>
        <v>37091039.492752701</v>
      </c>
      <c r="H162" s="96">
        <f t="shared" si="15"/>
        <v>944.01790892919962</v>
      </c>
    </row>
    <row r="163" spans="3:8" x14ac:dyDescent="0.15">
      <c r="C163">
        <f t="shared" si="18"/>
        <v>13</v>
      </c>
      <c r="D163">
        <f t="shared" si="19"/>
        <v>6</v>
      </c>
      <c r="E163" s="94">
        <f t="shared" si="17"/>
        <v>2500000</v>
      </c>
      <c r="F163" s="91">
        <f t="shared" si="14"/>
        <v>212500</v>
      </c>
      <c r="G163" s="91">
        <f t="shared" si="16"/>
        <v>37380378.676393382</v>
      </c>
      <c r="H163" s="96">
        <f t="shared" si="15"/>
        <v>951.38198863273897</v>
      </c>
    </row>
    <row r="164" spans="3:8" x14ac:dyDescent="0.15">
      <c r="C164">
        <f t="shared" si="18"/>
        <v>13</v>
      </c>
      <c r="D164">
        <f t="shared" si="19"/>
        <v>7</v>
      </c>
      <c r="E164" s="94">
        <f t="shared" si="17"/>
        <v>2500000</v>
      </c>
      <c r="F164" s="91">
        <f t="shared" si="14"/>
        <v>212500</v>
      </c>
      <c r="G164" s="91">
        <f t="shared" si="16"/>
        <v>37670313.851378813</v>
      </c>
      <c r="H164" s="96">
        <f t="shared" si="15"/>
        <v>958.76123713474578</v>
      </c>
    </row>
    <row r="165" spans="3:8" x14ac:dyDescent="0.15">
      <c r="C165">
        <f t="shared" si="18"/>
        <v>13</v>
      </c>
      <c r="D165">
        <f t="shared" si="19"/>
        <v>8</v>
      </c>
      <c r="E165" s="94">
        <f t="shared" si="17"/>
        <v>2500000</v>
      </c>
      <c r="F165" s="91">
        <f t="shared" si="14"/>
        <v>212500</v>
      </c>
      <c r="G165" s="91">
        <f t="shared" si="16"/>
        <v>37960846.245353587</v>
      </c>
      <c r="H165" s="96">
        <f t="shared" si="15"/>
        <v>966.15568568046126</v>
      </c>
    </row>
    <row r="166" spans="3:8" x14ac:dyDescent="0.15">
      <c r="C166">
        <f t="shared" si="18"/>
        <v>13</v>
      </c>
      <c r="D166">
        <f t="shared" si="19"/>
        <v>9</v>
      </c>
      <c r="E166" s="94">
        <f t="shared" si="17"/>
        <v>2500000</v>
      </c>
      <c r="F166" s="91">
        <f t="shared" si="14"/>
        <v>212500</v>
      </c>
      <c r="G166" s="91">
        <f t="shared" si="16"/>
        <v>38251977.08849103</v>
      </c>
      <c r="H166" s="96">
        <f t="shared" si="15"/>
        <v>973.56536557948652</v>
      </c>
    </row>
    <row r="167" spans="3:8" x14ac:dyDescent="0.15">
      <c r="C167">
        <f t="shared" si="18"/>
        <v>13</v>
      </c>
      <c r="D167">
        <f t="shared" si="19"/>
        <v>10</v>
      </c>
      <c r="E167" s="94">
        <f t="shared" si="17"/>
        <v>2500000</v>
      </c>
      <c r="F167" s="91">
        <f t="shared" si="14"/>
        <v>212500</v>
      </c>
      <c r="G167" s="91">
        <f t="shared" si="16"/>
        <v>38543707.613498442</v>
      </c>
      <c r="H167" s="96">
        <f t="shared" si="15"/>
        <v>980.99030820591588</v>
      </c>
    </row>
    <row r="168" spans="3:8" x14ac:dyDescent="0.15">
      <c r="C168">
        <f t="shared" si="18"/>
        <v>13</v>
      </c>
      <c r="D168">
        <f t="shared" si="19"/>
        <v>11</v>
      </c>
      <c r="E168" s="94">
        <f t="shared" si="17"/>
        <v>2500000</v>
      </c>
      <c r="F168" s="91">
        <f t="shared" si="14"/>
        <v>212500</v>
      </c>
      <c r="G168" s="91">
        <f t="shared" si="16"/>
        <v>38836039.05562228</v>
      </c>
      <c r="H168" s="96">
        <f t="shared" si="15"/>
        <v>988.43054499846858</v>
      </c>
    </row>
    <row r="169" spans="3:8" x14ac:dyDescent="0.15">
      <c r="C169">
        <f t="shared" si="18"/>
        <v>13</v>
      </c>
      <c r="D169">
        <f t="shared" si="19"/>
        <v>12</v>
      </c>
      <c r="E169" s="94">
        <f t="shared" si="17"/>
        <v>2500000</v>
      </c>
      <c r="F169" s="91">
        <f t="shared" si="14"/>
        <v>212500</v>
      </c>
      <c r="G169" s="91">
        <f t="shared" si="16"/>
        <v>39128972.652653418</v>
      </c>
      <c r="H169" s="96">
        <f t="shared" si="15"/>
        <v>995.88610746062272</v>
      </c>
    </row>
    <row r="170" spans="3:8" x14ac:dyDescent="0.15">
      <c r="C170">
        <f t="shared" si="18"/>
        <v>14</v>
      </c>
      <c r="D170">
        <f t="shared" si="19"/>
        <v>1</v>
      </c>
      <c r="E170" s="94">
        <f t="shared" si="17"/>
        <v>2500000</v>
      </c>
      <c r="F170" s="91">
        <f t="shared" si="14"/>
        <v>212500</v>
      </c>
      <c r="G170" s="91">
        <f t="shared" si="16"/>
        <v>39422509.644932382</v>
      </c>
      <c r="H170" s="96">
        <f t="shared" si="15"/>
        <v>1003.3570271607487</v>
      </c>
    </row>
    <row r="171" spans="3:8" x14ac:dyDescent="0.15">
      <c r="C171">
        <f t="shared" si="18"/>
        <v>14</v>
      </c>
      <c r="D171">
        <f t="shared" si="19"/>
        <v>2</v>
      </c>
      <c r="E171" s="94">
        <f t="shared" si="17"/>
        <v>2500000</v>
      </c>
      <c r="F171" s="91">
        <f t="shared" si="14"/>
        <v>212500</v>
      </c>
      <c r="G171" s="91">
        <f t="shared" si="16"/>
        <v>39716651.275354579</v>
      </c>
      <c r="H171" s="96">
        <f t="shared" si="15"/>
        <v>1010.8433357322418</v>
      </c>
    </row>
    <row r="172" spans="3:8" x14ac:dyDescent="0.15">
      <c r="C172">
        <f t="shared" si="18"/>
        <v>14</v>
      </c>
      <c r="D172">
        <f t="shared" si="19"/>
        <v>3</v>
      </c>
      <c r="E172" s="94">
        <f t="shared" si="17"/>
        <v>2500000</v>
      </c>
      <c r="F172" s="91">
        <f t="shared" si="14"/>
        <v>212500</v>
      </c>
      <c r="G172" s="91">
        <f t="shared" si="16"/>
        <v>40011398.789375588</v>
      </c>
      <c r="H172" s="96">
        <f t="shared" si="15"/>
        <v>1018.3450648736577</v>
      </c>
    </row>
    <row r="173" spans="3:8" x14ac:dyDescent="0.15">
      <c r="C173">
        <f t="shared" si="18"/>
        <v>14</v>
      </c>
      <c r="D173">
        <f t="shared" si="19"/>
        <v>4</v>
      </c>
      <c r="E173" s="94">
        <f t="shared" si="17"/>
        <v>2500000</v>
      </c>
      <c r="F173" s="91">
        <f t="shared" si="14"/>
        <v>212500</v>
      </c>
      <c r="G173" s="91">
        <f t="shared" si="16"/>
        <v>40306753.435016431</v>
      </c>
      <c r="H173" s="96">
        <f t="shared" si="15"/>
        <v>1025.8622463488459</v>
      </c>
    </row>
    <row r="174" spans="3:8" x14ac:dyDescent="0.15">
      <c r="C174">
        <f t="shared" si="18"/>
        <v>14</v>
      </c>
      <c r="D174">
        <f t="shared" si="19"/>
        <v>5</v>
      </c>
      <c r="E174" s="94">
        <f t="shared" si="17"/>
        <v>2500000</v>
      </c>
      <c r="F174" s="91">
        <f t="shared" si="14"/>
        <v>212500</v>
      </c>
      <c r="G174" s="91">
        <f t="shared" si="16"/>
        <v>40602716.462868825</v>
      </c>
      <c r="H174" s="96">
        <f t="shared" si="15"/>
        <v>1033.3949119870836</v>
      </c>
    </row>
    <row r="175" spans="3:8" x14ac:dyDescent="0.15">
      <c r="C175">
        <f t="shared" si="18"/>
        <v>14</v>
      </c>
      <c r="D175">
        <f t="shared" si="19"/>
        <v>6</v>
      </c>
      <c r="E175" s="94">
        <f t="shared" si="17"/>
        <v>2500000</v>
      </c>
      <c r="F175" s="91">
        <f t="shared" si="14"/>
        <v>212500</v>
      </c>
      <c r="G175" s="91">
        <f t="shared" si="16"/>
        <v>40899289.126100525</v>
      </c>
      <c r="H175" s="96">
        <f t="shared" si="15"/>
        <v>1040.9430936832114</v>
      </c>
    </row>
    <row r="176" spans="3:8" x14ac:dyDescent="0.15">
      <c r="C176">
        <f t="shared" si="18"/>
        <v>14</v>
      </c>
      <c r="D176">
        <f t="shared" si="19"/>
        <v>7</v>
      </c>
      <c r="E176" s="94">
        <f t="shared" si="17"/>
        <v>2500000</v>
      </c>
      <c r="F176" s="91">
        <f t="shared" si="14"/>
        <v>212500</v>
      </c>
      <c r="G176" s="91">
        <f t="shared" si="16"/>
        <v>41196472.680460595</v>
      </c>
      <c r="H176" s="96">
        <f t="shared" si="15"/>
        <v>1048.5068233977684</v>
      </c>
    </row>
    <row r="177" spans="3:8" x14ac:dyDescent="0.15">
      <c r="C177">
        <f t="shared" si="18"/>
        <v>14</v>
      </c>
      <c r="D177">
        <f t="shared" si="19"/>
        <v>8</v>
      </c>
      <c r="E177" s="94">
        <f t="shared" si="17"/>
        <v>2500000</v>
      </c>
      <c r="F177" s="91">
        <f t="shared" si="14"/>
        <v>212500</v>
      </c>
      <c r="G177" s="91">
        <f t="shared" si="16"/>
        <v>41494268.384284735</v>
      </c>
      <c r="H177" s="96">
        <f t="shared" si="15"/>
        <v>1056.0861331571266</v>
      </c>
    </row>
    <row r="178" spans="3:8" x14ac:dyDescent="0.15">
      <c r="C178">
        <f t="shared" si="18"/>
        <v>14</v>
      </c>
      <c r="D178">
        <f t="shared" si="19"/>
        <v>9</v>
      </c>
      <c r="E178" s="94">
        <f t="shared" si="17"/>
        <v>2500000</v>
      </c>
      <c r="F178" s="91">
        <f t="shared" si="14"/>
        <v>212500</v>
      </c>
      <c r="G178" s="91">
        <f t="shared" si="16"/>
        <v>41792677.498500615</v>
      </c>
      <c r="H178" s="96">
        <f t="shared" si="15"/>
        <v>1063.6810550536277</v>
      </c>
    </row>
    <row r="179" spans="3:8" x14ac:dyDescent="0.15">
      <c r="C179">
        <f t="shared" si="18"/>
        <v>14</v>
      </c>
      <c r="D179">
        <f t="shared" si="19"/>
        <v>10</v>
      </c>
      <c r="E179" s="94">
        <f t="shared" si="17"/>
        <v>2500000</v>
      </c>
      <c r="F179" s="91">
        <f t="shared" si="14"/>
        <v>212500</v>
      </c>
      <c r="G179" s="91">
        <f t="shared" si="16"/>
        <v>42091701.286633208</v>
      </c>
      <c r="H179" s="96">
        <f t="shared" si="15"/>
        <v>1071.2916212457176</v>
      </c>
    </row>
    <row r="180" spans="3:8" x14ac:dyDescent="0.15">
      <c r="C180">
        <f t="shared" si="18"/>
        <v>14</v>
      </c>
      <c r="D180">
        <f t="shared" si="19"/>
        <v>11</v>
      </c>
      <c r="E180" s="94">
        <f t="shared" si="17"/>
        <v>2500000</v>
      </c>
      <c r="F180" s="91">
        <f t="shared" si="14"/>
        <v>212500</v>
      </c>
      <c r="G180" s="91">
        <f t="shared" si="16"/>
        <v>42391341.014810145</v>
      </c>
      <c r="H180" s="96">
        <f t="shared" si="15"/>
        <v>1078.9178639580844</v>
      </c>
    </row>
    <row r="181" spans="3:8" x14ac:dyDescent="0.15">
      <c r="C181">
        <f t="shared" si="18"/>
        <v>14</v>
      </c>
      <c r="D181">
        <f t="shared" si="19"/>
        <v>12</v>
      </c>
      <c r="E181" s="94">
        <f t="shared" si="17"/>
        <v>2500000</v>
      </c>
      <c r="F181" s="91">
        <f t="shared" si="14"/>
        <v>212500</v>
      </c>
      <c r="G181" s="91">
        <f t="shared" si="16"/>
        <v>42691597.951767065</v>
      </c>
      <c r="H181" s="96">
        <f t="shared" si="15"/>
        <v>1086.5598154817924</v>
      </c>
    </row>
    <row r="182" spans="3:8" x14ac:dyDescent="0.15">
      <c r="C182">
        <f t="shared" si="18"/>
        <v>15</v>
      </c>
      <c r="D182">
        <f t="shared" si="19"/>
        <v>1</v>
      </c>
      <c r="E182" s="94">
        <f t="shared" si="17"/>
        <v>2500000</v>
      </c>
      <c r="F182" s="91">
        <f t="shared" si="14"/>
        <v>212500</v>
      </c>
      <c r="G182" s="91">
        <f t="shared" si="16"/>
        <v>42992473.368853003</v>
      </c>
      <c r="H182" s="96">
        <f t="shared" si="15"/>
        <v>1094.2175081744215</v>
      </c>
    </row>
    <row r="183" spans="3:8" x14ac:dyDescent="0.15">
      <c r="C183">
        <f t="shared" si="18"/>
        <v>15</v>
      </c>
      <c r="D183">
        <f t="shared" si="19"/>
        <v>2</v>
      </c>
      <c r="E183" s="94">
        <f t="shared" si="17"/>
        <v>2500000</v>
      </c>
      <c r="F183" s="91">
        <f t="shared" si="14"/>
        <v>212500</v>
      </c>
      <c r="G183" s="91">
        <f t="shared" si="16"/>
        <v>43293968.540035754</v>
      </c>
      <c r="H183" s="96">
        <f t="shared" si="15"/>
        <v>1101.890974460202</v>
      </c>
    </row>
    <row r="184" spans="3:8" x14ac:dyDescent="0.15">
      <c r="C184">
        <f t="shared" si="18"/>
        <v>15</v>
      </c>
      <c r="D184">
        <f t="shared" si="19"/>
        <v>3</v>
      </c>
      <c r="E184" s="94">
        <f t="shared" si="17"/>
        <v>2500000</v>
      </c>
      <c r="F184" s="91">
        <f t="shared" si="14"/>
        <v>212500</v>
      </c>
      <c r="G184" s="91">
        <f t="shared" si="16"/>
        <v>43596084.741907291</v>
      </c>
      <c r="H184" s="96">
        <f t="shared" si="15"/>
        <v>1109.5802468301533</v>
      </c>
    </row>
    <row r="185" spans="3:8" x14ac:dyDescent="0.15">
      <c r="C185">
        <f t="shared" si="18"/>
        <v>15</v>
      </c>
      <c r="D185">
        <f t="shared" si="19"/>
        <v>4</v>
      </c>
      <c r="E185" s="94">
        <f t="shared" si="17"/>
        <v>2500000</v>
      </c>
      <c r="F185" s="91">
        <f t="shared" si="14"/>
        <v>212500</v>
      </c>
      <c r="G185" s="91">
        <f t="shared" si="16"/>
        <v>43898823.253689148</v>
      </c>
      <c r="H185" s="96">
        <f t="shared" si="15"/>
        <v>1117.2853578422209</v>
      </c>
    </row>
    <row r="186" spans="3:8" x14ac:dyDescent="0.15">
      <c r="C186">
        <f t="shared" si="18"/>
        <v>15</v>
      </c>
      <c r="D186">
        <f t="shared" si="19"/>
        <v>5</v>
      </c>
      <c r="E186" s="94">
        <f t="shared" si="17"/>
        <v>2500000</v>
      </c>
      <c r="F186" s="91">
        <f t="shared" si="14"/>
        <v>212500</v>
      </c>
      <c r="G186" s="91">
        <f t="shared" si="16"/>
        <v>44202185.357237853</v>
      </c>
      <c r="H186" s="96">
        <f t="shared" si="15"/>
        <v>1125.0063401214145</v>
      </c>
    </row>
    <row r="187" spans="3:8" x14ac:dyDescent="0.15">
      <c r="C187">
        <f t="shared" si="18"/>
        <v>15</v>
      </c>
      <c r="D187">
        <f t="shared" si="19"/>
        <v>6</v>
      </c>
      <c r="E187" s="94">
        <f t="shared" si="17"/>
        <v>2500000</v>
      </c>
      <c r="F187" s="91">
        <f t="shared" si="14"/>
        <v>212500</v>
      </c>
      <c r="G187" s="91">
        <f t="shared" si="16"/>
        <v>44506172.337050349</v>
      </c>
      <c r="H187" s="96">
        <f t="shared" si="15"/>
        <v>1132.7432263599458</v>
      </c>
    </row>
    <row r="188" spans="3:8" x14ac:dyDescent="0.15">
      <c r="C188">
        <f t="shared" si="18"/>
        <v>15</v>
      </c>
      <c r="D188">
        <f t="shared" si="19"/>
        <v>7</v>
      </c>
      <c r="E188" s="94">
        <f t="shared" si="17"/>
        <v>2500000</v>
      </c>
      <c r="F188" s="91">
        <f t="shared" si="14"/>
        <v>212500</v>
      </c>
      <c r="G188" s="91">
        <f t="shared" si="16"/>
        <v>44810785.480269417</v>
      </c>
      <c r="H188" s="96">
        <f t="shared" si="15"/>
        <v>1140.4960493173667</v>
      </c>
    </row>
    <row r="189" spans="3:8" x14ac:dyDescent="0.15">
      <c r="C189">
        <f t="shared" si="18"/>
        <v>15</v>
      </c>
      <c r="D189">
        <f t="shared" si="19"/>
        <v>8</v>
      </c>
      <c r="E189" s="94">
        <f t="shared" si="17"/>
        <v>2500000</v>
      </c>
      <c r="F189" s="91">
        <f t="shared" si="14"/>
        <v>212500</v>
      </c>
      <c r="G189" s="91">
        <f t="shared" si="16"/>
        <v>45116026.076689161</v>
      </c>
      <c r="H189" s="96">
        <f t="shared" si="15"/>
        <v>1148.2648418207089</v>
      </c>
    </row>
    <row r="190" spans="3:8" x14ac:dyDescent="0.15">
      <c r="C190">
        <f t="shared" si="18"/>
        <v>15</v>
      </c>
      <c r="D190">
        <f t="shared" si="19"/>
        <v>9</v>
      </c>
      <c r="E190" s="94">
        <f t="shared" si="17"/>
        <v>2500000</v>
      </c>
      <c r="F190" s="91">
        <f t="shared" si="14"/>
        <v>212500</v>
      </c>
      <c r="G190" s="91">
        <f t="shared" si="16"/>
        <v>45421895.418760441</v>
      </c>
      <c r="H190" s="96">
        <f t="shared" si="15"/>
        <v>1156.0496367646224</v>
      </c>
    </row>
    <row r="191" spans="3:8" x14ac:dyDescent="0.15">
      <c r="C191">
        <f t="shared" si="18"/>
        <v>15</v>
      </c>
      <c r="D191">
        <f t="shared" si="19"/>
        <v>10</v>
      </c>
      <c r="E191" s="94">
        <f t="shared" si="17"/>
        <v>2500000</v>
      </c>
      <c r="F191" s="91">
        <f t="shared" si="14"/>
        <v>212500</v>
      </c>
      <c r="G191" s="91">
        <f t="shared" si="16"/>
        <v>45728394.801596351</v>
      </c>
      <c r="H191" s="96">
        <f t="shared" si="15"/>
        <v>1163.8504671115147</v>
      </c>
    </row>
    <row r="192" spans="3:8" x14ac:dyDescent="0.15">
      <c r="C192">
        <f t="shared" si="18"/>
        <v>15</v>
      </c>
      <c r="D192">
        <f t="shared" si="19"/>
        <v>11</v>
      </c>
      <c r="E192" s="94">
        <f t="shared" si="17"/>
        <v>2500000</v>
      </c>
      <c r="F192" s="91">
        <f t="shared" si="14"/>
        <v>212500</v>
      </c>
      <c r="G192" s="91">
        <f t="shared" si="16"/>
        <v>46035525.52297771</v>
      </c>
      <c r="H192" s="96">
        <f t="shared" si="15"/>
        <v>1171.6673658916905</v>
      </c>
    </row>
    <row r="193" spans="3:8" x14ac:dyDescent="0.15">
      <c r="C193">
        <f t="shared" si="18"/>
        <v>15</v>
      </c>
      <c r="D193">
        <f t="shared" si="19"/>
        <v>12</v>
      </c>
      <c r="E193" s="94">
        <f t="shared" si="17"/>
        <v>2500000</v>
      </c>
      <c r="F193" s="91">
        <f t="shared" si="14"/>
        <v>212500</v>
      </c>
      <c r="G193" s="91">
        <f t="shared" si="16"/>
        <v>46343288.883358553</v>
      </c>
      <c r="H193" s="96">
        <f t="shared" si="15"/>
        <v>1179.5003662034912</v>
      </c>
    </row>
    <row r="194" spans="3:8" x14ac:dyDescent="0.15">
      <c r="C194">
        <f t="shared" si="18"/>
        <v>16</v>
      </c>
      <c r="D194">
        <f t="shared" si="19"/>
        <v>1</v>
      </c>
      <c r="E194" s="94">
        <f t="shared" si="17"/>
        <v>2500000</v>
      </c>
      <c r="F194" s="91">
        <f t="shared" si="14"/>
        <v>212500</v>
      </c>
      <c r="G194" s="91">
        <f t="shared" si="16"/>
        <v>46651686.185871638</v>
      </c>
      <c r="H194" s="96">
        <f t="shared" si="15"/>
        <v>1187.3495012134358</v>
      </c>
    </row>
    <row r="195" spans="3:8" x14ac:dyDescent="0.15">
      <c r="C195">
        <f t="shared" si="18"/>
        <v>16</v>
      </c>
      <c r="D195">
        <f t="shared" si="19"/>
        <v>2</v>
      </c>
      <c r="E195" s="94">
        <f t="shared" si="17"/>
        <v>2500000</v>
      </c>
      <c r="F195" s="91">
        <f t="shared" si="14"/>
        <v>212500</v>
      </c>
      <c r="G195" s="91">
        <f t="shared" si="16"/>
        <v>46960718.736333959</v>
      </c>
      <c r="H195" s="96">
        <f t="shared" si="15"/>
        <v>1195.214804156361</v>
      </c>
    </row>
    <row r="196" spans="3:8" x14ac:dyDescent="0.15">
      <c r="C196">
        <f t="shared" si="18"/>
        <v>16</v>
      </c>
      <c r="D196">
        <f t="shared" si="19"/>
        <v>3</v>
      </c>
      <c r="E196" s="94">
        <f t="shared" si="17"/>
        <v>2500000</v>
      </c>
      <c r="F196" s="91">
        <f t="shared" si="14"/>
        <v>212500</v>
      </c>
      <c r="G196" s="91">
        <f t="shared" si="16"/>
        <v>47270387.843252286</v>
      </c>
      <c r="H196" s="96">
        <f t="shared" si="15"/>
        <v>1203.0963083355612</v>
      </c>
    </row>
    <row r="197" spans="3:8" x14ac:dyDescent="0.15">
      <c r="C197">
        <f t="shared" si="18"/>
        <v>16</v>
      </c>
      <c r="D197">
        <f t="shared" si="19"/>
        <v>4</v>
      </c>
      <c r="E197" s="94">
        <f t="shared" si="17"/>
        <v>2500000</v>
      </c>
      <c r="F197" s="91">
        <f t="shared" si="14"/>
        <v>212500</v>
      </c>
      <c r="G197" s="91">
        <f t="shared" si="16"/>
        <v>47580694.817828692</v>
      </c>
      <c r="H197" s="96">
        <f t="shared" si="15"/>
        <v>1210.9940471229306</v>
      </c>
    </row>
    <row r="198" spans="3:8" x14ac:dyDescent="0.15">
      <c r="C198">
        <f t="shared" si="18"/>
        <v>16</v>
      </c>
      <c r="D198">
        <f t="shared" si="19"/>
        <v>5</v>
      </c>
      <c r="E198" s="94">
        <f t="shared" si="17"/>
        <v>2500000</v>
      </c>
      <c r="F198" s="91">
        <f t="shared" si="14"/>
        <v>212500</v>
      </c>
      <c r="G198" s="91">
        <f t="shared" si="16"/>
        <v>47891640.973966114</v>
      </c>
      <c r="H198" s="96">
        <f t="shared" si="15"/>
        <v>1218.9080539591041</v>
      </c>
    </row>
    <row r="199" spans="3:8" x14ac:dyDescent="0.15">
      <c r="C199">
        <f t="shared" si="18"/>
        <v>16</v>
      </c>
      <c r="D199">
        <f t="shared" si="19"/>
        <v>6</v>
      </c>
      <c r="E199" s="94">
        <f t="shared" si="17"/>
        <v>2500000</v>
      </c>
      <c r="F199" s="91">
        <f t="shared" si="14"/>
        <v>212500</v>
      </c>
      <c r="G199" s="91">
        <f t="shared" si="16"/>
        <v>48203227.628273919</v>
      </c>
      <c r="H199" s="96">
        <f t="shared" si="15"/>
        <v>1226.8383623535985</v>
      </c>
    </row>
    <row r="200" spans="3:8" x14ac:dyDescent="0.15">
      <c r="C200">
        <f t="shared" si="18"/>
        <v>16</v>
      </c>
      <c r="D200">
        <f t="shared" si="19"/>
        <v>7</v>
      </c>
      <c r="E200" s="94">
        <f t="shared" si="17"/>
        <v>2500000</v>
      </c>
      <c r="F200" s="91">
        <f t="shared" si="14"/>
        <v>212500</v>
      </c>
      <c r="G200" s="91">
        <f t="shared" si="16"/>
        <v>48515456.100073464</v>
      </c>
      <c r="H200" s="96">
        <f t="shared" si="15"/>
        <v>1234.7850058849549</v>
      </c>
    </row>
    <row r="201" spans="3:8" x14ac:dyDescent="0.15">
      <c r="C201">
        <f t="shared" si="18"/>
        <v>16</v>
      </c>
      <c r="D201">
        <f t="shared" si="19"/>
        <v>8</v>
      </c>
      <c r="E201" s="94">
        <f t="shared" si="17"/>
        <v>2500000</v>
      </c>
      <c r="F201" s="91">
        <f t="shared" si="14"/>
        <v>212500</v>
      </c>
      <c r="G201" s="91">
        <f t="shared" si="16"/>
        <v>48828327.711403698</v>
      </c>
      <c r="H201" s="96">
        <f t="shared" si="15"/>
        <v>1242.7480182008806</v>
      </c>
    </row>
    <row r="202" spans="3:8" x14ac:dyDescent="0.15">
      <c r="C202">
        <f t="shared" si="18"/>
        <v>16</v>
      </c>
      <c r="D202">
        <f t="shared" si="19"/>
        <v>9</v>
      </c>
      <c r="E202" s="94">
        <f t="shared" si="17"/>
        <v>2500000</v>
      </c>
      <c r="F202" s="91">
        <f t="shared" si="14"/>
        <v>212500</v>
      </c>
      <c r="G202" s="91">
        <f t="shared" si="16"/>
        <v>49141843.787026756</v>
      </c>
      <c r="H202" s="96">
        <f t="shared" si="15"/>
        <v>1250.7274330183918</v>
      </c>
    </row>
    <row r="203" spans="3:8" x14ac:dyDescent="0.15">
      <c r="C203">
        <f t="shared" si="18"/>
        <v>16</v>
      </c>
      <c r="D203">
        <f t="shared" si="19"/>
        <v>10</v>
      </c>
      <c r="E203" s="94">
        <f t="shared" si="17"/>
        <v>2500000</v>
      </c>
      <c r="F203" s="91">
        <f t="shared" si="14"/>
        <v>212500</v>
      </c>
      <c r="G203" s="91">
        <f t="shared" si="16"/>
        <v>49456005.654433563</v>
      </c>
      <c r="H203" s="96">
        <f t="shared" si="15"/>
        <v>1258.7232841239563</v>
      </c>
    </row>
    <row r="204" spans="3:8" x14ac:dyDescent="0.15">
      <c r="C204">
        <f t="shared" si="18"/>
        <v>16</v>
      </c>
      <c r="D204">
        <f t="shared" si="19"/>
        <v>11</v>
      </c>
      <c r="E204" s="94">
        <f t="shared" si="17"/>
        <v>2500000</v>
      </c>
      <c r="F204" s="91">
        <f t="shared" si="14"/>
        <v>212500</v>
      </c>
      <c r="G204" s="91">
        <f t="shared" si="16"/>
        <v>49770814.643849455</v>
      </c>
      <c r="H204" s="96">
        <f t="shared" si="15"/>
        <v>1266.7356053736364</v>
      </c>
    </row>
    <row r="205" spans="3:8" x14ac:dyDescent="0.15">
      <c r="C205">
        <f t="shared" si="18"/>
        <v>16</v>
      </c>
      <c r="D205">
        <f t="shared" si="19"/>
        <v>12</v>
      </c>
      <c r="E205" s="94">
        <f t="shared" si="17"/>
        <v>2500000</v>
      </c>
      <c r="F205" s="91">
        <f t="shared" si="14"/>
        <v>212500</v>
      </c>
      <c r="G205" s="91">
        <f t="shared" si="16"/>
        <v>50086272.088239819</v>
      </c>
      <c r="H205" s="96">
        <f t="shared" si="15"/>
        <v>1274.7644306932323</v>
      </c>
    </row>
    <row r="206" spans="3:8" x14ac:dyDescent="0.15">
      <c r="C206">
        <f t="shared" si="18"/>
        <v>17</v>
      </c>
      <c r="D206">
        <f t="shared" si="19"/>
        <v>1</v>
      </c>
      <c r="E206" s="94">
        <f t="shared" si="17"/>
        <v>2500000</v>
      </c>
      <c r="F206" s="91">
        <f t="shared" si="14"/>
        <v>212500</v>
      </c>
      <c r="G206" s="91">
        <f t="shared" si="16"/>
        <v>50402379.323315732</v>
      </c>
      <c r="H206" s="96">
        <f t="shared" si="15"/>
        <v>1282.8097940784257</v>
      </c>
    </row>
    <row r="207" spans="3:8" x14ac:dyDescent="0.15">
      <c r="C207">
        <f t="shared" si="18"/>
        <v>17</v>
      </c>
      <c r="D207">
        <f t="shared" si="19"/>
        <v>2</v>
      </c>
      <c r="E207" s="94">
        <f t="shared" si="17"/>
        <v>2500000</v>
      </c>
      <c r="F207" s="91">
        <f t="shared" ref="F207:F270" si="20">IF(E207/$D$3&lt;$D$2*(1+$D$11)^(C207-1),0.1*E207,0.1*$D$2*$D$3*(1+$D$11)^(C207-1))*(1-$D$9)</f>
        <v>212500</v>
      </c>
      <c r="G207" s="91">
        <f t="shared" si="16"/>
        <v>50719137.687539615</v>
      </c>
      <c r="H207" s="96">
        <f t="shared" ref="H207:H270" si="21">G207/$D$3</f>
        <v>1290.8717295949239</v>
      </c>
    </row>
    <row r="208" spans="3:8" x14ac:dyDescent="0.15">
      <c r="C208">
        <f t="shared" si="18"/>
        <v>17</v>
      </c>
      <c r="D208">
        <f t="shared" si="19"/>
        <v>3</v>
      </c>
      <c r="E208" s="94">
        <f t="shared" si="17"/>
        <v>2500000</v>
      </c>
      <c r="F208" s="91">
        <f t="shared" si="20"/>
        <v>212500</v>
      </c>
      <c r="G208" s="91">
        <f t="shared" ref="G208:G271" si="22">(F208+G207)*(1+$D$5)</f>
        <v>51036548.522130899</v>
      </c>
      <c r="H208" s="96">
        <f t="shared" si="21"/>
        <v>1298.9502713786042</v>
      </c>
    </row>
    <row r="209" spans="3:8" x14ac:dyDescent="0.15">
      <c r="C209">
        <f t="shared" si="18"/>
        <v>17</v>
      </c>
      <c r="D209">
        <f t="shared" si="19"/>
        <v>4</v>
      </c>
      <c r="E209" s="94">
        <f t="shared" ref="E209:E272" si="23">E208</f>
        <v>2500000</v>
      </c>
      <c r="F209" s="91">
        <f t="shared" si="20"/>
        <v>212500</v>
      </c>
      <c r="G209" s="91">
        <f t="shared" si="22"/>
        <v>51354613.171071716</v>
      </c>
      <c r="H209" s="96">
        <f t="shared" si="21"/>
        <v>1307.0454536356579</v>
      </c>
    </row>
    <row r="210" spans="3:8" x14ac:dyDescent="0.15">
      <c r="C210">
        <f t="shared" si="18"/>
        <v>17</v>
      </c>
      <c r="D210">
        <f t="shared" si="19"/>
        <v>5</v>
      </c>
      <c r="E210" s="94">
        <f t="shared" si="23"/>
        <v>2500000</v>
      </c>
      <c r="F210" s="91">
        <f t="shared" si="20"/>
        <v>212500</v>
      </c>
      <c r="G210" s="91">
        <f t="shared" si="22"/>
        <v>51673332.981112577</v>
      </c>
      <c r="H210" s="96">
        <f t="shared" si="21"/>
        <v>1315.1573106427356</v>
      </c>
    </row>
    <row r="211" spans="3:8" x14ac:dyDescent="0.15">
      <c r="C211">
        <f t="shared" si="18"/>
        <v>17</v>
      </c>
      <c r="D211">
        <f t="shared" si="19"/>
        <v>6</v>
      </c>
      <c r="E211" s="94">
        <f t="shared" si="23"/>
        <v>2500000</v>
      </c>
      <c r="F211" s="91">
        <f t="shared" si="20"/>
        <v>212500</v>
      </c>
      <c r="G211" s="91">
        <f t="shared" si="22"/>
        <v>51992709.301778078</v>
      </c>
      <c r="H211" s="96">
        <f t="shared" si="21"/>
        <v>1323.2858767470925</v>
      </c>
    </row>
    <row r="212" spans="3:8" x14ac:dyDescent="0.15">
      <c r="C212">
        <f t="shared" si="18"/>
        <v>17</v>
      </c>
      <c r="D212">
        <f t="shared" si="19"/>
        <v>7</v>
      </c>
      <c r="E212" s="94">
        <f t="shared" si="23"/>
        <v>2500000</v>
      </c>
      <c r="F212" s="91">
        <f t="shared" si="20"/>
        <v>212500</v>
      </c>
      <c r="G212" s="91">
        <f t="shared" si="22"/>
        <v>52312743.48537261</v>
      </c>
      <c r="H212" s="96">
        <f t="shared" si="21"/>
        <v>1331.4311863667326</v>
      </c>
    </row>
    <row r="213" spans="3:8" x14ac:dyDescent="0.15">
      <c r="C213">
        <f t="shared" si="18"/>
        <v>17</v>
      </c>
      <c r="D213">
        <f t="shared" si="19"/>
        <v>8</v>
      </c>
      <c r="E213" s="94">
        <f t="shared" si="23"/>
        <v>2500000</v>
      </c>
      <c r="F213" s="91">
        <f t="shared" si="20"/>
        <v>212500</v>
      </c>
      <c r="G213" s="91">
        <f t="shared" si="22"/>
        <v>52633436.886986099</v>
      </c>
      <c r="H213" s="96">
        <f t="shared" si="21"/>
        <v>1339.5932739905566</v>
      </c>
    </row>
    <row r="214" spans="3:8" x14ac:dyDescent="0.15">
      <c r="C214">
        <f t="shared" si="18"/>
        <v>17</v>
      </c>
      <c r="D214">
        <f t="shared" si="19"/>
        <v>9</v>
      </c>
      <c r="E214" s="94">
        <f t="shared" si="23"/>
        <v>2500000</v>
      </c>
      <c r="F214" s="91">
        <f t="shared" si="20"/>
        <v>212500</v>
      </c>
      <c r="G214" s="91">
        <f t="shared" si="22"/>
        <v>52954790.864499733</v>
      </c>
      <c r="H214" s="96">
        <f t="shared" si="21"/>
        <v>1347.7721741785056</v>
      </c>
    </row>
    <row r="215" spans="3:8" x14ac:dyDescent="0.15">
      <c r="C215">
        <f t="shared" si="18"/>
        <v>17</v>
      </c>
      <c r="D215">
        <f t="shared" si="19"/>
        <v>10</v>
      </c>
      <c r="E215" s="94">
        <f t="shared" si="23"/>
        <v>2500000</v>
      </c>
      <c r="F215" s="91">
        <f t="shared" si="20"/>
        <v>212500</v>
      </c>
      <c r="G215" s="91">
        <f t="shared" si="22"/>
        <v>53276806.778591707</v>
      </c>
      <c r="H215" s="96">
        <f t="shared" si="21"/>
        <v>1355.9679215617091</v>
      </c>
    </row>
    <row r="216" spans="3:8" x14ac:dyDescent="0.15">
      <c r="C216">
        <f t="shared" si="18"/>
        <v>17</v>
      </c>
      <c r="D216">
        <f t="shared" si="19"/>
        <v>11</v>
      </c>
      <c r="E216" s="94">
        <f t="shared" si="23"/>
        <v>2500000</v>
      </c>
      <c r="F216" s="91">
        <f t="shared" si="20"/>
        <v>212500</v>
      </c>
      <c r="G216" s="91">
        <f t="shared" si="22"/>
        <v>53599485.992742993</v>
      </c>
      <c r="H216" s="96">
        <f t="shared" si="21"/>
        <v>1364.1805508426312</v>
      </c>
    </row>
    <row r="217" spans="3:8" x14ac:dyDescent="0.15">
      <c r="C217">
        <f t="shared" si="18"/>
        <v>17</v>
      </c>
      <c r="D217">
        <f t="shared" si="19"/>
        <v>12</v>
      </c>
      <c r="E217" s="94">
        <f t="shared" si="23"/>
        <v>2500000</v>
      </c>
      <c r="F217" s="91">
        <f t="shared" si="20"/>
        <v>212500</v>
      </c>
      <c r="G217" s="91">
        <f t="shared" si="22"/>
        <v>53922829.873243116</v>
      </c>
      <c r="H217" s="96">
        <f t="shared" si="21"/>
        <v>1372.4100967952168</v>
      </c>
    </row>
    <row r="218" spans="3:8" x14ac:dyDescent="0.15">
      <c r="C218">
        <f t="shared" si="18"/>
        <v>18</v>
      </c>
      <c r="D218">
        <f t="shared" si="19"/>
        <v>1</v>
      </c>
      <c r="E218" s="94">
        <f t="shared" si="23"/>
        <v>2500000</v>
      </c>
      <c r="F218" s="91">
        <f t="shared" si="20"/>
        <v>212500</v>
      </c>
      <c r="G218" s="91">
        <f t="shared" si="22"/>
        <v>54246839.789195925</v>
      </c>
      <c r="H218" s="96">
        <f t="shared" si="21"/>
        <v>1380.65659426504</v>
      </c>
    </row>
    <row r="219" spans="3:8" x14ac:dyDescent="0.15">
      <c r="C219">
        <f t="shared" si="18"/>
        <v>18</v>
      </c>
      <c r="D219">
        <f t="shared" si="19"/>
        <v>2</v>
      </c>
      <c r="E219" s="94">
        <f t="shared" si="23"/>
        <v>2500000</v>
      </c>
      <c r="F219" s="91">
        <f t="shared" si="20"/>
        <v>212500</v>
      </c>
      <c r="G219" s="91">
        <f t="shared" si="22"/>
        <v>54571517.112525403</v>
      </c>
      <c r="H219" s="96">
        <f t="shared" si="21"/>
        <v>1388.9200781694508</v>
      </c>
    </row>
    <row r="220" spans="3:8" x14ac:dyDescent="0.15">
      <c r="C220">
        <f t="shared" si="18"/>
        <v>18</v>
      </c>
      <c r="D220">
        <f t="shared" si="19"/>
        <v>3</v>
      </c>
      <c r="E220" s="94">
        <f t="shared" si="23"/>
        <v>2500000</v>
      </c>
      <c r="F220" s="91">
        <f t="shared" si="20"/>
        <v>212500</v>
      </c>
      <c r="G220" s="91">
        <f t="shared" si="22"/>
        <v>54896863.217981465</v>
      </c>
      <c r="H220" s="96">
        <f t="shared" si="21"/>
        <v>1397.2005834977228</v>
      </c>
    </row>
    <row r="221" spans="3:8" x14ac:dyDescent="0.15">
      <c r="C221">
        <f t="shared" si="18"/>
        <v>18</v>
      </c>
      <c r="D221">
        <f t="shared" si="19"/>
        <v>4</v>
      </c>
      <c r="E221" s="94">
        <f t="shared" si="23"/>
        <v>2500000</v>
      </c>
      <c r="F221" s="91">
        <f t="shared" si="20"/>
        <v>212500</v>
      </c>
      <c r="G221" s="91">
        <f t="shared" si="22"/>
        <v>55222879.483145803</v>
      </c>
      <c r="H221" s="96">
        <f t="shared" si="21"/>
        <v>1405.498145311203</v>
      </c>
    </row>
    <row r="222" spans="3:8" x14ac:dyDescent="0.15">
      <c r="C222">
        <f t="shared" si="18"/>
        <v>18</v>
      </c>
      <c r="D222">
        <f t="shared" si="19"/>
        <v>5</v>
      </c>
      <c r="E222" s="94">
        <f t="shared" si="23"/>
        <v>2500000</v>
      </c>
      <c r="F222" s="91">
        <f t="shared" si="20"/>
        <v>212500</v>
      </c>
      <c r="G222" s="91">
        <f t="shared" si="22"/>
        <v>55549567.288437679</v>
      </c>
      <c r="H222" s="96">
        <f t="shared" si="21"/>
        <v>1413.8127987434575</v>
      </c>
    </row>
    <row r="223" spans="3:8" x14ac:dyDescent="0.15">
      <c r="C223">
        <f t="shared" si="18"/>
        <v>18</v>
      </c>
      <c r="D223">
        <f t="shared" si="19"/>
        <v>6</v>
      </c>
      <c r="E223" s="94">
        <f t="shared" si="23"/>
        <v>2500000</v>
      </c>
      <c r="F223" s="91">
        <f t="shared" si="20"/>
        <v>212500</v>
      </c>
      <c r="G223" s="91">
        <f t="shared" si="22"/>
        <v>55876928.017119817</v>
      </c>
      <c r="H223" s="96">
        <f t="shared" si="21"/>
        <v>1422.1445790004232</v>
      </c>
    </row>
    <row r="224" spans="3:8" x14ac:dyDescent="0.15">
      <c r="C224">
        <f t="shared" si="18"/>
        <v>18</v>
      </c>
      <c r="D224">
        <f t="shared" si="19"/>
        <v>7</v>
      </c>
      <c r="E224" s="94">
        <f t="shared" si="23"/>
        <v>2500000</v>
      </c>
      <c r="F224" s="91">
        <f t="shared" si="20"/>
        <v>212500</v>
      </c>
      <c r="G224" s="91">
        <f t="shared" si="22"/>
        <v>56204963.055304214</v>
      </c>
      <c r="H224" s="96">
        <f t="shared" si="21"/>
        <v>1430.4935213605545</v>
      </c>
    </row>
    <row r="225" spans="3:8" x14ac:dyDescent="0.15">
      <c r="C225">
        <f t="shared" ref="C225:C288" si="24">IF(MOD(D224,12)=0,C224+1,C224)</f>
        <v>18</v>
      </c>
      <c r="D225">
        <f t="shared" ref="D225:D288" si="25">IF(MOD(D224,12)=0,1,D224+1)</f>
        <v>8</v>
      </c>
      <c r="E225" s="94">
        <f t="shared" si="23"/>
        <v>2500000</v>
      </c>
      <c r="F225" s="91">
        <f t="shared" si="20"/>
        <v>212500</v>
      </c>
      <c r="G225" s="91">
        <f t="shared" si="22"/>
        <v>56533673.791958041</v>
      </c>
      <c r="H225" s="96">
        <f t="shared" si="21"/>
        <v>1438.8596611749738</v>
      </c>
    </row>
    <row r="226" spans="3:8" x14ac:dyDescent="0.15">
      <c r="C226">
        <f t="shared" si="24"/>
        <v>18</v>
      </c>
      <c r="D226">
        <f t="shared" si="25"/>
        <v>9</v>
      </c>
      <c r="E226" s="94">
        <f t="shared" si="23"/>
        <v>2500000</v>
      </c>
      <c r="F226" s="91">
        <f t="shared" si="20"/>
        <v>212500</v>
      </c>
      <c r="G226" s="91">
        <f t="shared" si="22"/>
        <v>56863061.618909515</v>
      </c>
      <c r="H226" s="96">
        <f t="shared" si="21"/>
        <v>1447.2430338676218</v>
      </c>
    </row>
    <row r="227" spans="3:8" x14ac:dyDescent="0.15">
      <c r="C227">
        <f t="shared" si="24"/>
        <v>18</v>
      </c>
      <c r="D227">
        <f t="shared" si="25"/>
        <v>10</v>
      </c>
      <c r="E227" s="94">
        <f t="shared" si="23"/>
        <v>2500000</v>
      </c>
      <c r="F227" s="91">
        <f t="shared" si="20"/>
        <v>212500</v>
      </c>
      <c r="G227" s="91">
        <f t="shared" si="22"/>
        <v>57193127.930853792</v>
      </c>
      <c r="H227" s="96">
        <f t="shared" si="21"/>
        <v>1455.6436749354054</v>
      </c>
    </row>
    <row r="228" spans="3:8" x14ac:dyDescent="0.15">
      <c r="C228">
        <f t="shared" si="24"/>
        <v>18</v>
      </c>
      <c r="D228">
        <f t="shared" si="25"/>
        <v>11</v>
      </c>
      <c r="E228" s="94">
        <f t="shared" si="23"/>
        <v>2500000</v>
      </c>
      <c r="F228" s="91">
        <f t="shared" si="20"/>
        <v>212500</v>
      </c>
      <c r="G228" s="91">
        <f t="shared" si="22"/>
        <v>57523874.125358865</v>
      </c>
      <c r="H228" s="96">
        <f t="shared" si="21"/>
        <v>1464.0616199483507</v>
      </c>
    </row>
    <row r="229" spans="3:8" x14ac:dyDescent="0.15">
      <c r="C229">
        <f t="shared" si="24"/>
        <v>18</v>
      </c>
      <c r="D229">
        <f t="shared" si="25"/>
        <v>12</v>
      </c>
      <c r="E229" s="94">
        <f t="shared" si="23"/>
        <v>2500000</v>
      </c>
      <c r="F229" s="91">
        <f t="shared" si="20"/>
        <v>212500</v>
      </c>
      <c r="G229" s="91">
        <f t="shared" si="22"/>
        <v>57855301.602871493</v>
      </c>
      <c r="H229" s="96">
        <f t="shared" si="21"/>
        <v>1472.496904549751</v>
      </c>
    </row>
    <row r="230" spans="3:8" x14ac:dyDescent="0.15">
      <c r="C230">
        <f t="shared" si="24"/>
        <v>19</v>
      </c>
      <c r="D230">
        <f t="shared" si="25"/>
        <v>1</v>
      </c>
      <c r="E230" s="94">
        <f t="shared" si="23"/>
        <v>2500000</v>
      </c>
      <c r="F230" s="91">
        <f t="shared" si="20"/>
        <v>212500</v>
      </c>
      <c r="G230" s="91">
        <f t="shared" si="22"/>
        <v>58187411.766723119</v>
      </c>
      <c r="H230" s="96">
        <f t="shared" si="21"/>
        <v>1480.9495644563196</v>
      </c>
    </row>
    <row r="231" spans="3:8" x14ac:dyDescent="0.15">
      <c r="C231">
        <f t="shared" si="24"/>
        <v>19</v>
      </c>
      <c r="D231">
        <f t="shared" si="25"/>
        <v>2</v>
      </c>
      <c r="E231" s="94">
        <f t="shared" si="23"/>
        <v>2500000</v>
      </c>
      <c r="F231" s="91">
        <f t="shared" si="20"/>
        <v>212500</v>
      </c>
      <c r="G231" s="91">
        <f t="shared" si="22"/>
        <v>58520206.023135833</v>
      </c>
      <c r="H231" s="96">
        <f t="shared" si="21"/>
        <v>1489.4196354583405</v>
      </c>
    </row>
    <row r="232" spans="3:8" x14ac:dyDescent="0.15">
      <c r="C232">
        <f t="shared" si="24"/>
        <v>19</v>
      </c>
      <c r="D232">
        <f t="shared" si="25"/>
        <v>3</v>
      </c>
      <c r="E232" s="94">
        <f t="shared" si="23"/>
        <v>2500000</v>
      </c>
      <c r="F232" s="91">
        <f t="shared" si="20"/>
        <v>212500</v>
      </c>
      <c r="G232" s="91">
        <f t="shared" si="22"/>
        <v>58853685.781228296</v>
      </c>
      <c r="H232" s="96">
        <f t="shared" si="21"/>
        <v>1497.9071534198195</v>
      </c>
    </row>
    <row r="233" spans="3:8" x14ac:dyDescent="0.15">
      <c r="C233">
        <f t="shared" si="24"/>
        <v>19</v>
      </c>
      <c r="D233">
        <f t="shared" si="25"/>
        <v>4</v>
      </c>
      <c r="E233" s="94">
        <f t="shared" si="23"/>
        <v>2500000</v>
      </c>
      <c r="F233" s="91">
        <f t="shared" si="20"/>
        <v>212500</v>
      </c>
      <c r="G233" s="91">
        <f t="shared" si="22"/>
        <v>59187852.453021742</v>
      </c>
      <c r="H233" s="96">
        <f t="shared" si="21"/>
        <v>1506.4121542786365</v>
      </c>
    </row>
    <row r="234" spans="3:8" x14ac:dyDescent="0.15">
      <c r="C234">
        <f t="shared" si="24"/>
        <v>19</v>
      </c>
      <c r="D234">
        <f t="shared" si="25"/>
        <v>5</v>
      </c>
      <c r="E234" s="94">
        <f t="shared" si="23"/>
        <v>2500000</v>
      </c>
      <c r="F234" s="91">
        <f t="shared" si="20"/>
        <v>212500</v>
      </c>
      <c r="G234" s="91">
        <f t="shared" si="22"/>
        <v>59522707.453445919</v>
      </c>
      <c r="H234" s="96">
        <f t="shared" si="21"/>
        <v>1514.9346740466976</v>
      </c>
    </row>
    <row r="235" spans="3:8" x14ac:dyDescent="0.15">
      <c r="C235">
        <f t="shared" si="24"/>
        <v>19</v>
      </c>
      <c r="D235">
        <f t="shared" si="25"/>
        <v>6</v>
      </c>
      <c r="E235" s="94">
        <f t="shared" si="23"/>
        <v>2500000</v>
      </c>
      <c r="F235" s="91">
        <f t="shared" si="20"/>
        <v>212500</v>
      </c>
      <c r="G235" s="91">
        <f t="shared" si="22"/>
        <v>59858252.200345106</v>
      </c>
      <c r="H235" s="96">
        <f t="shared" si="21"/>
        <v>1523.4747488100872</v>
      </c>
    </row>
    <row r="236" spans="3:8" x14ac:dyDescent="0.15">
      <c r="C236">
        <f t="shared" si="24"/>
        <v>19</v>
      </c>
      <c r="D236">
        <f t="shared" si="25"/>
        <v>7</v>
      </c>
      <c r="E236" s="94">
        <f t="shared" si="23"/>
        <v>2500000</v>
      </c>
      <c r="F236" s="91">
        <f t="shared" si="20"/>
        <v>212500</v>
      </c>
      <c r="G236" s="91">
        <f t="shared" si="22"/>
        <v>60194488.114484116</v>
      </c>
      <c r="H236" s="96">
        <f t="shared" si="21"/>
        <v>1532.032414729222</v>
      </c>
    </row>
    <row r="237" spans="3:8" x14ac:dyDescent="0.15">
      <c r="C237">
        <f t="shared" si="24"/>
        <v>19</v>
      </c>
      <c r="D237">
        <f t="shared" si="25"/>
        <v>8</v>
      </c>
      <c r="E237" s="94">
        <f t="shared" si="23"/>
        <v>2500000</v>
      </c>
      <c r="F237" s="91">
        <f t="shared" si="20"/>
        <v>212500</v>
      </c>
      <c r="G237" s="91">
        <f t="shared" si="22"/>
        <v>60531416.619554289</v>
      </c>
      <c r="H237" s="96">
        <f t="shared" si="21"/>
        <v>1540.6077080390019</v>
      </c>
    </row>
    <row r="238" spans="3:8" x14ac:dyDescent="0.15">
      <c r="C238">
        <f t="shared" si="24"/>
        <v>19</v>
      </c>
      <c r="D238">
        <f t="shared" si="25"/>
        <v>9</v>
      </c>
      <c r="E238" s="94">
        <f t="shared" si="23"/>
        <v>2500000</v>
      </c>
      <c r="F238" s="91">
        <f t="shared" si="20"/>
        <v>212500</v>
      </c>
      <c r="G238" s="91">
        <f t="shared" si="22"/>
        <v>60869039.142179549</v>
      </c>
      <c r="H238" s="96">
        <f t="shared" si="21"/>
        <v>1549.2006650489659</v>
      </c>
    </row>
    <row r="239" spans="3:8" x14ac:dyDescent="0.15">
      <c r="C239">
        <f t="shared" si="24"/>
        <v>19</v>
      </c>
      <c r="D239">
        <f t="shared" si="25"/>
        <v>10</v>
      </c>
      <c r="E239" s="94">
        <f t="shared" si="23"/>
        <v>2500000</v>
      </c>
      <c r="F239" s="91">
        <f t="shared" si="20"/>
        <v>212500</v>
      </c>
      <c r="G239" s="91">
        <f t="shared" si="22"/>
        <v>61207357.111922428</v>
      </c>
      <c r="H239" s="96">
        <f t="shared" si="21"/>
        <v>1557.8113221434442</v>
      </c>
    </row>
    <row r="240" spans="3:8" x14ac:dyDescent="0.15">
      <c r="C240">
        <f t="shared" si="24"/>
        <v>19</v>
      </c>
      <c r="D240">
        <f t="shared" si="25"/>
        <v>11</v>
      </c>
      <c r="E240" s="94">
        <f t="shared" si="23"/>
        <v>2500000</v>
      </c>
      <c r="F240" s="91">
        <f t="shared" si="20"/>
        <v>212500</v>
      </c>
      <c r="G240" s="91">
        <f t="shared" si="22"/>
        <v>61546371.961290121</v>
      </c>
      <c r="H240" s="96">
        <f t="shared" si="21"/>
        <v>1566.4397157817127</v>
      </c>
    </row>
    <row r="241" spans="3:8" x14ac:dyDescent="0.15">
      <c r="C241">
        <f t="shared" si="24"/>
        <v>19</v>
      </c>
      <c r="D241">
        <f t="shared" si="25"/>
        <v>12</v>
      </c>
      <c r="E241" s="94">
        <f t="shared" si="23"/>
        <v>2500000</v>
      </c>
      <c r="F241" s="91">
        <f t="shared" si="20"/>
        <v>212500</v>
      </c>
      <c r="G241" s="91">
        <f t="shared" si="22"/>
        <v>61886085.125740558</v>
      </c>
      <c r="H241" s="96">
        <f t="shared" si="21"/>
        <v>1575.0858824981481</v>
      </c>
    </row>
    <row r="242" spans="3:8" x14ac:dyDescent="0.15">
      <c r="C242">
        <f t="shared" si="24"/>
        <v>20</v>
      </c>
      <c r="D242">
        <f t="shared" si="25"/>
        <v>1</v>
      </c>
      <c r="E242" s="94">
        <f t="shared" si="23"/>
        <v>2500000</v>
      </c>
      <c r="F242" s="91">
        <f t="shared" si="20"/>
        <v>212500</v>
      </c>
      <c r="G242" s="91">
        <f t="shared" si="22"/>
        <v>62226498.043688476</v>
      </c>
      <c r="H242" s="96">
        <f t="shared" si="21"/>
        <v>1583.7498589023808</v>
      </c>
    </row>
    <row r="243" spans="3:8" x14ac:dyDescent="0.15">
      <c r="C243">
        <f t="shared" si="24"/>
        <v>20</v>
      </c>
      <c r="D243">
        <f t="shared" si="25"/>
        <v>2</v>
      </c>
      <c r="E243" s="94">
        <f t="shared" si="23"/>
        <v>2500000</v>
      </c>
      <c r="F243" s="91">
        <f t="shared" si="20"/>
        <v>212500</v>
      </c>
      <c r="G243" s="91">
        <f t="shared" si="22"/>
        <v>62567612.156511508</v>
      </c>
      <c r="H243" s="96">
        <f t="shared" si="21"/>
        <v>1592.4316816794524</v>
      </c>
    </row>
    <row r="244" spans="3:8" x14ac:dyDescent="0.15">
      <c r="C244">
        <f t="shared" si="24"/>
        <v>20</v>
      </c>
      <c r="D244">
        <f t="shared" si="25"/>
        <v>3</v>
      </c>
      <c r="E244" s="94">
        <f t="shared" si="23"/>
        <v>2500000</v>
      </c>
      <c r="F244" s="91">
        <f t="shared" si="20"/>
        <v>212500</v>
      </c>
      <c r="G244" s="91">
        <f t="shared" si="22"/>
        <v>62909428.908556283</v>
      </c>
      <c r="H244" s="96">
        <f t="shared" si="21"/>
        <v>1601.1313875899682</v>
      </c>
    </row>
    <row r="245" spans="3:8" x14ac:dyDescent="0.15">
      <c r="C245">
        <f t="shared" si="24"/>
        <v>20</v>
      </c>
      <c r="D245">
        <f t="shared" si="25"/>
        <v>4</v>
      </c>
      <c r="E245" s="94">
        <f t="shared" si="23"/>
        <v>2500000</v>
      </c>
      <c r="F245" s="91">
        <f t="shared" si="20"/>
        <v>212500</v>
      </c>
      <c r="G245" s="91">
        <f t="shared" si="22"/>
        <v>63251949.747144565</v>
      </c>
      <c r="H245" s="96">
        <f t="shared" si="21"/>
        <v>1609.8490134702556</v>
      </c>
    </row>
    <row r="246" spans="3:8" x14ac:dyDescent="0.15">
      <c r="C246">
        <f t="shared" si="24"/>
        <v>20</v>
      </c>
      <c r="D246">
        <f t="shared" si="25"/>
        <v>5</v>
      </c>
      <c r="E246" s="94">
        <f t="shared" si="23"/>
        <v>2500000</v>
      </c>
      <c r="F246" s="91">
        <f t="shared" si="20"/>
        <v>212500</v>
      </c>
      <c r="G246" s="91">
        <f t="shared" si="22"/>
        <v>63595176.122579344</v>
      </c>
      <c r="H246" s="96">
        <f t="shared" si="21"/>
        <v>1618.5845962325182</v>
      </c>
    </row>
    <row r="247" spans="3:8" x14ac:dyDescent="0.15">
      <c r="C247">
        <f t="shared" si="24"/>
        <v>20</v>
      </c>
      <c r="D247">
        <f t="shared" si="25"/>
        <v>6</v>
      </c>
      <c r="E247" s="94">
        <f t="shared" si="23"/>
        <v>2500000</v>
      </c>
      <c r="F247" s="91">
        <f t="shared" si="20"/>
        <v>212500</v>
      </c>
      <c r="G247" s="91">
        <f t="shared" si="22"/>
        <v>63939109.488151014</v>
      </c>
      <c r="H247" s="96">
        <f t="shared" si="21"/>
        <v>1627.3381728649927</v>
      </c>
    </row>
    <row r="248" spans="3:8" x14ac:dyDescent="0.15">
      <c r="C248">
        <f t="shared" si="24"/>
        <v>20</v>
      </c>
      <c r="D248">
        <f t="shared" si="25"/>
        <v>7</v>
      </c>
      <c r="E248" s="94">
        <f t="shared" si="23"/>
        <v>2500000</v>
      </c>
      <c r="F248" s="91">
        <f t="shared" si="20"/>
        <v>212500</v>
      </c>
      <c r="G248" s="91">
        <f t="shared" si="22"/>
        <v>64283751.300143495</v>
      </c>
      <c r="H248" s="96">
        <f t="shared" si="21"/>
        <v>1636.1097804321057</v>
      </c>
    </row>
    <row r="249" spans="3:8" x14ac:dyDescent="0.15">
      <c r="C249">
        <f t="shared" si="24"/>
        <v>20</v>
      </c>
      <c r="D249">
        <f t="shared" si="25"/>
        <v>8</v>
      </c>
      <c r="E249" s="94">
        <f t="shared" si="23"/>
        <v>2500000</v>
      </c>
      <c r="F249" s="91">
        <f t="shared" si="20"/>
        <v>212500</v>
      </c>
      <c r="G249" s="91">
        <f t="shared" si="22"/>
        <v>64629103.017840423</v>
      </c>
      <c r="H249" s="96">
        <f t="shared" si="21"/>
        <v>1644.8994560746301</v>
      </c>
    </row>
    <row r="250" spans="3:8" x14ac:dyDescent="0.15">
      <c r="C250">
        <f t="shared" si="24"/>
        <v>20</v>
      </c>
      <c r="D250">
        <f t="shared" si="25"/>
        <v>9</v>
      </c>
      <c r="E250" s="94">
        <f t="shared" si="23"/>
        <v>2500000</v>
      </c>
      <c r="F250" s="91">
        <f t="shared" si="20"/>
        <v>212500</v>
      </c>
      <c r="G250" s="91">
        <f t="shared" si="22"/>
        <v>64975166.103531316</v>
      </c>
      <c r="H250" s="96">
        <f t="shared" si="21"/>
        <v>1653.7072370098431</v>
      </c>
    </row>
    <row r="251" spans="3:8" x14ac:dyDescent="0.15">
      <c r="C251">
        <f t="shared" si="24"/>
        <v>20</v>
      </c>
      <c r="D251">
        <f t="shared" si="25"/>
        <v>10</v>
      </c>
      <c r="E251" s="94">
        <f t="shared" si="23"/>
        <v>2500000</v>
      </c>
      <c r="F251" s="91">
        <f t="shared" si="20"/>
        <v>212500</v>
      </c>
      <c r="G251" s="91">
        <f t="shared" si="22"/>
        <v>65321942.022517771</v>
      </c>
      <c r="H251" s="96">
        <f t="shared" si="21"/>
        <v>1662.5331605316835</v>
      </c>
    </row>
    <row r="252" spans="3:8" x14ac:dyDescent="0.15">
      <c r="C252">
        <f t="shared" si="24"/>
        <v>20</v>
      </c>
      <c r="D252">
        <f t="shared" si="25"/>
        <v>11</v>
      </c>
      <c r="E252" s="94">
        <f t="shared" si="23"/>
        <v>2500000</v>
      </c>
      <c r="F252" s="91">
        <f t="shared" si="20"/>
        <v>212500</v>
      </c>
      <c r="G252" s="91">
        <f t="shared" si="22"/>
        <v>65669432.243119657</v>
      </c>
      <c r="H252" s="96">
        <f t="shared" si="21"/>
        <v>1671.3772640109089</v>
      </c>
    </row>
    <row r="253" spans="3:8" x14ac:dyDescent="0.15">
      <c r="C253">
        <f t="shared" si="24"/>
        <v>20</v>
      </c>
      <c r="D253">
        <f t="shared" si="25"/>
        <v>12</v>
      </c>
      <c r="E253" s="94">
        <f t="shared" si="23"/>
        <v>2500000</v>
      </c>
      <c r="F253" s="91">
        <f t="shared" si="20"/>
        <v>212500</v>
      </c>
      <c r="G253" s="91">
        <f t="shared" si="22"/>
        <v>66017638.236681357</v>
      </c>
      <c r="H253" s="96">
        <f t="shared" si="21"/>
        <v>1680.2395848952551</v>
      </c>
    </row>
    <row r="254" spans="3:8" x14ac:dyDescent="0.15">
      <c r="C254">
        <f t="shared" si="24"/>
        <v>21</v>
      </c>
      <c r="D254">
        <f t="shared" si="25"/>
        <v>1</v>
      </c>
      <c r="E254" s="94">
        <f t="shared" si="23"/>
        <v>2500000</v>
      </c>
      <c r="F254" s="91">
        <f t="shared" si="20"/>
        <v>212500</v>
      </c>
      <c r="G254" s="91">
        <f t="shared" si="22"/>
        <v>66366561.477577969</v>
      </c>
      <c r="H254" s="96">
        <f t="shared" si="21"/>
        <v>1689.1201607095936</v>
      </c>
    </row>
    <row r="255" spans="3:8" x14ac:dyDescent="0.15">
      <c r="C255">
        <f t="shared" si="24"/>
        <v>21</v>
      </c>
      <c r="D255">
        <f t="shared" si="25"/>
        <v>2</v>
      </c>
      <c r="E255" s="94">
        <f t="shared" si="23"/>
        <v>2500000</v>
      </c>
      <c r="F255" s="91">
        <f t="shared" si="20"/>
        <v>212500</v>
      </c>
      <c r="G255" s="91">
        <f t="shared" si="22"/>
        <v>66716203.443221577</v>
      </c>
      <c r="H255" s="96">
        <f t="shared" si="21"/>
        <v>1698.019029056092</v>
      </c>
    </row>
    <row r="256" spans="3:8" x14ac:dyDescent="0.15">
      <c r="C256">
        <f t="shared" si="24"/>
        <v>21</v>
      </c>
      <c r="D256">
        <f t="shared" si="25"/>
        <v>3</v>
      </c>
      <c r="E256" s="94">
        <f t="shared" si="23"/>
        <v>2500000</v>
      </c>
      <c r="F256" s="91">
        <f t="shared" si="20"/>
        <v>212500</v>
      </c>
      <c r="G256" s="91">
        <f t="shared" si="22"/>
        <v>67066565.614067473</v>
      </c>
      <c r="H256" s="96">
        <f t="shared" si="21"/>
        <v>1706.9362276143706</v>
      </c>
    </row>
    <row r="257" spans="3:8" x14ac:dyDescent="0.15">
      <c r="C257">
        <f t="shared" si="24"/>
        <v>21</v>
      </c>
      <c r="D257">
        <f t="shared" si="25"/>
        <v>4</v>
      </c>
      <c r="E257" s="94">
        <f t="shared" si="23"/>
        <v>2500000</v>
      </c>
      <c r="F257" s="91">
        <f t="shared" si="20"/>
        <v>212500</v>
      </c>
      <c r="G257" s="91">
        <f t="shared" si="22"/>
        <v>67417649.473620445</v>
      </c>
      <c r="H257" s="96">
        <f t="shared" si="21"/>
        <v>1715.8717941416651</v>
      </c>
    </row>
    <row r="258" spans="3:8" x14ac:dyDescent="0.15">
      <c r="C258">
        <f t="shared" si="24"/>
        <v>21</v>
      </c>
      <c r="D258">
        <f t="shared" si="25"/>
        <v>5</v>
      </c>
      <c r="E258" s="94">
        <f t="shared" si="23"/>
        <v>2500000</v>
      </c>
      <c r="F258" s="91">
        <f t="shared" si="20"/>
        <v>212500</v>
      </c>
      <c r="G258" s="91">
        <f t="shared" si="22"/>
        <v>67769456.508441091</v>
      </c>
      <c r="H258" s="96">
        <f t="shared" si="21"/>
        <v>1724.825766472984</v>
      </c>
    </row>
    <row r="259" spans="3:8" x14ac:dyDescent="0.15">
      <c r="C259">
        <f t="shared" si="24"/>
        <v>21</v>
      </c>
      <c r="D259">
        <f t="shared" si="25"/>
        <v>6</v>
      </c>
      <c r="E259" s="94">
        <f t="shared" si="23"/>
        <v>2500000</v>
      </c>
      <c r="F259" s="91">
        <f t="shared" si="20"/>
        <v>212500</v>
      </c>
      <c r="G259" s="91">
        <f t="shared" si="22"/>
        <v>68121988.208152056</v>
      </c>
      <c r="H259" s="96">
        <f t="shared" si="21"/>
        <v>1733.7981825212705</v>
      </c>
    </row>
    <row r="260" spans="3:8" x14ac:dyDescent="0.15">
      <c r="C260">
        <f t="shared" si="24"/>
        <v>21</v>
      </c>
      <c r="D260">
        <f t="shared" si="25"/>
        <v>7</v>
      </c>
      <c r="E260" s="94">
        <f t="shared" si="23"/>
        <v>2500000</v>
      </c>
      <c r="F260" s="91">
        <f t="shared" si="20"/>
        <v>212500</v>
      </c>
      <c r="G260" s="91">
        <f t="shared" si="22"/>
        <v>68475246.06544435</v>
      </c>
      <c r="H260" s="96">
        <f t="shared" si="21"/>
        <v>1742.7890802775612</v>
      </c>
    </row>
    <row r="261" spans="3:8" x14ac:dyDescent="0.15">
      <c r="C261">
        <f t="shared" si="24"/>
        <v>21</v>
      </c>
      <c r="D261">
        <f t="shared" si="25"/>
        <v>8</v>
      </c>
      <c r="E261" s="94">
        <f t="shared" si="23"/>
        <v>2500000</v>
      </c>
      <c r="F261" s="91">
        <f t="shared" si="20"/>
        <v>212500</v>
      </c>
      <c r="G261" s="91">
        <f t="shared" si="22"/>
        <v>68829231.576083705</v>
      </c>
      <c r="H261" s="96">
        <f t="shared" si="21"/>
        <v>1751.7984978111488</v>
      </c>
    </row>
    <row r="262" spans="3:8" x14ac:dyDescent="0.15">
      <c r="C262">
        <f t="shared" si="24"/>
        <v>21</v>
      </c>
      <c r="D262">
        <f t="shared" si="25"/>
        <v>9</v>
      </c>
      <c r="E262" s="94">
        <f t="shared" si="23"/>
        <v>2500000</v>
      </c>
      <c r="F262" s="91">
        <f t="shared" si="20"/>
        <v>212500</v>
      </c>
      <c r="G262" s="91">
        <f t="shared" si="22"/>
        <v>69183946.238916874</v>
      </c>
      <c r="H262" s="96">
        <f t="shared" si="21"/>
        <v>1760.8264732697423</v>
      </c>
    </row>
    <row r="263" spans="3:8" x14ac:dyDescent="0.15">
      <c r="C263">
        <f t="shared" si="24"/>
        <v>21</v>
      </c>
      <c r="D263">
        <f t="shared" si="25"/>
        <v>10</v>
      </c>
      <c r="E263" s="94">
        <f t="shared" si="23"/>
        <v>2500000</v>
      </c>
      <c r="F263" s="91">
        <f t="shared" si="20"/>
        <v>212500</v>
      </c>
      <c r="G263" s="91">
        <f t="shared" si="22"/>
        <v>69539391.555877984</v>
      </c>
      <c r="H263" s="96">
        <f t="shared" si="21"/>
        <v>1769.8730448796287</v>
      </c>
    </row>
    <row r="264" spans="3:8" x14ac:dyDescent="0.15">
      <c r="C264">
        <f t="shared" si="24"/>
        <v>21</v>
      </c>
      <c r="D264">
        <f t="shared" si="25"/>
        <v>11</v>
      </c>
      <c r="E264" s="94">
        <f t="shared" si="23"/>
        <v>2500000</v>
      </c>
      <c r="F264" s="91">
        <f t="shared" si="20"/>
        <v>212500</v>
      </c>
      <c r="G264" s="91">
        <f t="shared" si="22"/>
        <v>69895569.031994924</v>
      </c>
      <c r="H264" s="96">
        <f t="shared" si="21"/>
        <v>1778.9382509458346</v>
      </c>
    </row>
    <row r="265" spans="3:8" x14ac:dyDescent="0.15">
      <c r="C265">
        <f t="shared" si="24"/>
        <v>21</v>
      </c>
      <c r="D265">
        <f t="shared" si="25"/>
        <v>12</v>
      </c>
      <c r="E265" s="94">
        <f t="shared" si="23"/>
        <v>2500000</v>
      </c>
      <c r="F265" s="91">
        <f t="shared" si="20"/>
        <v>212500</v>
      </c>
      <c r="G265" s="91">
        <f t="shared" si="22"/>
        <v>70252480.175395668</v>
      </c>
      <c r="H265" s="96">
        <f t="shared" si="21"/>
        <v>1788.0221298522895</v>
      </c>
    </row>
    <row r="266" spans="3:8" x14ac:dyDescent="0.15">
      <c r="C266">
        <f t="shared" si="24"/>
        <v>22</v>
      </c>
      <c r="D266">
        <f t="shared" si="25"/>
        <v>1</v>
      </c>
      <c r="E266" s="94">
        <f t="shared" si="23"/>
        <v>2500000</v>
      </c>
      <c r="F266" s="91">
        <f t="shared" si="20"/>
        <v>212500</v>
      </c>
      <c r="G266" s="91">
        <f t="shared" si="22"/>
        <v>70610126.497314692</v>
      </c>
      <c r="H266" s="96">
        <f t="shared" si="21"/>
        <v>1797.1247200619866</v>
      </c>
    </row>
    <row r="267" spans="3:8" x14ac:dyDescent="0.15">
      <c r="C267">
        <f t="shared" si="24"/>
        <v>22</v>
      </c>
      <c r="D267">
        <f t="shared" si="25"/>
        <v>2</v>
      </c>
      <c r="E267" s="94">
        <f t="shared" si="23"/>
        <v>2500000</v>
      </c>
      <c r="F267" s="91">
        <f t="shared" si="20"/>
        <v>212500</v>
      </c>
      <c r="G267" s="91">
        <f t="shared" si="22"/>
        <v>70968509.512099385</v>
      </c>
      <c r="H267" s="96">
        <f t="shared" si="21"/>
        <v>1806.2460601171472</v>
      </c>
    </row>
    <row r="268" spans="3:8" x14ac:dyDescent="0.15">
      <c r="C268">
        <f t="shared" si="24"/>
        <v>22</v>
      </c>
      <c r="D268">
        <f t="shared" si="25"/>
        <v>3</v>
      </c>
      <c r="E268" s="94">
        <f t="shared" si="23"/>
        <v>2500000</v>
      </c>
      <c r="F268" s="91">
        <f t="shared" si="20"/>
        <v>212500</v>
      </c>
      <c r="G268" s="91">
        <f t="shared" si="22"/>
        <v>71327630.737216428</v>
      </c>
      <c r="H268" s="96">
        <f t="shared" si="21"/>
        <v>1815.3861886393829</v>
      </c>
    </row>
    <row r="269" spans="3:8" x14ac:dyDescent="0.15">
      <c r="C269">
        <f t="shared" si="24"/>
        <v>22</v>
      </c>
      <c r="D269">
        <f t="shared" si="25"/>
        <v>4</v>
      </c>
      <c r="E269" s="94">
        <f t="shared" si="23"/>
        <v>2500000</v>
      </c>
      <c r="F269" s="91">
        <f t="shared" si="20"/>
        <v>212500</v>
      </c>
      <c r="G269" s="91">
        <f t="shared" si="22"/>
        <v>71687491.693258241</v>
      </c>
      <c r="H269" s="96">
        <f t="shared" si="21"/>
        <v>1824.54514432986</v>
      </c>
    </row>
    <row r="270" spans="3:8" x14ac:dyDescent="0.15">
      <c r="C270">
        <f t="shared" si="24"/>
        <v>22</v>
      </c>
      <c r="D270">
        <f t="shared" si="25"/>
        <v>5</v>
      </c>
      <c r="E270" s="94">
        <f t="shared" si="23"/>
        <v>2500000</v>
      </c>
      <c r="F270" s="91">
        <f t="shared" si="20"/>
        <v>212500</v>
      </c>
      <c r="G270" s="91">
        <f t="shared" si="22"/>
        <v>72048093.90394941</v>
      </c>
      <c r="H270" s="96">
        <f t="shared" si="21"/>
        <v>1833.7229659694622</v>
      </c>
    </row>
    <row r="271" spans="3:8" x14ac:dyDescent="0.15">
      <c r="C271">
        <f t="shared" si="24"/>
        <v>22</v>
      </c>
      <c r="D271">
        <f t="shared" si="25"/>
        <v>6</v>
      </c>
      <c r="E271" s="94">
        <f t="shared" si="23"/>
        <v>2500000</v>
      </c>
      <c r="F271" s="91">
        <f t="shared" ref="F271:F334" si="26">IF(E271/$D$3&lt;$D$2*(1+$D$11)^(C271-1),0.1*E271,0.1*$D$2*$D$3*(1+$D$11)^(C271-1))*(1-$D$9)</f>
        <v>212500</v>
      </c>
      <c r="G271" s="91">
        <f t="shared" si="22"/>
        <v>72409438.896153137</v>
      </c>
      <c r="H271" s="96">
        <f t="shared" ref="H271:H334" si="27">G271/$D$3</f>
        <v>1842.9196924189555</v>
      </c>
    </row>
    <row r="272" spans="3:8" x14ac:dyDescent="0.15">
      <c r="C272">
        <f t="shared" si="24"/>
        <v>22</v>
      </c>
      <c r="D272">
        <f t="shared" si="25"/>
        <v>7</v>
      </c>
      <c r="E272" s="94">
        <f t="shared" si="23"/>
        <v>2500000</v>
      </c>
      <c r="F272" s="91">
        <f t="shared" si="26"/>
        <v>212500</v>
      </c>
      <c r="G272" s="91">
        <f t="shared" ref="G272:G335" si="28">(F272+G271)*(1+$D$5)</f>
        <v>72771528.199877739</v>
      </c>
      <c r="H272" s="96">
        <f t="shared" si="27"/>
        <v>1852.1353626191535</v>
      </c>
    </row>
    <row r="273" spans="3:8" x14ac:dyDescent="0.15">
      <c r="C273">
        <f t="shared" si="24"/>
        <v>22</v>
      </c>
      <c r="D273">
        <f t="shared" si="25"/>
        <v>8</v>
      </c>
      <c r="E273" s="94">
        <f t="shared" ref="E273:E336" si="29">E272</f>
        <v>2500000</v>
      </c>
      <c r="F273" s="91">
        <f t="shared" si="26"/>
        <v>212500</v>
      </c>
      <c r="G273" s="91">
        <f t="shared" si="28"/>
        <v>73134363.348283067</v>
      </c>
      <c r="H273" s="96">
        <f t="shared" si="27"/>
        <v>1861.3700155910806</v>
      </c>
    </row>
    <row r="274" spans="3:8" x14ac:dyDescent="0.15">
      <c r="C274">
        <f t="shared" si="24"/>
        <v>22</v>
      </c>
      <c r="D274">
        <f t="shared" si="25"/>
        <v>9</v>
      </c>
      <c r="E274" s="94">
        <f t="shared" si="29"/>
        <v>2500000</v>
      </c>
      <c r="F274" s="91">
        <f t="shared" si="26"/>
        <v>212500</v>
      </c>
      <c r="G274" s="91">
        <f t="shared" si="28"/>
        <v>73497945.877687067</v>
      </c>
      <c r="H274" s="96">
        <f t="shared" si="27"/>
        <v>1870.623690436139</v>
      </c>
    </row>
    <row r="275" spans="3:8" x14ac:dyDescent="0.15">
      <c r="C275">
        <f t="shared" si="24"/>
        <v>22</v>
      </c>
      <c r="D275">
        <f t="shared" si="25"/>
        <v>10</v>
      </c>
      <c r="E275" s="94">
        <f t="shared" si="29"/>
        <v>2500000</v>
      </c>
      <c r="F275" s="91">
        <f t="shared" si="26"/>
        <v>212500</v>
      </c>
      <c r="G275" s="91">
        <f t="shared" si="28"/>
        <v>73862277.327572212</v>
      </c>
      <c r="H275" s="96">
        <f t="shared" si="27"/>
        <v>1879.8964263362725</v>
      </c>
    </row>
    <row r="276" spans="3:8" x14ac:dyDescent="0.15">
      <c r="C276">
        <f t="shared" si="24"/>
        <v>22</v>
      </c>
      <c r="D276">
        <f t="shared" si="25"/>
        <v>11</v>
      </c>
      <c r="E276" s="94">
        <f t="shared" si="29"/>
        <v>2500000</v>
      </c>
      <c r="F276" s="91">
        <f t="shared" si="26"/>
        <v>212500</v>
      </c>
      <c r="G276" s="91">
        <f t="shared" si="28"/>
        <v>74227359.240592062</v>
      </c>
      <c r="H276" s="96">
        <f t="shared" si="27"/>
        <v>1889.1882625541334</v>
      </c>
    </row>
    <row r="277" spans="3:8" x14ac:dyDescent="0.15">
      <c r="C277">
        <f t="shared" si="24"/>
        <v>22</v>
      </c>
      <c r="D277">
        <f t="shared" si="25"/>
        <v>12</v>
      </c>
      <c r="E277" s="94">
        <f t="shared" si="29"/>
        <v>2500000</v>
      </c>
      <c r="F277" s="91">
        <f t="shared" si="26"/>
        <v>212500</v>
      </c>
      <c r="G277" s="91">
        <f t="shared" si="28"/>
        <v>74593193.162577823</v>
      </c>
      <c r="H277" s="96">
        <f t="shared" si="27"/>
        <v>1898.4992384332497</v>
      </c>
    </row>
    <row r="278" spans="3:8" x14ac:dyDescent="0.15">
      <c r="C278">
        <f t="shared" si="24"/>
        <v>23</v>
      </c>
      <c r="D278">
        <f t="shared" si="25"/>
        <v>1</v>
      </c>
      <c r="E278" s="94">
        <f t="shared" si="29"/>
        <v>2500000</v>
      </c>
      <c r="F278" s="91">
        <f t="shared" si="26"/>
        <v>212500</v>
      </c>
      <c r="G278" s="91">
        <f t="shared" si="28"/>
        <v>74959780.642544821</v>
      </c>
      <c r="H278" s="96">
        <f t="shared" si="27"/>
        <v>1907.829393398189</v>
      </c>
    </row>
    <row r="279" spans="3:8" x14ac:dyDescent="0.15">
      <c r="C279">
        <f t="shared" si="24"/>
        <v>23</v>
      </c>
      <c r="D279">
        <f t="shared" si="25"/>
        <v>2</v>
      </c>
      <c r="E279" s="94">
        <f t="shared" si="29"/>
        <v>2500000</v>
      </c>
      <c r="F279" s="91">
        <f t="shared" si="26"/>
        <v>212500</v>
      </c>
      <c r="G279" s="91">
        <f t="shared" si="28"/>
        <v>75327123.232699126</v>
      </c>
      <c r="H279" s="96">
        <f t="shared" si="27"/>
        <v>1917.1787669547284</v>
      </c>
    </row>
    <row r="280" spans="3:8" x14ac:dyDescent="0.15">
      <c r="C280">
        <f t="shared" si="24"/>
        <v>23</v>
      </c>
      <c r="D280">
        <f t="shared" si="25"/>
        <v>3</v>
      </c>
      <c r="E280" s="94">
        <f t="shared" si="29"/>
        <v>2500000</v>
      </c>
      <c r="F280" s="91">
        <f t="shared" si="26"/>
        <v>212500</v>
      </c>
      <c r="G280" s="91">
        <f t="shared" si="28"/>
        <v>75695222.48844409</v>
      </c>
      <c r="H280" s="96">
        <f t="shared" si="27"/>
        <v>1926.5473986900201</v>
      </c>
    </row>
    <row r="281" spans="3:8" x14ac:dyDescent="0.15">
      <c r="C281">
        <f t="shared" si="24"/>
        <v>23</v>
      </c>
      <c r="D281">
        <f t="shared" si="25"/>
        <v>4</v>
      </c>
      <c r="E281" s="94">
        <f t="shared" si="29"/>
        <v>2500000</v>
      </c>
      <c r="F281" s="91">
        <f t="shared" si="26"/>
        <v>212500</v>
      </c>
      <c r="G281" s="91">
        <f t="shared" si="28"/>
        <v>76064079.968386948</v>
      </c>
      <c r="H281" s="96">
        <f t="shared" si="27"/>
        <v>1935.9353282727591</v>
      </c>
    </row>
    <row r="282" spans="3:8" x14ac:dyDescent="0.15">
      <c r="C282">
        <f t="shared" si="24"/>
        <v>23</v>
      </c>
      <c r="D282">
        <f t="shared" si="25"/>
        <v>5</v>
      </c>
      <c r="E282" s="94">
        <f t="shared" si="29"/>
        <v>2500000</v>
      </c>
      <c r="F282" s="91">
        <f t="shared" si="26"/>
        <v>212500</v>
      </c>
      <c r="G282" s="91">
        <f t="shared" si="28"/>
        <v>76433697.234345391</v>
      </c>
      <c r="H282" s="96">
        <f t="shared" si="27"/>
        <v>1945.3425954533511</v>
      </c>
    </row>
    <row r="283" spans="3:8" x14ac:dyDescent="0.15">
      <c r="C283">
        <f t="shared" si="24"/>
        <v>23</v>
      </c>
      <c r="D283">
        <f t="shared" si="25"/>
        <v>6</v>
      </c>
      <c r="E283" s="94">
        <f t="shared" si="29"/>
        <v>2500000</v>
      </c>
      <c r="F283" s="91">
        <f t="shared" si="26"/>
        <v>212500</v>
      </c>
      <c r="G283" s="91">
        <f t="shared" si="28"/>
        <v>76804075.851354212</v>
      </c>
      <c r="H283" s="96">
        <f t="shared" si="27"/>
        <v>1954.7692400640817</v>
      </c>
    </row>
    <row r="284" spans="3:8" x14ac:dyDescent="0.15">
      <c r="C284">
        <f t="shared" si="24"/>
        <v>23</v>
      </c>
      <c r="D284">
        <f t="shared" si="25"/>
        <v>7</v>
      </c>
      <c r="E284" s="94">
        <f t="shared" si="29"/>
        <v>2500000</v>
      </c>
      <c r="F284" s="91">
        <f t="shared" si="26"/>
        <v>212500</v>
      </c>
      <c r="G284" s="91">
        <f t="shared" si="28"/>
        <v>77175217.387671933</v>
      </c>
      <c r="H284" s="96">
        <f t="shared" si="27"/>
        <v>1964.2153020192848</v>
      </c>
    </row>
    <row r="285" spans="3:8" x14ac:dyDescent="0.15">
      <c r="C285">
        <f t="shared" si="24"/>
        <v>23</v>
      </c>
      <c r="D285">
        <f t="shared" si="25"/>
        <v>8</v>
      </c>
      <c r="E285" s="94">
        <f t="shared" si="29"/>
        <v>2500000</v>
      </c>
      <c r="F285" s="91">
        <f t="shared" si="26"/>
        <v>212500</v>
      </c>
      <c r="G285" s="91">
        <f t="shared" si="28"/>
        <v>77547123.414787397</v>
      </c>
      <c r="H285" s="96">
        <f t="shared" si="27"/>
        <v>1973.6808213155102</v>
      </c>
    </row>
    <row r="286" spans="3:8" x14ac:dyDescent="0.15">
      <c r="C286">
        <f t="shared" si="24"/>
        <v>23</v>
      </c>
      <c r="D286">
        <f t="shared" si="25"/>
        <v>9</v>
      </c>
      <c r="E286" s="94">
        <f t="shared" si="29"/>
        <v>2500000</v>
      </c>
      <c r="F286" s="91">
        <f t="shared" si="26"/>
        <v>212500</v>
      </c>
      <c r="G286" s="91">
        <f t="shared" si="28"/>
        <v>77919795.507426485</v>
      </c>
      <c r="H286" s="96">
        <f t="shared" si="27"/>
        <v>1983.1658380316946</v>
      </c>
    </row>
    <row r="287" spans="3:8" x14ac:dyDescent="0.15">
      <c r="C287">
        <f t="shared" si="24"/>
        <v>23</v>
      </c>
      <c r="D287">
        <f t="shared" si="25"/>
        <v>10</v>
      </c>
      <c r="E287" s="94">
        <f t="shared" si="29"/>
        <v>2500000</v>
      </c>
      <c r="F287" s="91">
        <f t="shared" si="26"/>
        <v>212500</v>
      </c>
      <c r="G287" s="91">
        <f t="shared" si="28"/>
        <v>78293235.24355875</v>
      </c>
      <c r="H287" s="96">
        <f t="shared" si="27"/>
        <v>1992.6703923293312</v>
      </c>
    </row>
    <row r="288" spans="3:8" x14ac:dyDescent="0.15">
      <c r="C288">
        <f t="shared" si="24"/>
        <v>23</v>
      </c>
      <c r="D288">
        <f t="shared" si="25"/>
        <v>11</v>
      </c>
      <c r="E288" s="94">
        <f t="shared" si="29"/>
        <v>2500000</v>
      </c>
      <c r="F288" s="91">
        <f t="shared" si="26"/>
        <v>212500</v>
      </c>
      <c r="G288" s="91">
        <f t="shared" si="28"/>
        <v>78667444.204404101</v>
      </c>
      <c r="H288" s="96">
        <f t="shared" si="27"/>
        <v>2002.1945244526389</v>
      </c>
    </row>
    <row r="289" spans="3:8" x14ac:dyDescent="0.15">
      <c r="C289">
        <f t="shared" ref="C289:C352" si="30">IF(MOD(D288,12)=0,C288+1,C288)</f>
        <v>23</v>
      </c>
      <c r="D289">
        <f t="shared" ref="D289:D352" si="31">IF(MOD(D288,12)=0,1,D288+1)</f>
        <v>12</v>
      </c>
      <c r="E289" s="94">
        <f t="shared" si="29"/>
        <v>2500000</v>
      </c>
      <c r="F289" s="91">
        <f t="shared" si="26"/>
        <v>212500</v>
      </c>
      <c r="G289" s="91">
        <f t="shared" si="28"/>
        <v>79042423.974439502</v>
      </c>
      <c r="H289" s="96">
        <f t="shared" si="27"/>
        <v>2011.7382747287329</v>
      </c>
    </row>
    <row r="290" spans="3:8" x14ac:dyDescent="0.15">
      <c r="C290">
        <f t="shared" si="30"/>
        <v>24</v>
      </c>
      <c r="D290">
        <f t="shared" si="31"/>
        <v>1</v>
      </c>
      <c r="E290" s="94">
        <f t="shared" si="29"/>
        <v>2500000</v>
      </c>
      <c r="F290" s="91">
        <f t="shared" si="26"/>
        <v>212500</v>
      </c>
      <c r="G290" s="91">
        <f t="shared" si="28"/>
        <v>79418176.141405687</v>
      </c>
      <c r="H290" s="96">
        <f t="shared" si="27"/>
        <v>2021.3016835677961</v>
      </c>
    </row>
    <row r="291" spans="3:8" x14ac:dyDescent="0.15">
      <c r="C291">
        <f t="shared" si="30"/>
        <v>24</v>
      </c>
      <c r="D291">
        <f t="shared" si="31"/>
        <v>2</v>
      </c>
      <c r="E291" s="94">
        <f t="shared" si="29"/>
        <v>2500000</v>
      </c>
      <c r="F291" s="91">
        <f t="shared" si="26"/>
        <v>212500</v>
      </c>
      <c r="G291" s="91">
        <f t="shared" si="28"/>
        <v>79794702.296313852</v>
      </c>
      <c r="H291" s="96">
        <f t="shared" si="27"/>
        <v>2030.884791463249</v>
      </c>
    </row>
    <row r="292" spans="3:8" x14ac:dyDescent="0.15">
      <c r="C292">
        <f t="shared" si="30"/>
        <v>24</v>
      </c>
      <c r="D292">
        <f t="shared" si="31"/>
        <v>3</v>
      </c>
      <c r="E292" s="94">
        <f t="shared" si="29"/>
        <v>2500000</v>
      </c>
      <c r="F292" s="91">
        <f t="shared" si="26"/>
        <v>212500</v>
      </c>
      <c r="G292" s="91">
        <f t="shared" si="28"/>
        <v>80172004.033452451</v>
      </c>
      <c r="H292" s="96">
        <f t="shared" si="27"/>
        <v>2040.4876389919232</v>
      </c>
    </row>
    <row r="293" spans="3:8" x14ac:dyDescent="0.15">
      <c r="C293">
        <f t="shared" si="30"/>
        <v>24</v>
      </c>
      <c r="D293">
        <f t="shared" si="31"/>
        <v>4</v>
      </c>
      <c r="E293" s="94">
        <f t="shared" si="29"/>
        <v>2500000</v>
      </c>
      <c r="F293" s="91">
        <f t="shared" si="26"/>
        <v>212500</v>
      </c>
      <c r="G293" s="91">
        <f t="shared" si="28"/>
        <v>80550082.95039387</v>
      </c>
      <c r="H293" s="96">
        <f t="shared" si="27"/>
        <v>2050.1102668142303</v>
      </c>
    </row>
    <row r="294" spans="3:8" x14ac:dyDescent="0.15">
      <c r="C294">
        <f t="shared" si="30"/>
        <v>24</v>
      </c>
      <c r="D294">
        <f t="shared" si="31"/>
        <v>5</v>
      </c>
      <c r="E294" s="94">
        <f t="shared" si="29"/>
        <v>2500000</v>
      </c>
      <c r="F294" s="91">
        <f t="shared" si="26"/>
        <v>212500</v>
      </c>
      <c r="G294" s="91">
        <f t="shared" si="28"/>
        <v>80928940.648001269</v>
      </c>
      <c r="H294" s="96">
        <f t="shared" si="27"/>
        <v>2059.7527156743372</v>
      </c>
    </row>
    <row r="295" spans="3:8" x14ac:dyDescent="0.15">
      <c r="C295">
        <f t="shared" si="30"/>
        <v>24</v>
      </c>
      <c r="D295">
        <f t="shared" si="31"/>
        <v>6</v>
      </c>
      <c r="E295" s="94">
        <f t="shared" si="29"/>
        <v>2500000</v>
      </c>
      <c r="F295" s="91">
        <f t="shared" si="26"/>
        <v>212500</v>
      </c>
      <c r="G295" s="91">
        <f t="shared" si="28"/>
        <v>81308578.730435312</v>
      </c>
      <c r="H295" s="96">
        <f t="shared" si="27"/>
        <v>2069.415026400336</v>
      </c>
    </row>
    <row r="296" spans="3:8" x14ac:dyDescent="0.15">
      <c r="C296">
        <f t="shared" si="30"/>
        <v>24</v>
      </c>
      <c r="D296">
        <f t="shared" si="31"/>
        <v>7</v>
      </c>
      <c r="E296" s="94">
        <f t="shared" si="29"/>
        <v>2500000</v>
      </c>
      <c r="F296" s="91">
        <f t="shared" si="26"/>
        <v>212500</v>
      </c>
      <c r="G296" s="91">
        <f t="shared" si="28"/>
        <v>81688998.805160969</v>
      </c>
      <c r="H296" s="96">
        <f t="shared" si="27"/>
        <v>2079.097239904419</v>
      </c>
    </row>
    <row r="297" spans="3:8" x14ac:dyDescent="0.15">
      <c r="C297">
        <f t="shared" si="30"/>
        <v>24</v>
      </c>
      <c r="D297">
        <f t="shared" si="31"/>
        <v>8</v>
      </c>
      <c r="E297" s="94">
        <f t="shared" si="29"/>
        <v>2500000</v>
      </c>
      <c r="F297" s="91">
        <f t="shared" si="26"/>
        <v>212500</v>
      </c>
      <c r="G297" s="91">
        <f t="shared" si="28"/>
        <v>82070202.482954323</v>
      </c>
      <c r="H297" s="96">
        <f t="shared" si="27"/>
        <v>2088.7993971830501</v>
      </c>
    </row>
    <row r="298" spans="3:8" x14ac:dyDescent="0.15">
      <c r="C298">
        <f t="shared" si="30"/>
        <v>24</v>
      </c>
      <c r="D298">
        <f t="shared" si="31"/>
        <v>9</v>
      </c>
      <c r="E298" s="94">
        <f t="shared" si="29"/>
        <v>2500000</v>
      </c>
      <c r="F298" s="91">
        <f t="shared" si="26"/>
        <v>212500</v>
      </c>
      <c r="G298" s="91">
        <f t="shared" si="28"/>
        <v>82452191.377909392</v>
      </c>
      <c r="H298" s="96">
        <f t="shared" si="27"/>
        <v>2098.5215393171393</v>
      </c>
    </row>
    <row r="299" spans="3:8" x14ac:dyDescent="0.15">
      <c r="C299">
        <f t="shared" si="30"/>
        <v>24</v>
      </c>
      <c r="D299">
        <f t="shared" si="31"/>
        <v>10</v>
      </c>
      <c r="E299" s="94">
        <f t="shared" si="29"/>
        <v>2500000</v>
      </c>
      <c r="F299" s="91">
        <f t="shared" si="26"/>
        <v>212500</v>
      </c>
      <c r="G299" s="91">
        <f t="shared" si="28"/>
        <v>82834967.107444972</v>
      </c>
      <c r="H299" s="96">
        <f t="shared" si="27"/>
        <v>2108.263707472217</v>
      </c>
    </row>
    <row r="300" spans="3:8" x14ac:dyDescent="0.15">
      <c r="C300">
        <f t="shared" si="30"/>
        <v>24</v>
      </c>
      <c r="D300">
        <f t="shared" si="31"/>
        <v>11</v>
      </c>
      <c r="E300" s="94">
        <f t="shared" si="29"/>
        <v>2500000</v>
      </c>
      <c r="F300" s="91">
        <f t="shared" si="26"/>
        <v>212500</v>
      </c>
      <c r="G300" s="91">
        <f t="shared" si="28"/>
        <v>83218531.29231146</v>
      </c>
      <c r="H300" s="96">
        <f t="shared" si="27"/>
        <v>2118.0259428986074</v>
      </c>
    </row>
    <row r="301" spans="3:8" x14ac:dyDescent="0.15">
      <c r="C301">
        <f t="shared" si="30"/>
        <v>24</v>
      </c>
      <c r="D301">
        <f t="shared" si="31"/>
        <v>12</v>
      </c>
      <c r="E301" s="94">
        <f t="shared" si="29"/>
        <v>2500000</v>
      </c>
      <c r="F301" s="91">
        <f t="shared" si="26"/>
        <v>212500</v>
      </c>
      <c r="G301" s="91">
        <f t="shared" si="28"/>
        <v>83602885.556597754</v>
      </c>
      <c r="H301" s="96">
        <f t="shared" si="27"/>
        <v>2127.808286931604</v>
      </c>
    </row>
    <row r="302" spans="3:8" x14ac:dyDescent="0.15">
      <c r="C302">
        <f t="shared" si="30"/>
        <v>25</v>
      </c>
      <c r="D302">
        <f t="shared" si="31"/>
        <v>1</v>
      </c>
      <c r="E302" s="94">
        <f t="shared" si="29"/>
        <v>2500000</v>
      </c>
      <c r="F302" s="91">
        <f t="shared" si="26"/>
        <v>212500</v>
      </c>
      <c r="G302" s="91">
        <f t="shared" si="28"/>
        <v>83988031.527738094</v>
      </c>
      <c r="H302" s="96">
        <f t="shared" si="27"/>
        <v>2137.6107809916439</v>
      </c>
    </row>
    <row r="303" spans="3:8" x14ac:dyDescent="0.15">
      <c r="C303">
        <f t="shared" si="30"/>
        <v>25</v>
      </c>
      <c r="D303">
        <f t="shared" si="31"/>
        <v>2</v>
      </c>
      <c r="E303" s="94">
        <f t="shared" si="29"/>
        <v>2500000</v>
      </c>
      <c r="F303" s="91">
        <f t="shared" si="26"/>
        <v>212500</v>
      </c>
      <c r="G303" s="91">
        <f t="shared" si="28"/>
        <v>84373970.836518973</v>
      </c>
      <c r="H303" s="96">
        <f t="shared" si="27"/>
        <v>2147.4334665844835</v>
      </c>
    </row>
    <row r="304" spans="3:8" x14ac:dyDescent="0.15">
      <c r="C304">
        <f t="shared" si="30"/>
        <v>25</v>
      </c>
      <c r="D304">
        <f t="shared" si="31"/>
        <v>3</v>
      </c>
      <c r="E304" s="94">
        <f t="shared" si="29"/>
        <v>2500000</v>
      </c>
      <c r="F304" s="91">
        <f t="shared" si="26"/>
        <v>212500</v>
      </c>
      <c r="G304" s="91">
        <f t="shared" si="28"/>
        <v>84760705.117086023</v>
      </c>
      <c r="H304" s="96">
        <f t="shared" si="27"/>
        <v>2157.2763853013739</v>
      </c>
    </row>
    <row r="305" spans="3:8" x14ac:dyDescent="0.15">
      <c r="C305">
        <f t="shared" si="30"/>
        <v>25</v>
      </c>
      <c r="D305">
        <f t="shared" si="31"/>
        <v>4</v>
      </c>
      <c r="E305" s="94">
        <f t="shared" si="29"/>
        <v>2500000</v>
      </c>
      <c r="F305" s="91">
        <f t="shared" si="26"/>
        <v>212500</v>
      </c>
      <c r="G305" s="91">
        <f t="shared" si="28"/>
        <v>85148236.006950989</v>
      </c>
      <c r="H305" s="96">
        <f t="shared" si="27"/>
        <v>2167.1395788192394</v>
      </c>
    </row>
    <row r="306" spans="3:8" x14ac:dyDescent="0.15">
      <c r="C306">
        <f t="shared" si="30"/>
        <v>25</v>
      </c>
      <c r="D306">
        <f t="shared" si="31"/>
        <v>5</v>
      </c>
      <c r="E306" s="94">
        <f t="shared" si="29"/>
        <v>2500000</v>
      </c>
      <c r="F306" s="91">
        <f t="shared" si="26"/>
        <v>212500</v>
      </c>
      <c r="G306" s="91">
        <f t="shared" si="28"/>
        <v>85536565.146998584</v>
      </c>
      <c r="H306" s="96">
        <f t="shared" si="27"/>
        <v>2177.023088900849</v>
      </c>
    </row>
    <row r="307" spans="3:8" x14ac:dyDescent="0.15">
      <c r="C307">
        <f t="shared" si="30"/>
        <v>25</v>
      </c>
      <c r="D307">
        <f t="shared" si="31"/>
        <v>6</v>
      </c>
      <c r="E307" s="94">
        <f t="shared" si="29"/>
        <v>2500000</v>
      </c>
      <c r="F307" s="91">
        <f t="shared" si="26"/>
        <v>212500</v>
      </c>
      <c r="G307" s="91">
        <f t="shared" si="28"/>
        <v>85925694.181493476</v>
      </c>
      <c r="H307" s="96">
        <f t="shared" si="27"/>
        <v>2186.9269573949978</v>
      </c>
    </row>
    <row r="308" spans="3:8" x14ac:dyDescent="0.15">
      <c r="C308">
        <f t="shared" si="30"/>
        <v>25</v>
      </c>
      <c r="D308">
        <f t="shared" si="31"/>
        <v>7</v>
      </c>
      <c r="E308" s="94">
        <f t="shared" si="29"/>
        <v>2500000</v>
      </c>
      <c r="F308" s="91">
        <f t="shared" si="26"/>
        <v>212500</v>
      </c>
      <c r="G308" s="91">
        <f t="shared" si="28"/>
        <v>86315624.758087277</v>
      </c>
      <c r="H308" s="96">
        <f t="shared" si="27"/>
        <v>2196.851226236683</v>
      </c>
    </row>
    <row r="309" spans="3:8" x14ac:dyDescent="0.15">
      <c r="C309">
        <f t="shared" si="30"/>
        <v>25</v>
      </c>
      <c r="D309">
        <f t="shared" si="31"/>
        <v>8</v>
      </c>
      <c r="E309" s="94">
        <f t="shared" si="29"/>
        <v>2500000</v>
      </c>
      <c r="F309" s="91">
        <f t="shared" si="26"/>
        <v>212500</v>
      </c>
      <c r="G309" s="91">
        <f t="shared" si="28"/>
        <v>86706358.52782546</v>
      </c>
      <c r="H309" s="96">
        <f t="shared" si="27"/>
        <v>2206.7959374472798</v>
      </c>
    </row>
    <row r="310" spans="3:8" x14ac:dyDescent="0.15">
      <c r="C310">
        <f t="shared" si="30"/>
        <v>25</v>
      </c>
      <c r="D310">
        <f t="shared" si="31"/>
        <v>9</v>
      </c>
      <c r="E310" s="94">
        <f t="shared" si="29"/>
        <v>2500000</v>
      </c>
      <c r="F310" s="91">
        <f t="shared" si="26"/>
        <v>212500</v>
      </c>
      <c r="G310" s="91">
        <f t="shared" si="28"/>
        <v>87097897.145154402</v>
      </c>
      <c r="H310" s="96">
        <f t="shared" si="27"/>
        <v>2216.7611331347211</v>
      </c>
    </row>
    <row r="311" spans="3:8" x14ac:dyDescent="0.15">
      <c r="C311">
        <f t="shared" si="30"/>
        <v>25</v>
      </c>
      <c r="D311">
        <f t="shared" si="31"/>
        <v>10</v>
      </c>
      <c r="E311" s="94">
        <f t="shared" si="29"/>
        <v>2500000</v>
      </c>
      <c r="F311" s="91">
        <f t="shared" si="26"/>
        <v>212500</v>
      </c>
      <c r="G311" s="91">
        <f t="shared" si="28"/>
        <v>87490242.267928362</v>
      </c>
      <c r="H311" s="96">
        <f t="shared" si="27"/>
        <v>2226.7468554936754</v>
      </c>
    </row>
    <row r="312" spans="3:8" x14ac:dyDescent="0.15">
      <c r="C312">
        <f t="shared" si="30"/>
        <v>25</v>
      </c>
      <c r="D312">
        <f t="shared" si="31"/>
        <v>11</v>
      </c>
      <c r="E312" s="94">
        <f t="shared" si="29"/>
        <v>2500000</v>
      </c>
      <c r="F312" s="91">
        <f t="shared" si="26"/>
        <v>212500</v>
      </c>
      <c r="G312" s="91">
        <f t="shared" si="28"/>
        <v>87883395.557416514</v>
      </c>
      <c r="H312" s="96">
        <f t="shared" si="27"/>
        <v>2236.7531468057255</v>
      </c>
    </row>
    <row r="313" spans="3:8" x14ac:dyDescent="0.15">
      <c r="C313">
        <f t="shared" si="30"/>
        <v>25</v>
      </c>
      <c r="D313">
        <f t="shared" si="31"/>
        <v>12</v>
      </c>
      <c r="E313" s="94">
        <f t="shared" si="29"/>
        <v>2500000</v>
      </c>
      <c r="F313" s="91">
        <f t="shared" si="26"/>
        <v>212500</v>
      </c>
      <c r="G313" s="91">
        <f t="shared" si="28"/>
        <v>88277358.678309962</v>
      </c>
      <c r="H313" s="96">
        <f t="shared" si="27"/>
        <v>2246.7800494395469</v>
      </c>
    </row>
    <row r="314" spans="3:8" x14ac:dyDescent="0.15">
      <c r="C314">
        <f t="shared" si="30"/>
        <v>26</v>
      </c>
      <c r="D314">
        <f t="shared" si="31"/>
        <v>1</v>
      </c>
      <c r="E314" s="94">
        <f t="shared" si="29"/>
        <v>2500000</v>
      </c>
      <c r="F314" s="91">
        <f t="shared" si="26"/>
        <v>212500</v>
      </c>
      <c r="G314" s="91">
        <f t="shared" si="28"/>
        <v>88672133.298728809</v>
      </c>
      <c r="H314" s="96">
        <f t="shared" si="27"/>
        <v>2256.8276058510878</v>
      </c>
    </row>
    <row r="315" spans="3:8" x14ac:dyDescent="0.15">
      <c r="C315">
        <f t="shared" si="30"/>
        <v>26</v>
      </c>
      <c r="D315">
        <f t="shared" si="31"/>
        <v>2</v>
      </c>
      <c r="E315" s="94">
        <f t="shared" si="29"/>
        <v>2500000</v>
      </c>
      <c r="F315" s="91">
        <f t="shared" si="26"/>
        <v>212500</v>
      </c>
      <c r="G315" s="91">
        <f t="shared" si="28"/>
        <v>89067721.090229198</v>
      </c>
      <c r="H315" s="96">
        <f t="shared" si="27"/>
        <v>2266.8958585837481</v>
      </c>
    </row>
    <row r="316" spans="3:8" x14ac:dyDescent="0.15">
      <c r="C316">
        <f t="shared" si="30"/>
        <v>26</v>
      </c>
      <c r="D316">
        <f t="shared" si="31"/>
        <v>3</v>
      </c>
      <c r="E316" s="94">
        <f t="shared" si="29"/>
        <v>2500000</v>
      </c>
      <c r="F316" s="91">
        <f t="shared" si="26"/>
        <v>212500</v>
      </c>
      <c r="G316" s="91">
        <f t="shared" si="28"/>
        <v>89464123.727810428</v>
      </c>
      <c r="H316" s="96">
        <f t="shared" si="27"/>
        <v>2276.9848502685609</v>
      </c>
    </row>
    <row r="317" spans="3:8" x14ac:dyDescent="0.15">
      <c r="C317">
        <f t="shared" si="30"/>
        <v>26</v>
      </c>
      <c r="D317">
        <f t="shared" si="31"/>
        <v>4</v>
      </c>
      <c r="E317" s="94">
        <f t="shared" si="29"/>
        <v>2500000</v>
      </c>
      <c r="F317" s="91">
        <f t="shared" si="26"/>
        <v>212500</v>
      </c>
      <c r="G317" s="91">
        <f t="shared" si="28"/>
        <v>89861342.889922008</v>
      </c>
      <c r="H317" s="96">
        <f t="shared" si="27"/>
        <v>2287.0946236243726</v>
      </c>
    </row>
    <row r="318" spans="3:8" x14ac:dyDescent="0.15">
      <c r="C318">
        <f t="shared" si="30"/>
        <v>26</v>
      </c>
      <c r="D318">
        <f t="shared" si="31"/>
        <v>5</v>
      </c>
      <c r="E318" s="94">
        <f t="shared" si="29"/>
        <v>2500000</v>
      </c>
      <c r="F318" s="91">
        <f t="shared" si="26"/>
        <v>212500</v>
      </c>
      <c r="G318" s="91">
        <f t="shared" si="28"/>
        <v>90259380.258470789</v>
      </c>
      <c r="H318" s="96">
        <f t="shared" si="27"/>
        <v>2297.2252214580221</v>
      </c>
    </row>
    <row r="319" spans="3:8" x14ac:dyDescent="0.15">
      <c r="C319">
        <f t="shared" si="30"/>
        <v>26</v>
      </c>
      <c r="D319">
        <f t="shared" si="31"/>
        <v>6</v>
      </c>
      <c r="E319" s="94">
        <f t="shared" si="29"/>
        <v>2500000</v>
      </c>
      <c r="F319" s="91">
        <f t="shared" si="26"/>
        <v>212500</v>
      </c>
      <c r="G319" s="91">
        <f t="shared" si="28"/>
        <v>90658237.518828049</v>
      </c>
      <c r="H319" s="96">
        <f t="shared" si="27"/>
        <v>2307.3766866645251</v>
      </c>
    </row>
    <row r="320" spans="3:8" x14ac:dyDescent="0.15">
      <c r="C320">
        <f t="shared" si="30"/>
        <v>26</v>
      </c>
      <c r="D320">
        <f t="shared" si="31"/>
        <v>7</v>
      </c>
      <c r="E320" s="94">
        <f t="shared" si="29"/>
        <v>2500000</v>
      </c>
      <c r="F320" s="91">
        <f t="shared" si="26"/>
        <v>212500</v>
      </c>
      <c r="G320" s="91">
        <f t="shared" si="28"/>
        <v>91057916.359836698</v>
      </c>
      <c r="H320" s="96">
        <f t="shared" si="27"/>
        <v>2317.5490622272523</v>
      </c>
    </row>
    <row r="321" spans="3:8" x14ac:dyDescent="0.15">
      <c r="C321">
        <f t="shared" si="30"/>
        <v>26</v>
      </c>
      <c r="D321">
        <f t="shared" si="31"/>
        <v>8</v>
      </c>
      <c r="E321" s="94">
        <f t="shared" si="29"/>
        <v>2500000</v>
      </c>
      <c r="F321" s="91">
        <f t="shared" si="26"/>
        <v>212500</v>
      </c>
      <c r="G321" s="91">
        <f t="shared" si="28"/>
        <v>91458418.473818332</v>
      </c>
      <c r="H321" s="96">
        <f t="shared" si="27"/>
        <v>2327.7423912181139</v>
      </c>
    </row>
    <row r="322" spans="3:8" x14ac:dyDescent="0.15">
      <c r="C322">
        <f t="shared" si="30"/>
        <v>26</v>
      </c>
      <c r="D322">
        <f t="shared" si="31"/>
        <v>9</v>
      </c>
      <c r="E322" s="94">
        <f t="shared" si="29"/>
        <v>2500000</v>
      </c>
      <c r="F322" s="91">
        <f t="shared" si="26"/>
        <v>212500</v>
      </c>
      <c r="G322" s="91">
        <f t="shared" si="28"/>
        <v>91859745.556580499</v>
      </c>
      <c r="H322" s="96">
        <f t="shared" si="27"/>
        <v>2337.9567167977411</v>
      </c>
    </row>
    <row r="323" spans="3:8" x14ac:dyDescent="0.15">
      <c r="C323">
        <f t="shared" si="30"/>
        <v>26</v>
      </c>
      <c r="D323">
        <f t="shared" si="31"/>
        <v>10</v>
      </c>
      <c r="E323" s="94">
        <f t="shared" si="29"/>
        <v>2500000</v>
      </c>
      <c r="F323" s="91">
        <f t="shared" si="26"/>
        <v>212500</v>
      </c>
      <c r="G323" s="91">
        <f t="shared" si="28"/>
        <v>92261899.307423815</v>
      </c>
      <c r="H323" s="96">
        <f t="shared" si="27"/>
        <v>2348.1920822156699</v>
      </c>
    </row>
    <row r="324" spans="3:8" x14ac:dyDescent="0.15">
      <c r="C324">
        <f t="shared" si="30"/>
        <v>26</v>
      </c>
      <c r="D324">
        <f t="shared" si="31"/>
        <v>11</v>
      </c>
      <c r="E324" s="94">
        <f t="shared" si="29"/>
        <v>2500000</v>
      </c>
      <c r="F324" s="91">
        <f t="shared" si="26"/>
        <v>212500</v>
      </c>
      <c r="G324" s="91">
        <f t="shared" si="28"/>
        <v>92664881.429149166</v>
      </c>
      <c r="H324" s="96">
        <f t="shared" si="27"/>
        <v>2358.4485308105209</v>
      </c>
    </row>
    <row r="325" spans="3:8" x14ac:dyDescent="0.15">
      <c r="C325">
        <f t="shared" si="30"/>
        <v>26</v>
      </c>
      <c r="D325">
        <f t="shared" si="31"/>
        <v>12</v>
      </c>
      <c r="E325" s="94">
        <f t="shared" si="29"/>
        <v>2500000</v>
      </c>
      <c r="F325" s="91">
        <f t="shared" si="26"/>
        <v>212500</v>
      </c>
      <c r="G325" s="91">
        <f t="shared" si="28"/>
        <v>93068693.628064945</v>
      </c>
      <c r="H325" s="96">
        <f t="shared" si="27"/>
        <v>2368.7261060101878</v>
      </c>
    </row>
    <row r="326" spans="3:8" x14ac:dyDescent="0.15">
      <c r="C326">
        <f t="shared" si="30"/>
        <v>27</v>
      </c>
      <c r="D326">
        <f t="shared" si="31"/>
        <v>1</v>
      </c>
      <c r="E326" s="94">
        <f t="shared" si="29"/>
        <v>2500000</v>
      </c>
      <c r="F326" s="91">
        <f t="shared" si="26"/>
        <v>212500</v>
      </c>
      <c r="G326" s="91">
        <f t="shared" si="28"/>
        <v>93473337.613994256</v>
      </c>
      <c r="H326" s="96">
        <f t="shared" si="27"/>
        <v>2379.0248513320166</v>
      </c>
    </row>
    <row r="327" spans="3:8" x14ac:dyDescent="0.15">
      <c r="C327">
        <f t="shared" si="30"/>
        <v>27</v>
      </c>
      <c r="D327">
        <f t="shared" si="31"/>
        <v>2</v>
      </c>
      <c r="E327" s="94">
        <f t="shared" si="29"/>
        <v>2500000</v>
      </c>
      <c r="F327" s="91">
        <f t="shared" si="26"/>
        <v>212500</v>
      </c>
      <c r="G327" s="91">
        <f t="shared" si="28"/>
        <v>93878815.100282162</v>
      </c>
      <c r="H327" s="96">
        <f t="shared" si="27"/>
        <v>2389.3448103829937</v>
      </c>
    </row>
    <row r="328" spans="3:8" x14ac:dyDescent="0.15">
      <c r="C328">
        <f t="shared" si="30"/>
        <v>27</v>
      </c>
      <c r="D328">
        <f t="shared" si="31"/>
        <v>3</v>
      </c>
      <c r="E328" s="94">
        <f t="shared" si="29"/>
        <v>2500000</v>
      </c>
      <c r="F328" s="91">
        <f t="shared" si="26"/>
        <v>212500</v>
      </c>
      <c r="G328" s="91">
        <f t="shared" si="28"/>
        <v>94285127.803802922</v>
      </c>
      <c r="H328" s="96">
        <f t="shared" si="27"/>
        <v>2399.6860268599271</v>
      </c>
    </row>
    <row r="329" spans="3:8" x14ac:dyDescent="0.15">
      <c r="C329">
        <f t="shared" si="30"/>
        <v>27</v>
      </c>
      <c r="D329">
        <f t="shared" si="31"/>
        <v>4</v>
      </c>
      <c r="E329" s="94">
        <f t="shared" si="29"/>
        <v>2500000</v>
      </c>
      <c r="F329" s="91">
        <f t="shared" si="26"/>
        <v>212500</v>
      </c>
      <c r="G329" s="91">
        <f t="shared" si="28"/>
        <v>94692277.4449673</v>
      </c>
      <c r="H329" s="96">
        <f t="shared" si="27"/>
        <v>2410.0485445496342</v>
      </c>
    </row>
    <row r="330" spans="3:8" x14ac:dyDescent="0.15">
      <c r="C330">
        <f t="shared" si="30"/>
        <v>27</v>
      </c>
      <c r="D330">
        <f t="shared" si="31"/>
        <v>5</v>
      </c>
      <c r="E330" s="94">
        <f t="shared" si="29"/>
        <v>2500000</v>
      </c>
      <c r="F330" s="91">
        <f t="shared" si="26"/>
        <v>212500</v>
      </c>
      <c r="G330" s="91">
        <f t="shared" si="28"/>
        <v>95100265.747729793</v>
      </c>
      <c r="H330" s="96">
        <f t="shared" si="27"/>
        <v>2420.432407329125</v>
      </c>
    </row>
    <row r="331" spans="3:8" x14ac:dyDescent="0.15">
      <c r="C331">
        <f t="shared" si="30"/>
        <v>27</v>
      </c>
      <c r="D331">
        <f t="shared" si="31"/>
        <v>6</v>
      </c>
      <c r="E331" s="94">
        <f t="shared" si="29"/>
        <v>2500000</v>
      </c>
      <c r="F331" s="91">
        <f t="shared" si="26"/>
        <v>212500</v>
      </c>
      <c r="G331" s="91">
        <f t="shared" si="28"/>
        <v>95509094.439595997</v>
      </c>
      <c r="H331" s="96">
        <f t="shared" si="27"/>
        <v>2430.8376591657902</v>
      </c>
    </row>
    <row r="332" spans="3:8" x14ac:dyDescent="0.15">
      <c r="C332">
        <f t="shared" si="30"/>
        <v>27</v>
      </c>
      <c r="D332">
        <f t="shared" si="31"/>
        <v>7</v>
      </c>
      <c r="E332" s="94">
        <f t="shared" si="29"/>
        <v>2500000</v>
      </c>
      <c r="F332" s="91">
        <f t="shared" si="26"/>
        <v>212500</v>
      </c>
      <c r="G332" s="91">
        <f t="shared" si="28"/>
        <v>95918765.251629859</v>
      </c>
      <c r="H332" s="96">
        <f t="shared" si="27"/>
        <v>2441.264344117586</v>
      </c>
    </row>
    <row r="333" spans="3:8" x14ac:dyDescent="0.15">
      <c r="C333">
        <f t="shared" si="30"/>
        <v>27</v>
      </c>
      <c r="D333">
        <f t="shared" si="31"/>
        <v>8</v>
      </c>
      <c r="E333" s="94">
        <f t="shared" si="29"/>
        <v>2500000</v>
      </c>
      <c r="F333" s="91">
        <f t="shared" si="26"/>
        <v>212500</v>
      </c>
      <c r="G333" s="91">
        <f t="shared" si="28"/>
        <v>96329279.91846104</v>
      </c>
      <c r="H333" s="96">
        <f t="shared" si="27"/>
        <v>2451.7125063332192</v>
      </c>
    </row>
    <row r="334" spans="3:8" x14ac:dyDescent="0.15">
      <c r="C334">
        <f t="shared" si="30"/>
        <v>27</v>
      </c>
      <c r="D334">
        <f t="shared" si="31"/>
        <v>9</v>
      </c>
      <c r="E334" s="94">
        <f t="shared" si="29"/>
        <v>2500000</v>
      </c>
      <c r="F334" s="91">
        <f t="shared" si="26"/>
        <v>212500</v>
      </c>
      <c r="G334" s="91">
        <f t="shared" si="28"/>
        <v>96740640.17829226</v>
      </c>
      <c r="H334" s="96">
        <f t="shared" si="27"/>
        <v>2462.1821900523373</v>
      </c>
    </row>
    <row r="335" spans="3:8" x14ac:dyDescent="0.15">
      <c r="C335">
        <f t="shared" si="30"/>
        <v>27</v>
      </c>
      <c r="D335">
        <f t="shared" si="31"/>
        <v>10</v>
      </c>
      <c r="E335" s="94">
        <f t="shared" si="29"/>
        <v>2500000</v>
      </c>
      <c r="F335" s="91">
        <f t="shared" ref="F335:F398" si="32">IF(E335/$D$3&lt;$D$2*(1+$D$11)^(C335-1),0.1*E335,0.1*$D$2*$D$3*(1+$D$11)^(C335-1))*(1-$D$9)</f>
        <v>212500</v>
      </c>
      <c r="G335" s="91">
        <f t="shared" si="28"/>
        <v>97152847.772906646</v>
      </c>
      <c r="H335" s="96">
        <f t="shared" ref="H335:H398" si="33">G335/$D$3</f>
        <v>2472.6734396057136</v>
      </c>
    </row>
    <row r="336" spans="3:8" x14ac:dyDescent="0.15">
      <c r="C336">
        <f t="shared" si="30"/>
        <v>27</v>
      </c>
      <c r="D336">
        <f t="shared" si="31"/>
        <v>11</v>
      </c>
      <c r="E336" s="94">
        <f t="shared" si="29"/>
        <v>2500000</v>
      </c>
      <c r="F336" s="91">
        <f t="shared" si="32"/>
        <v>212500</v>
      </c>
      <c r="G336" s="91">
        <f t="shared" ref="G336:G399" si="34">(F336+G335)*(1+$D$5)</f>
        <v>97565904.447675139</v>
      </c>
      <c r="H336" s="96">
        <f t="shared" si="33"/>
        <v>2483.1862994154362</v>
      </c>
    </row>
    <row r="337" spans="3:8" x14ac:dyDescent="0.15">
      <c r="C337">
        <f t="shared" si="30"/>
        <v>27</v>
      </c>
      <c r="D337">
        <f t="shared" si="31"/>
        <v>12</v>
      </c>
      <c r="E337" s="94">
        <f t="shared" ref="E337:E400" si="35">E336</f>
        <v>2500000</v>
      </c>
      <c r="F337" s="91">
        <f t="shared" si="32"/>
        <v>212500</v>
      </c>
      <c r="G337" s="91">
        <f t="shared" si="34"/>
        <v>97979811.951563805</v>
      </c>
      <c r="H337" s="96">
        <f t="shared" si="33"/>
        <v>2493.7208139950944</v>
      </c>
    </row>
    <row r="338" spans="3:8" x14ac:dyDescent="0.15">
      <c r="C338">
        <f t="shared" si="30"/>
        <v>28</v>
      </c>
      <c r="D338">
        <f t="shared" si="31"/>
        <v>1</v>
      </c>
      <c r="E338" s="94">
        <f t="shared" si="35"/>
        <v>2500000</v>
      </c>
      <c r="F338" s="91">
        <f t="shared" si="32"/>
        <v>212500</v>
      </c>
      <c r="G338" s="91">
        <f t="shared" si="34"/>
        <v>98394572.037141353</v>
      </c>
      <c r="H338" s="96">
        <f t="shared" si="33"/>
        <v>2504.2770279499696</v>
      </c>
    </row>
    <row r="339" spans="3:8" x14ac:dyDescent="0.15">
      <c r="C339">
        <f t="shared" si="30"/>
        <v>28</v>
      </c>
      <c r="D339">
        <f t="shared" si="31"/>
        <v>2</v>
      </c>
      <c r="E339" s="94">
        <f t="shared" si="35"/>
        <v>2500000</v>
      </c>
      <c r="F339" s="91">
        <f t="shared" si="32"/>
        <v>212500</v>
      </c>
      <c r="G339" s="91">
        <f t="shared" si="34"/>
        <v>98810186.460586458</v>
      </c>
      <c r="H339" s="96">
        <f t="shared" si="33"/>
        <v>2514.8549859772211</v>
      </c>
    </row>
    <row r="340" spans="3:8" x14ac:dyDescent="0.15">
      <c r="C340">
        <f t="shared" si="30"/>
        <v>28</v>
      </c>
      <c r="D340">
        <f t="shared" si="31"/>
        <v>3</v>
      </c>
      <c r="E340" s="94">
        <f t="shared" si="35"/>
        <v>2500000</v>
      </c>
      <c r="F340" s="91">
        <f t="shared" si="32"/>
        <v>212500</v>
      </c>
      <c r="G340" s="91">
        <f t="shared" si="34"/>
        <v>99226656.981695235</v>
      </c>
      <c r="H340" s="96">
        <f t="shared" si="33"/>
        <v>2525.4547328660774</v>
      </c>
    </row>
    <row r="341" spans="3:8" x14ac:dyDescent="0.15">
      <c r="C341">
        <f t="shared" si="30"/>
        <v>28</v>
      </c>
      <c r="D341">
        <f t="shared" si="31"/>
        <v>4</v>
      </c>
      <c r="E341" s="94">
        <f t="shared" si="35"/>
        <v>2500000</v>
      </c>
      <c r="F341" s="91">
        <f t="shared" si="32"/>
        <v>212500</v>
      </c>
      <c r="G341" s="91">
        <f t="shared" si="34"/>
        <v>99643985.363888711</v>
      </c>
      <c r="H341" s="96">
        <f t="shared" si="33"/>
        <v>2536.076313498027</v>
      </c>
    </row>
    <row r="342" spans="3:8" x14ac:dyDescent="0.15">
      <c r="C342">
        <f t="shared" si="30"/>
        <v>28</v>
      </c>
      <c r="D342">
        <f t="shared" si="31"/>
        <v>5</v>
      </c>
      <c r="E342" s="94">
        <f t="shared" si="35"/>
        <v>2500000</v>
      </c>
      <c r="F342" s="91">
        <f t="shared" si="32"/>
        <v>212500</v>
      </c>
      <c r="G342" s="91">
        <f t="shared" si="34"/>
        <v>100062173.37422027</v>
      </c>
      <c r="H342" s="96">
        <f t="shared" si="33"/>
        <v>2546.7197728470051</v>
      </c>
    </row>
    <row r="343" spans="3:8" x14ac:dyDescent="0.15">
      <c r="C343">
        <f t="shared" si="30"/>
        <v>28</v>
      </c>
      <c r="D343">
        <f t="shared" si="31"/>
        <v>6</v>
      </c>
      <c r="E343" s="94">
        <f t="shared" si="35"/>
        <v>2500000</v>
      </c>
      <c r="F343" s="91">
        <f t="shared" si="32"/>
        <v>212500</v>
      </c>
      <c r="G343" s="91">
        <f t="shared" si="34"/>
        <v>100481222.78338312</v>
      </c>
      <c r="H343" s="96">
        <f t="shared" si="33"/>
        <v>2557.3851559795867</v>
      </c>
    </row>
    <row r="344" spans="3:8" x14ac:dyDescent="0.15">
      <c r="C344">
        <f t="shared" si="30"/>
        <v>28</v>
      </c>
      <c r="D344">
        <f t="shared" si="31"/>
        <v>7</v>
      </c>
      <c r="E344" s="94">
        <f t="shared" si="35"/>
        <v>2500000</v>
      </c>
      <c r="F344" s="91">
        <f t="shared" si="32"/>
        <v>212500</v>
      </c>
      <c r="G344" s="91">
        <f t="shared" si="34"/>
        <v>100901135.36571781</v>
      </c>
      <c r="H344" s="96">
        <f t="shared" si="33"/>
        <v>2568.072508055177</v>
      </c>
    </row>
    <row r="345" spans="3:8" x14ac:dyDescent="0.15">
      <c r="C345">
        <f t="shared" si="30"/>
        <v>28</v>
      </c>
      <c r="D345">
        <f t="shared" si="31"/>
        <v>8</v>
      </c>
      <c r="E345" s="94">
        <f t="shared" si="35"/>
        <v>2500000</v>
      </c>
      <c r="F345" s="91">
        <f t="shared" si="32"/>
        <v>212500</v>
      </c>
      <c r="G345" s="91">
        <f t="shared" si="34"/>
        <v>101321912.89921977</v>
      </c>
      <c r="H345" s="96">
        <f t="shared" si="33"/>
        <v>2578.7818743262005</v>
      </c>
    </row>
    <row r="346" spans="3:8" x14ac:dyDescent="0.15">
      <c r="C346">
        <f t="shared" si="30"/>
        <v>28</v>
      </c>
      <c r="D346">
        <f t="shared" si="31"/>
        <v>9</v>
      </c>
      <c r="E346" s="94">
        <f t="shared" si="35"/>
        <v>2500000</v>
      </c>
      <c r="F346" s="91">
        <f t="shared" si="32"/>
        <v>212500</v>
      </c>
      <c r="G346" s="91">
        <f t="shared" si="34"/>
        <v>101743557.16554677</v>
      </c>
      <c r="H346" s="96">
        <f t="shared" si="33"/>
        <v>2589.5133001382969</v>
      </c>
    </row>
    <row r="347" spans="3:8" x14ac:dyDescent="0.15">
      <c r="C347">
        <f t="shared" si="30"/>
        <v>28</v>
      </c>
      <c r="D347">
        <f t="shared" si="31"/>
        <v>10</v>
      </c>
      <c r="E347" s="94">
        <f t="shared" si="35"/>
        <v>2500000</v>
      </c>
      <c r="F347" s="91">
        <f t="shared" si="32"/>
        <v>212500</v>
      </c>
      <c r="G347" s="91">
        <f t="shared" si="34"/>
        <v>102166069.95002653</v>
      </c>
      <c r="H347" s="96">
        <f t="shared" si="33"/>
        <v>2600.2668309305081</v>
      </c>
    </row>
    <row r="348" spans="3:8" x14ac:dyDescent="0.15">
      <c r="C348">
        <f t="shared" si="30"/>
        <v>28</v>
      </c>
      <c r="D348">
        <f t="shared" si="31"/>
        <v>11</v>
      </c>
      <c r="E348" s="94">
        <f t="shared" si="35"/>
        <v>2500000</v>
      </c>
      <c r="F348" s="91">
        <f t="shared" si="32"/>
        <v>212500</v>
      </c>
      <c r="G348" s="91">
        <f t="shared" si="34"/>
        <v>102589453.04166423</v>
      </c>
      <c r="H348" s="96">
        <f t="shared" si="33"/>
        <v>2611.0425122354736</v>
      </c>
    </row>
    <row r="349" spans="3:8" x14ac:dyDescent="0.15">
      <c r="C349">
        <f t="shared" si="30"/>
        <v>28</v>
      </c>
      <c r="D349">
        <f t="shared" si="31"/>
        <v>12</v>
      </c>
      <c r="E349" s="94">
        <f t="shared" si="35"/>
        <v>2500000</v>
      </c>
      <c r="F349" s="91">
        <f t="shared" si="32"/>
        <v>212500</v>
      </c>
      <c r="G349" s="91">
        <f t="shared" si="34"/>
        <v>103013708.23315012</v>
      </c>
      <c r="H349" s="96">
        <f t="shared" si="33"/>
        <v>2621.840389679624</v>
      </c>
    </row>
    <row r="350" spans="3:8" x14ac:dyDescent="0.15">
      <c r="C350">
        <f t="shared" si="30"/>
        <v>29</v>
      </c>
      <c r="D350">
        <f t="shared" si="31"/>
        <v>1</v>
      </c>
      <c r="E350" s="94">
        <f t="shared" si="35"/>
        <v>2500000</v>
      </c>
      <c r="F350" s="91">
        <f t="shared" si="32"/>
        <v>212500</v>
      </c>
      <c r="G350" s="91">
        <f t="shared" si="34"/>
        <v>103438837.32086711</v>
      </c>
      <c r="H350" s="96">
        <f t="shared" si="33"/>
        <v>2632.6605089833706</v>
      </c>
    </row>
    <row r="351" spans="3:8" x14ac:dyDescent="0.15">
      <c r="C351">
        <f t="shared" si="30"/>
        <v>29</v>
      </c>
      <c r="D351">
        <f t="shared" si="31"/>
        <v>2</v>
      </c>
      <c r="E351" s="94">
        <f t="shared" si="35"/>
        <v>2500000</v>
      </c>
      <c r="F351" s="91">
        <f t="shared" si="32"/>
        <v>212500</v>
      </c>
      <c r="G351" s="91">
        <f t="shared" si="34"/>
        <v>103864842.10489833</v>
      </c>
      <c r="H351" s="96">
        <f t="shared" si="33"/>
        <v>2643.5029159613032</v>
      </c>
    </row>
    <row r="352" spans="3:8" x14ac:dyDescent="0.15">
      <c r="C352">
        <f t="shared" si="30"/>
        <v>29</v>
      </c>
      <c r="D352">
        <f t="shared" si="31"/>
        <v>3</v>
      </c>
      <c r="E352" s="94">
        <f t="shared" si="35"/>
        <v>2500000</v>
      </c>
      <c r="F352" s="91">
        <f t="shared" si="32"/>
        <v>212500</v>
      </c>
      <c r="G352" s="91">
        <f t="shared" si="34"/>
        <v>104291724.38903484</v>
      </c>
      <c r="H352" s="96">
        <f t="shared" si="33"/>
        <v>2654.3676565223814</v>
      </c>
    </row>
    <row r="353" spans="3:8" x14ac:dyDescent="0.15">
      <c r="C353">
        <f t="shared" ref="C353:C416" si="36">IF(MOD(D352,12)=0,C352+1,C352)</f>
        <v>29</v>
      </c>
      <c r="D353">
        <f t="shared" ref="D353:D416" si="37">IF(MOD(D352,12)=0,1,D352+1)</f>
        <v>4</v>
      </c>
      <c r="E353" s="94">
        <f t="shared" si="35"/>
        <v>2500000</v>
      </c>
      <c r="F353" s="91">
        <f t="shared" si="32"/>
        <v>212500</v>
      </c>
      <c r="G353" s="91">
        <f t="shared" si="34"/>
        <v>104719485.98078315</v>
      </c>
      <c r="H353" s="96">
        <f t="shared" si="33"/>
        <v>2665.2547766701291</v>
      </c>
    </row>
    <row r="354" spans="3:8" x14ac:dyDescent="0.15">
      <c r="C354">
        <f t="shared" si="36"/>
        <v>29</v>
      </c>
      <c r="D354">
        <f t="shared" si="37"/>
        <v>5</v>
      </c>
      <c r="E354" s="94">
        <f t="shared" si="35"/>
        <v>2500000</v>
      </c>
      <c r="F354" s="91">
        <f t="shared" si="32"/>
        <v>212500</v>
      </c>
      <c r="G354" s="91">
        <f t="shared" si="34"/>
        <v>105148128.69137299</v>
      </c>
      <c r="H354" s="96">
        <f t="shared" si="33"/>
        <v>2676.164322502832</v>
      </c>
    </row>
    <row r="355" spans="3:8" x14ac:dyDescent="0.15">
      <c r="C355">
        <f t="shared" si="36"/>
        <v>29</v>
      </c>
      <c r="D355">
        <f t="shared" si="37"/>
        <v>6</v>
      </c>
      <c r="E355" s="94">
        <f t="shared" si="35"/>
        <v>2500000</v>
      </c>
      <c r="F355" s="91">
        <f t="shared" si="32"/>
        <v>212500</v>
      </c>
      <c r="G355" s="91">
        <f t="shared" si="34"/>
        <v>105577654.33576491</v>
      </c>
      <c r="H355" s="96">
        <f t="shared" si="33"/>
        <v>2687.0963402137281</v>
      </c>
    </row>
    <row r="356" spans="3:8" x14ac:dyDescent="0.15">
      <c r="C356">
        <f t="shared" si="36"/>
        <v>29</v>
      </c>
      <c r="D356">
        <f t="shared" si="37"/>
        <v>7</v>
      </c>
      <c r="E356" s="94">
        <f t="shared" si="35"/>
        <v>2500000</v>
      </c>
      <c r="F356" s="91">
        <f t="shared" si="32"/>
        <v>212500</v>
      </c>
      <c r="G356" s="91">
        <f t="shared" si="34"/>
        <v>106008064.73265798</v>
      </c>
      <c r="H356" s="96">
        <f t="shared" si="33"/>
        <v>2698.050876091208</v>
      </c>
    </row>
    <row r="357" spans="3:8" x14ac:dyDescent="0.15">
      <c r="C357">
        <f t="shared" si="36"/>
        <v>29</v>
      </c>
      <c r="D357">
        <f t="shared" si="37"/>
        <v>8</v>
      </c>
      <c r="E357" s="94">
        <f t="shared" si="35"/>
        <v>2500000</v>
      </c>
      <c r="F357" s="91">
        <f t="shared" si="32"/>
        <v>212500</v>
      </c>
      <c r="G357" s="91">
        <f t="shared" si="34"/>
        <v>106439361.70449749</v>
      </c>
      <c r="H357" s="96">
        <f t="shared" si="33"/>
        <v>2709.0279765190076</v>
      </c>
    </row>
    <row r="358" spans="3:8" x14ac:dyDescent="0.15">
      <c r="C358">
        <f t="shared" si="36"/>
        <v>29</v>
      </c>
      <c r="D358">
        <f t="shared" si="37"/>
        <v>9</v>
      </c>
      <c r="E358" s="94">
        <f t="shared" si="35"/>
        <v>2500000</v>
      </c>
      <c r="F358" s="91">
        <f t="shared" si="32"/>
        <v>212500</v>
      </c>
      <c r="G358" s="91">
        <f t="shared" si="34"/>
        <v>106871547.07748266</v>
      </c>
      <c r="H358" s="96">
        <f t="shared" si="33"/>
        <v>2720.027687976406</v>
      </c>
    </row>
    <row r="359" spans="3:8" x14ac:dyDescent="0.15">
      <c r="C359">
        <f t="shared" si="36"/>
        <v>29</v>
      </c>
      <c r="D359">
        <f t="shared" si="37"/>
        <v>10</v>
      </c>
      <c r="E359" s="94">
        <f t="shared" si="35"/>
        <v>2500000</v>
      </c>
      <c r="F359" s="91">
        <f t="shared" si="32"/>
        <v>212500</v>
      </c>
      <c r="G359" s="91">
        <f t="shared" si="34"/>
        <v>107304622.6815744</v>
      </c>
      <c r="H359" s="96">
        <f t="shared" si="33"/>
        <v>2731.0500570384224</v>
      </c>
    </row>
    <row r="360" spans="3:8" x14ac:dyDescent="0.15">
      <c r="C360">
        <f t="shared" si="36"/>
        <v>29</v>
      </c>
      <c r="D360">
        <f t="shared" si="37"/>
        <v>11</v>
      </c>
      <c r="E360" s="94">
        <f t="shared" si="35"/>
        <v>2500000</v>
      </c>
      <c r="F360" s="91">
        <f t="shared" si="32"/>
        <v>212500</v>
      </c>
      <c r="G360" s="91">
        <f t="shared" si="34"/>
        <v>107738590.35050304</v>
      </c>
      <c r="H360" s="96">
        <f t="shared" si="33"/>
        <v>2742.0951303760121</v>
      </c>
    </row>
    <row r="361" spans="3:8" x14ac:dyDescent="0.15">
      <c r="C361">
        <f t="shared" si="36"/>
        <v>29</v>
      </c>
      <c r="D361">
        <f t="shared" si="37"/>
        <v>12</v>
      </c>
      <c r="E361" s="94">
        <f t="shared" si="35"/>
        <v>2500000</v>
      </c>
      <c r="F361" s="91">
        <f t="shared" si="32"/>
        <v>212500</v>
      </c>
      <c r="G361" s="91">
        <f t="shared" si="34"/>
        <v>108173451.92177609</v>
      </c>
      <c r="H361" s="96">
        <f t="shared" si="33"/>
        <v>2753.1629547562657</v>
      </c>
    </row>
    <row r="362" spans="3:8" x14ac:dyDescent="0.15">
      <c r="C362">
        <f t="shared" si="36"/>
        <v>30</v>
      </c>
      <c r="D362">
        <f t="shared" si="37"/>
        <v>1</v>
      </c>
      <c r="E362" s="94">
        <f t="shared" si="35"/>
        <v>2500000</v>
      </c>
      <c r="F362" s="91">
        <f t="shared" si="32"/>
        <v>212500</v>
      </c>
      <c r="G362" s="91">
        <f t="shared" si="34"/>
        <v>108609209.23668599</v>
      </c>
      <c r="H362" s="96">
        <f t="shared" si="33"/>
        <v>2764.2535770426061</v>
      </c>
    </row>
    <row r="363" spans="3:8" x14ac:dyDescent="0.15">
      <c r="C363">
        <f t="shared" si="36"/>
        <v>30</v>
      </c>
      <c r="D363">
        <f t="shared" si="37"/>
        <v>2</v>
      </c>
      <c r="E363" s="94">
        <f t="shared" si="35"/>
        <v>2500000</v>
      </c>
      <c r="F363" s="91">
        <f t="shared" si="32"/>
        <v>212500</v>
      </c>
      <c r="G363" s="91">
        <f t="shared" si="34"/>
        <v>109045864.14031799</v>
      </c>
      <c r="H363" s="96">
        <f t="shared" si="33"/>
        <v>2775.3670441949866</v>
      </c>
    </row>
    <row r="364" spans="3:8" x14ac:dyDescent="0.15">
      <c r="C364">
        <f t="shared" si="36"/>
        <v>30</v>
      </c>
      <c r="D364">
        <f t="shared" si="37"/>
        <v>3</v>
      </c>
      <c r="E364" s="94">
        <f t="shared" si="35"/>
        <v>2500000</v>
      </c>
      <c r="F364" s="91">
        <f t="shared" si="32"/>
        <v>212500</v>
      </c>
      <c r="G364" s="91">
        <f t="shared" si="34"/>
        <v>109483418.48155791</v>
      </c>
      <c r="H364" s="96">
        <f t="shared" si="33"/>
        <v>2786.5034032700919</v>
      </c>
    </row>
    <row r="365" spans="3:8" x14ac:dyDescent="0.15">
      <c r="C365">
        <f t="shared" si="36"/>
        <v>30</v>
      </c>
      <c r="D365">
        <f t="shared" si="37"/>
        <v>4</v>
      </c>
      <c r="E365" s="94">
        <f t="shared" si="35"/>
        <v>2500000</v>
      </c>
      <c r="F365" s="91">
        <f t="shared" si="32"/>
        <v>212500</v>
      </c>
      <c r="G365" s="91">
        <f t="shared" si="34"/>
        <v>109921874.11309993</v>
      </c>
      <c r="H365" s="96">
        <f t="shared" si="33"/>
        <v>2797.6627014215337</v>
      </c>
    </row>
    <row r="366" spans="3:8" x14ac:dyDescent="0.15">
      <c r="C366">
        <f t="shared" si="36"/>
        <v>30</v>
      </c>
      <c r="D366">
        <f t="shared" si="37"/>
        <v>5</v>
      </c>
      <c r="E366" s="94">
        <f t="shared" si="35"/>
        <v>2500000</v>
      </c>
      <c r="F366" s="91">
        <f t="shared" si="32"/>
        <v>212500</v>
      </c>
      <c r="G366" s="91">
        <f t="shared" si="34"/>
        <v>110361232.89145453</v>
      </c>
      <c r="H366" s="96">
        <f t="shared" si="33"/>
        <v>2808.8449859000543</v>
      </c>
    </row>
    <row r="367" spans="3:8" x14ac:dyDescent="0.15">
      <c r="C367">
        <f t="shared" si="36"/>
        <v>30</v>
      </c>
      <c r="D367">
        <f t="shared" si="37"/>
        <v>6</v>
      </c>
      <c r="E367" s="94">
        <f t="shared" si="35"/>
        <v>2500000</v>
      </c>
      <c r="F367" s="91">
        <f t="shared" si="32"/>
        <v>212500</v>
      </c>
      <c r="G367" s="91">
        <f t="shared" si="34"/>
        <v>110801496.67695625</v>
      </c>
      <c r="H367" s="96">
        <f t="shared" si="33"/>
        <v>2820.0503040537228</v>
      </c>
    </row>
    <row r="368" spans="3:8" x14ac:dyDescent="0.15">
      <c r="C368">
        <f t="shared" si="36"/>
        <v>30</v>
      </c>
      <c r="D368">
        <f t="shared" si="37"/>
        <v>7</v>
      </c>
      <c r="E368" s="94">
        <f t="shared" si="35"/>
        <v>2500000</v>
      </c>
      <c r="F368" s="91">
        <f t="shared" si="32"/>
        <v>212500</v>
      </c>
      <c r="G368" s="91">
        <f t="shared" si="34"/>
        <v>111242667.33377165</v>
      </c>
      <c r="H368" s="96">
        <f t="shared" si="33"/>
        <v>2831.2787033281397</v>
      </c>
    </row>
    <row r="369" spans="3:8" x14ac:dyDescent="0.15">
      <c r="C369">
        <f t="shared" si="36"/>
        <v>30</v>
      </c>
      <c r="D369">
        <f t="shared" si="37"/>
        <v>8</v>
      </c>
      <c r="E369" s="94">
        <f t="shared" si="35"/>
        <v>2500000</v>
      </c>
      <c r="F369" s="91">
        <f t="shared" si="32"/>
        <v>212500</v>
      </c>
      <c r="G369" s="91">
        <f t="shared" si="34"/>
        <v>111684746.72990714</v>
      </c>
      <c r="H369" s="96">
        <f t="shared" si="33"/>
        <v>2842.5302312666345</v>
      </c>
    </row>
    <row r="370" spans="3:8" x14ac:dyDescent="0.15">
      <c r="C370">
        <f t="shared" si="36"/>
        <v>30</v>
      </c>
      <c r="D370">
        <f t="shared" si="37"/>
        <v>9</v>
      </c>
      <c r="E370" s="94">
        <f t="shared" si="35"/>
        <v>2500000</v>
      </c>
      <c r="F370" s="91">
        <f t="shared" si="32"/>
        <v>212500</v>
      </c>
      <c r="G370" s="91">
        <f t="shared" si="34"/>
        <v>112127736.73721695</v>
      </c>
      <c r="H370" s="96">
        <f t="shared" si="33"/>
        <v>2853.8049355104681</v>
      </c>
    </row>
    <row r="371" spans="3:8" x14ac:dyDescent="0.15">
      <c r="C371">
        <f t="shared" si="36"/>
        <v>30</v>
      </c>
      <c r="D371">
        <f t="shared" si="37"/>
        <v>10</v>
      </c>
      <c r="E371" s="94">
        <f t="shared" si="35"/>
        <v>2500000</v>
      </c>
      <c r="F371" s="91">
        <f t="shared" si="32"/>
        <v>212500</v>
      </c>
      <c r="G371" s="91">
        <f t="shared" si="34"/>
        <v>112571639.231411</v>
      </c>
      <c r="H371" s="96">
        <f t="shared" si="33"/>
        <v>2865.1028637990348</v>
      </c>
    </row>
    <row r="372" spans="3:8" x14ac:dyDescent="0.15">
      <c r="C372">
        <f t="shared" si="36"/>
        <v>30</v>
      </c>
      <c r="D372">
        <f t="shared" si="37"/>
        <v>11</v>
      </c>
      <c r="E372" s="94">
        <f t="shared" si="35"/>
        <v>2500000</v>
      </c>
      <c r="F372" s="91">
        <f t="shared" si="32"/>
        <v>212500</v>
      </c>
      <c r="G372" s="91">
        <f t="shared" si="34"/>
        <v>113016456.09206285</v>
      </c>
      <c r="H372" s="96">
        <f t="shared" si="33"/>
        <v>2876.4240639700643</v>
      </c>
    </row>
    <row r="373" spans="3:8" x14ac:dyDescent="0.15">
      <c r="C373">
        <f t="shared" si="36"/>
        <v>30</v>
      </c>
      <c r="D373">
        <f t="shared" si="37"/>
        <v>12</v>
      </c>
      <c r="E373" s="94">
        <f t="shared" si="35"/>
        <v>2500000</v>
      </c>
      <c r="F373" s="91">
        <f t="shared" si="32"/>
        <v>212500</v>
      </c>
      <c r="G373" s="91">
        <f t="shared" si="34"/>
        <v>113462189.2026177</v>
      </c>
      <c r="H373" s="96">
        <f t="shared" si="33"/>
        <v>2887.7685839598239</v>
      </c>
    </row>
    <row r="374" spans="3:8" x14ac:dyDescent="0.15">
      <c r="C374">
        <f t="shared" si="36"/>
        <v>31</v>
      </c>
      <c r="D374">
        <f t="shared" si="37"/>
        <v>1</v>
      </c>
      <c r="E374" s="94">
        <f t="shared" si="35"/>
        <v>2500000</v>
      </c>
      <c r="F374" s="91">
        <f t="shared" si="32"/>
        <v>212500</v>
      </c>
      <c r="G374" s="91">
        <f t="shared" si="34"/>
        <v>113908840.45040035</v>
      </c>
      <c r="H374" s="96">
        <f t="shared" si="33"/>
        <v>2899.1364718033228</v>
      </c>
    </row>
    <row r="375" spans="3:8" x14ac:dyDescent="0.15">
      <c r="C375">
        <f t="shared" si="36"/>
        <v>31</v>
      </c>
      <c r="D375">
        <f t="shared" si="37"/>
        <v>2</v>
      </c>
      <c r="E375" s="94">
        <f t="shared" si="35"/>
        <v>2500000</v>
      </c>
      <c r="F375" s="91">
        <f t="shared" si="32"/>
        <v>212500</v>
      </c>
      <c r="G375" s="91">
        <f t="shared" si="34"/>
        <v>114356411.72662316</v>
      </c>
      <c r="H375" s="96">
        <f t="shared" si="33"/>
        <v>2910.5277756345131</v>
      </c>
    </row>
    <row r="376" spans="3:8" x14ac:dyDescent="0.15">
      <c r="C376">
        <f t="shared" si="36"/>
        <v>31</v>
      </c>
      <c r="D376">
        <f t="shared" si="37"/>
        <v>3</v>
      </c>
      <c r="E376" s="94">
        <f t="shared" si="35"/>
        <v>2500000</v>
      </c>
      <c r="F376" s="91">
        <f t="shared" si="32"/>
        <v>212500</v>
      </c>
      <c r="G376" s="91">
        <f t="shared" si="34"/>
        <v>114804904.92639408</v>
      </c>
      <c r="H376" s="96">
        <f t="shared" si="33"/>
        <v>2921.9425436864958</v>
      </c>
    </row>
    <row r="377" spans="3:8" x14ac:dyDescent="0.15">
      <c r="C377">
        <f t="shared" si="36"/>
        <v>31</v>
      </c>
      <c r="D377">
        <f t="shared" si="37"/>
        <v>4</v>
      </c>
      <c r="E377" s="94">
        <f t="shared" si="35"/>
        <v>2500000</v>
      </c>
      <c r="F377" s="91">
        <f t="shared" si="32"/>
        <v>212500</v>
      </c>
      <c r="G377" s="91">
        <f t="shared" si="34"/>
        <v>115254321.94872466</v>
      </c>
      <c r="H377" s="96">
        <f t="shared" si="33"/>
        <v>2933.3808242917239</v>
      </c>
    </row>
    <row r="378" spans="3:8" x14ac:dyDescent="0.15">
      <c r="C378">
        <f t="shared" si="36"/>
        <v>31</v>
      </c>
      <c r="D378">
        <f t="shared" si="37"/>
        <v>5</v>
      </c>
      <c r="E378" s="94">
        <f t="shared" si="35"/>
        <v>2500000</v>
      </c>
      <c r="F378" s="91">
        <f t="shared" si="32"/>
        <v>212500</v>
      </c>
      <c r="G378" s="91">
        <f t="shared" si="34"/>
        <v>115704664.69653812</v>
      </c>
      <c r="H378" s="96">
        <f t="shared" si="33"/>
        <v>2944.8426658822073</v>
      </c>
    </row>
    <row r="379" spans="3:8" x14ac:dyDescent="0.15">
      <c r="C379">
        <f t="shared" si="36"/>
        <v>31</v>
      </c>
      <c r="D379">
        <f t="shared" si="37"/>
        <v>6</v>
      </c>
      <c r="E379" s="94">
        <f t="shared" si="35"/>
        <v>2500000</v>
      </c>
      <c r="F379" s="91">
        <f t="shared" si="32"/>
        <v>212500</v>
      </c>
      <c r="G379" s="91">
        <f t="shared" si="34"/>
        <v>116155935.07667738</v>
      </c>
      <c r="H379" s="96">
        <f t="shared" si="33"/>
        <v>2956.3281169897177</v>
      </c>
    </row>
    <row r="380" spans="3:8" x14ac:dyDescent="0.15">
      <c r="C380">
        <f t="shared" si="36"/>
        <v>31</v>
      </c>
      <c r="D380">
        <f t="shared" si="37"/>
        <v>7</v>
      </c>
      <c r="E380" s="94">
        <f t="shared" si="35"/>
        <v>2500000</v>
      </c>
      <c r="F380" s="91">
        <f t="shared" si="32"/>
        <v>212500</v>
      </c>
      <c r="G380" s="91">
        <f t="shared" si="34"/>
        <v>116608134.99991316</v>
      </c>
      <c r="H380" s="96">
        <f t="shared" si="33"/>
        <v>2967.8372262459952</v>
      </c>
    </row>
    <row r="381" spans="3:8" x14ac:dyDescent="0.15">
      <c r="C381">
        <f t="shared" si="36"/>
        <v>31</v>
      </c>
      <c r="D381">
        <f t="shared" si="37"/>
        <v>8</v>
      </c>
      <c r="E381" s="94">
        <f t="shared" si="35"/>
        <v>2500000</v>
      </c>
      <c r="F381" s="91">
        <f t="shared" si="32"/>
        <v>212500</v>
      </c>
      <c r="G381" s="91">
        <f t="shared" si="34"/>
        <v>117061266.38095203</v>
      </c>
      <c r="H381" s="96">
        <f t="shared" si="33"/>
        <v>2979.3700423829519</v>
      </c>
    </row>
    <row r="382" spans="3:8" x14ac:dyDescent="0.15">
      <c r="C382">
        <f t="shared" si="36"/>
        <v>31</v>
      </c>
      <c r="D382">
        <f t="shared" si="37"/>
        <v>9</v>
      </c>
      <c r="E382" s="94">
        <f t="shared" si="35"/>
        <v>2500000</v>
      </c>
      <c r="F382" s="91">
        <f t="shared" si="32"/>
        <v>212500</v>
      </c>
      <c r="G382" s="91">
        <f t="shared" si="34"/>
        <v>117515331.13844457</v>
      </c>
      <c r="H382" s="96">
        <f t="shared" si="33"/>
        <v>2990.9266142328806</v>
      </c>
    </row>
    <row r="383" spans="3:8" x14ac:dyDescent="0.15">
      <c r="C383">
        <f t="shared" si="36"/>
        <v>31</v>
      </c>
      <c r="D383">
        <f t="shared" si="37"/>
        <v>10</v>
      </c>
      <c r="E383" s="94">
        <f t="shared" si="35"/>
        <v>2500000</v>
      </c>
      <c r="F383" s="91">
        <f t="shared" si="32"/>
        <v>212500</v>
      </c>
      <c r="G383" s="91">
        <f t="shared" si="34"/>
        <v>117970331.19499347</v>
      </c>
      <c r="H383" s="96">
        <f t="shared" si="33"/>
        <v>3002.5069907286615</v>
      </c>
    </row>
    <row r="384" spans="3:8" x14ac:dyDescent="0.15">
      <c r="C384">
        <f t="shared" si="36"/>
        <v>31</v>
      </c>
      <c r="D384">
        <f t="shared" si="37"/>
        <v>11</v>
      </c>
      <c r="E384" s="94">
        <f t="shared" si="35"/>
        <v>2500000</v>
      </c>
      <c r="F384" s="91">
        <f t="shared" si="32"/>
        <v>212500</v>
      </c>
      <c r="G384" s="91">
        <f t="shared" si="34"/>
        <v>118426268.47716162</v>
      </c>
      <c r="H384" s="96">
        <f t="shared" si="33"/>
        <v>3014.111220903967</v>
      </c>
    </row>
    <row r="385" spans="3:8" x14ac:dyDescent="0.15">
      <c r="C385">
        <f t="shared" si="36"/>
        <v>31</v>
      </c>
      <c r="D385">
        <f t="shared" si="37"/>
        <v>12</v>
      </c>
      <c r="E385" s="94">
        <f t="shared" si="35"/>
        <v>2500000</v>
      </c>
      <c r="F385" s="91">
        <f t="shared" si="32"/>
        <v>212500</v>
      </c>
      <c r="G385" s="91">
        <f t="shared" si="34"/>
        <v>118883144.91548035</v>
      </c>
      <c r="H385" s="96">
        <f t="shared" si="33"/>
        <v>3025.7393538934707</v>
      </c>
    </row>
    <row r="386" spans="3:8" x14ac:dyDescent="0.15">
      <c r="C386">
        <f t="shared" si="36"/>
        <v>32</v>
      </c>
      <c r="D386">
        <f t="shared" si="37"/>
        <v>1</v>
      </c>
      <c r="E386" s="94">
        <f t="shared" si="35"/>
        <v>2500000</v>
      </c>
      <c r="F386" s="91">
        <f t="shared" si="32"/>
        <v>212500</v>
      </c>
      <c r="G386" s="91">
        <f t="shared" si="34"/>
        <v>119340962.44445756</v>
      </c>
      <c r="H386" s="96">
        <f t="shared" si="33"/>
        <v>3037.3914389330571</v>
      </c>
    </row>
    <row r="387" spans="3:8" x14ac:dyDescent="0.15">
      <c r="C387">
        <f t="shared" si="36"/>
        <v>32</v>
      </c>
      <c r="D387">
        <f t="shared" si="37"/>
        <v>2</v>
      </c>
      <c r="E387" s="94">
        <f t="shared" si="35"/>
        <v>2500000</v>
      </c>
      <c r="F387" s="91">
        <f t="shared" si="32"/>
        <v>212500</v>
      </c>
      <c r="G387" s="91">
        <f t="shared" si="34"/>
        <v>119799723.00258593</v>
      </c>
      <c r="H387" s="96">
        <f t="shared" si="33"/>
        <v>3049.067525360027</v>
      </c>
    </row>
    <row r="388" spans="3:8" x14ac:dyDescent="0.15">
      <c r="C388">
        <f t="shared" si="36"/>
        <v>32</v>
      </c>
      <c r="D388">
        <f t="shared" si="37"/>
        <v>3</v>
      </c>
      <c r="E388" s="94">
        <f t="shared" si="35"/>
        <v>2500000</v>
      </c>
      <c r="F388" s="91">
        <f t="shared" si="32"/>
        <v>212500</v>
      </c>
      <c r="G388" s="91">
        <f t="shared" si="34"/>
        <v>120259428.53235112</v>
      </c>
      <c r="H388" s="96">
        <f t="shared" si="33"/>
        <v>3060.7676626133093</v>
      </c>
    </row>
    <row r="389" spans="3:8" x14ac:dyDescent="0.15">
      <c r="C389">
        <f t="shared" si="36"/>
        <v>32</v>
      </c>
      <c r="D389">
        <f t="shared" si="37"/>
        <v>4</v>
      </c>
      <c r="E389" s="94">
        <f t="shared" si="35"/>
        <v>2500000</v>
      </c>
      <c r="F389" s="91">
        <f t="shared" si="32"/>
        <v>212500</v>
      </c>
      <c r="G389" s="91">
        <f t="shared" si="34"/>
        <v>120720080.98023996</v>
      </c>
      <c r="H389" s="96">
        <f t="shared" si="33"/>
        <v>3072.4919002336678</v>
      </c>
    </row>
    <row r="390" spans="3:8" x14ac:dyDescent="0.15">
      <c r="C390">
        <f t="shared" si="36"/>
        <v>32</v>
      </c>
      <c r="D390">
        <f t="shared" si="37"/>
        <v>5</v>
      </c>
      <c r="E390" s="94">
        <f t="shared" si="35"/>
        <v>2500000</v>
      </c>
      <c r="F390" s="91">
        <f t="shared" si="32"/>
        <v>212500</v>
      </c>
      <c r="G390" s="91">
        <f t="shared" si="34"/>
        <v>121181682.29674876</v>
      </c>
      <c r="H390" s="96">
        <f t="shared" si="33"/>
        <v>3084.2402878639136</v>
      </c>
    </row>
    <row r="391" spans="3:8" x14ac:dyDescent="0.15">
      <c r="C391">
        <f t="shared" si="36"/>
        <v>32</v>
      </c>
      <c r="D391">
        <f t="shared" si="37"/>
        <v>6</v>
      </c>
      <c r="E391" s="94">
        <f t="shared" si="35"/>
        <v>2500000</v>
      </c>
      <c r="F391" s="91">
        <f t="shared" si="32"/>
        <v>212500</v>
      </c>
      <c r="G391" s="91">
        <f t="shared" si="34"/>
        <v>121644234.4363915</v>
      </c>
      <c r="H391" s="96">
        <f t="shared" si="33"/>
        <v>3096.0128752491119</v>
      </c>
    </row>
    <row r="392" spans="3:8" x14ac:dyDescent="0.15">
      <c r="C392">
        <f t="shared" si="36"/>
        <v>32</v>
      </c>
      <c r="D392">
        <f t="shared" si="37"/>
        <v>7</v>
      </c>
      <c r="E392" s="94">
        <f t="shared" si="35"/>
        <v>2500000</v>
      </c>
      <c r="F392" s="91">
        <f t="shared" si="32"/>
        <v>212500</v>
      </c>
      <c r="G392" s="91">
        <f t="shared" si="34"/>
        <v>122107739.35770817</v>
      </c>
      <c r="H392" s="96">
        <f t="shared" si="33"/>
        <v>3107.8097122367958</v>
      </c>
    </row>
    <row r="393" spans="3:8" x14ac:dyDescent="0.15">
      <c r="C393">
        <f t="shared" si="36"/>
        <v>32</v>
      </c>
      <c r="D393">
        <f t="shared" si="37"/>
        <v>8</v>
      </c>
      <c r="E393" s="94">
        <f t="shared" si="35"/>
        <v>2500000</v>
      </c>
      <c r="F393" s="91">
        <f t="shared" si="32"/>
        <v>212500</v>
      </c>
      <c r="G393" s="91">
        <f t="shared" si="34"/>
        <v>122572199.02327302</v>
      </c>
      <c r="H393" s="96">
        <f t="shared" si="33"/>
        <v>3119.6308487771767</v>
      </c>
    </row>
    <row r="394" spans="3:8" x14ac:dyDescent="0.15">
      <c r="C394">
        <f t="shared" si="36"/>
        <v>32</v>
      </c>
      <c r="D394">
        <f t="shared" si="37"/>
        <v>9</v>
      </c>
      <c r="E394" s="94">
        <f t="shared" si="35"/>
        <v>2500000</v>
      </c>
      <c r="F394" s="91">
        <f t="shared" si="32"/>
        <v>212500</v>
      </c>
      <c r="G394" s="91">
        <f t="shared" si="34"/>
        <v>123037615.39970288</v>
      </c>
      <c r="H394" s="96">
        <f t="shared" si="33"/>
        <v>3131.476334923354</v>
      </c>
    </row>
    <row r="395" spans="3:8" x14ac:dyDescent="0.15">
      <c r="C395">
        <f t="shared" si="36"/>
        <v>32</v>
      </c>
      <c r="D395">
        <f t="shared" si="37"/>
        <v>10</v>
      </c>
      <c r="E395" s="94">
        <f t="shared" si="35"/>
        <v>2500000</v>
      </c>
      <c r="F395" s="91">
        <f t="shared" si="32"/>
        <v>212500</v>
      </c>
      <c r="G395" s="91">
        <f t="shared" si="34"/>
        <v>123503990.45766549</v>
      </c>
      <c r="H395" s="96">
        <f t="shared" si="33"/>
        <v>3143.3462208315291</v>
      </c>
    </row>
    <row r="396" spans="3:8" x14ac:dyDescent="0.15">
      <c r="C396">
        <f t="shared" si="36"/>
        <v>32</v>
      </c>
      <c r="D396">
        <f t="shared" si="37"/>
        <v>11</v>
      </c>
      <c r="E396" s="94">
        <f t="shared" si="35"/>
        <v>2500000</v>
      </c>
      <c r="F396" s="91">
        <f t="shared" si="32"/>
        <v>212500</v>
      </c>
      <c r="G396" s="91">
        <f t="shared" si="34"/>
        <v>123971326.17188784</v>
      </c>
      <c r="H396" s="96">
        <f t="shared" si="33"/>
        <v>3155.2405567612172</v>
      </c>
    </row>
    <row r="397" spans="3:8" x14ac:dyDescent="0.15">
      <c r="C397">
        <f t="shared" si="36"/>
        <v>32</v>
      </c>
      <c r="D397">
        <f t="shared" si="37"/>
        <v>12</v>
      </c>
      <c r="E397" s="94">
        <f t="shared" si="35"/>
        <v>2500000</v>
      </c>
      <c r="F397" s="91">
        <f t="shared" si="32"/>
        <v>212500</v>
      </c>
      <c r="G397" s="91">
        <f t="shared" si="34"/>
        <v>124439624.52116455</v>
      </c>
      <c r="H397" s="96">
        <f t="shared" si="33"/>
        <v>3167.1593930754589</v>
      </c>
    </row>
    <row r="398" spans="3:8" x14ac:dyDescent="0.15">
      <c r="C398">
        <f t="shared" si="36"/>
        <v>33</v>
      </c>
      <c r="D398">
        <f t="shared" si="37"/>
        <v>1</v>
      </c>
      <c r="E398" s="94">
        <f t="shared" si="35"/>
        <v>2500000</v>
      </c>
      <c r="F398" s="91">
        <f t="shared" si="32"/>
        <v>212500</v>
      </c>
      <c r="G398" s="91">
        <f t="shared" si="34"/>
        <v>124908887.4883662</v>
      </c>
      <c r="H398" s="96">
        <f t="shared" si="33"/>
        <v>3179.1027802410349</v>
      </c>
    </row>
    <row r="399" spans="3:8" x14ac:dyDescent="0.15">
      <c r="C399">
        <f t="shared" si="36"/>
        <v>33</v>
      </c>
      <c r="D399">
        <f t="shared" si="37"/>
        <v>2</v>
      </c>
      <c r="E399" s="94">
        <f t="shared" si="35"/>
        <v>2500000</v>
      </c>
      <c r="F399" s="91">
        <f t="shared" ref="F399:F462" si="38">IF(E399/$D$3&lt;$D$2*(1+$D$11)^(C399-1),0.1*E399,0.1*$D$2*$D$3*(1+$D$11)^(C399-1))*(1-$D$9)</f>
        <v>212500</v>
      </c>
      <c r="G399" s="91">
        <f t="shared" si="34"/>
        <v>125379117.06044778</v>
      </c>
      <c r="H399" s="96">
        <f t="shared" ref="H399:H462" si="39">G399/$D$3</f>
        <v>3191.0707688286789</v>
      </c>
    </row>
    <row r="400" spans="3:8" x14ac:dyDescent="0.15">
      <c r="C400">
        <f t="shared" si="36"/>
        <v>33</v>
      </c>
      <c r="D400">
        <f t="shared" si="37"/>
        <v>3</v>
      </c>
      <c r="E400" s="94">
        <f t="shared" si="35"/>
        <v>2500000</v>
      </c>
      <c r="F400" s="91">
        <f t="shared" si="38"/>
        <v>212500</v>
      </c>
      <c r="G400" s="91">
        <f t="shared" ref="G400:G463" si="40">(F400+G399)*(1+$D$5)</f>
        <v>125850315.22845709</v>
      </c>
      <c r="H400" s="96">
        <f t="shared" si="39"/>
        <v>3203.0634095132932</v>
      </c>
    </row>
    <row r="401" spans="3:8" x14ac:dyDescent="0.15">
      <c r="C401">
        <f t="shared" si="36"/>
        <v>33</v>
      </c>
      <c r="D401">
        <f t="shared" si="37"/>
        <v>4</v>
      </c>
      <c r="E401" s="94">
        <f t="shared" ref="E401:E464" si="41">E400</f>
        <v>2500000</v>
      </c>
      <c r="F401" s="91">
        <f t="shared" si="38"/>
        <v>212500</v>
      </c>
      <c r="G401" s="91">
        <f t="shared" si="40"/>
        <v>126322483.98754315</v>
      </c>
      <c r="H401" s="96">
        <f t="shared" si="39"/>
        <v>3215.0807530741608</v>
      </c>
    </row>
    <row r="402" spans="3:8" x14ac:dyDescent="0.15">
      <c r="C402">
        <f t="shared" si="36"/>
        <v>33</v>
      </c>
      <c r="D402">
        <f t="shared" si="37"/>
        <v>5</v>
      </c>
      <c r="E402" s="94">
        <f t="shared" si="41"/>
        <v>2500000</v>
      </c>
      <c r="F402" s="91">
        <f t="shared" si="38"/>
        <v>212500</v>
      </c>
      <c r="G402" s="91">
        <f t="shared" si="40"/>
        <v>126795625.33696467</v>
      </c>
      <c r="H402" s="96">
        <f t="shared" si="39"/>
        <v>3227.122850395162</v>
      </c>
    </row>
    <row r="403" spans="3:8" x14ac:dyDescent="0.15">
      <c r="C403">
        <f t="shared" si="36"/>
        <v>33</v>
      </c>
      <c r="D403">
        <f t="shared" si="37"/>
        <v>6</v>
      </c>
      <c r="E403" s="94">
        <f t="shared" si="41"/>
        <v>2500000</v>
      </c>
      <c r="F403" s="91">
        <f t="shared" si="38"/>
        <v>212500</v>
      </c>
      <c r="G403" s="91">
        <f t="shared" si="40"/>
        <v>127269741.28009848</v>
      </c>
      <c r="H403" s="96">
        <f t="shared" si="39"/>
        <v>3239.1897524649903</v>
      </c>
    </row>
    <row r="404" spans="3:8" x14ac:dyDescent="0.15">
      <c r="C404">
        <f t="shared" si="36"/>
        <v>33</v>
      </c>
      <c r="D404">
        <f t="shared" si="37"/>
        <v>7</v>
      </c>
      <c r="E404" s="94">
        <f t="shared" si="41"/>
        <v>2500000</v>
      </c>
      <c r="F404" s="91">
        <f t="shared" si="38"/>
        <v>212500</v>
      </c>
      <c r="G404" s="91">
        <f t="shared" si="40"/>
        <v>127744833.82444808</v>
      </c>
      <c r="H404" s="96">
        <f t="shared" si="39"/>
        <v>3251.2815103773669</v>
      </c>
    </row>
    <row r="405" spans="3:8" x14ac:dyDescent="0.15">
      <c r="C405">
        <f t="shared" si="36"/>
        <v>33</v>
      </c>
      <c r="D405">
        <f t="shared" si="37"/>
        <v>8</v>
      </c>
      <c r="E405" s="94">
        <f t="shared" si="41"/>
        <v>2500000</v>
      </c>
      <c r="F405" s="91">
        <f t="shared" si="38"/>
        <v>212500</v>
      </c>
      <c r="G405" s="91">
        <f t="shared" si="40"/>
        <v>128220904.98165205</v>
      </c>
      <c r="H405" s="96">
        <f t="shared" si="39"/>
        <v>3263.3981753312573</v>
      </c>
    </row>
    <row r="406" spans="3:8" x14ac:dyDescent="0.15">
      <c r="C406">
        <f t="shared" si="36"/>
        <v>33</v>
      </c>
      <c r="D406">
        <f t="shared" si="37"/>
        <v>9</v>
      </c>
      <c r="E406" s="94">
        <f t="shared" si="41"/>
        <v>2500000</v>
      </c>
      <c r="F406" s="91">
        <f t="shared" si="38"/>
        <v>212500</v>
      </c>
      <c r="G406" s="91">
        <f t="shared" si="40"/>
        <v>128697956.76749267</v>
      </c>
      <c r="H406" s="96">
        <f t="shared" si="39"/>
        <v>3275.5397986310895</v>
      </c>
    </row>
    <row r="407" spans="3:8" x14ac:dyDescent="0.15">
      <c r="C407">
        <f t="shared" si="36"/>
        <v>33</v>
      </c>
      <c r="D407">
        <f t="shared" si="37"/>
        <v>10</v>
      </c>
      <c r="E407" s="94">
        <f t="shared" si="41"/>
        <v>2500000</v>
      </c>
      <c r="F407" s="91">
        <f t="shared" si="38"/>
        <v>212500</v>
      </c>
      <c r="G407" s="91">
        <f t="shared" si="40"/>
        <v>129175991.20190434</v>
      </c>
      <c r="H407" s="96">
        <f t="shared" si="39"/>
        <v>3287.7064316869692</v>
      </c>
    </row>
    <row r="408" spans="3:8" x14ac:dyDescent="0.15">
      <c r="C408">
        <f t="shared" si="36"/>
        <v>33</v>
      </c>
      <c r="D408">
        <f t="shared" si="37"/>
        <v>11</v>
      </c>
      <c r="E408" s="94">
        <f t="shared" si="41"/>
        <v>2500000</v>
      </c>
      <c r="F408" s="91">
        <f t="shared" si="38"/>
        <v>212500</v>
      </c>
      <c r="G408" s="91">
        <f t="shared" si="40"/>
        <v>129655010.30898225</v>
      </c>
      <c r="H408" s="96">
        <f t="shared" si="39"/>
        <v>3299.8981260148989</v>
      </c>
    </row>
    <row r="409" spans="3:8" x14ac:dyDescent="0.15">
      <c r="C409">
        <f t="shared" si="36"/>
        <v>33</v>
      </c>
      <c r="D409">
        <f t="shared" si="37"/>
        <v>12</v>
      </c>
      <c r="E409" s="94">
        <f t="shared" si="41"/>
        <v>2500000</v>
      </c>
      <c r="F409" s="91">
        <f t="shared" si="38"/>
        <v>212500</v>
      </c>
      <c r="G409" s="91">
        <f t="shared" si="40"/>
        <v>130135016.11699086</v>
      </c>
      <c r="H409" s="96">
        <f t="shared" si="39"/>
        <v>3312.1149332369964</v>
      </c>
    </row>
    <row r="410" spans="3:8" x14ac:dyDescent="0.15">
      <c r="C410">
        <f t="shared" si="36"/>
        <v>34</v>
      </c>
      <c r="D410">
        <f t="shared" si="37"/>
        <v>1</v>
      </c>
      <c r="E410" s="94">
        <f t="shared" si="41"/>
        <v>2500000</v>
      </c>
      <c r="F410" s="91">
        <f t="shared" si="38"/>
        <v>212500</v>
      </c>
      <c r="G410" s="91">
        <f t="shared" si="40"/>
        <v>130616010.65837255</v>
      </c>
      <c r="H410" s="96">
        <f t="shared" si="39"/>
        <v>3324.3569050817118</v>
      </c>
    </row>
    <row r="411" spans="3:8" x14ac:dyDescent="0.15">
      <c r="C411">
        <f t="shared" si="36"/>
        <v>34</v>
      </c>
      <c r="D411">
        <f t="shared" si="37"/>
        <v>2</v>
      </c>
      <c r="E411" s="94">
        <f t="shared" si="41"/>
        <v>2500000</v>
      </c>
      <c r="F411" s="91">
        <f t="shared" si="38"/>
        <v>212500</v>
      </c>
      <c r="G411" s="91">
        <f t="shared" si="40"/>
        <v>131097995.96975617</v>
      </c>
      <c r="H411" s="96">
        <f t="shared" si="39"/>
        <v>3336.6240933840468</v>
      </c>
    </row>
    <row r="412" spans="3:8" x14ac:dyDescent="0.15">
      <c r="C412">
        <f t="shared" si="36"/>
        <v>34</v>
      </c>
      <c r="D412">
        <f t="shared" si="37"/>
        <v>3</v>
      </c>
      <c r="E412" s="94">
        <f t="shared" si="41"/>
        <v>2500000</v>
      </c>
      <c r="F412" s="91">
        <f t="shared" si="38"/>
        <v>212500</v>
      </c>
      <c r="G412" s="91">
        <f t="shared" si="40"/>
        <v>131580974.09196572</v>
      </c>
      <c r="H412" s="96">
        <f t="shared" si="39"/>
        <v>3348.9165500857766</v>
      </c>
    </row>
    <row r="413" spans="3:8" x14ac:dyDescent="0.15">
      <c r="C413">
        <f t="shared" si="36"/>
        <v>34</v>
      </c>
      <c r="D413">
        <f t="shared" si="37"/>
        <v>4</v>
      </c>
      <c r="E413" s="94">
        <f t="shared" si="41"/>
        <v>2500000</v>
      </c>
      <c r="F413" s="91">
        <f t="shared" si="38"/>
        <v>212500</v>
      </c>
      <c r="G413" s="91">
        <f t="shared" si="40"/>
        <v>132064947.07002893</v>
      </c>
      <c r="H413" s="96">
        <f t="shared" si="39"/>
        <v>3361.2343272356661</v>
      </c>
    </row>
    <row r="414" spans="3:8" x14ac:dyDescent="0.15">
      <c r="C414">
        <f t="shared" si="36"/>
        <v>34</v>
      </c>
      <c r="D414">
        <f t="shared" si="37"/>
        <v>5</v>
      </c>
      <c r="E414" s="94">
        <f t="shared" si="41"/>
        <v>2500000</v>
      </c>
      <c r="F414" s="91">
        <f t="shared" si="38"/>
        <v>212500</v>
      </c>
      <c r="G414" s="91">
        <f t="shared" si="40"/>
        <v>132549916.95318598</v>
      </c>
      <c r="H414" s="96">
        <f t="shared" si="39"/>
        <v>3373.5774769896921</v>
      </c>
    </row>
    <row r="415" spans="3:8" x14ac:dyDescent="0.15">
      <c r="C415">
        <f t="shared" si="36"/>
        <v>34</v>
      </c>
      <c r="D415">
        <f t="shared" si="37"/>
        <v>6</v>
      </c>
      <c r="E415" s="94">
        <f t="shared" si="41"/>
        <v>2500000</v>
      </c>
      <c r="F415" s="91">
        <f t="shared" si="38"/>
        <v>212500</v>
      </c>
      <c r="G415" s="91">
        <f t="shared" si="40"/>
        <v>133035885.79489814</v>
      </c>
      <c r="H415" s="96">
        <f t="shared" si="39"/>
        <v>3385.9460516112663</v>
      </c>
    </row>
    <row r="416" spans="3:8" x14ac:dyDescent="0.15">
      <c r="C416">
        <f t="shared" si="36"/>
        <v>34</v>
      </c>
      <c r="D416">
        <f t="shared" si="37"/>
        <v>7</v>
      </c>
      <c r="E416" s="94">
        <f t="shared" si="41"/>
        <v>2500000</v>
      </c>
      <c r="F416" s="91">
        <f t="shared" si="38"/>
        <v>212500</v>
      </c>
      <c r="G416" s="91">
        <f t="shared" si="40"/>
        <v>133522855.65285647</v>
      </c>
      <c r="H416" s="96">
        <f t="shared" si="39"/>
        <v>3398.340103471452</v>
      </c>
    </row>
    <row r="417" spans="3:8" x14ac:dyDescent="0.15">
      <c r="C417">
        <f t="shared" ref="C417:C480" si="42">IF(MOD(D416,12)=0,C416+1,C416)</f>
        <v>34</v>
      </c>
      <c r="D417">
        <f t="shared" ref="D417:D480" si="43">IF(MOD(D416,12)=0,1,D416+1)</f>
        <v>8</v>
      </c>
      <c r="E417" s="94">
        <f t="shared" si="41"/>
        <v>2500000</v>
      </c>
      <c r="F417" s="91">
        <f t="shared" si="38"/>
        <v>212500</v>
      </c>
      <c r="G417" s="91">
        <f t="shared" si="40"/>
        <v>134010828.58899054</v>
      </c>
      <c r="H417" s="96">
        <f t="shared" si="39"/>
        <v>3410.7596850491896</v>
      </c>
    </row>
    <row r="418" spans="3:8" x14ac:dyDescent="0.15">
      <c r="C418">
        <f t="shared" si="42"/>
        <v>34</v>
      </c>
      <c r="D418">
        <f t="shared" si="43"/>
        <v>9</v>
      </c>
      <c r="E418" s="94">
        <f t="shared" si="41"/>
        <v>2500000</v>
      </c>
      <c r="F418" s="91">
        <f t="shared" si="38"/>
        <v>212500</v>
      </c>
      <c r="G418" s="91">
        <f t="shared" si="40"/>
        <v>134499806.66947716</v>
      </c>
      <c r="H418" s="96">
        <f t="shared" si="39"/>
        <v>3423.2048489315175</v>
      </c>
    </row>
    <row r="419" spans="3:8" x14ac:dyDescent="0.15">
      <c r="C419">
        <f t="shared" si="42"/>
        <v>34</v>
      </c>
      <c r="D419">
        <f t="shared" si="43"/>
        <v>10</v>
      </c>
      <c r="E419" s="94">
        <f t="shared" si="41"/>
        <v>2500000</v>
      </c>
      <c r="F419" s="91">
        <f t="shared" si="38"/>
        <v>212500</v>
      </c>
      <c r="G419" s="91">
        <f t="shared" si="40"/>
        <v>134989791.96474913</v>
      </c>
      <c r="H419" s="96">
        <f t="shared" si="39"/>
        <v>3435.6756478137936</v>
      </c>
    </row>
    <row r="420" spans="3:8" x14ac:dyDescent="0.15">
      <c r="C420">
        <f t="shared" si="42"/>
        <v>34</v>
      </c>
      <c r="D420">
        <f t="shared" si="43"/>
        <v>11</v>
      </c>
      <c r="E420" s="94">
        <f t="shared" si="41"/>
        <v>2500000</v>
      </c>
      <c r="F420" s="91">
        <f t="shared" si="38"/>
        <v>212500</v>
      </c>
      <c r="G420" s="91">
        <f t="shared" si="40"/>
        <v>135480786.54950398</v>
      </c>
      <c r="H420" s="96">
        <f t="shared" si="39"/>
        <v>3448.1721344999219</v>
      </c>
    </row>
    <row r="421" spans="3:8" x14ac:dyDescent="0.15">
      <c r="C421">
        <f t="shared" si="42"/>
        <v>34</v>
      </c>
      <c r="D421">
        <f t="shared" si="43"/>
        <v>12</v>
      </c>
      <c r="E421" s="94">
        <f t="shared" si="41"/>
        <v>2500000</v>
      </c>
      <c r="F421" s="91">
        <f t="shared" si="38"/>
        <v>212500</v>
      </c>
      <c r="G421" s="91">
        <f t="shared" si="40"/>
        <v>135972792.50271282</v>
      </c>
      <c r="H421" s="96">
        <f t="shared" si="39"/>
        <v>3460.6943619025719</v>
      </c>
    </row>
    <row r="422" spans="3:8" x14ac:dyDescent="0.15">
      <c r="C422">
        <f t="shared" si="42"/>
        <v>35</v>
      </c>
      <c r="D422">
        <f t="shared" si="43"/>
        <v>1</v>
      </c>
      <c r="E422" s="94">
        <f t="shared" si="41"/>
        <v>2500000</v>
      </c>
      <c r="F422" s="91">
        <f t="shared" si="38"/>
        <v>212500</v>
      </c>
      <c r="G422" s="91">
        <f t="shared" si="40"/>
        <v>136465811.90762904</v>
      </c>
      <c r="H422" s="96">
        <f t="shared" si="39"/>
        <v>3473.242383043405</v>
      </c>
    </row>
    <row r="423" spans="3:8" x14ac:dyDescent="0.15">
      <c r="C423">
        <f t="shared" si="42"/>
        <v>35</v>
      </c>
      <c r="D423">
        <f t="shared" si="43"/>
        <v>2</v>
      </c>
      <c r="E423" s="94">
        <f t="shared" si="41"/>
        <v>2500000</v>
      </c>
      <c r="F423" s="91">
        <f t="shared" si="38"/>
        <v>212500</v>
      </c>
      <c r="G423" s="91">
        <f t="shared" si="40"/>
        <v>136959846.85179725</v>
      </c>
      <c r="H423" s="96">
        <f t="shared" si="39"/>
        <v>3485.8162510532989</v>
      </c>
    </row>
    <row r="424" spans="3:8" x14ac:dyDescent="0.15">
      <c r="C424">
        <f t="shared" si="42"/>
        <v>35</v>
      </c>
      <c r="D424">
        <f t="shared" si="43"/>
        <v>3</v>
      </c>
      <c r="E424" s="94">
        <f t="shared" si="41"/>
        <v>2500000</v>
      </c>
      <c r="F424" s="91">
        <f t="shared" si="38"/>
        <v>212500</v>
      </c>
      <c r="G424" s="91">
        <f t="shared" si="40"/>
        <v>137454899.42706203</v>
      </c>
      <c r="H424" s="96">
        <f t="shared" si="39"/>
        <v>3498.4160191725714</v>
      </c>
    </row>
    <row r="425" spans="3:8" x14ac:dyDescent="0.15">
      <c r="C425">
        <f t="shared" si="42"/>
        <v>35</v>
      </c>
      <c r="D425">
        <f t="shared" si="43"/>
        <v>4</v>
      </c>
      <c r="E425" s="94">
        <f t="shared" si="41"/>
        <v>2500000</v>
      </c>
      <c r="F425" s="91">
        <f t="shared" si="38"/>
        <v>212500</v>
      </c>
      <c r="G425" s="91">
        <f t="shared" si="40"/>
        <v>137950971.72957683</v>
      </c>
      <c r="H425" s="96">
        <f t="shared" si="39"/>
        <v>3511.0417407512082</v>
      </c>
    </row>
    <row r="426" spans="3:8" x14ac:dyDescent="0.15">
      <c r="C426">
        <f t="shared" si="42"/>
        <v>35</v>
      </c>
      <c r="D426">
        <f t="shared" si="43"/>
        <v>5</v>
      </c>
      <c r="E426" s="94">
        <f t="shared" si="41"/>
        <v>2500000</v>
      </c>
      <c r="F426" s="91">
        <f t="shared" si="38"/>
        <v>212500</v>
      </c>
      <c r="G426" s="91">
        <f t="shared" si="40"/>
        <v>138448065.8598128</v>
      </c>
      <c r="H426" s="96">
        <f t="shared" si="39"/>
        <v>3523.693469249085</v>
      </c>
    </row>
    <row r="427" spans="3:8" x14ac:dyDescent="0.15">
      <c r="C427">
        <f t="shared" si="42"/>
        <v>35</v>
      </c>
      <c r="D427">
        <f t="shared" si="43"/>
        <v>6</v>
      </c>
      <c r="E427" s="94">
        <f t="shared" si="41"/>
        <v>2500000</v>
      </c>
      <c r="F427" s="91">
        <f t="shared" si="38"/>
        <v>212500</v>
      </c>
      <c r="G427" s="91">
        <f t="shared" si="40"/>
        <v>138946183.92256775</v>
      </c>
      <c r="H427" s="96">
        <f t="shared" si="39"/>
        <v>3536.3712582361982</v>
      </c>
    </row>
    <row r="428" spans="3:8" x14ac:dyDescent="0.15">
      <c r="C428">
        <f t="shared" si="42"/>
        <v>35</v>
      </c>
      <c r="D428">
        <f t="shared" si="43"/>
        <v>7</v>
      </c>
      <c r="E428" s="94">
        <f t="shared" si="41"/>
        <v>2500000</v>
      </c>
      <c r="F428" s="91">
        <f t="shared" si="38"/>
        <v>212500</v>
      </c>
      <c r="G428" s="91">
        <f t="shared" si="40"/>
        <v>139445328.02697504</v>
      </c>
      <c r="H428" s="96">
        <f t="shared" si="39"/>
        <v>3549.0751613928883</v>
      </c>
    </row>
    <row r="429" spans="3:8" x14ac:dyDescent="0.15">
      <c r="C429">
        <f t="shared" si="42"/>
        <v>35</v>
      </c>
      <c r="D429">
        <f t="shared" si="43"/>
        <v>8</v>
      </c>
      <c r="E429" s="94">
        <f t="shared" si="41"/>
        <v>2500000</v>
      </c>
      <c r="F429" s="91">
        <f t="shared" si="38"/>
        <v>212500</v>
      </c>
      <c r="G429" s="91">
        <f t="shared" si="40"/>
        <v>139945500.28651246</v>
      </c>
      <c r="H429" s="96">
        <f t="shared" si="39"/>
        <v>3561.8052325100693</v>
      </c>
    </row>
    <row r="430" spans="3:8" x14ac:dyDescent="0.15">
      <c r="C430">
        <f t="shared" si="42"/>
        <v>35</v>
      </c>
      <c r="D430">
        <f t="shared" si="43"/>
        <v>9</v>
      </c>
      <c r="E430" s="94">
        <f t="shared" si="41"/>
        <v>2500000</v>
      </c>
      <c r="F430" s="91">
        <f t="shared" si="38"/>
        <v>212500</v>
      </c>
      <c r="G430" s="91">
        <f t="shared" si="40"/>
        <v>140446702.81901124</v>
      </c>
      <c r="H430" s="96">
        <f t="shared" si="39"/>
        <v>3574.5615254894551</v>
      </c>
    </row>
    <row r="431" spans="3:8" x14ac:dyDescent="0.15">
      <c r="C431">
        <f t="shared" si="42"/>
        <v>35</v>
      </c>
      <c r="D431">
        <f t="shared" si="43"/>
        <v>10</v>
      </c>
      <c r="E431" s="94">
        <f t="shared" si="41"/>
        <v>2500000</v>
      </c>
      <c r="F431" s="91">
        <f t="shared" si="38"/>
        <v>212500</v>
      </c>
      <c r="G431" s="91">
        <f t="shared" si="40"/>
        <v>140948937.746665</v>
      </c>
      <c r="H431" s="96">
        <f t="shared" si="39"/>
        <v>3587.3440943437886</v>
      </c>
    </row>
    <row r="432" spans="3:8" x14ac:dyDescent="0.15">
      <c r="C432">
        <f t="shared" si="42"/>
        <v>35</v>
      </c>
      <c r="D432">
        <f t="shared" si="43"/>
        <v>11</v>
      </c>
      <c r="E432" s="94">
        <f t="shared" si="41"/>
        <v>2500000</v>
      </c>
      <c r="F432" s="91">
        <f t="shared" si="38"/>
        <v>212500</v>
      </c>
      <c r="G432" s="91">
        <f t="shared" si="40"/>
        <v>141452207.19603872</v>
      </c>
      <c r="H432" s="96">
        <f t="shared" si="39"/>
        <v>3600.1529931970699</v>
      </c>
    </row>
    <row r="433" spans="3:8" x14ac:dyDescent="0.15">
      <c r="C433">
        <f t="shared" si="42"/>
        <v>35</v>
      </c>
      <c r="D433">
        <f t="shared" si="43"/>
        <v>12</v>
      </c>
      <c r="E433" s="94">
        <f t="shared" si="41"/>
        <v>2500000</v>
      </c>
      <c r="F433" s="91">
        <f t="shared" si="38"/>
        <v>212500</v>
      </c>
      <c r="G433" s="91">
        <f t="shared" si="40"/>
        <v>141956513.29807776</v>
      </c>
      <c r="H433" s="96">
        <f t="shared" si="39"/>
        <v>3612.9882762847856</v>
      </c>
    </row>
    <row r="434" spans="3:8" x14ac:dyDescent="0.15">
      <c r="C434">
        <f t="shared" si="42"/>
        <v>36</v>
      </c>
      <c r="D434">
        <f t="shared" si="43"/>
        <v>1</v>
      </c>
      <c r="E434" s="94">
        <f t="shared" si="41"/>
        <v>2500000</v>
      </c>
      <c r="F434" s="91">
        <f t="shared" si="38"/>
        <v>212500</v>
      </c>
      <c r="G434" s="91">
        <f t="shared" si="40"/>
        <v>142461858.18811691</v>
      </c>
      <c r="H434" s="96">
        <f t="shared" si="39"/>
        <v>3625.8499979541398</v>
      </c>
    </row>
    <row r="435" spans="3:8" x14ac:dyDescent="0.15">
      <c r="C435">
        <f t="shared" si="42"/>
        <v>36</v>
      </c>
      <c r="D435">
        <f t="shared" si="43"/>
        <v>2</v>
      </c>
      <c r="E435" s="94">
        <f t="shared" si="41"/>
        <v>2500000</v>
      </c>
      <c r="F435" s="91">
        <f t="shared" si="38"/>
        <v>212500</v>
      </c>
      <c r="G435" s="91">
        <f t="shared" si="40"/>
        <v>142968244.00588933</v>
      </c>
      <c r="H435" s="96">
        <f t="shared" si="39"/>
        <v>3638.738212664281</v>
      </c>
    </row>
    <row r="436" spans="3:8" x14ac:dyDescent="0.15">
      <c r="C436">
        <f t="shared" si="42"/>
        <v>36</v>
      </c>
      <c r="D436">
        <f t="shared" si="43"/>
        <v>3</v>
      </c>
      <c r="E436" s="94">
        <f t="shared" si="41"/>
        <v>2500000</v>
      </c>
      <c r="F436" s="91">
        <f t="shared" si="38"/>
        <v>212500</v>
      </c>
      <c r="G436" s="91">
        <f t="shared" si="40"/>
        <v>143475672.89553574</v>
      </c>
      <c r="H436" s="96">
        <f t="shared" si="39"/>
        <v>3651.6529749865358</v>
      </c>
    </row>
    <row r="437" spans="3:8" x14ac:dyDescent="0.15">
      <c r="C437">
        <f t="shared" si="42"/>
        <v>36</v>
      </c>
      <c r="D437">
        <f t="shared" si="43"/>
        <v>4</v>
      </c>
      <c r="E437" s="94">
        <f t="shared" si="41"/>
        <v>2500000</v>
      </c>
      <c r="F437" s="91">
        <f t="shared" si="38"/>
        <v>212500</v>
      </c>
      <c r="G437" s="91">
        <f t="shared" si="40"/>
        <v>143984147.00561339</v>
      </c>
      <c r="H437" s="96">
        <f t="shared" si="39"/>
        <v>3664.5943396046378</v>
      </c>
    </row>
    <row r="438" spans="3:8" x14ac:dyDescent="0.15">
      <c r="C438">
        <f t="shared" si="42"/>
        <v>36</v>
      </c>
      <c r="D438">
        <f t="shared" si="43"/>
        <v>5</v>
      </c>
      <c r="E438" s="94">
        <f t="shared" si="41"/>
        <v>2500000</v>
      </c>
      <c r="F438" s="91">
        <f t="shared" si="38"/>
        <v>212500</v>
      </c>
      <c r="G438" s="91">
        <f t="shared" si="40"/>
        <v>144493668.48910525</v>
      </c>
      <c r="H438" s="96">
        <f t="shared" si="39"/>
        <v>3677.5623613149619</v>
      </c>
    </row>
    <row r="439" spans="3:8" x14ac:dyDescent="0.15">
      <c r="C439">
        <f t="shared" si="42"/>
        <v>36</v>
      </c>
      <c r="D439">
        <f t="shared" si="43"/>
        <v>6</v>
      </c>
      <c r="E439" s="94">
        <f t="shared" si="41"/>
        <v>2500000</v>
      </c>
      <c r="F439" s="91">
        <f t="shared" si="38"/>
        <v>212500</v>
      </c>
      <c r="G439" s="91">
        <f t="shared" si="40"/>
        <v>145004239.50342909</v>
      </c>
      <c r="H439" s="96">
        <f t="shared" si="39"/>
        <v>3690.5570950267529</v>
      </c>
    </row>
    <row r="440" spans="3:8" x14ac:dyDescent="0.15">
      <c r="C440">
        <f t="shared" si="42"/>
        <v>36</v>
      </c>
      <c r="D440">
        <f t="shared" si="43"/>
        <v>7</v>
      </c>
      <c r="E440" s="94">
        <f t="shared" si="41"/>
        <v>2500000</v>
      </c>
      <c r="F440" s="91">
        <f t="shared" si="38"/>
        <v>212500</v>
      </c>
      <c r="G440" s="91">
        <f t="shared" si="40"/>
        <v>145515862.21044657</v>
      </c>
      <c r="H440" s="96">
        <f t="shared" si="39"/>
        <v>3703.5785957623607</v>
      </c>
    </row>
    <row r="441" spans="3:8" x14ac:dyDescent="0.15">
      <c r="C441">
        <f t="shared" si="42"/>
        <v>36</v>
      </c>
      <c r="D441">
        <f t="shared" si="43"/>
        <v>8</v>
      </c>
      <c r="E441" s="94">
        <f t="shared" si="41"/>
        <v>2500000</v>
      </c>
      <c r="F441" s="91">
        <f t="shared" si="38"/>
        <v>212500</v>
      </c>
      <c r="G441" s="91">
        <f t="shared" si="40"/>
        <v>146028538.77647242</v>
      </c>
      <c r="H441" s="96">
        <f t="shared" si="39"/>
        <v>3716.6269186574709</v>
      </c>
    </row>
    <row r="442" spans="3:8" x14ac:dyDescent="0.15">
      <c r="C442">
        <f t="shared" si="42"/>
        <v>36</v>
      </c>
      <c r="D442">
        <f t="shared" si="43"/>
        <v>9</v>
      </c>
      <c r="E442" s="94">
        <f t="shared" si="41"/>
        <v>2500000</v>
      </c>
      <c r="F442" s="91">
        <f t="shared" si="38"/>
        <v>212500</v>
      </c>
      <c r="G442" s="91">
        <f t="shared" si="40"/>
        <v>146542271.37228367</v>
      </c>
      <c r="H442" s="96">
        <f t="shared" si="39"/>
        <v>3729.7021189613411</v>
      </c>
    </row>
    <row r="443" spans="3:8" x14ac:dyDescent="0.15">
      <c r="C443">
        <f t="shared" si="42"/>
        <v>36</v>
      </c>
      <c r="D443">
        <f t="shared" si="43"/>
        <v>10</v>
      </c>
      <c r="E443" s="94">
        <f t="shared" si="41"/>
        <v>2500000</v>
      </c>
      <c r="F443" s="91">
        <f t="shared" si="38"/>
        <v>212500</v>
      </c>
      <c r="G443" s="91">
        <f t="shared" si="40"/>
        <v>147057062.17312878</v>
      </c>
      <c r="H443" s="96">
        <f t="shared" si="39"/>
        <v>3742.8042520370332</v>
      </c>
    </row>
    <row r="444" spans="3:8" x14ac:dyDescent="0.15">
      <c r="C444">
        <f t="shared" si="42"/>
        <v>36</v>
      </c>
      <c r="D444">
        <f t="shared" si="43"/>
        <v>11</v>
      </c>
      <c r="E444" s="94">
        <f t="shared" si="41"/>
        <v>2500000</v>
      </c>
      <c r="F444" s="91">
        <f t="shared" si="38"/>
        <v>212500</v>
      </c>
      <c r="G444" s="91">
        <f t="shared" si="40"/>
        <v>147572913.35873684</v>
      </c>
      <c r="H444" s="96">
        <f t="shared" si="39"/>
        <v>3755.9333733616463</v>
      </c>
    </row>
    <row r="445" spans="3:8" x14ac:dyDescent="0.15">
      <c r="C445">
        <f t="shared" si="42"/>
        <v>36</v>
      </c>
      <c r="D445">
        <f t="shared" si="43"/>
        <v>12</v>
      </c>
      <c r="E445" s="94">
        <f t="shared" si="41"/>
        <v>2500000</v>
      </c>
      <c r="F445" s="91">
        <f t="shared" si="38"/>
        <v>212500</v>
      </c>
      <c r="G445" s="91">
        <f t="shared" si="40"/>
        <v>148089827.11332688</v>
      </c>
      <c r="H445" s="96">
        <f t="shared" si="39"/>
        <v>3769.0895385265558</v>
      </c>
    </row>
    <row r="446" spans="3:8" x14ac:dyDescent="0.15">
      <c r="C446">
        <f t="shared" si="42"/>
        <v>37</v>
      </c>
      <c r="D446">
        <f t="shared" si="43"/>
        <v>1</v>
      </c>
      <c r="E446" s="94">
        <f t="shared" si="41"/>
        <v>2500000</v>
      </c>
      <c r="F446" s="91">
        <f t="shared" si="38"/>
        <v>212500</v>
      </c>
      <c r="G446" s="91">
        <f t="shared" si="40"/>
        <v>148607805.625617</v>
      </c>
      <c r="H446" s="96">
        <f t="shared" si="39"/>
        <v>3782.2728032376435</v>
      </c>
    </row>
    <row r="447" spans="3:8" x14ac:dyDescent="0.15">
      <c r="C447">
        <f t="shared" si="42"/>
        <v>37</v>
      </c>
      <c r="D447">
        <f t="shared" si="43"/>
        <v>2</v>
      </c>
      <c r="E447" s="94">
        <f t="shared" si="41"/>
        <v>2500000</v>
      </c>
      <c r="F447" s="91">
        <f t="shared" si="38"/>
        <v>212500</v>
      </c>
      <c r="G447" s="91">
        <f t="shared" si="40"/>
        <v>149126851.08883372</v>
      </c>
      <c r="H447" s="96">
        <f t="shared" si="39"/>
        <v>3795.483223315538</v>
      </c>
    </row>
    <row r="448" spans="3:8" x14ac:dyDescent="0.15">
      <c r="C448">
        <f t="shared" si="42"/>
        <v>37</v>
      </c>
      <c r="D448">
        <f t="shared" si="43"/>
        <v>3</v>
      </c>
      <c r="E448" s="94">
        <f t="shared" si="41"/>
        <v>2500000</v>
      </c>
      <c r="F448" s="91">
        <f t="shared" si="38"/>
        <v>212500</v>
      </c>
      <c r="G448" s="91">
        <f t="shared" si="40"/>
        <v>149646965.70072126</v>
      </c>
      <c r="H448" s="96">
        <f t="shared" si="39"/>
        <v>3808.7208546958486</v>
      </c>
    </row>
    <row r="449" spans="3:8" x14ac:dyDescent="0.15">
      <c r="C449">
        <f t="shared" si="42"/>
        <v>37</v>
      </c>
      <c r="D449">
        <f t="shared" si="43"/>
        <v>4</v>
      </c>
      <c r="E449" s="94">
        <f t="shared" si="41"/>
        <v>2500000</v>
      </c>
      <c r="F449" s="91">
        <f t="shared" si="38"/>
        <v>212500</v>
      </c>
      <c r="G449" s="91">
        <f t="shared" si="40"/>
        <v>150168151.66355085</v>
      </c>
      <c r="H449" s="96">
        <f t="shared" si="39"/>
        <v>3821.9857534294033</v>
      </c>
    </row>
    <row r="450" spans="3:8" x14ac:dyDescent="0.15">
      <c r="C450">
        <f t="shared" si="42"/>
        <v>37</v>
      </c>
      <c r="D450">
        <f t="shared" si="43"/>
        <v>5</v>
      </c>
      <c r="E450" s="94">
        <f t="shared" si="41"/>
        <v>2500000</v>
      </c>
      <c r="F450" s="91">
        <f t="shared" si="38"/>
        <v>212500</v>
      </c>
      <c r="G450" s="91">
        <f t="shared" si="40"/>
        <v>150690411.18413001</v>
      </c>
      <c r="H450" s="96">
        <f t="shared" si="39"/>
        <v>3835.2779756824852</v>
      </c>
    </row>
    <row r="451" spans="3:8" x14ac:dyDescent="0.15">
      <c r="C451">
        <f t="shared" si="42"/>
        <v>37</v>
      </c>
      <c r="D451">
        <f t="shared" si="43"/>
        <v>6</v>
      </c>
      <c r="E451" s="94">
        <f t="shared" si="41"/>
        <v>2500000</v>
      </c>
      <c r="F451" s="91">
        <f t="shared" si="38"/>
        <v>212500</v>
      </c>
      <c r="G451" s="91">
        <f t="shared" si="40"/>
        <v>151213746.47381195</v>
      </c>
      <c r="H451" s="96">
        <f t="shared" si="39"/>
        <v>3848.5975777370713</v>
      </c>
    </row>
    <row r="452" spans="3:8" x14ac:dyDescent="0.15">
      <c r="C452">
        <f t="shared" si="42"/>
        <v>37</v>
      </c>
      <c r="D452">
        <f t="shared" si="43"/>
        <v>7</v>
      </c>
      <c r="E452" s="94">
        <f t="shared" si="41"/>
        <v>2500000</v>
      </c>
      <c r="F452" s="91">
        <f t="shared" si="38"/>
        <v>212500</v>
      </c>
      <c r="G452" s="91">
        <f t="shared" si="40"/>
        <v>151738159.74850485</v>
      </c>
      <c r="H452" s="96">
        <f t="shared" si="39"/>
        <v>3861.9446159910685</v>
      </c>
    </row>
    <row r="453" spans="3:8" x14ac:dyDescent="0.15">
      <c r="C453">
        <f t="shared" si="42"/>
        <v>37</v>
      </c>
      <c r="D453">
        <f t="shared" si="43"/>
        <v>8</v>
      </c>
      <c r="E453" s="94">
        <f t="shared" si="41"/>
        <v>2500000</v>
      </c>
      <c r="F453" s="91">
        <f t="shared" si="38"/>
        <v>212500</v>
      </c>
      <c r="G453" s="91">
        <f t="shared" si="40"/>
        <v>152263653.22868136</v>
      </c>
      <c r="H453" s="96">
        <f t="shared" si="39"/>
        <v>3875.3191469585572</v>
      </c>
    </row>
    <row r="454" spans="3:8" x14ac:dyDescent="0.15">
      <c r="C454">
        <f t="shared" si="42"/>
        <v>37</v>
      </c>
      <c r="D454">
        <f t="shared" si="43"/>
        <v>9</v>
      </c>
      <c r="E454" s="94">
        <f t="shared" si="41"/>
        <v>2500000</v>
      </c>
      <c r="F454" s="91">
        <f t="shared" si="38"/>
        <v>212500</v>
      </c>
      <c r="G454" s="91">
        <f t="shared" si="40"/>
        <v>152790229.13938791</v>
      </c>
      <c r="H454" s="96">
        <f t="shared" si="39"/>
        <v>3888.7212272700244</v>
      </c>
    </row>
    <row r="455" spans="3:8" x14ac:dyDescent="0.15">
      <c r="C455">
        <f t="shared" si="42"/>
        <v>37</v>
      </c>
      <c r="D455">
        <f t="shared" si="43"/>
        <v>10</v>
      </c>
      <c r="E455" s="94">
        <f t="shared" si="41"/>
        <v>2500000</v>
      </c>
      <c r="F455" s="91">
        <f t="shared" si="38"/>
        <v>212500</v>
      </c>
      <c r="G455" s="91">
        <f t="shared" si="40"/>
        <v>153317889.71025413</v>
      </c>
      <c r="H455" s="96">
        <f t="shared" si="39"/>
        <v>3902.1509136726086</v>
      </c>
    </row>
    <row r="456" spans="3:8" x14ac:dyDescent="0.15">
      <c r="C456">
        <f t="shared" si="42"/>
        <v>37</v>
      </c>
      <c r="D456">
        <f t="shared" si="43"/>
        <v>11</v>
      </c>
      <c r="E456" s="94">
        <f t="shared" si="41"/>
        <v>2500000</v>
      </c>
      <c r="F456" s="91">
        <f t="shared" si="38"/>
        <v>212500</v>
      </c>
      <c r="G456" s="91">
        <f t="shared" si="40"/>
        <v>153846637.17550242</v>
      </c>
      <c r="H456" s="96">
        <f t="shared" si="39"/>
        <v>3915.6082630303376</v>
      </c>
    </row>
    <row r="457" spans="3:8" x14ac:dyDescent="0.15">
      <c r="C457">
        <f t="shared" si="42"/>
        <v>37</v>
      </c>
      <c r="D457">
        <f t="shared" si="43"/>
        <v>12</v>
      </c>
      <c r="E457" s="94">
        <f t="shared" si="41"/>
        <v>2500000</v>
      </c>
      <c r="F457" s="91">
        <f t="shared" si="38"/>
        <v>212500</v>
      </c>
      <c r="G457" s="91">
        <f t="shared" si="40"/>
        <v>154376473.77395719</v>
      </c>
      <c r="H457" s="96">
        <f t="shared" si="39"/>
        <v>3929.0933323243694</v>
      </c>
    </row>
    <row r="458" spans="3:8" x14ac:dyDescent="0.15">
      <c r="C458">
        <f t="shared" si="42"/>
        <v>38</v>
      </c>
      <c r="D458">
        <f t="shared" si="43"/>
        <v>1</v>
      </c>
      <c r="E458" s="94">
        <f t="shared" si="41"/>
        <v>2500000</v>
      </c>
      <c r="F458" s="91">
        <f t="shared" si="38"/>
        <v>212500</v>
      </c>
      <c r="G458" s="91">
        <f t="shared" si="40"/>
        <v>154907401.74905455</v>
      </c>
      <c r="H458" s="96">
        <f t="shared" si="39"/>
        <v>3942.6061786532341</v>
      </c>
    </row>
    <row r="459" spans="3:8" x14ac:dyDescent="0.15">
      <c r="C459">
        <f t="shared" si="42"/>
        <v>38</v>
      </c>
      <c r="D459">
        <f t="shared" si="43"/>
        <v>2</v>
      </c>
      <c r="E459" s="94">
        <f t="shared" si="41"/>
        <v>2500000</v>
      </c>
      <c r="F459" s="91">
        <f t="shared" si="38"/>
        <v>212500</v>
      </c>
      <c r="G459" s="91">
        <f t="shared" si="40"/>
        <v>155439423.34885171</v>
      </c>
      <c r="H459" s="96">
        <f t="shared" si="39"/>
        <v>3956.1468592330766</v>
      </c>
    </row>
    <row r="460" spans="3:8" x14ac:dyDescent="0.15">
      <c r="C460">
        <f t="shared" si="42"/>
        <v>38</v>
      </c>
      <c r="D460">
        <f t="shared" si="43"/>
        <v>3</v>
      </c>
      <c r="E460" s="94">
        <f t="shared" si="41"/>
        <v>2500000</v>
      </c>
      <c r="F460" s="91">
        <f t="shared" si="38"/>
        <v>212500</v>
      </c>
      <c r="G460" s="91">
        <f t="shared" si="40"/>
        <v>155972540.82603645</v>
      </c>
      <c r="H460" s="96">
        <f t="shared" si="39"/>
        <v>3969.7154313978949</v>
      </c>
    </row>
    <row r="461" spans="3:8" x14ac:dyDescent="0.15">
      <c r="C461">
        <f t="shared" si="42"/>
        <v>38</v>
      </c>
      <c r="D461">
        <f t="shared" si="43"/>
        <v>4</v>
      </c>
      <c r="E461" s="94">
        <f t="shared" si="41"/>
        <v>2500000</v>
      </c>
      <c r="F461" s="91">
        <f t="shared" si="38"/>
        <v>212500</v>
      </c>
      <c r="G461" s="91">
        <f t="shared" si="40"/>
        <v>156506756.43793678</v>
      </c>
      <c r="H461" s="96">
        <f t="shared" si="39"/>
        <v>3983.3119525997886</v>
      </c>
    </row>
    <row r="462" spans="3:8" x14ac:dyDescent="0.15">
      <c r="C462">
        <f t="shared" si="42"/>
        <v>38</v>
      </c>
      <c r="D462">
        <f t="shared" si="43"/>
        <v>5</v>
      </c>
      <c r="E462" s="94">
        <f t="shared" si="41"/>
        <v>2500000</v>
      </c>
      <c r="F462" s="91">
        <f t="shared" si="38"/>
        <v>212500</v>
      </c>
      <c r="G462" s="91">
        <f t="shared" si="40"/>
        <v>157042072.44653043</v>
      </c>
      <c r="H462" s="96">
        <f t="shared" si="39"/>
        <v>3996.9364804091979</v>
      </c>
    </row>
    <row r="463" spans="3:8" x14ac:dyDescent="0.15">
      <c r="C463">
        <f t="shared" si="42"/>
        <v>38</v>
      </c>
      <c r="D463">
        <f t="shared" si="43"/>
        <v>6</v>
      </c>
      <c r="E463" s="94">
        <f t="shared" si="41"/>
        <v>2500000</v>
      </c>
      <c r="F463" s="91">
        <f t="shared" ref="F463:F493" si="44">IF(E463/$D$3&lt;$D$2*(1+$D$11)^(C463-1),0.1*E463,0.1*$D$2*$D$3*(1+$D$11)^(C463-1))*(1-$D$9)</f>
        <v>212500</v>
      </c>
      <c r="G463" s="91">
        <f t="shared" si="40"/>
        <v>157578491.1184544</v>
      </c>
      <c r="H463" s="96">
        <f t="shared" ref="H463:H493" si="45">G463/$D$3</f>
        <v>4010.589072515148</v>
      </c>
    </row>
    <row r="464" spans="3:8" x14ac:dyDescent="0.15">
      <c r="C464">
        <f t="shared" si="42"/>
        <v>38</v>
      </c>
      <c r="D464">
        <f t="shared" si="43"/>
        <v>7</v>
      </c>
      <c r="E464" s="94">
        <f t="shared" si="41"/>
        <v>2500000</v>
      </c>
      <c r="F464" s="91">
        <f t="shared" si="44"/>
        <v>212500</v>
      </c>
      <c r="G464" s="91">
        <f t="shared" ref="G464:G493" si="46">(F464+G463)*(1+$D$5)</f>
        <v>158116014.72501463</v>
      </c>
      <c r="H464" s="96">
        <f t="shared" si="45"/>
        <v>4024.2697867254956</v>
      </c>
    </row>
    <row r="465" spans="3:8" x14ac:dyDescent="0.15">
      <c r="C465">
        <f t="shared" si="42"/>
        <v>38</v>
      </c>
      <c r="D465">
        <f t="shared" si="43"/>
        <v>8</v>
      </c>
      <c r="E465" s="94">
        <f t="shared" ref="E465:E493" si="47">E464</f>
        <v>2500000</v>
      </c>
      <c r="F465" s="91">
        <f t="shared" si="44"/>
        <v>212500</v>
      </c>
      <c r="G465" s="91">
        <f t="shared" si="46"/>
        <v>158654645.54219553</v>
      </c>
      <c r="H465" s="96">
        <f t="shared" si="45"/>
        <v>4037.9786809671705</v>
      </c>
    </row>
    <row r="466" spans="3:8" x14ac:dyDescent="0.15">
      <c r="C466">
        <f t="shared" si="42"/>
        <v>38</v>
      </c>
      <c r="D466">
        <f t="shared" si="43"/>
        <v>9</v>
      </c>
      <c r="E466" s="94">
        <f t="shared" si="47"/>
        <v>2500000</v>
      </c>
      <c r="F466" s="91">
        <f t="shared" si="44"/>
        <v>212500</v>
      </c>
      <c r="G466" s="91">
        <f t="shared" si="46"/>
        <v>159194385.85066974</v>
      </c>
      <c r="H466" s="96">
        <f t="shared" si="45"/>
        <v>4051.7158132864247</v>
      </c>
    </row>
    <row r="467" spans="3:8" x14ac:dyDescent="0.15">
      <c r="C467">
        <f t="shared" si="42"/>
        <v>38</v>
      </c>
      <c r="D467">
        <f t="shared" si="43"/>
        <v>10</v>
      </c>
      <c r="E467" s="94">
        <f t="shared" si="47"/>
        <v>2500000</v>
      </c>
      <c r="F467" s="91">
        <f t="shared" si="44"/>
        <v>212500</v>
      </c>
      <c r="G467" s="91">
        <f t="shared" si="46"/>
        <v>159735237.93580765</v>
      </c>
      <c r="H467" s="96">
        <f t="shared" si="45"/>
        <v>4065.4812418490737</v>
      </c>
    </row>
    <row r="468" spans="3:8" x14ac:dyDescent="0.15">
      <c r="C468">
        <f t="shared" si="42"/>
        <v>38</v>
      </c>
      <c r="D468">
        <f t="shared" si="43"/>
        <v>11</v>
      </c>
      <c r="E468" s="94">
        <f t="shared" si="47"/>
        <v>2500000</v>
      </c>
      <c r="F468" s="91">
        <f t="shared" si="44"/>
        <v>212500</v>
      </c>
      <c r="G468" s="91">
        <f t="shared" si="46"/>
        <v>160277204.08768713</v>
      </c>
      <c r="H468" s="96">
        <f t="shared" si="45"/>
        <v>4079.2750249407463</v>
      </c>
    </row>
    <row r="469" spans="3:8" x14ac:dyDescent="0.15">
      <c r="C469">
        <f t="shared" si="42"/>
        <v>38</v>
      </c>
      <c r="D469">
        <f t="shared" si="43"/>
        <v>12</v>
      </c>
      <c r="E469" s="94">
        <f t="shared" si="47"/>
        <v>2500000</v>
      </c>
      <c r="F469" s="91">
        <f t="shared" si="44"/>
        <v>212500</v>
      </c>
      <c r="G469" s="91">
        <f t="shared" si="46"/>
        <v>160820286.60110328</v>
      </c>
      <c r="H469" s="96">
        <f t="shared" si="45"/>
        <v>4093.0972209671286</v>
      </c>
    </row>
    <row r="470" spans="3:8" x14ac:dyDescent="0.15">
      <c r="C470">
        <f t="shared" si="42"/>
        <v>39</v>
      </c>
      <c r="D470">
        <f t="shared" si="43"/>
        <v>1</v>
      </c>
      <c r="E470" s="94">
        <f t="shared" si="47"/>
        <v>2500000</v>
      </c>
      <c r="F470" s="91">
        <f t="shared" si="44"/>
        <v>212500</v>
      </c>
      <c r="G470" s="91">
        <f t="shared" si="46"/>
        <v>161364487.77557808</v>
      </c>
      <c r="H470" s="96">
        <f t="shared" si="45"/>
        <v>4106.947888454215</v>
      </c>
    </row>
    <row r="471" spans="3:8" x14ac:dyDescent="0.15">
      <c r="C471">
        <f t="shared" si="42"/>
        <v>39</v>
      </c>
      <c r="D471">
        <f t="shared" si="43"/>
        <v>2</v>
      </c>
      <c r="E471" s="94">
        <f t="shared" si="47"/>
        <v>2500000</v>
      </c>
      <c r="F471" s="91">
        <f t="shared" si="44"/>
        <v>212500</v>
      </c>
      <c r="G471" s="91">
        <f t="shared" si="46"/>
        <v>161909809.91537017</v>
      </c>
      <c r="H471" s="96">
        <f t="shared" si="45"/>
        <v>4120.8270860485536</v>
      </c>
    </row>
    <row r="472" spans="3:8" x14ac:dyDescent="0.15">
      <c r="C472">
        <f t="shared" si="42"/>
        <v>39</v>
      </c>
      <c r="D472">
        <f t="shared" si="43"/>
        <v>3</v>
      </c>
      <c r="E472" s="94">
        <f t="shared" si="47"/>
        <v>2500000</v>
      </c>
      <c r="F472" s="91">
        <f t="shared" si="44"/>
        <v>212500</v>
      </c>
      <c r="G472" s="91">
        <f t="shared" si="46"/>
        <v>162456255.32948452</v>
      </c>
      <c r="H472" s="96">
        <f t="shared" si="45"/>
        <v>4134.7348725174925</v>
      </c>
    </row>
    <row r="473" spans="3:8" x14ac:dyDescent="0.15">
      <c r="C473">
        <f t="shared" si="42"/>
        <v>39</v>
      </c>
      <c r="D473">
        <f t="shared" si="43"/>
        <v>4</v>
      </c>
      <c r="E473" s="94">
        <f t="shared" si="47"/>
        <v>2500000</v>
      </c>
      <c r="F473" s="91">
        <f t="shared" si="44"/>
        <v>212500</v>
      </c>
      <c r="G473" s="91">
        <f t="shared" si="46"/>
        <v>163003826.33168238</v>
      </c>
      <c r="H473" s="96">
        <f t="shared" si="45"/>
        <v>4148.6713067494338</v>
      </c>
    </row>
    <row r="474" spans="3:8" x14ac:dyDescent="0.15">
      <c r="C474">
        <f t="shared" si="42"/>
        <v>39</v>
      </c>
      <c r="D474">
        <f t="shared" si="43"/>
        <v>5</v>
      </c>
      <c r="E474" s="94">
        <f t="shared" si="47"/>
        <v>2500000</v>
      </c>
      <c r="F474" s="91">
        <f t="shared" si="44"/>
        <v>212500</v>
      </c>
      <c r="G474" s="91">
        <f t="shared" si="46"/>
        <v>163552525.24049088</v>
      </c>
      <c r="H474" s="96">
        <f t="shared" si="45"/>
        <v>4162.6364477540783</v>
      </c>
    </row>
    <row r="475" spans="3:8" x14ac:dyDescent="0.15">
      <c r="C475">
        <f t="shared" si="42"/>
        <v>39</v>
      </c>
      <c r="D475">
        <f t="shared" si="43"/>
        <v>6</v>
      </c>
      <c r="E475" s="94">
        <f t="shared" si="47"/>
        <v>2500000</v>
      </c>
      <c r="F475" s="91">
        <f t="shared" si="44"/>
        <v>212500</v>
      </c>
      <c r="G475" s="91">
        <f t="shared" si="46"/>
        <v>164102354.37921295</v>
      </c>
      <c r="H475" s="96">
        <f t="shared" si="45"/>
        <v>4176.6303546626777</v>
      </c>
    </row>
    <row r="476" spans="3:8" x14ac:dyDescent="0.15">
      <c r="C476">
        <f t="shared" si="42"/>
        <v>39</v>
      </c>
      <c r="D476">
        <f t="shared" si="43"/>
        <v>7</v>
      </c>
      <c r="E476" s="94">
        <f t="shared" si="47"/>
        <v>2500000</v>
      </c>
      <c r="F476" s="91">
        <f t="shared" si="44"/>
        <v>212500</v>
      </c>
      <c r="G476" s="91">
        <f t="shared" si="46"/>
        <v>164653316.07593718</v>
      </c>
      <c r="H476" s="96">
        <f t="shared" si="45"/>
        <v>4190.6530867282836</v>
      </c>
    </row>
    <row r="477" spans="3:8" x14ac:dyDescent="0.15">
      <c r="C477">
        <f t="shared" si="42"/>
        <v>39</v>
      </c>
      <c r="D477">
        <f t="shared" si="43"/>
        <v>8</v>
      </c>
      <c r="E477" s="94">
        <f t="shared" si="47"/>
        <v>2500000</v>
      </c>
      <c r="F477" s="91">
        <f t="shared" si="44"/>
        <v>212500</v>
      </c>
      <c r="G477" s="91">
        <f t="shared" si="46"/>
        <v>165205412.66354761</v>
      </c>
      <c r="H477" s="96">
        <f t="shared" si="45"/>
        <v>4204.7047033260005</v>
      </c>
    </row>
    <row r="478" spans="3:8" x14ac:dyDescent="0.15">
      <c r="C478">
        <f t="shared" si="42"/>
        <v>39</v>
      </c>
      <c r="D478">
        <f t="shared" si="43"/>
        <v>9</v>
      </c>
      <c r="E478" s="94">
        <f t="shared" si="47"/>
        <v>2500000</v>
      </c>
      <c r="F478" s="91">
        <f t="shared" si="44"/>
        <v>212500</v>
      </c>
      <c r="G478" s="91">
        <f t="shared" si="46"/>
        <v>165758646.47973365</v>
      </c>
      <c r="H478" s="96">
        <f t="shared" si="45"/>
        <v>4218.7852639532357</v>
      </c>
    </row>
    <row r="479" spans="3:8" x14ac:dyDescent="0.15">
      <c r="C479">
        <f t="shared" si="42"/>
        <v>39</v>
      </c>
      <c r="D479">
        <f t="shared" si="43"/>
        <v>10</v>
      </c>
      <c r="E479" s="94">
        <f t="shared" si="47"/>
        <v>2500000</v>
      </c>
      <c r="F479" s="91">
        <f t="shared" si="44"/>
        <v>212500</v>
      </c>
      <c r="G479" s="91">
        <f t="shared" si="46"/>
        <v>166313019.86699998</v>
      </c>
      <c r="H479" s="96">
        <f t="shared" si="45"/>
        <v>4232.8948282299507</v>
      </c>
    </row>
    <row r="480" spans="3:8" x14ac:dyDescent="0.15">
      <c r="C480">
        <f t="shared" si="42"/>
        <v>39</v>
      </c>
      <c r="D480">
        <f t="shared" si="43"/>
        <v>11</v>
      </c>
      <c r="E480" s="94">
        <f t="shared" si="47"/>
        <v>2500000</v>
      </c>
      <c r="F480" s="91">
        <f t="shared" si="44"/>
        <v>212500</v>
      </c>
      <c r="G480" s="91">
        <f t="shared" si="46"/>
        <v>166868535.17267644</v>
      </c>
      <c r="H480" s="96">
        <f t="shared" si="45"/>
        <v>4247.0334558989143</v>
      </c>
    </row>
    <row r="481" spans="3:8" x14ac:dyDescent="0.15">
      <c r="C481">
        <f t="shared" ref="C481:C493" si="48">IF(MOD(D480,12)=0,C480+1,C480)</f>
        <v>39</v>
      </c>
      <c r="D481">
        <f t="shared" ref="D481:D493" si="49">IF(MOD(D480,12)=0,1,D480+1)</f>
        <v>12</v>
      </c>
      <c r="E481" s="94">
        <f t="shared" si="47"/>
        <v>2500000</v>
      </c>
      <c r="F481" s="91">
        <f t="shared" si="44"/>
        <v>212500</v>
      </c>
      <c r="G481" s="91">
        <f t="shared" si="46"/>
        <v>167425194.74892798</v>
      </c>
      <c r="H481" s="96">
        <f t="shared" si="45"/>
        <v>4261.2012068259564</v>
      </c>
    </row>
    <row r="482" spans="3:8" x14ac:dyDescent="0.15">
      <c r="C482">
        <f t="shared" si="48"/>
        <v>40</v>
      </c>
      <c r="D482">
        <f t="shared" si="49"/>
        <v>1</v>
      </c>
      <c r="E482" s="94">
        <f t="shared" si="47"/>
        <v>2500000</v>
      </c>
      <c r="F482" s="91">
        <f t="shared" si="44"/>
        <v>212500</v>
      </c>
      <c r="G482" s="91">
        <f t="shared" si="46"/>
        <v>167983000.95276466</v>
      </c>
      <c r="H482" s="96">
        <f t="shared" si="45"/>
        <v>4275.3981410002198</v>
      </c>
    </row>
    <row r="483" spans="3:8" x14ac:dyDescent="0.15">
      <c r="C483">
        <f t="shared" si="48"/>
        <v>40</v>
      </c>
      <c r="D483">
        <f t="shared" si="49"/>
        <v>2</v>
      </c>
      <c r="E483" s="94">
        <f t="shared" si="47"/>
        <v>2500000</v>
      </c>
      <c r="F483" s="91">
        <f t="shared" si="44"/>
        <v>212500</v>
      </c>
      <c r="G483" s="91">
        <f t="shared" si="46"/>
        <v>168541956.14605153</v>
      </c>
      <c r="H483" s="96">
        <f t="shared" si="45"/>
        <v>4289.6243185344165</v>
      </c>
    </row>
    <row r="484" spans="3:8" x14ac:dyDescent="0.15">
      <c r="C484">
        <f t="shared" si="48"/>
        <v>40</v>
      </c>
      <c r="D484">
        <f t="shared" si="49"/>
        <v>3</v>
      </c>
      <c r="E484" s="94">
        <f t="shared" si="47"/>
        <v>2500000</v>
      </c>
      <c r="F484" s="91">
        <f t="shared" si="44"/>
        <v>212500</v>
      </c>
      <c r="G484" s="91">
        <f t="shared" si="46"/>
        <v>169102062.69551876</v>
      </c>
      <c r="H484" s="96">
        <f t="shared" si="45"/>
        <v>4303.8797996650792</v>
      </c>
    </row>
    <row r="485" spans="3:8" x14ac:dyDescent="0.15">
      <c r="C485">
        <f t="shared" si="48"/>
        <v>40</v>
      </c>
      <c r="D485">
        <f t="shared" si="49"/>
        <v>4</v>
      </c>
      <c r="E485" s="94">
        <f t="shared" si="47"/>
        <v>2500000</v>
      </c>
      <c r="F485" s="91">
        <f t="shared" si="44"/>
        <v>212500</v>
      </c>
      <c r="G485" s="91">
        <f t="shared" si="46"/>
        <v>169663322.97277156</v>
      </c>
      <c r="H485" s="96">
        <f t="shared" si="45"/>
        <v>4318.1646447528192</v>
      </c>
    </row>
    <row r="486" spans="3:8" x14ac:dyDescent="0.15">
      <c r="C486">
        <f t="shared" si="48"/>
        <v>40</v>
      </c>
      <c r="D486">
        <f t="shared" si="49"/>
        <v>5</v>
      </c>
      <c r="E486" s="94">
        <f t="shared" si="47"/>
        <v>2500000</v>
      </c>
      <c r="F486" s="91">
        <f t="shared" si="44"/>
        <v>212500</v>
      </c>
      <c r="G486" s="91">
        <f t="shared" si="46"/>
        <v>170225739.35430026</v>
      </c>
      <c r="H486" s="96">
        <f t="shared" si="45"/>
        <v>4332.4789142825794</v>
      </c>
    </row>
    <row r="487" spans="3:8" x14ac:dyDescent="0.15">
      <c r="C487">
        <f t="shared" si="48"/>
        <v>40</v>
      </c>
      <c r="D487">
        <f t="shared" si="49"/>
        <v>6</v>
      </c>
      <c r="E487" s="94">
        <f t="shared" si="47"/>
        <v>2500000</v>
      </c>
      <c r="F487" s="91">
        <f t="shared" si="44"/>
        <v>212500</v>
      </c>
      <c r="G487" s="91">
        <f t="shared" si="46"/>
        <v>170789314.22149038</v>
      </c>
      <c r="H487" s="96">
        <f t="shared" si="45"/>
        <v>4346.8226688638933</v>
      </c>
    </row>
    <row r="488" spans="3:8" x14ac:dyDescent="0.15">
      <c r="C488">
        <f t="shared" si="48"/>
        <v>40</v>
      </c>
      <c r="D488">
        <f t="shared" si="49"/>
        <v>7</v>
      </c>
      <c r="E488" s="94">
        <f t="shared" si="47"/>
        <v>2500000</v>
      </c>
      <c r="F488" s="91">
        <f t="shared" si="44"/>
        <v>212500</v>
      </c>
      <c r="G488" s="91">
        <f t="shared" si="46"/>
        <v>171354049.96063271</v>
      </c>
      <c r="H488" s="96">
        <f t="shared" si="45"/>
        <v>4361.1959692311393</v>
      </c>
    </row>
    <row r="489" spans="3:8" x14ac:dyDescent="0.15">
      <c r="C489">
        <f t="shared" si="48"/>
        <v>40</v>
      </c>
      <c r="D489">
        <f t="shared" si="49"/>
        <v>8</v>
      </c>
      <c r="E489" s="94">
        <f t="shared" si="47"/>
        <v>2500000</v>
      </c>
      <c r="F489" s="91">
        <f t="shared" si="44"/>
        <v>212500</v>
      </c>
      <c r="G489" s="91">
        <f t="shared" si="46"/>
        <v>171919948.96293342</v>
      </c>
      <c r="H489" s="96">
        <f t="shared" si="45"/>
        <v>4375.5988762438001</v>
      </c>
    </row>
    <row r="490" spans="3:8" x14ac:dyDescent="0.15">
      <c r="C490">
        <f t="shared" si="48"/>
        <v>40</v>
      </c>
      <c r="D490">
        <f t="shared" si="49"/>
        <v>9</v>
      </c>
      <c r="E490" s="94">
        <f t="shared" si="47"/>
        <v>2500000</v>
      </c>
      <c r="F490" s="91">
        <f t="shared" si="44"/>
        <v>212500</v>
      </c>
      <c r="G490" s="91">
        <f t="shared" si="46"/>
        <v>172487013.62452412</v>
      </c>
      <c r="H490" s="96">
        <f t="shared" si="45"/>
        <v>4390.0314508867159</v>
      </c>
    </row>
    <row r="491" spans="3:8" x14ac:dyDescent="0.15">
      <c r="C491">
        <f t="shared" si="48"/>
        <v>40</v>
      </c>
      <c r="D491">
        <f t="shared" si="49"/>
        <v>10</v>
      </c>
      <c r="E491" s="94">
        <f t="shared" si="47"/>
        <v>2500000</v>
      </c>
      <c r="F491" s="91">
        <f t="shared" si="44"/>
        <v>212500</v>
      </c>
      <c r="G491" s="91">
        <f t="shared" si="46"/>
        <v>173055246.34647211</v>
      </c>
      <c r="H491" s="96">
        <f t="shared" si="45"/>
        <v>4404.4937542703492</v>
      </c>
    </row>
    <row r="492" spans="3:8" x14ac:dyDescent="0.15">
      <c r="C492">
        <f t="shared" si="48"/>
        <v>40</v>
      </c>
      <c r="D492">
        <f t="shared" si="49"/>
        <v>11</v>
      </c>
      <c r="E492" s="94">
        <f t="shared" si="47"/>
        <v>2500000</v>
      </c>
      <c r="F492" s="91">
        <f t="shared" si="44"/>
        <v>212500</v>
      </c>
      <c r="G492" s="91">
        <f t="shared" si="46"/>
        <v>173624649.53479049</v>
      </c>
      <c r="H492" s="96">
        <f t="shared" si="45"/>
        <v>4418.9858476310364</v>
      </c>
    </row>
    <row r="493" spans="3:8" x14ac:dyDescent="0.15">
      <c r="C493">
        <f t="shared" si="48"/>
        <v>40</v>
      </c>
      <c r="D493">
        <f t="shared" si="49"/>
        <v>12</v>
      </c>
      <c r="E493" s="94">
        <f t="shared" si="47"/>
        <v>2500000</v>
      </c>
      <c r="F493" s="91">
        <f t="shared" si="44"/>
        <v>212500</v>
      </c>
      <c r="G493" s="91">
        <f t="shared" si="46"/>
        <v>174195225.60044831</v>
      </c>
      <c r="H493" s="96">
        <f t="shared" si="45"/>
        <v>4433.5077923312547</v>
      </c>
    </row>
    <row r="494" spans="3:8" x14ac:dyDescent="0.15">
      <c r="G494" s="90"/>
    </row>
  </sheetData>
  <pageMargins left="0.7" right="0.7" top="0.75" bottom="0.75" header="0.3" footer="0.3"/>
  <pageSetup orientation="portrait" verticalDpi="300" r:id="rId1"/>
  <headerFooter>
    <oddFooter>&amp;L&amp;1#&amp;"Calibri"&amp;9&amp;K737373Classification: Customer Confidential</oddFooter>
  </headerFooter>
  <customProperties>
    <customPr name="QAA_DRILLPATH_NODE_ID" r:id="rId2"/>
  </customPropertie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6"/>
  <dimension ref="A1:P12"/>
  <sheetViews>
    <sheetView workbookViewId="0">
      <selection activeCell="A9" sqref="A9:G9"/>
    </sheetView>
  </sheetViews>
  <sheetFormatPr baseColWidth="10" defaultColWidth="11.33203125" defaultRowHeight="13" x14ac:dyDescent="0.15"/>
  <cols>
    <col min="1" max="16384" width="11.33203125" style="114"/>
  </cols>
  <sheetData>
    <row r="1" spans="1:16" x14ac:dyDescent="0.15">
      <c r="A1" s="222" t="s">
        <v>96</v>
      </c>
      <c r="B1" s="222"/>
      <c r="C1" s="222"/>
      <c r="D1" s="222"/>
      <c r="E1" s="222"/>
      <c r="F1" s="222"/>
      <c r="G1" s="222"/>
    </row>
    <row r="3" spans="1:16" x14ac:dyDescent="0.15">
      <c r="A3" s="223" t="s">
        <v>97</v>
      </c>
      <c r="B3" s="223"/>
      <c r="C3" s="223"/>
      <c r="D3" s="223"/>
      <c r="E3" s="223"/>
      <c r="F3" s="223"/>
      <c r="G3" s="223"/>
      <c r="H3" s="223"/>
      <c r="I3" s="223"/>
      <c r="J3" s="223"/>
      <c r="K3" s="223"/>
    </row>
    <row r="5" spans="1:16" x14ac:dyDescent="0.15">
      <c r="A5" s="224" t="s">
        <v>98</v>
      </c>
      <c r="B5" s="222"/>
      <c r="C5" s="222"/>
      <c r="D5" s="222"/>
      <c r="E5" s="222"/>
      <c r="F5" s="222"/>
      <c r="G5" s="222"/>
    </row>
    <row r="6" spans="1:16" x14ac:dyDescent="0.15">
      <c r="A6" s="223" t="s">
        <v>99</v>
      </c>
      <c r="B6" s="223"/>
      <c r="C6" s="223"/>
      <c r="D6" s="223"/>
      <c r="E6" s="223"/>
      <c r="F6" s="223"/>
      <c r="G6" s="223"/>
      <c r="H6" s="223"/>
      <c r="I6" s="223"/>
      <c r="J6" s="223"/>
      <c r="K6" s="223"/>
      <c r="L6" s="223"/>
      <c r="M6" s="223"/>
      <c r="N6" s="223"/>
      <c r="O6" s="223"/>
      <c r="P6" s="223"/>
    </row>
    <row r="7" spans="1:16" x14ac:dyDescent="0.15">
      <c r="A7" s="114" t="s">
        <v>100</v>
      </c>
    </row>
    <row r="9" spans="1:16" x14ac:dyDescent="0.15">
      <c r="A9" s="224" t="s">
        <v>101</v>
      </c>
      <c r="B9" s="222"/>
      <c r="C9" s="222"/>
      <c r="D9" s="222"/>
      <c r="E9" s="222"/>
      <c r="F9" s="222"/>
      <c r="G9" s="222"/>
    </row>
    <row r="10" spans="1:16" x14ac:dyDescent="0.15">
      <c r="A10" s="114" t="s">
        <v>102</v>
      </c>
    </row>
    <row r="12" spans="1:16" x14ac:dyDescent="0.15">
      <c r="A12" s="114" t="s">
        <v>103</v>
      </c>
    </row>
  </sheetData>
  <mergeCells count="5">
    <mergeCell ref="A1:G1"/>
    <mergeCell ref="A3:K3"/>
    <mergeCell ref="A6:P6"/>
    <mergeCell ref="A5:G5"/>
    <mergeCell ref="A9:G9"/>
  </mergeCells>
  <pageMargins left="0.7" right="0.7" top="0.75" bottom="0.75" header="0.3" footer="0.3"/>
  <pageSetup orientation="portrait" verticalDpi="300" r:id="rId1"/>
  <headerFooter>
    <oddFooter>&amp;L&amp;1#&amp;"Calibri"&amp;9&amp;K737373Classification: Customer Confidential</oddFooter>
  </headerFooter>
  <customProperties>
    <customPr name="QAA_DRILLPATH_NODE_ID" r:id="rId2"/>
  </customProperti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WorkbookDrillPathInfo xmlns:xsd="http://www.w3.org/2001/XMLSchema" xmlns:xsi="http://www.w3.org/2001/XMLSchema-instance" xmlns="http://www.infor.com/qaa/DrillPath">
  <CurrentDrillPath>
    <DrillPathNode AnalysisType="NONE" Id="00763c82-f0d2-4d83-b487-8b75a40c4915" Name="Antecedentes" HandleSummaryReportOnly="false">
      <SuppressZero>false</SuppressZero>
      <Children/>
    </DrillPathNode>
    <DrillPathNode AnalysisType="NONE" Id="40bfce85-0298-4e62-8878-4db6405692e2" Name="APV-A" HandleSummaryReportOnly="false">
      <SuppressZero>false</SuppressZero>
      <Children/>
    </DrillPathNode>
    <DrillPathNode AnalysisType="NONE" Id="75b52342-13d4-40c9-8b8e-f3b1316c4471" Name="APV-B" HandleSummaryReportOnly="false">
      <SuppressZero>false</SuppressZero>
      <Children/>
    </DrillPathNode>
    <DrillPathNode AnalysisType="NONE" Id="efcfe60b-946f-405f-8d91-bf0695ab0509" Name="UF" HandleSummaryReportOnly="false" Source="">
      <SuppressZero>false</SuppressZero>
      <Children/>
    </DrillPathNode>
  </CurrentDrillPath>
  <SavedDrillPath/>
</WorkbookDrillPathInfo>
</file>

<file path=customXml/itemProps1.xml><?xml version="1.0" encoding="utf-8"?>
<ds:datastoreItem xmlns:ds="http://schemas.openxmlformats.org/officeDocument/2006/customXml" ds:itemID="{EEB08E6B-A1F6-46F0-AC43-4022E83BE2D0}">
  <ds:schemaRefs>
    <ds:schemaRef ds:uri="http://www.w3.org/2001/XMLSchema"/>
    <ds:schemaRef ds:uri="http://www.infor.com/qaa/DrillPath"/>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Hojas de cálculo</vt:lpstr>
      </vt:variant>
      <vt:variant>
        <vt:i4>7</vt:i4>
      </vt:variant>
      <vt:variant>
        <vt:lpstr>Rangos con nombre</vt:lpstr>
      </vt:variant>
      <vt:variant>
        <vt:i4>12</vt:i4>
      </vt:variant>
    </vt:vector>
  </HeadingPairs>
  <TitlesOfParts>
    <vt:vector size="19" baseType="lpstr">
      <vt:lpstr>Antecedentes</vt:lpstr>
      <vt:lpstr>APV-A</vt:lpstr>
      <vt:lpstr>APV-B</vt:lpstr>
      <vt:lpstr>UF</vt:lpstr>
      <vt:lpstr>Impuesto</vt:lpstr>
      <vt:lpstr>ahorro oblg</vt:lpstr>
      <vt:lpstr>Control de Cambios</vt:lpstr>
      <vt:lpstr>ahorroacum</vt:lpstr>
      <vt:lpstr>'APV-A'!Área_de_impresión</vt:lpstr>
      <vt:lpstr>'APV-B'!Área_de_impresión</vt:lpstr>
      <vt:lpstr>CNU_H</vt:lpstr>
      <vt:lpstr>CNU_M</vt:lpstr>
      <vt:lpstr>cot_oblg</vt:lpstr>
      <vt:lpstr>edadjub</vt:lpstr>
      <vt:lpstr>tabla</vt:lpstr>
      <vt:lpstr>Tabla1</vt:lpstr>
      <vt:lpstr>TMg</vt:lpstr>
      <vt:lpstr>uf</vt:lpstr>
      <vt:lpstr>utm</vt:lpstr>
    </vt:vector>
  </TitlesOfParts>
  <Manager/>
  <Company>Principal</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c110936</dc:creator>
  <cp:keywords/>
  <dc:description/>
  <cp:lastModifiedBy>Arriagada, Joaquin</cp:lastModifiedBy>
  <cp:revision/>
  <dcterms:created xsi:type="dcterms:W3CDTF">2010-02-02T15:49:21Z</dcterms:created>
  <dcterms:modified xsi:type="dcterms:W3CDTF">2025-07-02T00:31:39Z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SV_QUERY_LIST_4F35BF76-6C0D-4D9B-82B2-816C12CF3733">
    <vt:lpwstr>empty_477D106A-C0D6-4607-AEBD-E2C9D60EA279</vt:lpwstr>
  </property>
  <property fmtid="{D5CDD505-2E9C-101B-9397-08002B2CF9AE}" pid="4" name="MSIP_Label_d6ee3f6f-dfa9-4d1e-aa5d-d0dea03c4102_Enabled">
    <vt:lpwstr>true</vt:lpwstr>
  </property>
  <property fmtid="{D5CDD505-2E9C-101B-9397-08002B2CF9AE}" pid="5" name="MSIP_Label_d6ee3f6f-dfa9-4d1e-aa5d-d0dea03c4102_SetDate">
    <vt:lpwstr>2023-05-15T21:01:38Z</vt:lpwstr>
  </property>
  <property fmtid="{D5CDD505-2E9C-101B-9397-08002B2CF9AE}" pid="6" name="MSIP_Label_d6ee3f6f-dfa9-4d1e-aa5d-d0dea03c4102_Method">
    <vt:lpwstr>Privileged</vt:lpwstr>
  </property>
  <property fmtid="{D5CDD505-2E9C-101B-9397-08002B2CF9AE}" pid="7" name="MSIP_Label_d6ee3f6f-dfa9-4d1e-aa5d-d0dea03c4102_Name">
    <vt:lpwstr>Public</vt:lpwstr>
  </property>
  <property fmtid="{D5CDD505-2E9C-101B-9397-08002B2CF9AE}" pid="8" name="MSIP_Label_d6ee3f6f-dfa9-4d1e-aa5d-d0dea03c4102_SiteId">
    <vt:lpwstr>3bea478c-1684-4a8c-8e85-045ec54ba430</vt:lpwstr>
  </property>
  <property fmtid="{D5CDD505-2E9C-101B-9397-08002B2CF9AE}" pid="9" name="MSIP_Label_d6ee3f6f-dfa9-4d1e-aa5d-d0dea03c4102_ActionId">
    <vt:lpwstr>dc6dc6c9-ac18-4c9a-ad0e-0352f6c14c8d</vt:lpwstr>
  </property>
  <property fmtid="{D5CDD505-2E9C-101B-9397-08002B2CF9AE}" pid="10" name="MSIP_Label_d6ee3f6f-dfa9-4d1e-aa5d-d0dea03c4102_ContentBits">
    <vt:lpwstr>2</vt:lpwstr>
  </property>
</Properties>
</file>