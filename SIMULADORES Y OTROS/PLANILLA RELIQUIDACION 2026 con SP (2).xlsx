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786fff28ee952f5/Documentos/PROYECTOS/BD SENIOR/SIMULADORES Y OTROS/"/>
    </mc:Choice>
  </mc:AlternateContent>
  <xr:revisionPtr revIDLastSave="1" documentId="8_{972FFF66-1908-4B28-B6A0-DB59F4890C97}" xr6:coauthVersionLast="47" xr6:coauthVersionMax="47" xr10:uidLastSave="{CF5CD83D-DCF1-4388-A60E-55B4845C43C0}"/>
  <bookViews>
    <workbookView showSheetTabs="0" xWindow="-108" yWindow="-108" windowWidth="23256" windowHeight="13896" xr2:uid="{C55AD487-604D-41D3-9FEA-2A888D0B430A}"/>
  </bookViews>
  <sheets>
    <sheet name="Hoja14" sheetId="16" r:id="rId1"/>
    <sheet name="Hoja8" sheetId="26" state="hidden" r:id="rId2"/>
    <sheet name="Hoja7" sheetId="25" state="hidden" r:id="rId3"/>
    <sheet name="Hoja15" sheetId="17" state="hidden" r:id="rId4"/>
    <sheet name="Hoja9" sheetId="27" state="hidden" r:id="rId5"/>
    <sheet name="Hoja1" sheetId="18" state="hidden" r:id="rId6"/>
    <sheet name="imp cte" sheetId="19" state="hidden" r:id="rId7"/>
    <sheet name="Hoja3" sheetId="21" state="hidden" r:id="rId8"/>
    <sheet name="Hoja4" sheetId="22" state="hidden" r:id="rId9"/>
    <sheet name="Hoja2" sheetId="20" state="hidden" r:id="rId10"/>
    <sheet name="Hoja5" sheetId="23" state="hidden" r:id="rId11"/>
    <sheet name="Hoja6" sheetId="24" state="hidden" r:id="rId12"/>
  </sheets>
  <definedNames>
    <definedName name="_xlnm.Print_Area" localSheetId="0">Hoja14!$D$1:$DT$266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23" l="1"/>
  <c r="Q4" i="23"/>
  <c r="Q5" i="23"/>
  <c r="Q6" i="23"/>
  <c r="Q7" i="23"/>
  <c r="Q8" i="23"/>
  <c r="Q9" i="23"/>
  <c r="Q10" i="23"/>
  <c r="Q11" i="23"/>
  <c r="Q12" i="23"/>
  <c r="Q13" i="23"/>
  <c r="Q14" i="23"/>
  <c r="F17" i="23"/>
  <c r="X6" i="20"/>
  <c r="BC6" i="20"/>
  <c r="S13" i="20"/>
  <c r="U13" i="20" s="1"/>
  <c r="AE13" i="20"/>
  <c r="AF13" i="20"/>
  <c r="AX13" i="20"/>
  <c r="BC13" i="20"/>
  <c r="S14" i="20"/>
  <c r="U14" i="20"/>
  <c r="AE14" i="20"/>
  <c r="AK14" i="20"/>
  <c r="AF14" i="20"/>
  <c r="AX14" i="20"/>
  <c r="BC14" i="20"/>
  <c r="S15" i="20"/>
  <c r="U15" i="20" s="1"/>
  <c r="AE15" i="20"/>
  <c r="AF15" i="20"/>
  <c r="AX15" i="20"/>
  <c r="BC15" i="20"/>
  <c r="S16" i="20"/>
  <c r="U16" i="20"/>
  <c r="AE16" i="20"/>
  <c r="AF16" i="20"/>
  <c r="AX16" i="20"/>
  <c r="BC16" i="20"/>
  <c r="S17" i="20"/>
  <c r="U17" i="20" s="1"/>
  <c r="AE17" i="20"/>
  <c r="AF17" i="20"/>
  <c r="AX17" i="20"/>
  <c r="BC17" i="20"/>
  <c r="S18" i="20"/>
  <c r="U18" i="20"/>
  <c r="AE18" i="20"/>
  <c r="AF18" i="20"/>
  <c r="AX18" i="20"/>
  <c r="BC18" i="20"/>
  <c r="S19" i="20"/>
  <c r="U19" i="20" s="1"/>
  <c r="AE19" i="20"/>
  <c r="AF19" i="20"/>
  <c r="AX19" i="20"/>
  <c r="BC19" i="20"/>
  <c r="S20" i="20"/>
  <c r="U20" i="20"/>
  <c r="AE20" i="20"/>
  <c r="AF20" i="20"/>
  <c r="AX20" i="20"/>
  <c r="BC20" i="20"/>
  <c r="S21" i="20"/>
  <c r="U21" i="20" s="1"/>
  <c r="AE21" i="20"/>
  <c r="AF21" i="20"/>
  <c r="AX21" i="20"/>
  <c r="BC21" i="20"/>
  <c r="S22" i="20"/>
  <c r="U22" i="20"/>
  <c r="AE22" i="20"/>
  <c r="AF22" i="20"/>
  <c r="AX22" i="20"/>
  <c r="BC22" i="20"/>
  <c r="S23" i="20"/>
  <c r="U23" i="20" s="1"/>
  <c r="AE23" i="20"/>
  <c r="AF23" i="20"/>
  <c r="AX23" i="20"/>
  <c r="BC23" i="20"/>
  <c r="S24" i="20"/>
  <c r="U24" i="20"/>
  <c r="AE24" i="20"/>
  <c r="AF24" i="20"/>
  <c r="AX24" i="20"/>
  <c r="BC24" i="20"/>
  <c r="E25" i="20"/>
  <c r="AW25" i="20"/>
  <c r="AX25" i="20"/>
  <c r="J36" i="20"/>
  <c r="G36" i="20" s="1"/>
  <c r="E52" i="20" s="1"/>
  <c r="AB40" i="20"/>
  <c r="E51" i="20"/>
  <c r="E53" i="20"/>
  <c r="AC54" i="20"/>
  <c r="AC55" i="20"/>
  <c r="U35" i="20" s="1"/>
  <c r="AC56" i="20"/>
  <c r="AC57" i="20"/>
  <c r="AC58" i="20"/>
  <c r="J79" i="20"/>
  <c r="H28" i="22"/>
  <c r="G6" i="19"/>
  <c r="L6" i="19"/>
  <c r="M6" i="19"/>
  <c r="C7" i="19"/>
  <c r="E19" i="19"/>
  <c r="G7" i="19"/>
  <c r="L7" i="19"/>
  <c r="M7" i="19"/>
  <c r="G8" i="19"/>
  <c r="L8" i="19"/>
  <c r="M8" i="19"/>
  <c r="G9" i="19"/>
  <c r="L9" i="19"/>
  <c r="M9" i="19"/>
  <c r="G10" i="19"/>
  <c r="L10" i="19"/>
  <c r="M10" i="19"/>
  <c r="G11" i="19"/>
  <c r="L11" i="19"/>
  <c r="M11" i="19"/>
  <c r="G12" i="19"/>
  <c r="L12" i="19"/>
  <c r="M12" i="19"/>
  <c r="G13" i="19"/>
  <c r="L13" i="19"/>
  <c r="M13" i="19"/>
  <c r="C14" i="19"/>
  <c r="H85" i="19"/>
  <c r="G14" i="19"/>
  <c r="G15" i="19"/>
  <c r="G16" i="19"/>
  <c r="G17" i="19"/>
  <c r="E18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L36" i="19"/>
  <c r="G37" i="19"/>
  <c r="L37" i="19"/>
  <c r="G38" i="19"/>
  <c r="L38" i="19"/>
  <c r="G39" i="19"/>
  <c r="L39" i="19"/>
  <c r="G40" i="19"/>
  <c r="L40" i="19"/>
  <c r="G41" i="19"/>
  <c r="L41" i="19"/>
  <c r="G42" i="19"/>
  <c r="L42" i="19"/>
  <c r="G43" i="19"/>
  <c r="L43" i="19"/>
  <c r="G44" i="19"/>
  <c r="L44" i="19"/>
  <c r="G45" i="19"/>
  <c r="L45" i="19"/>
  <c r="G46" i="19"/>
  <c r="L46" i="19"/>
  <c r="G47" i="19"/>
  <c r="L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P6" i="27"/>
  <c r="P7" i="27" s="1"/>
  <c r="H15" i="27"/>
  <c r="H10" i="27" s="1"/>
  <c r="C22" i="27" s="1"/>
  <c r="C6" i="17"/>
  <c r="F13" i="17"/>
  <c r="G6" i="17"/>
  <c r="AJ6" i="17"/>
  <c r="C7" i="17"/>
  <c r="F16" i="17"/>
  <c r="G7" i="17"/>
  <c r="U7" i="17"/>
  <c r="AJ7" i="17"/>
  <c r="C8" i="17"/>
  <c r="U8" i="17"/>
  <c r="E8" i="17"/>
  <c r="F8" i="17"/>
  <c r="G8" i="17"/>
  <c r="H8" i="17"/>
  <c r="AJ8" i="17"/>
  <c r="C9" i="17"/>
  <c r="T6" i="23"/>
  <c r="G9" i="17"/>
  <c r="AJ9" i="17"/>
  <c r="C10" i="17"/>
  <c r="C10" i="19"/>
  <c r="E10" i="17"/>
  <c r="F10" i="17"/>
  <c r="G10" i="17"/>
  <c r="H10" i="17"/>
  <c r="AJ10" i="17"/>
  <c r="C11" i="17"/>
  <c r="D10" i="18"/>
  <c r="E11" i="17"/>
  <c r="G11" i="17"/>
  <c r="H11" i="17"/>
  <c r="U11" i="17"/>
  <c r="AJ11" i="17"/>
  <c r="C12" i="17"/>
  <c r="F64" i="17"/>
  <c r="G12" i="17"/>
  <c r="H12" i="17"/>
  <c r="U12" i="17"/>
  <c r="AJ12" i="17"/>
  <c r="C13" i="17"/>
  <c r="T10" i="23"/>
  <c r="E13" i="17"/>
  <c r="G13" i="17"/>
  <c r="AJ13" i="17"/>
  <c r="C14" i="17"/>
  <c r="T11" i="23"/>
  <c r="AJ14" i="17"/>
  <c r="C15" i="17"/>
  <c r="I13" i="22"/>
  <c r="E15" i="17"/>
  <c r="F15" i="17"/>
  <c r="AJ15" i="17"/>
  <c r="C16" i="17"/>
  <c r="H101" i="17"/>
  <c r="E16" i="17"/>
  <c r="H16" i="17"/>
  <c r="AJ16" i="17"/>
  <c r="H17" i="17"/>
  <c r="AJ17" i="17"/>
  <c r="E18" i="17"/>
  <c r="F18" i="17"/>
  <c r="H18" i="17"/>
  <c r="E19" i="17"/>
  <c r="F19" i="17"/>
  <c r="H19" i="17"/>
  <c r="H20" i="17"/>
  <c r="X20" i="17"/>
  <c r="F21" i="17"/>
  <c r="H21" i="17"/>
  <c r="E22" i="17"/>
  <c r="F22" i="17"/>
  <c r="H22" i="17"/>
  <c r="H27" i="17"/>
  <c r="F28" i="17"/>
  <c r="E33" i="17"/>
  <c r="F33" i="17"/>
  <c r="H33" i="17"/>
  <c r="E34" i="17"/>
  <c r="F34" i="17"/>
  <c r="H34" i="17"/>
  <c r="F35" i="17"/>
  <c r="F36" i="17"/>
  <c r="H36" i="17"/>
  <c r="E37" i="17"/>
  <c r="F37" i="17"/>
  <c r="H37" i="17"/>
  <c r="F38" i="17"/>
  <c r="H38" i="17"/>
  <c r="E39" i="17"/>
  <c r="F39" i="17"/>
  <c r="H39" i="17"/>
  <c r="E40" i="17"/>
  <c r="H40" i="17"/>
  <c r="K43" i="17"/>
  <c r="E45" i="17"/>
  <c r="E51" i="17"/>
  <c r="F51" i="17"/>
  <c r="H51" i="17"/>
  <c r="F52" i="17"/>
  <c r="H52" i="17"/>
  <c r="E53" i="17"/>
  <c r="F53" i="17"/>
  <c r="H53" i="17"/>
  <c r="E54" i="17"/>
  <c r="H54" i="17"/>
  <c r="H55" i="17"/>
  <c r="E56" i="17"/>
  <c r="F56" i="17"/>
  <c r="H56" i="17"/>
  <c r="E57" i="17"/>
  <c r="H57" i="17"/>
  <c r="E58" i="17"/>
  <c r="F58" i="17"/>
  <c r="H58" i="17"/>
  <c r="F61" i="17"/>
  <c r="E62" i="17"/>
  <c r="H62" i="17"/>
  <c r="E63" i="17"/>
  <c r="H63" i="17"/>
  <c r="E64" i="17"/>
  <c r="H66" i="17"/>
  <c r="F67" i="17"/>
  <c r="F69" i="17"/>
  <c r="E70" i="17"/>
  <c r="H74" i="17"/>
  <c r="F75" i="17"/>
  <c r="F78" i="17"/>
  <c r="H78" i="17"/>
  <c r="E79" i="17"/>
  <c r="F79" i="17"/>
  <c r="H79" i="17"/>
  <c r="F81" i="17"/>
  <c r="F83" i="17"/>
  <c r="H83" i="17"/>
  <c r="E84" i="17"/>
  <c r="F84" i="17"/>
  <c r="H84" i="17"/>
  <c r="E85" i="17"/>
  <c r="H90" i="17"/>
  <c r="F93" i="17"/>
  <c r="H97" i="17"/>
  <c r="F100" i="17"/>
  <c r="E101" i="17"/>
  <c r="Y4" i="16"/>
  <c r="AC4" i="16"/>
  <c r="AH5" i="16"/>
  <c r="AX5" i="16"/>
  <c r="AD6" i="16"/>
  <c r="Q7" i="16"/>
  <c r="AA7" i="16"/>
  <c r="BF7" i="16"/>
  <c r="AE21" i="16" s="1"/>
  <c r="F14" i="16"/>
  <c r="B14" i="16"/>
  <c r="X14" i="16"/>
  <c r="Y3" i="23" s="1"/>
  <c r="J4" i="22"/>
  <c r="Y14" i="16"/>
  <c r="AD14" i="16"/>
  <c r="AF14" i="16"/>
  <c r="AL14" i="16"/>
  <c r="AG14" i="16"/>
  <c r="U3" i="23"/>
  <c r="AH14" i="16"/>
  <c r="AI14" i="16"/>
  <c r="AM14" i="16"/>
  <c r="AN14" i="16"/>
  <c r="AO14" i="16"/>
  <c r="BF14" i="16"/>
  <c r="BB14" i="16" s="1"/>
  <c r="BU14" i="16"/>
  <c r="BX14" i="16"/>
  <c r="BY14" i="16"/>
  <c r="CK14" i="16"/>
  <c r="CQ14" i="16"/>
  <c r="CS14" i="16"/>
  <c r="CT14" i="16"/>
  <c r="DO14" i="16"/>
  <c r="B15" i="16"/>
  <c r="F15" i="16"/>
  <c r="C14" i="20"/>
  <c r="X15" i="16"/>
  <c r="J5" i="22" s="1"/>
  <c r="Y4" i="23"/>
  <c r="Y15" i="16"/>
  <c r="AD15" i="16"/>
  <c r="AF15" i="16"/>
  <c r="AL15" i="16"/>
  <c r="AG15" i="16"/>
  <c r="AM15" i="16"/>
  <c r="AH15" i="16"/>
  <c r="AN15" i="16"/>
  <c r="AI15" i="16"/>
  <c r="AO15" i="16"/>
  <c r="BF15" i="16"/>
  <c r="BA15" i="16" s="1"/>
  <c r="BX15" i="16"/>
  <c r="BY15" i="16"/>
  <c r="CK15" i="16"/>
  <c r="CQ15" i="16"/>
  <c r="CT15" i="16"/>
  <c r="DO15" i="16"/>
  <c r="F16" i="16"/>
  <c r="C15" i="20"/>
  <c r="X16" i="16"/>
  <c r="Y5" i="23" s="1"/>
  <c r="AG16" i="16"/>
  <c r="AH16" i="16"/>
  <c r="AI16" i="16"/>
  <c r="AO16" i="16"/>
  <c r="BF16" i="16"/>
  <c r="BA16" i="16" s="1"/>
  <c r="BX16" i="16"/>
  <c r="BY16" i="16"/>
  <c r="CK16" i="16"/>
  <c r="CQ16" i="16"/>
  <c r="DO16" i="16"/>
  <c r="B17" i="16"/>
  <c r="F17" i="16"/>
  <c r="C16" i="20"/>
  <c r="X17" i="16"/>
  <c r="CR17" i="16" s="1"/>
  <c r="Y17" i="16"/>
  <c r="AD17" i="16"/>
  <c r="AD2" i="16" s="1"/>
  <c r="AF17" i="16"/>
  <c r="AL17" i="16" s="1"/>
  <c r="AG17" i="16"/>
  <c r="AM17" i="16" s="1"/>
  <c r="AH17" i="16"/>
  <c r="AI17" i="16"/>
  <c r="AO17" i="16" s="1"/>
  <c r="AN17" i="16"/>
  <c r="BF17" i="16"/>
  <c r="BX17" i="16"/>
  <c r="BY17" i="16"/>
  <c r="CK17" i="16"/>
  <c r="CS17" i="16"/>
  <c r="DO17" i="16"/>
  <c r="B18" i="16"/>
  <c r="F18" i="16"/>
  <c r="C17" i="20"/>
  <c r="X18" i="16"/>
  <c r="Y7" i="23" s="1"/>
  <c r="Y18" i="16"/>
  <c r="AD18" i="16"/>
  <c r="AF18" i="16"/>
  <c r="AL18" i="16"/>
  <c r="AG18" i="16"/>
  <c r="U7" i="23" s="1"/>
  <c r="AM18" i="16"/>
  <c r="AH18" i="16"/>
  <c r="AI18" i="16"/>
  <c r="AO18" i="16"/>
  <c r="BF18" i="16"/>
  <c r="BX18" i="16"/>
  <c r="BY18" i="16"/>
  <c r="CK18" i="16"/>
  <c r="CS18" i="16"/>
  <c r="CQ18" i="16"/>
  <c r="CT18" i="16"/>
  <c r="DO18" i="16"/>
  <c r="F19" i="16"/>
  <c r="X19" i="16"/>
  <c r="CR19" i="16" s="1"/>
  <c r="AG19" i="16"/>
  <c r="AM19" i="16" s="1"/>
  <c r="U8" i="23"/>
  <c r="AH19" i="16"/>
  <c r="AI19" i="16"/>
  <c r="AO19" i="16" s="1"/>
  <c r="BF19" i="16"/>
  <c r="BA19" i="16" s="1"/>
  <c r="BX19" i="16"/>
  <c r="BY19" i="16"/>
  <c r="CK19" i="16"/>
  <c r="CQ19" i="16"/>
  <c r="CS19" i="16"/>
  <c r="CT19" i="16"/>
  <c r="DO19" i="16"/>
  <c r="B20" i="16"/>
  <c r="F20" i="16"/>
  <c r="C19" i="20"/>
  <c r="X20" i="16"/>
  <c r="CR20" i="16" s="1"/>
  <c r="J10" i="22"/>
  <c r="Y20" i="16"/>
  <c r="AD20" i="16"/>
  <c r="AF20" i="16"/>
  <c r="AL20" i="16" s="1"/>
  <c r="AG20" i="16"/>
  <c r="AM20" i="16" s="1"/>
  <c r="AH20" i="16"/>
  <c r="AN20" i="16"/>
  <c r="AI20" i="16"/>
  <c r="AO20" i="16" s="1"/>
  <c r="BF20" i="16"/>
  <c r="BB20" i="16" s="1"/>
  <c r="AW20" i="16" s="1"/>
  <c r="R20" i="16" s="1"/>
  <c r="H10" i="22" s="1"/>
  <c r="BX20" i="16"/>
  <c r="BY20" i="16"/>
  <c r="CK20" i="16"/>
  <c r="CS20" i="16"/>
  <c r="CQ20" i="16"/>
  <c r="DO20" i="16"/>
  <c r="B21" i="16"/>
  <c r="F21" i="16"/>
  <c r="C20" i="20"/>
  <c r="X21" i="16"/>
  <c r="J11" i="22" s="1"/>
  <c r="Y21" i="16"/>
  <c r="AD21" i="16"/>
  <c r="AF21" i="16"/>
  <c r="AL21" i="16" s="1"/>
  <c r="AG21" i="16"/>
  <c r="U10" i="23" s="1"/>
  <c r="AM21" i="16"/>
  <c r="AH21" i="16"/>
  <c r="AI21" i="16"/>
  <c r="AO21" i="16" s="1"/>
  <c r="AN21" i="16"/>
  <c r="BF21" i="16"/>
  <c r="BA21" i="16" s="1"/>
  <c r="BX21" i="16"/>
  <c r="BY21" i="16"/>
  <c r="CK21" i="16"/>
  <c r="CQ21" i="16"/>
  <c r="CS21" i="16"/>
  <c r="CT21" i="16"/>
  <c r="DO21" i="16"/>
  <c r="B22" i="16"/>
  <c r="F22" i="16"/>
  <c r="Y22" i="16"/>
  <c r="X22" i="16"/>
  <c r="J12" i="22" s="1"/>
  <c r="AF22" i="16"/>
  <c r="AL22" i="16"/>
  <c r="AG22" i="16"/>
  <c r="U11" i="23" s="1"/>
  <c r="AH22" i="16"/>
  <c r="AN22" i="16"/>
  <c r="AI22" i="16"/>
  <c r="AO22" i="16"/>
  <c r="BF22" i="16"/>
  <c r="BA22" i="16" s="1"/>
  <c r="BX22" i="16"/>
  <c r="BY22" i="16"/>
  <c r="CK22" i="16"/>
  <c r="CQ22" i="16"/>
  <c r="CT22" i="16"/>
  <c r="DO22" i="16"/>
  <c r="B23" i="16"/>
  <c r="F23" i="16"/>
  <c r="C22" i="20"/>
  <c r="X23" i="16"/>
  <c r="J13" i="22" s="1"/>
  <c r="Y23" i="16"/>
  <c r="AD23" i="16"/>
  <c r="AF23" i="16"/>
  <c r="AL23" i="16" s="1"/>
  <c r="AG23" i="16"/>
  <c r="AM23" i="16"/>
  <c r="AH23" i="16"/>
  <c r="AN23" i="16"/>
  <c r="AI23" i="16"/>
  <c r="AO23" i="16" s="1"/>
  <c r="BF23" i="16"/>
  <c r="BA23" i="16" s="1"/>
  <c r="BX23" i="16"/>
  <c r="BY23" i="16"/>
  <c r="CK23" i="16"/>
  <c r="CQ23" i="16"/>
  <c r="DO23" i="16"/>
  <c r="F24" i="16"/>
  <c r="B24" i="16"/>
  <c r="X24" i="16"/>
  <c r="J14" i="22" s="1"/>
  <c r="CR24" i="16"/>
  <c r="AG24" i="16"/>
  <c r="AM24" i="16" s="1"/>
  <c r="AH24" i="16"/>
  <c r="AN24" i="16"/>
  <c r="AI24" i="16"/>
  <c r="BF24" i="16"/>
  <c r="BX24" i="16"/>
  <c r="BY24" i="16"/>
  <c r="CK24" i="16"/>
  <c r="CQ24" i="16"/>
  <c r="CS24" i="16"/>
  <c r="CT24" i="16"/>
  <c r="DO24" i="16"/>
  <c r="X25" i="16"/>
  <c r="J15" i="22" s="1"/>
  <c r="AG25" i="16"/>
  <c r="AH25" i="16"/>
  <c r="AI25" i="16"/>
  <c r="AO25" i="16" s="1"/>
  <c r="BF25" i="16"/>
  <c r="BX25" i="16"/>
  <c r="BY25" i="16"/>
  <c r="CK25" i="16"/>
  <c r="CT25" i="16"/>
  <c r="CQ25" i="16"/>
  <c r="G26" i="16"/>
  <c r="D19" i="20" s="1"/>
  <c r="H26" i="16"/>
  <c r="V26" i="16"/>
  <c r="AA49" i="16" s="1"/>
  <c r="AZ26" i="16"/>
  <c r="BC26" i="16"/>
  <c r="BD26" i="16"/>
  <c r="CP27" i="16"/>
  <c r="CT27" i="16"/>
  <c r="Q41" i="16"/>
  <c r="R53" i="16" s="1"/>
  <c r="R52" i="16" s="1"/>
  <c r="S52" i="16" s="1"/>
  <c r="S53" i="16" s="1"/>
  <c r="AE41" i="16"/>
  <c r="Q43" i="16"/>
  <c r="T43" i="16"/>
  <c r="Q47" i="16"/>
  <c r="AA50" i="16"/>
  <c r="H52" i="16"/>
  <c r="H54" i="16"/>
  <c r="AF55" i="16"/>
  <c r="AF56" i="16"/>
  <c r="Y132" i="16" s="1"/>
  <c r="M80" i="16"/>
  <c r="F108" i="16"/>
  <c r="L110" i="16" s="1"/>
  <c r="F25" i="16"/>
  <c r="I240" i="16"/>
  <c r="DK17" i="16"/>
  <c r="AH26" i="16"/>
  <c r="L26" i="16"/>
  <c r="AL17" i="20"/>
  <c r="BA17" i="20"/>
  <c r="AY17" i="20"/>
  <c r="AT17" i="20"/>
  <c r="O17" i="20"/>
  <c r="AY19" i="20"/>
  <c r="AT19" i="20"/>
  <c r="AC19" i="20"/>
  <c r="AI19" i="20"/>
  <c r="AD19" i="20"/>
  <c r="AJ19" i="20"/>
  <c r="BA22" i="20"/>
  <c r="AD22" i="20"/>
  <c r="AJ22" i="20"/>
  <c r="AY22" i="20"/>
  <c r="AT22" i="20"/>
  <c r="AV22" i="20"/>
  <c r="AC20" i="20"/>
  <c r="AI20" i="20"/>
  <c r="AY20" i="20"/>
  <c r="AT20" i="20"/>
  <c r="AU20" i="20"/>
  <c r="AL21" i="20"/>
  <c r="AK18" i="20"/>
  <c r="AD16" i="20"/>
  <c r="AJ16" i="20"/>
  <c r="AY16" i="20"/>
  <c r="AT16" i="20"/>
  <c r="BA16" i="20"/>
  <c r="AC14" i="20"/>
  <c r="AI14" i="20"/>
  <c r="AY14" i="20"/>
  <c r="AT14" i="20"/>
  <c r="BA14" i="20"/>
  <c r="AK21" i="20"/>
  <c r="AN25" i="16"/>
  <c r="AD25" i="16"/>
  <c r="AF25" i="16"/>
  <c r="AL25" i="16" s="1"/>
  <c r="AM25" i="16"/>
  <c r="C24" i="20"/>
  <c r="AK24" i="20"/>
  <c r="B25" i="16"/>
  <c r="Y25" i="16"/>
  <c r="AC15" i="20"/>
  <c r="AI15" i="20"/>
  <c r="AD15" i="20"/>
  <c r="AJ15" i="20"/>
  <c r="AY15" i="20"/>
  <c r="AT15" i="20"/>
  <c r="BA15" i="20"/>
  <c r="AL14" i="20"/>
  <c r="DO25" i="16"/>
  <c r="CT20" i="16"/>
  <c r="AN18" i="16"/>
  <c r="CQ17" i="16"/>
  <c r="AD16" i="16"/>
  <c r="H91" i="17"/>
  <c r="F85" i="17"/>
  <c r="E80" i="17"/>
  <c r="F54" i="17"/>
  <c r="F40" i="17"/>
  <c r="E35" i="17"/>
  <c r="H15" i="17"/>
  <c r="F9" i="17"/>
  <c r="E6" i="17"/>
  <c r="AL16" i="20"/>
  <c r="AF24" i="16"/>
  <c r="AL24" i="16" s="1"/>
  <c r="AF19" i="16"/>
  <c r="AL19" i="16"/>
  <c r="CT16" i="16"/>
  <c r="Y16" i="16"/>
  <c r="F91" i="17"/>
  <c r="E15" i="19"/>
  <c r="I9" i="22"/>
  <c r="C13" i="20"/>
  <c r="T4" i="23"/>
  <c r="CS25" i="16"/>
  <c r="AD24" i="16"/>
  <c r="AD19" i="16"/>
  <c r="CS16" i="16"/>
  <c r="H93" i="17"/>
  <c r="E91" i="17"/>
  <c r="I8" i="22"/>
  <c r="C23" i="20"/>
  <c r="AL19" i="20"/>
  <c r="C18" i="20"/>
  <c r="Y24" i="16"/>
  <c r="Y19" i="16"/>
  <c r="CR16" i="16"/>
  <c r="AK19" i="20"/>
  <c r="B16" i="16"/>
  <c r="E93" i="17"/>
  <c r="F90" i="17"/>
  <c r="AL24" i="20"/>
  <c r="T3" i="23"/>
  <c r="E90" i="17"/>
  <c r="M4" i="27"/>
  <c r="Q14" i="27"/>
  <c r="C9" i="19"/>
  <c r="AF59" i="16"/>
  <c r="B19" i="16"/>
  <c r="H89" i="17"/>
  <c r="E78" i="17"/>
  <c r="M3" i="27"/>
  <c r="AF58" i="16"/>
  <c r="CS15" i="16"/>
  <c r="F89" i="17"/>
  <c r="E83" i="17"/>
  <c r="F57" i="17"/>
  <c r="E52" i="17"/>
  <c r="E38" i="17"/>
  <c r="U10" i="17"/>
  <c r="M2" i="27"/>
  <c r="E85" i="19"/>
  <c r="H21" i="19"/>
  <c r="AL22" i="20"/>
  <c r="AF57" i="16"/>
  <c r="CT23" i="16"/>
  <c r="AD22" i="16"/>
  <c r="H92" i="17"/>
  <c r="E89" i="17"/>
  <c r="H82" i="17"/>
  <c r="D8" i="18"/>
  <c r="AK22" i="20"/>
  <c r="C21" i="20"/>
  <c r="CS23" i="16"/>
  <c r="F92" i="17"/>
  <c r="H88" i="17"/>
  <c r="F82" i="17"/>
  <c r="C17" i="17"/>
  <c r="D6" i="18"/>
  <c r="F84" i="19"/>
  <c r="AK17" i="20"/>
  <c r="AL15" i="20"/>
  <c r="AN16" i="16"/>
  <c r="AN26" i="16"/>
  <c r="H94" i="17"/>
  <c r="E92" i="17"/>
  <c r="F88" i="17"/>
  <c r="E82" i="17"/>
  <c r="D5" i="18"/>
  <c r="C12" i="19"/>
  <c r="AK15" i="20"/>
  <c r="AM16" i="16"/>
  <c r="F94" i="17"/>
  <c r="E88" i="17"/>
  <c r="AU22" i="20"/>
  <c r="H81" i="17"/>
  <c r="H45" i="17"/>
  <c r="AN19" i="16"/>
  <c r="E94" i="17"/>
  <c r="H87" i="17"/>
  <c r="AL20" i="20"/>
  <c r="CS22" i="16"/>
  <c r="CT17" i="16"/>
  <c r="F87" i="17"/>
  <c r="E81" i="17"/>
  <c r="F55" i="17"/>
  <c r="H44" i="17"/>
  <c r="E36" i="17"/>
  <c r="H6" i="17"/>
  <c r="E81" i="19"/>
  <c r="H17" i="19"/>
  <c r="AL23" i="20"/>
  <c r="E87" i="17"/>
  <c r="H80" i="17"/>
  <c r="E55" i="17"/>
  <c r="H35" i="17"/>
  <c r="F12" i="17"/>
  <c r="U9" i="17"/>
  <c r="C11" i="19"/>
  <c r="AF16" i="16"/>
  <c r="AL16" i="16" s="1"/>
  <c r="H85" i="17"/>
  <c r="F80" i="17"/>
  <c r="U15" i="17"/>
  <c r="F6" i="17"/>
  <c r="F80" i="19"/>
  <c r="AK13" i="20"/>
  <c r="O19" i="20"/>
  <c r="O20" i="20"/>
  <c r="E46" i="19"/>
  <c r="H49" i="19"/>
  <c r="E43" i="19"/>
  <c r="F46" i="19"/>
  <c r="E42" i="19"/>
  <c r="F43" i="19"/>
  <c r="H46" i="19"/>
  <c r="E45" i="19"/>
  <c r="H43" i="19"/>
  <c r="E47" i="19"/>
  <c r="E44" i="19"/>
  <c r="F47" i="19"/>
  <c r="F48" i="19"/>
  <c r="F44" i="19"/>
  <c r="H47" i="19"/>
  <c r="H44" i="19"/>
  <c r="E48" i="19"/>
  <c r="F42" i="19"/>
  <c r="H48" i="19"/>
  <c r="H45" i="19"/>
  <c r="E49" i="19"/>
  <c r="H42" i="19"/>
  <c r="F45" i="19"/>
  <c r="AU16" i="20"/>
  <c r="O16" i="20"/>
  <c r="AV16" i="20"/>
  <c r="Q16" i="20"/>
  <c r="BN16" i="20"/>
  <c r="O22" i="20"/>
  <c r="F101" i="17"/>
  <c r="H75" i="17"/>
  <c r="F70" i="17"/>
  <c r="E46" i="17"/>
  <c r="H28" i="17"/>
  <c r="D9" i="18"/>
  <c r="F81" i="19"/>
  <c r="F63" i="19"/>
  <c r="H22" i="19"/>
  <c r="H18" i="19"/>
  <c r="F15" i="19"/>
  <c r="I12" i="22"/>
  <c r="AC16" i="20"/>
  <c r="AI16" i="20"/>
  <c r="AU14" i="20"/>
  <c r="BA13" i="20"/>
  <c r="U4" i="23"/>
  <c r="I11" i="22"/>
  <c r="H100" i="17"/>
  <c r="E75" i="17"/>
  <c r="H69" i="17"/>
  <c r="F63" i="17"/>
  <c r="F45" i="17"/>
  <c r="E28" i="17"/>
  <c r="D7" i="18"/>
  <c r="H84" i="19"/>
  <c r="H80" i="19"/>
  <c r="H66" i="19"/>
  <c r="H62" i="19"/>
  <c r="F38" i="19"/>
  <c r="H34" i="19"/>
  <c r="E22" i="19"/>
  <c r="F18" i="19"/>
  <c r="C15" i="19"/>
  <c r="I10" i="22"/>
  <c r="BA20" i="20"/>
  <c r="T9" i="23"/>
  <c r="E97" i="17"/>
  <c r="E74" i="17"/>
  <c r="H67" i="17"/>
  <c r="F62" i="17"/>
  <c r="H49" i="17"/>
  <c r="F44" i="17"/>
  <c r="E27" i="17"/>
  <c r="E84" i="19"/>
  <c r="E80" i="19"/>
  <c r="E66" i="19"/>
  <c r="E62" i="19"/>
  <c r="E53" i="19"/>
  <c r="H37" i="19"/>
  <c r="E34" i="19"/>
  <c r="F21" i="19"/>
  <c r="I7" i="22"/>
  <c r="AF25" i="20"/>
  <c r="T8" i="23"/>
  <c r="H83" i="19"/>
  <c r="H79" i="19"/>
  <c r="H65" i="19"/>
  <c r="H61" i="19"/>
  <c r="E21" i="19"/>
  <c r="F17" i="19"/>
  <c r="I6" i="22"/>
  <c r="AE25" i="20"/>
  <c r="I25" i="20"/>
  <c r="AC22" i="20"/>
  <c r="AI22" i="20"/>
  <c r="BA19" i="20"/>
  <c r="U14" i="23"/>
  <c r="F99" i="17"/>
  <c r="F73" i="17"/>
  <c r="E67" i="17"/>
  <c r="H61" i="17"/>
  <c r="E49" i="17"/>
  <c r="F31" i="17"/>
  <c r="F26" i="17"/>
  <c r="U17" i="17"/>
  <c r="E12" i="17"/>
  <c r="H7" i="17"/>
  <c r="H40" i="19"/>
  <c r="F37" i="19"/>
  <c r="H20" i="19"/>
  <c r="E17" i="19"/>
  <c r="I5" i="22"/>
  <c r="Y38" i="20"/>
  <c r="AD18" i="20"/>
  <c r="AJ18" i="20"/>
  <c r="T14" i="23"/>
  <c r="E99" i="17"/>
  <c r="E73" i="17"/>
  <c r="H48" i="17"/>
  <c r="H43" i="17"/>
  <c r="E31" i="17"/>
  <c r="E26" i="17"/>
  <c r="F83" i="19"/>
  <c r="F79" i="19"/>
  <c r="F65" i="19"/>
  <c r="F61" i="19"/>
  <c r="E37" i="19"/>
  <c r="F33" i="19"/>
  <c r="C17" i="19"/>
  <c r="I4" i="22"/>
  <c r="AC18" i="20"/>
  <c r="AI18" i="20"/>
  <c r="O15" i="20"/>
  <c r="AD14" i="20"/>
  <c r="AJ14" i="20"/>
  <c r="T7" i="23"/>
  <c r="E69" i="17"/>
  <c r="F66" i="19"/>
  <c r="H103" i="17"/>
  <c r="H72" i="17"/>
  <c r="F66" i="17"/>
  <c r="E61" i="17"/>
  <c r="F48" i="17"/>
  <c r="F43" i="17"/>
  <c r="H25" i="17"/>
  <c r="E21" i="17"/>
  <c r="F17" i="17"/>
  <c r="U14" i="17"/>
  <c r="H9" i="17"/>
  <c r="F7" i="17"/>
  <c r="D16" i="18"/>
  <c r="E83" i="19"/>
  <c r="E79" i="19"/>
  <c r="E65" i="19"/>
  <c r="E61" i="19"/>
  <c r="E40" i="19"/>
  <c r="E33" i="19"/>
  <c r="F20" i="19"/>
  <c r="H16" i="19"/>
  <c r="AK20" i="20"/>
  <c r="T13" i="23"/>
  <c r="F103" i="17"/>
  <c r="F72" i="17"/>
  <c r="E66" i="17"/>
  <c r="H60" i="17"/>
  <c r="E48" i="17"/>
  <c r="E43" i="17"/>
  <c r="H30" i="17"/>
  <c r="F25" i="17"/>
  <c r="E17" i="17"/>
  <c r="E7" i="17"/>
  <c r="D15" i="18"/>
  <c r="H82" i="19"/>
  <c r="H78" i="19"/>
  <c r="H64" i="19"/>
  <c r="H60" i="19"/>
  <c r="H51" i="19"/>
  <c r="H36" i="19"/>
  <c r="E20" i="19"/>
  <c r="C13" i="19"/>
  <c r="AK16" i="20"/>
  <c r="E103" i="17"/>
  <c r="H98" i="17"/>
  <c r="E72" i="17"/>
  <c r="H65" i="17"/>
  <c r="F60" i="17"/>
  <c r="H47" i="17"/>
  <c r="H42" i="17"/>
  <c r="F30" i="17"/>
  <c r="E25" i="17"/>
  <c r="D14" i="18"/>
  <c r="H39" i="19"/>
  <c r="F16" i="19"/>
  <c r="C6" i="19"/>
  <c r="AD17" i="20"/>
  <c r="AJ17" i="20"/>
  <c r="T12" i="23"/>
  <c r="H99" i="17"/>
  <c r="H73" i="17"/>
  <c r="E44" i="17"/>
  <c r="H31" i="17"/>
  <c r="J30" i="17"/>
  <c r="H102" i="17"/>
  <c r="F98" i="17"/>
  <c r="H96" i="17"/>
  <c r="H71" i="17"/>
  <c r="F65" i="17"/>
  <c r="E60" i="17"/>
  <c r="F47" i="17"/>
  <c r="F42" i="17"/>
  <c r="E30" i="17"/>
  <c r="F20" i="17"/>
  <c r="U13" i="17"/>
  <c r="E9" i="17"/>
  <c r="D13" i="18"/>
  <c r="F82" i="19"/>
  <c r="F78" i="19"/>
  <c r="F64" i="19"/>
  <c r="F60" i="19"/>
  <c r="F55" i="19"/>
  <c r="F51" i="19"/>
  <c r="F36" i="19"/>
  <c r="H19" i="19"/>
  <c r="E16" i="19"/>
  <c r="AC17" i="20"/>
  <c r="AI17" i="20"/>
  <c r="O14" i="20"/>
  <c r="AD13" i="20"/>
  <c r="U5" i="23"/>
  <c r="F102" i="17"/>
  <c r="E98" i="17"/>
  <c r="F96" i="17"/>
  <c r="H76" i="17"/>
  <c r="F71" i="17"/>
  <c r="E65" i="17"/>
  <c r="E47" i="17"/>
  <c r="E42" i="17"/>
  <c r="H29" i="17"/>
  <c r="H24" i="17"/>
  <c r="E20" i="17"/>
  <c r="U16" i="17"/>
  <c r="H13" i="17"/>
  <c r="F11" i="17"/>
  <c r="U6" i="17"/>
  <c r="D12" i="18"/>
  <c r="E82" i="19"/>
  <c r="E78" i="19"/>
  <c r="E64" i="19"/>
  <c r="E60" i="19"/>
  <c r="F39" i="19"/>
  <c r="E36" i="19"/>
  <c r="C16" i="19"/>
  <c r="C8" i="19"/>
  <c r="I15" i="22"/>
  <c r="AD24" i="20"/>
  <c r="AJ24" i="20"/>
  <c r="T5" i="23"/>
  <c r="F97" i="17"/>
  <c r="F27" i="17"/>
  <c r="F62" i="19"/>
  <c r="E102" i="17"/>
  <c r="E96" i="17"/>
  <c r="F76" i="17"/>
  <c r="E71" i="17"/>
  <c r="H64" i="17"/>
  <c r="H46" i="17"/>
  <c r="F29" i="17"/>
  <c r="F24" i="17"/>
  <c r="D11" i="18"/>
  <c r="H81" i="19"/>
  <c r="H63" i="19"/>
  <c r="E39" i="19"/>
  <c r="F19" i="19"/>
  <c r="H15" i="19"/>
  <c r="I14" i="22"/>
  <c r="AD20" i="20"/>
  <c r="AJ20" i="20"/>
  <c r="E100" i="17"/>
  <c r="F74" i="17"/>
  <c r="F49" i="17"/>
  <c r="H26" i="17"/>
  <c r="E76" i="17"/>
  <c r="H70" i="17"/>
  <c r="F46" i="17"/>
  <c r="E29" i="17"/>
  <c r="E24" i="17"/>
  <c r="J19" i="17"/>
  <c r="CR22" i="16"/>
  <c r="CR21" i="16"/>
  <c r="J6" i="22"/>
  <c r="U6" i="23"/>
  <c r="U12" i="23"/>
  <c r="U9" i="23"/>
  <c r="AE23" i="16"/>
  <c r="AE18" i="16"/>
  <c r="Q22" i="20"/>
  <c r="BN22" i="20"/>
  <c r="H58" i="19"/>
  <c r="F56" i="19"/>
  <c r="H56" i="19"/>
  <c r="F57" i="19"/>
  <c r="E58" i="19"/>
  <c r="F52" i="19"/>
  <c r="H52" i="19"/>
  <c r="F53" i="19"/>
  <c r="E54" i="19"/>
  <c r="F54" i="19"/>
  <c r="H55" i="19"/>
  <c r="AV20" i="20"/>
  <c r="Q20" i="20"/>
  <c r="BN20" i="20"/>
  <c r="AV15" i="20"/>
  <c r="AC13" i="20"/>
  <c r="AI13" i="20"/>
  <c r="AY13" i="20"/>
  <c r="AC24" i="20"/>
  <c r="AI24" i="20"/>
  <c r="AY24" i="20"/>
  <c r="AT24" i="20"/>
  <c r="BA24" i="20"/>
  <c r="E51" i="19"/>
  <c r="E55" i="19"/>
  <c r="H53" i="19"/>
  <c r="H57" i="19"/>
  <c r="BA18" i="20"/>
  <c r="BA25" i="20"/>
  <c r="AL18" i="20"/>
  <c r="AY18" i="20"/>
  <c r="AT18" i="20"/>
  <c r="AU19" i="20"/>
  <c r="I5" i="23"/>
  <c r="AC93" i="17"/>
  <c r="AF96" i="17"/>
  <c r="F107" i="17"/>
  <c r="F111" i="17"/>
  <c r="AD93" i="17"/>
  <c r="H107" i="17"/>
  <c r="H111" i="17"/>
  <c r="AC91" i="17"/>
  <c r="AF93" i="17"/>
  <c r="AD91" i="17"/>
  <c r="AC97" i="17"/>
  <c r="E108" i="17"/>
  <c r="AF91" i="17"/>
  <c r="AF97" i="17"/>
  <c r="F108" i="17"/>
  <c r="E112" i="17"/>
  <c r="L10" i="23"/>
  <c r="H108" i="17"/>
  <c r="F112" i="17"/>
  <c r="K112" i="17"/>
  <c r="AC94" i="17"/>
  <c r="H112" i="17"/>
  <c r="AD94" i="17"/>
  <c r="E105" i="17"/>
  <c r="AC92" i="17"/>
  <c r="AF94" i="17"/>
  <c r="F105" i="17"/>
  <c r="E109" i="17"/>
  <c r="AD92" i="17"/>
  <c r="H105" i="17"/>
  <c r="F109" i="17"/>
  <c r="AF92" i="17"/>
  <c r="H109" i="17"/>
  <c r="AC95" i="17"/>
  <c r="E110" i="17"/>
  <c r="AD95" i="17"/>
  <c r="E106" i="17"/>
  <c r="F110" i="17"/>
  <c r="AB39" i="16"/>
  <c r="AF95" i="17"/>
  <c r="F106" i="17"/>
  <c r="H110" i="17"/>
  <c r="AC96" i="17"/>
  <c r="H106" i="17"/>
  <c r="C20" i="17"/>
  <c r="AD96" i="17"/>
  <c r="E107" i="17"/>
  <c r="E111" i="17"/>
  <c r="AD23" i="20"/>
  <c r="AJ23" i="20"/>
  <c r="AY23" i="20"/>
  <c r="AT23" i="20"/>
  <c r="BA23" i="20"/>
  <c r="AC23" i="20"/>
  <c r="AI23" i="20"/>
  <c r="E52" i="19"/>
  <c r="H35" i="19"/>
  <c r="H38" i="19"/>
  <c r="H33" i="19"/>
  <c r="F34" i="19"/>
  <c r="E35" i="19"/>
  <c r="F35" i="19"/>
  <c r="E38" i="19"/>
  <c r="AK25" i="20"/>
  <c r="E57" i="19"/>
  <c r="H67" i="19"/>
  <c r="E67" i="19"/>
  <c r="E63" i="19"/>
  <c r="AV14" i="20"/>
  <c r="Q14" i="20"/>
  <c r="BN14" i="20"/>
  <c r="AU17" i="20"/>
  <c r="B23" i="17"/>
  <c r="AB36" i="16"/>
  <c r="AL13" i="20"/>
  <c r="AL25" i="20"/>
  <c r="E56" i="19"/>
  <c r="H54" i="19"/>
  <c r="AK23" i="20"/>
  <c r="AY21" i="20"/>
  <c r="AT21" i="20"/>
  <c r="BA21" i="20"/>
  <c r="AC21" i="20"/>
  <c r="AI21" i="20"/>
  <c r="AD21" i="20"/>
  <c r="AJ21" i="20"/>
  <c r="AU15" i="20"/>
  <c r="H94" i="19"/>
  <c r="H90" i="19"/>
  <c r="E87" i="19"/>
  <c r="E91" i="19"/>
  <c r="F87" i="19"/>
  <c r="F91" i="19"/>
  <c r="F93" i="19"/>
  <c r="H87" i="19"/>
  <c r="H91" i="19"/>
  <c r="E88" i="19"/>
  <c r="E92" i="19"/>
  <c r="F89" i="19"/>
  <c r="F88" i="19"/>
  <c r="F92" i="19"/>
  <c r="H88" i="19"/>
  <c r="H92" i="19"/>
  <c r="E89" i="19"/>
  <c r="E93" i="19"/>
  <c r="H89" i="19"/>
  <c r="H93" i="19"/>
  <c r="E90" i="19"/>
  <c r="E94" i="19"/>
  <c r="F90" i="19"/>
  <c r="AV19" i="20"/>
  <c r="AJ13" i="20"/>
  <c r="HJ4" i="20"/>
  <c r="HM5" i="16"/>
  <c r="H76" i="19"/>
  <c r="H72" i="19"/>
  <c r="F75" i="19"/>
  <c r="E69" i="19"/>
  <c r="E73" i="19"/>
  <c r="F69" i="19"/>
  <c r="F73" i="19"/>
  <c r="F71" i="19"/>
  <c r="H69" i="19"/>
  <c r="H73" i="19"/>
  <c r="E70" i="19"/>
  <c r="E74" i="19"/>
  <c r="F70" i="19"/>
  <c r="F74" i="19"/>
  <c r="H70" i="19"/>
  <c r="H74" i="19"/>
  <c r="E71" i="19"/>
  <c r="E75" i="19"/>
  <c r="H71" i="19"/>
  <c r="H75" i="19"/>
  <c r="E72" i="19"/>
  <c r="E76" i="19"/>
  <c r="F72" i="19"/>
  <c r="F12" i="19"/>
  <c r="E10" i="19"/>
  <c r="F10" i="19"/>
  <c r="H12" i="19"/>
  <c r="E8" i="19"/>
  <c r="F8" i="19"/>
  <c r="H10" i="19"/>
  <c r="E6" i="19"/>
  <c r="F6" i="19"/>
  <c r="H8" i="19"/>
  <c r="E13" i="19"/>
  <c r="H6" i="19"/>
  <c r="E11" i="19"/>
  <c r="H13" i="19"/>
  <c r="E7" i="19"/>
  <c r="F11" i="19"/>
  <c r="E9" i="19"/>
  <c r="F9" i="19"/>
  <c r="H11" i="19"/>
  <c r="F7" i="19"/>
  <c r="H9" i="19"/>
  <c r="H7" i="19"/>
  <c r="E12" i="19"/>
  <c r="F109" i="19"/>
  <c r="K109" i="19"/>
  <c r="H111" i="19"/>
  <c r="M111" i="19"/>
  <c r="B23" i="19"/>
  <c r="E107" i="19"/>
  <c r="J107" i="19"/>
  <c r="H108" i="19"/>
  <c r="M108" i="19"/>
  <c r="F107" i="19"/>
  <c r="K107" i="19"/>
  <c r="H109" i="19"/>
  <c r="E105" i="19"/>
  <c r="J105" i="19"/>
  <c r="C20" i="19"/>
  <c r="F105" i="19"/>
  <c r="K105" i="19"/>
  <c r="H107" i="19"/>
  <c r="M107" i="19"/>
  <c r="E112" i="19"/>
  <c r="J112" i="19"/>
  <c r="H105" i="19"/>
  <c r="M105" i="19"/>
  <c r="E110" i="19"/>
  <c r="J110" i="19"/>
  <c r="H112" i="19"/>
  <c r="M112" i="19"/>
  <c r="F106" i="19"/>
  <c r="K106" i="19"/>
  <c r="F110" i="19"/>
  <c r="K110" i="19"/>
  <c r="E108" i="19"/>
  <c r="J108" i="19"/>
  <c r="F108" i="19"/>
  <c r="K108" i="19"/>
  <c r="H110" i="19"/>
  <c r="M110" i="19"/>
  <c r="E106" i="19"/>
  <c r="J106" i="19"/>
  <c r="H106" i="19"/>
  <c r="M106" i="19"/>
  <c r="E111" i="19"/>
  <c r="J111" i="19"/>
  <c r="F111" i="19"/>
  <c r="K111" i="19"/>
  <c r="E109" i="19"/>
  <c r="J109" i="19"/>
  <c r="AV17" i="20"/>
  <c r="Q17" i="20"/>
  <c r="BN17" i="20"/>
  <c r="Y35" i="20"/>
  <c r="N22" i="17"/>
  <c r="M23" i="17"/>
  <c r="N23" i="17"/>
  <c r="M24" i="17"/>
  <c r="H26" i="19"/>
  <c r="H30" i="19"/>
  <c r="E27" i="19"/>
  <c r="E31" i="19"/>
  <c r="F27" i="19"/>
  <c r="F29" i="19"/>
  <c r="H31" i="19"/>
  <c r="E24" i="19"/>
  <c r="H27" i="19"/>
  <c r="F24" i="19"/>
  <c r="E28" i="19"/>
  <c r="F28" i="19"/>
  <c r="H24" i="19"/>
  <c r="F25" i="19"/>
  <c r="H28" i="19"/>
  <c r="E25" i="19"/>
  <c r="E29" i="19"/>
  <c r="H25" i="19"/>
  <c r="H29" i="19"/>
  <c r="E26" i="19"/>
  <c r="E30" i="19"/>
  <c r="F26" i="19"/>
  <c r="F30" i="19"/>
  <c r="H99" i="19"/>
  <c r="H103" i="19"/>
  <c r="F98" i="19"/>
  <c r="E96" i="19"/>
  <c r="F96" i="19"/>
  <c r="E100" i="19"/>
  <c r="E102" i="19"/>
  <c r="F100" i="19"/>
  <c r="H96" i="19"/>
  <c r="E97" i="19"/>
  <c r="H100" i="19"/>
  <c r="F97" i="19"/>
  <c r="E101" i="19"/>
  <c r="F101" i="19"/>
  <c r="F102" i="19"/>
  <c r="H97" i="19"/>
  <c r="E98" i="19"/>
  <c r="H101" i="19"/>
  <c r="H98" i="19"/>
  <c r="E99" i="19"/>
  <c r="H102" i="19"/>
  <c r="F99" i="19"/>
  <c r="E103" i="19"/>
  <c r="AI25" i="20"/>
  <c r="O23" i="20"/>
  <c r="AV23" i="20"/>
  <c r="M109" i="17"/>
  <c r="J99" i="17"/>
  <c r="Z95" i="17"/>
  <c r="J112" i="17"/>
  <c r="W98" i="17"/>
  <c r="W97" i="17"/>
  <c r="J111" i="17"/>
  <c r="X94" i="17"/>
  <c r="K108" i="17"/>
  <c r="AU23" i="20"/>
  <c r="Q23" i="20"/>
  <c r="BN23" i="20"/>
  <c r="AD25" i="20"/>
  <c r="H25" i="20"/>
  <c r="Z91" i="17"/>
  <c r="M105" i="17"/>
  <c r="AU18" i="20"/>
  <c r="O18" i="20"/>
  <c r="AV18" i="20"/>
  <c r="J107" i="17"/>
  <c r="W93" i="17"/>
  <c r="AJ25" i="20"/>
  <c r="W94" i="17"/>
  <c r="J108" i="17"/>
  <c r="O21" i="20"/>
  <c r="Q21" i="20"/>
  <c r="BN21" i="20"/>
  <c r="AV21" i="20"/>
  <c r="AU21" i="20"/>
  <c r="M106" i="17"/>
  <c r="Z92" i="17"/>
  <c r="J109" i="17"/>
  <c r="W95" i="17"/>
  <c r="Q19" i="20"/>
  <c r="BN19" i="20"/>
  <c r="X91" i="17"/>
  <c r="K105" i="17"/>
  <c r="Z96" i="17"/>
  <c r="M110" i="17"/>
  <c r="F119" i="17"/>
  <c r="K106" i="17"/>
  <c r="X92" i="17"/>
  <c r="W91" i="17"/>
  <c r="J105" i="17"/>
  <c r="Z97" i="17"/>
  <c r="M111" i="17"/>
  <c r="M107" i="17"/>
  <c r="Z93" i="17"/>
  <c r="X96" i="17"/>
  <c r="K110" i="17"/>
  <c r="Z98" i="17"/>
  <c r="M112" i="17"/>
  <c r="J106" i="17"/>
  <c r="W92" i="17"/>
  <c r="X97" i="17"/>
  <c r="K111" i="17"/>
  <c r="AU24" i="20"/>
  <c r="AV24" i="20"/>
  <c r="O24" i="20"/>
  <c r="K109" i="17"/>
  <c r="X95" i="17"/>
  <c r="AC25" i="20"/>
  <c r="G25" i="20"/>
  <c r="Q15" i="20"/>
  <c r="BN15" i="20"/>
  <c r="X93" i="17"/>
  <c r="K107" i="17"/>
  <c r="W96" i="17"/>
  <c r="J110" i="17"/>
  <c r="Z94" i="17"/>
  <c r="M108" i="17"/>
  <c r="AY25" i="20"/>
  <c r="AT13" i="20"/>
  <c r="J99" i="19"/>
  <c r="M109" i="19"/>
  <c r="N22" i="19"/>
  <c r="M23" i="19"/>
  <c r="N23" i="19"/>
  <c r="M24" i="19"/>
  <c r="J85" i="20"/>
  <c r="Q24" i="20"/>
  <c r="BN24" i="20"/>
  <c r="J115" i="17"/>
  <c r="K115" i="17"/>
  <c r="J115" i="19"/>
  <c r="K115" i="19"/>
  <c r="AT25" i="20"/>
  <c r="E48" i="20"/>
  <c r="AU13" i="20"/>
  <c r="AV13" i="20"/>
  <c r="O13" i="20"/>
  <c r="O25" i="20"/>
  <c r="G30" i="20"/>
  <c r="Q18" i="20"/>
  <c r="BN18" i="20"/>
  <c r="I108" i="20"/>
  <c r="I110" i="20"/>
  <c r="Q13" i="20"/>
  <c r="J110" i="20"/>
  <c r="BN13" i="20"/>
  <c r="BN25" i="20"/>
  <c r="Q25" i="20"/>
  <c r="Y12" i="23" l="1"/>
  <c r="CR23" i="16"/>
  <c r="CR15" i="16"/>
  <c r="CR14" i="16"/>
  <c r="Y8" i="23"/>
  <c r="AM22" i="16"/>
  <c r="DO26" i="16"/>
  <c r="AE16" i="16"/>
  <c r="BB15" i="16"/>
  <c r="AW15" i="16" s="1"/>
  <c r="AX15" i="16" s="1"/>
  <c r="AC15" i="16"/>
  <c r="AE25" i="16"/>
  <c r="AE20" i="16"/>
  <c r="AE19" i="16"/>
  <c r="Y6" i="23"/>
  <c r="J7" i="22"/>
  <c r="J9" i="22"/>
  <c r="Y11" i="23"/>
  <c r="S25" i="20"/>
  <c r="Y39" i="20" s="1"/>
  <c r="Y40" i="20" s="1"/>
  <c r="G31" i="20" s="1"/>
  <c r="J80" i="20" s="1"/>
  <c r="AB40" i="16"/>
  <c r="AB41" i="16" s="1"/>
  <c r="J140" i="16" s="1"/>
  <c r="M81" i="16" s="1"/>
  <c r="Y9" i="23"/>
  <c r="J8" i="22"/>
  <c r="DK18" i="16"/>
  <c r="DK19" i="16" s="1"/>
  <c r="DN31" i="16" s="1"/>
  <c r="CQ26" i="16"/>
  <c r="M9" i="27" s="1"/>
  <c r="Y14" i="23"/>
  <c r="I17" i="22"/>
  <c r="I20" i="22" s="1"/>
  <c r="I22" i="22" s="1"/>
  <c r="CR25" i="16"/>
  <c r="F5" i="23"/>
  <c r="H33" i="22"/>
  <c r="CR18" i="16"/>
  <c r="T15" i="23"/>
  <c r="T16" i="23" s="1"/>
  <c r="G5" i="23" s="1"/>
  <c r="Y10" i="23"/>
  <c r="X26" i="16"/>
  <c r="R108" i="17" s="1"/>
  <c r="Y13" i="23"/>
  <c r="J17" i="22"/>
  <c r="K29" i="22" s="1"/>
  <c r="H50" i="16"/>
  <c r="J5" i="23"/>
  <c r="U25" i="20"/>
  <c r="AW36" i="20" s="1"/>
  <c r="V62" i="16"/>
  <c r="M26" i="16" s="1"/>
  <c r="AE40" i="16" s="1"/>
  <c r="AZ39" i="16"/>
  <c r="CT26" i="16"/>
  <c r="U13" i="23"/>
  <c r="U15" i="23" s="1"/>
  <c r="U16" i="23" s="1"/>
  <c r="Q48" i="16"/>
  <c r="R7" i="16" s="1"/>
  <c r="H13" i="27" s="1"/>
  <c r="C20" i="27" s="1"/>
  <c r="BA20" i="16"/>
  <c r="S61" i="20"/>
  <c r="J25" i="20" s="1"/>
  <c r="E49" i="20"/>
  <c r="AI26" i="16"/>
  <c r="AO24" i="16"/>
  <c r="AO26" i="16"/>
  <c r="AG26" i="16"/>
  <c r="M86" i="16" s="1"/>
  <c r="AM26" i="16"/>
  <c r="AM32" i="16" s="1"/>
  <c r="L111" i="16"/>
  <c r="M111" i="16" s="1"/>
  <c r="J272" i="16"/>
  <c r="I4" i="27"/>
  <c r="C12" i="27" s="1"/>
  <c r="CS26" i="16"/>
  <c r="H4" i="27" s="1"/>
  <c r="BY26" i="16"/>
  <c r="AF26" i="16"/>
  <c r="J26" i="16" s="1"/>
  <c r="E44" i="16"/>
  <c r="BX26" i="16"/>
  <c r="D14" i="20"/>
  <c r="AA14" i="20" s="1"/>
  <c r="BB22" i="16"/>
  <c r="AW22" i="16" s="1"/>
  <c r="M110" i="16"/>
  <c r="BB19" i="16"/>
  <c r="AW19" i="16" s="1"/>
  <c r="AX19" i="16" s="1"/>
  <c r="BB23" i="16"/>
  <c r="AW23" i="16" s="1"/>
  <c r="AX23" i="16" s="1"/>
  <c r="AL26" i="16"/>
  <c r="AB19" i="20"/>
  <c r="Z19" i="20"/>
  <c r="Y19" i="20"/>
  <c r="AA19" i="20"/>
  <c r="D23" i="20"/>
  <c r="Y23" i="20" s="1"/>
  <c r="H48" i="16"/>
  <c r="AD26" i="16"/>
  <c r="D21" i="20"/>
  <c r="AA21" i="20" s="1"/>
  <c r="D24" i="20"/>
  <c r="D22" i="20"/>
  <c r="D13" i="20"/>
  <c r="AB20" i="16"/>
  <c r="EM16" i="16"/>
  <c r="D15" i="20"/>
  <c r="AA15" i="20" s="1"/>
  <c r="D17" i="20"/>
  <c r="D20" i="20"/>
  <c r="D18" i="20"/>
  <c r="D16" i="20"/>
  <c r="AC25" i="16"/>
  <c r="AC16" i="16"/>
  <c r="AC14" i="16"/>
  <c r="AC22" i="16"/>
  <c r="AC17" i="16"/>
  <c r="BB17" i="16"/>
  <c r="AW17" i="16" s="1"/>
  <c r="BA17" i="16"/>
  <c r="BB25" i="16"/>
  <c r="AW25" i="16" s="1"/>
  <c r="BA25" i="16"/>
  <c r="BB24" i="16"/>
  <c r="AW24" i="16" s="1"/>
  <c r="BA24" i="16"/>
  <c r="AB24" i="16"/>
  <c r="AB17" i="16"/>
  <c r="AB21" i="16"/>
  <c r="AB19" i="16"/>
  <c r="AB15" i="16"/>
  <c r="AB16" i="16"/>
  <c r="AX20" i="16"/>
  <c r="AY20" i="16"/>
  <c r="CN20" i="16"/>
  <c r="N11" i="18"/>
  <c r="AB18" i="16"/>
  <c r="AB25" i="16"/>
  <c r="AB41" i="20"/>
  <c r="S9" i="23"/>
  <c r="BA18" i="16"/>
  <c r="BB18" i="16"/>
  <c r="AW18" i="16" s="1"/>
  <c r="AB23" i="16"/>
  <c r="AB22" i="16"/>
  <c r="BB21" i="16"/>
  <c r="AW21" i="16" s="1"/>
  <c r="AB14" i="16"/>
  <c r="BB16" i="16"/>
  <c r="AW16" i="16" s="1"/>
  <c r="AC24" i="16"/>
  <c r="E32" i="16"/>
  <c r="AC23" i="16"/>
  <c r="AC19" i="16"/>
  <c r="AW14" i="16"/>
  <c r="AC18" i="16"/>
  <c r="AC21" i="16"/>
  <c r="AE22" i="16"/>
  <c r="BA14" i="16"/>
  <c r="AE14" i="16"/>
  <c r="AE24" i="16"/>
  <c r="AE17" i="16"/>
  <c r="AC20" i="16"/>
  <c r="AE15" i="16"/>
  <c r="R15" i="16" l="1"/>
  <c r="Y15" i="23"/>
  <c r="Y16" i="23" s="1"/>
  <c r="AY15" i="16"/>
  <c r="T15" i="16" s="1"/>
  <c r="BQ15" i="16" s="1"/>
  <c r="U36" i="20"/>
  <c r="AW38" i="20"/>
  <c r="R108" i="19"/>
  <c r="CR26" i="16"/>
  <c r="G4" i="27" s="1"/>
  <c r="C18" i="27" s="1"/>
  <c r="EM17" i="16"/>
  <c r="EM18" i="16" s="1"/>
  <c r="R199" i="16"/>
  <c r="F4" i="27"/>
  <c r="C10" i="27" s="1"/>
  <c r="C11" i="27" s="1"/>
  <c r="AZ37" i="16"/>
  <c r="H27" i="22"/>
  <c r="K26" i="16"/>
  <c r="AY23" i="16"/>
  <c r="T23" i="16" s="1"/>
  <c r="X12" i="23" s="1"/>
  <c r="R19" i="16"/>
  <c r="S8" i="23" s="1"/>
  <c r="AY19" i="16"/>
  <c r="T19" i="16" s="1"/>
  <c r="G33" i="20"/>
  <c r="E50" i="20" s="1"/>
  <c r="AB39" i="20"/>
  <c r="AB42" i="20" s="1"/>
  <c r="Y14" i="20"/>
  <c r="Z14" i="20"/>
  <c r="AB14" i="20"/>
  <c r="H51" i="16"/>
  <c r="I7" i="23"/>
  <c r="F19" i="20"/>
  <c r="AH19" i="20" s="1"/>
  <c r="AZ19" i="20" s="1"/>
  <c r="Y21" i="20"/>
  <c r="Z23" i="20"/>
  <c r="AB15" i="20"/>
  <c r="AA23" i="20"/>
  <c r="R23" i="16"/>
  <c r="CN23" i="16" s="1"/>
  <c r="N25" i="16"/>
  <c r="F15" i="22" s="1"/>
  <c r="AL31" i="16"/>
  <c r="AL32" i="16"/>
  <c r="J30" i="16" s="1"/>
  <c r="AA13" i="20"/>
  <c r="AB13" i="20"/>
  <c r="Y13" i="20"/>
  <c r="Z13" i="20"/>
  <c r="N20" i="16"/>
  <c r="F10" i="22" s="1"/>
  <c r="Y22" i="20"/>
  <c r="AB22" i="20"/>
  <c r="AA16" i="20"/>
  <c r="AB16" i="20"/>
  <c r="Y16" i="20"/>
  <c r="Z16" i="20"/>
  <c r="AA24" i="20"/>
  <c r="Y24" i="20"/>
  <c r="Z24" i="20"/>
  <c r="AB21" i="20"/>
  <c r="Z21" i="20"/>
  <c r="Y18" i="20"/>
  <c r="Z18" i="20"/>
  <c r="AA18" i="20"/>
  <c r="AB18" i="20"/>
  <c r="D25" i="20"/>
  <c r="E47" i="20" s="1"/>
  <c r="AA20" i="20"/>
  <c r="Y20" i="20"/>
  <c r="Z20" i="20"/>
  <c r="AB20" i="20"/>
  <c r="Z22" i="20"/>
  <c r="AB23" i="20"/>
  <c r="Z17" i="20"/>
  <c r="AA17" i="20"/>
  <c r="AB17" i="20"/>
  <c r="Y17" i="20"/>
  <c r="K19" i="20"/>
  <c r="S29" i="20"/>
  <c r="AA22" i="20"/>
  <c r="C107" i="20"/>
  <c r="I109" i="20" s="1"/>
  <c r="Z15" i="20"/>
  <c r="Y15" i="20"/>
  <c r="AB24" i="20"/>
  <c r="T20" i="16"/>
  <c r="BQ20" i="16" s="1"/>
  <c r="AE26" i="16"/>
  <c r="BA26" i="16"/>
  <c r="I25" i="16"/>
  <c r="BZ25" i="16" s="1"/>
  <c r="AC26" i="16"/>
  <c r="CP15" i="16"/>
  <c r="O6" i="18"/>
  <c r="X4" i="23"/>
  <c r="G5" i="22"/>
  <c r="R21" i="16"/>
  <c r="AX21" i="16"/>
  <c r="AY21" i="16"/>
  <c r="AX25" i="16"/>
  <c r="R25" i="16"/>
  <c r="AY25" i="16"/>
  <c r="AX16" i="16"/>
  <c r="AY16" i="16"/>
  <c r="R16" i="16"/>
  <c r="I15" i="16"/>
  <c r="N15" i="16"/>
  <c r="R24" i="16"/>
  <c r="AX24" i="16"/>
  <c r="AY24" i="16"/>
  <c r="N19" i="16"/>
  <c r="I19" i="16"/>
  <c r="N21" i="16"/>
  <c r="I21" i="16"/>
  <c r="AB26" i="16"/>
  <c r="N14" i="16"/>
  <c r="I14" i="16"/>
  <c r="AY22" i="16"/>
  <c r="R22" i="16"/>
  <c r="AX22" i="16"/>
  <c r="N17" i="16"/>
  <c r="AA2" i="16"/>
  <c r="I17" i="16"/>
  <c r="I20" i="16"/>
  <c r="R14" i="16"/>
  <c r="AY14" i="16"/>
  <c r="AW26" i="16"/>
  <c r="H49" i="16" s="1"/>
  <c r="AX14" i="16"/>
  <c r="N24" i="16"/>
  <c r="I24" i="16"/>
  <c r="I16" i="16"/>
  <c r="N16" i="16"/>
  <c r="I22" i="16"/>
  <c r="N22" i="16"/>
  <c r="N18" i="16"/>
  <c r="I18" i="16"/>
  <c r="N6" i="18"/>
  <c r="S4" i="23"/>
  <c r="CN15" i="16"/>
  <c r="H5" i="22"/>
  <c r="N10" i="18"/>
  <c r="I23" i="16"/>
  <c r="N23" i="16"/>
  <c r="BB26" i="16"/>
  <c r="R18" i="16"/>
  <c r="AX18" i="16"/>
  <c r="AY18" i="16"/>
  <c r="AX17" i="16"/>
  <c r="AY17" i="16"/>
  <c r="R17" i="16"/>
  <c r="S12" i="23" l="1"/>
  <c r="G9" i="22"/>
  <c r="X8" i="23"/>
  <c r="O10" i="18"/>
  <c r="X9" i="23"/>
  <c r="O11" i="18"/>
  <c r="H13" i="22"/>
  <c r="CP19" i="16"/>
  <c r="BQ19" i="16"/>
  <c r="T25" i="16"/>
  <c r="X14" i="23" s="1"/>
  <c r="H9" i="22"/>
  <c r="CN19" i="16"/>
  <c r="K14" i="20"/>
  <c r="X14" i="20" s="1"/>
  <c r="F14" i="20"/>
  <c r="AH14" i="20" s="1"/>
  <c r="AZ14" i="20" s="1"/>
  <c r="AA25" i="16"/>
  <c r="Z25" i="16"/>
  <c r="R14" i="23"/>
  <c r="CM25" i="16"/>
  <c r="AG19" i="20"/>
  <c r="E15" i="22"/>
  <c r="N14" i="18"/>
  <c r="M47" i="19"/>
  <c r="N47" i="19" s="1"/>
  <c r="F16" i="18"/>
  <c r="BI25" i="16"/>
  <c r="BJ25" i="16" s="1"/>
  <c r="K21" i="20"/>
  <c r="BF21" i="20" s="1"/>
  <c r="F15" i="20"/>
  <c r="AG15" i="20" s="1"/>
  <c r="K13" i="20"/>
  <c r="W13" i="20" s="1"/>
  <c r="K24" i="20"/>
  <c r="W24" i="20" s="1"/>
  <c r="F18" i="20"/>
  <c r="AH18" i="20" s="1"/>
  <c r="AZ18" i="20" s="1"/>
  <c r="Z25" i="20"/>
  <c r="AB25" i="20"/>
  <c r="K18" i="20"/>
  <c r="X18" i="20" s="1"/>
  <c r="F22" i="20"/>
  <c r="AH22" i="20" s="1"/>
  <c r="AZ22" i="20" s="1"/>
  <c r="F24" i="20"/>
  <c r="F13" i="20"/>
  <c r="AG13" i="20" s="1"/>
  <c r="AA25" i="20"/>
  <c r="Y25" i="20"/>
  <c r="F21" i="20"/>
  <c r="AH21" i="20" s="1"/>
  <c r="AZ21" i="20" s="1"/>
  <c r="T22" i="16"/>
  <c r="BQ22" i="16" s="1"/>
  <c r="T18" i="16"/>
  <c r="BQ18" i="16" s="1"/>
  <c r="CP23" i="16"/>
  <c r="O14" i="18"/>
  <c r="G13" i="22"/>
  <c r="G10" i="22"/>
  <c r="M42" i="19"/>
  <c r="N42" i="19" s="1"/>
  <c r="F11" i="18"/>
  <c r="E10" i="22"/>
  <c r="CM20" i="16"/>
  <c r="I112" i="20"/>
  <c r="J109" i="20"/>
  <c r="AW39" i="20"/>
  <c r="BT25" i="16"/>
  <c r="R9" i="23"/>
  <c r="K15" i="20"/>
  <c r="BF15" i="20" s="1"/>
  <c r="K20" i="20"/>
  <c r="F20" i="20"/>
  <c r="BI20" i="16"/>
  <c r="BJ20" i="16" s="1"/>
  <c r="BF19" i="20"/>
  <c r="W19" i="20"/>
  <c r="X19" i="20"/>
  <c r="I11" i="18"/>
  <c r="K23" i="20"/>
  <c r="AK25" i="16"/>
  <c r="AJ25" i="16"/>
  <c r="AA20" i="16"/>
  <c r="Z20" i="16"/>
  <c r="K22" i="20"/>
  <c r="K17" i="20"/>
  <c r="F17" i="20"/>
  <c r="K16" i="20"/>
  <c r="F16" i="20"/>
  <c r="F23" i="20"/>
  <c r="CP20" i="16"/>
  <c r="T17" i="16"/>
  <c r="O8" i="18" s="1"/>
  <c r="T21" i="16"/>
  <c r="CP21" i="16" s="1"/>
  <c r="T14" i="16"/>
  <c r="O5" i="18" s="1"/>
  <c r="BQ23" i="16"/>
  <c r="T24" i="16"/>
  <c r="X13" i="23" s="1"/>
  <c r="T16" i="16"/>
  <c r="BQ16" i="16" s="1"/>
  <c r="BT20" i="16"/>
  <c r="AK20" i="16"/>
  <c r="BZ20" i="16"/>
  <c r="AJ20" i="16"/>
  <c r="BT23" i="16"/>
  <c r="AJ23" i="16"/>
  <c r="AK23" i="16"/>
  <c r="BZ23" i="16"/>
  <c r="AK18" i="16"/>
  <c r="AJ18" i="16"/>
  <c r="BT18" i="16"/>
  <c r="BZ18" i="16"/>
  <c r="BT16" i="16"/>
  <c r="AJ16" i="16"/>
  <c r="AK16" i="16"/>
  <c r="BZ16" i="16"/>
  <c r="R10" i="23"/>
  <c r="F12" i="18"/>
  <c r="Z21" i="16"/>
  <c r="AA21" i="16"/>
  <c r="E11" i="22"/>
  <c r="CM21" i="16"/>
  <c r="F11" i="22"/>
  <c r="BI21" i="16"/>
  <c r="M43" i="19"/>
  <c r="N43" i="19" s="1"/>
  <c r="S10" i="23"/>
  <c r="N12" i="18"/>
  <c r="CN21" i="16"/>
  <c r="H11" i="22"/>
  <c r="H14" i="22"/>
  <c r="N15" i="18"/>
  <c r="S13" i="23"/>
  <c r="CN24" i="16"/>
  <c r="E14" i="22"/>
  <c r="F14" i="22"/>
  <c r="R13" i="23"/>
  <c r="AA24" i="16"/>
  <c r="CM24" i="16"/>
  <c r="M46" i="19"/>
  <c r="N46" i="19" s="1"/>
  <c r="Z24" i="16"/>
  <c r="BI24" i="16"/>
  <c r="F15" i="18"/>
  <c r="AK14" i="16"/>
  <c r="BT14" i="16"/>
  <c r="I26" i="16"/>
  <c r="BZ14" i="16"/>
  <c r="AJ14" i="16"/>
  <c r="BZ15" i="16"/>
  <c r="AK15" i="16"/>
  <c r="AJ15" i="16"/>
  <c r="BT15" i="16"/>
  <c r="AJ19" i="16"/>
  <c r="AK19" i="16"/>
  <c r="BZ19" i="16"/>
  <c r="BT19" i="16"/>
  <c r="CM22" i="16"/>
  <c r="E12" i="22"/>
  <c r="R11" i="23"/>
  <c r="BI22" i="16"/>
  <c r="Z22" i="16"/>
  <c r="F12" i="22"/>
  <c r="M44" i="19"/>
  <c r="N44" i="19" s="1"/>
  <c r="AA22" i="16"/>
  <c r="F13" i="18"/>
  <c r="G15" i="22"/>
  <c r="S14" i="23"/>
  <c r="N16" i="18"/>
  <c r="CN25" i="16"/>
  <c r="H15" i="22"/>
  <c r="AA14" i="16"/>
  <c r="CM14" i="16"/>
  <c r="F5" i="18"/>
  <c r="M36" i="19"/>
  <c r="N36" i="19" s="1"/>
  <c r="F4" i="22"/>
  <c r="N26" i="16"/>
  <c r="Z14" i="16"/>
  <c r="E4" i="22"/>
  <c r="R3" i="23"/>
  <c r="BI14" i="16"/>
  <c r="BZ17" i="16"/>
  <c r="AJ17" i="16"/>
  <c r="AK17" i="16"/>
  <c r="BT17" i="16"/>
  <c r="Z18" i="16"/>
  <c r="F8" i="22"/>
  <c r="R7" i="23"/>
  <c r="E8" i="22"/>
  <c r="AA18" i="16"/>
  <c r="CM18" i="16"/>
  <c r="BI18" i="16"/>
  <c r="F9" i="18"/>
  <c r="M40" i="19"/>
  <c r="N40" i="19" s="1"/>
  <c r="BZ22" i="16"/>
  <c r="BT22" i="16"/>
  <c r="AK22" i="16"/>
  <c r="AJ22" i="16"/>
  <c r="E6" i="22"/>
  <c r="CM16" i="16"/>
  <c r="AA16" i="16"/>
  <c r="BI16" i="16"/>
  <c r="F7" i="18"/>
  <c r="F6" i="22"/>
  <c r="Z16" i="16"/>
  <c r="M38" i="19"/>
  <c r="N38" i="19" s="1"/>
  <c r="R5" i="23"/>
  <c r="CN17" i="16"/>
  <c r="S6" i="23"/>
  <c r="N8" i="18"/>
  <c r="H7" i="22"/>
  <c r="R8" i="23"/>
  <c r="Z19" i="16"/>
  <c r="AA19" i="16"/>
  <c r="F9" i="22"/>
  <c r="E9" i="22"/>
  <c r="CM19" i="16"/>
  <c r="F10" i="18"/>
  <c r="BI19" i="16"/>
  <c r="M41" i="19"/>
  <c r="N41" i="19" s="1"/>
  <c r="E7" i="22"/>
  <c r="AA17" i="16"/>
  <c r="F8" i="18"/>
  <c r="J35" i="17"/>
  <c r="CM17" i="16"/>
  <c r="M39" i="19"/>
  <c r="N39" i="19" s="1"/>
  <c r="F7" i="22"/>
  <c r="R6" i="23"/>
  <c r="Z17" i="16"/>
  <c r="J35" i="19"/>
  <c r="BI17" i="16"/>
  <c r="N9" i="18"/>
  <c r="CN18" i="16"/>
  <c r="H8" i="22"/>
  <c r="S7" i="23"/>
  <c r="H12" i="22"/>
  <c r="N13" i="18"/>
  <c r="S11" i="23"/>
  <c r="CN22" i="16"/>
  <c r="AK24" i="16"/>
  <c r="AJ24" i="16"/>
  <c r="BT24" i="16"/>
  <c r="BZ24" i="16"/>
  <c r="BI15" i="16"/>
  <c r="R4" i="23"/>
  <c r="J17" i="17"/>
  <c r="Z15" i="16"/>
  <c r="E5" i="22"/>
  <c r="J17" i="19"/>
  <c r="M37" i="19"/>
  <c r="N37" i="19" s="1"/>
  <c r="F6" i="18"/>
  <c r="AA15" i="16"/>
  <c r="CM15" i="16"/>
  <c r="F5" i="22"/>
  <c r="CM23" i="16"/>
  <c r="M45" i="19"/>
  <c r="N45" i="19" s="1"/>
  <c r="E13" i="22"/>
  <c r="F13" i="22"/>
  <c r="R12" i="23"/>
  <c r="Z23" i="16"/>
  <c r="AA23" i="16"/>
  <c r="BI23" i="16"/>
  <c r="F14" i="18"/>
  <c r="N5" i="18"/>
  <c r="CN14" i="16"/>
  <c r="R26" i="16"/>
  <c r="H4" i="22"/>
  <c r="S3" i="23"/>
  <c r="BZ21" i="16"/>
  <c r="AJ21" i="16"/>
  <c r="BT21" i="16"/>
  <c r="AK21" i="16"/>
  <c r="N7" i="18"/>
  <c r="CN16" i="16"/>
  <c r="S5" i="23"/>
  <c r="H6" i="22"/>
  <c r="BQ25" i="16" l="1"/>
  <c r="X11" i="23"/>
  <c r="P25" i="16"/>
  <c r="D15" i="22" s="1"/>
  <c r="O16" i="18"/>
  <c r="CP25" i="16"/>
  <c r="CP18" i="16"/>
  <c r="X7" i="23"/>
  <c r="CP22" i="16"/>
  <c r="BF14" i="20"/>
  <c r="BG14" i="20" s="1"/>
  <c r="W14" i="20"/>
  <c r="M14" i="20" s="1"/>
  <c r="J6" i="18" s="1"/>
  <c r="I6" i="18"/>
  <c r="AG14" i="20"/>
  <c r="BK20" i="16"/>
  <c r="BL20" i="16" s="1"/>
  <c r="BM20" i="16" s="1"/>
  <c r="BF13" i="20"/>
  <c r="BH13" i="20" s="1"/>
  <c r="M19" i="20"/>
  <c r="AO19" i="20" s="1"/>
  <c r="BK25" i="16"/>
  <c r="BL25" i="16" s="1"/>
  <c r="BM25" i="16" s="1"/>
  <c r="P20" i="16"/>
  <c r="AK12" i="17" s="1"/>
  <c r="I5" i="18"/>
  <c r="X13" i="20"/>
  <c r="M13" i="20" s="1"/>
  <c r="BM13" i="20" s="1"/>
  <c r="AG22" i="20"/>
  <c r="X15" i="20"/>
  <c r="X21" i="20"/>
  <c r="I13" i="18"/>
  <c r="W21" i="20"/>
  <c r="I16" i="18"/>
  <c r="BF24" i="20"/>
  <c r="BH24" i="20" s="1"/>
  <c r="BG13" i="20"/>
  <c r="BI13" i="20" s="1"/>
  <c r="AH15" i="20"/>
  <c r="AZ15" i="20" s="1"/>
  <c r="O7" i="18"/>
  <c r="G6" i="22"/>
  <c r="G8" i="22"/>
  <c r="X5" i="23"/>
  <c r="O9" i="18"/>
  <c r="O13" i="18"/>
  <c r="G12" i="22"/>
  <c r="X24" i="20"/>
  <c r="M24" i="20" s="1"/>
  <c r="AG18" i="20"/>
  <c r="W18" i="20"/>
  <c r="M18" i="20" s="1"/>
  <c r="BF18" i="20"/>
  <c r="BG18" i="20" s="1"/>
  <c r="W15" i="20"/>
  <c r="K25" i="20"/>
  <c r="X42" i="20" s="1"/>
  <c r="I7" i="18"/>
  <c r="AG24" i="20"/>
  <c r="AH24" i="20"/>
  <c r="AZ24" i="20" s="1"/>
  <c r="F25" i="20"/>
  <c r="AG25" i="20" s="1"/>
  <c r="AG21" i="20"/>
  <c r="AH13" i="20"/>
  <c r="AZ13" i="20" s="1"/>
  <c r="I10" i="18"/>
  <c r="G7" i="22"/>
  <c r="O12" i="18"/>
  <c r="G11" i="22"/>
  <c r="BQ14" i="16"/>
  <c r="CP14" i="16"/>
  <c r="X3" i="23"/>
  <c r="BQ17" i="16"/>
  <c r="G4" i="22"/>
  <c r="BQ21" i="16"/>
  <c r="X6" i="23"/>
  <c r="X10" i="23"/>
  <c r="CP17" i="16"/>
  <c r="I14" i="18"/>
  <c r="W22" i="20"/>
  <c r="X22" i="20"/>
  <c r="BF22" i="20"/>
  <c r="BG19" i="20"/>
  <c r="BH19" i="20"/>
  <c r="AG16" i="20"/>
  <c r="AH16" i="20"/>
  <c r="AZ16" i="20" s="1"/>
  <c r="AH20" i="20"/>
  <c r="AZ20" i="20" s="1"/>
  <c r="AG20" i="20"/>
  <c r="P23" i="16"/>
  <c r="CO23" i="16" s="1"/>
  <c r="AG23" i="20"/>
  <c r="AH23" i="20"/>
  <c r="AZ23" i="20" s="1"/>
  <c r="X23" i="20"/>
  <c r="W23" i="20"/>
  <c r="I15" i="18"/>
  <c r="BF23" i="20"/>
  <c r="X16" i="20"/>
  <c r="W16" i="20"/>
  <c r="BF16" i="20"/>
  <c r="I8" i="18"/>
  <c r="BF20" i="20"/>
  <c r="I12" i="18"/>
  <c r="W20" i="20"/>
  <c r="X20" i="20"/>
  <c r="P24" i="16"/>
  <c r="B37" i="17" s="1"/>
  <c r="AG17" i="20"/>
  <c r="AH17" i="20"/>
  <c r="AZ17" i="20" s="1"/>
  <c r="BF17" i="20"/>
  <c r="W17" i="20"/>
  <c r="I9" i="18"/>
  <c r="X17" i="20"/>
  <c r="BG15" i="20"/>
  <c r="BH15" i="20"/>
  <c r="BG21" i="20"/>
  <c r="BH21" i="20"/>
  <c r="T26" i="16"/>
  <c r="P21" i="16"/>
  <c r="G12" i="18" s="1"/>
  <c r="AK17" i="17"/>
  <c r="CP24" i="16"/>
  <c r="CP16" i="16"/>
  <c r="O15" i="18"/>
  <c r="BQ24" i="16"/>
  <c r="G14" i="22"/>
  <c r="P19" i="16"/>
  <c r="C9" i="22" s="1"/>
  <c r="C38" i="17"/>
  <c r="AA3" i="16"/>
  <c r="H17" i="22"/>
  <c r="K23" i="22" s="1"/>
  <c r="P15" i="16"/>
  <c r="C5" i="22" s="1"/>
  <c r="P18" i="16"/>
  <c r="AR18" i="16" s="1"/>
  <c r="P14" i="16"/>
  <c r="A14" i="16" s="1"/>
  <c r="S15" i="23"/>
  <c r="S16" i="23" s="1"/>
  <c r="G4" i="23" s="1"/>
  <c r="P16" i="16"/>
  <c r="AK8" i="17" s="1"/>
  <c r="P22" i="16"/>
  <c r="C35" i="19" s="1"/>
  <c r="CM26" i="16"/>
  <c r="BK24" i="16"/>
  <c r="BJ24" i="16"/>
  <c r="BJ15" i="16"/>
  <c r="BK15" i="16"/>
  <c r="CN26" i="16"/>
  <c r="C4" i="27" s="1"/>
  <c r="C9" i="27" s="1"/>
  <c r="BJ17" i="16"/>
  <c r="BK17" i="16"/>
  <c r="N17" i="18"/>
  <c r="BK19" i="16"/>
  <c r="BJ19" i="16"/>
  <c r="BK18" i="16"/>
  <c r="BJ18" i="16"/>
  <c r="BK14" i="16"/>
  <c r="BJ14" i="16"/>
  <c r="BK22" i="16"/>
  <c r="BJ22" i="16"/>
  <c r="BK16" i="16"/>
  <c r="BJ16" i="16"/>
  <c r="R15" i="23"/>
  <c r="R16" i="23" s="1"/>
  <c r="G3" i="23" s="1"/>
  <c r="BJ23" i="16"/>
  <c r="BK23" i="16"/>
  <c r="E17" i="22"/>
  <c r="AJ13" i="16"/>
  <c r="BJ21" i="16"/>
  <c r="BK21" i="16"/>
  <c r="J139" i="16"/>
  <c r="F4" i="23"/>
  <c r="E27" i="23"/>
  <c r="E28" i="23" s="1"/>
  <c r="F15" i="23"/>
  <c r="F19" i="23" s="1"/>
  <c r="BZ26" i="16"/>
  <c r="CA26" i="16" s="1"/>
  <c r="CB26" i="16" s="1"/>
  <c r="E45" i="16"/>
  <c r="E46" i="16" s="1"/>
  <c r="P17" i="16"/>
  <c r="F17" i="22"/>
  <c r="N48" i="19"/>
  <c r="AK26" i="16"/>
  <c r="AK22" i="17"/>
  <c r="F3" i="23"/>
  <c r="AZ38" i="16"/>
  <c r="M83" i="16"/>
  <c r="AA43" i="16"/>
  <c r="J113" i="16"/>
  <c r="AJ26" i="16"/>
  <c r="F17" i="18"/>
  <c r="A25" i="16" l="1"/>
  <c r="C15" i="22"/>
  <c r="W14" i="23"/>
  <c r="BP25" i="16"/>
  <c r="B38" i="17"/>
  <c r="AR25" i="16"/>
  <c r="CO25" i="16"/>
  <c r="G16" i="18"/>
  <c r="C38" i="19"/>
  <c r="B38" i="19"/>
  <c r="O17" i="18"/>
  <c r="X15" i="23"/>
  <c r="X16" i="23" s="1"/>
  <c r="CO20" i="16"/>
  <c r="BH14" i="20"/>
  <c r="BI14" i="20" s="1"/>
  <c r="W9" i="23"/>
  <c r="B33" i="19"/>
  <c r="BM19" i="20"/>
  <c r="B33" i="17"/>
  <c r="C33" i="17"/>
  <c r="J11" i="18"/>
  <c r="G11" i="18"/>
  <c r="D10" i="22"/>
  <c r="C10" i="22"/>
  <c r="BP20" i="16"/>
  <c r="AR20" i="16"/>
  <c r="C33" i="19"/>
  <c r="BL18" i="16"/>
  <c r="BM18" i="16" s="1"/>
  <c r="A20" i="16"/>
  <c r="M21" i="20"/>
  <c r="J13" i="18" s="1"/>
  <c r="BI21" i="20"/>
  <c r="M15" i="20"/>
  <c r="BM15" i="20" s="1"/>
  <c r="BG24" i="20"/>
  <c r="BI24" i="20" s="1"/>
  <c r="G112" i="20"/>
  <c r="BH18" i="20"/>
  <c r="BI18" i="20" s="1"/>
  <c r="BM24" i="20"/>
  <c r="J16" i="18"/>
  <c r="M23" i="20"/>
  <c r="BM23" i="20" s="1"/>
  <c r="BQ26" i="16"/>
  <c r="AO18" i="20"/>
  <c r="BM18" i="20"/>
  <c r="J10" i="18"/>
  <c r="D9" i="22"/>
  <c r="AO24" i="20"/>
  <c r="B32" i="19"/>
  <c r="W13" i="23"/>
  <c r="AR24" i="16"/>
  <c r="AW37" i="20"/>
  <c r="AX37" i="20" s="1"/>
  <c r="AR21" i="16"/>
  <c r="W10" i="23"/>
  <c r="M22" i="20"/>
  <c r="AO22" i="20" s="1"/>
  <c r="C37" i="19"/>
  <c r="J82" i="20"/>
  <c r="J92" i="20" s="1"/>
  <c r="M16" i="20"/>
  <c r="BM16" i="20" s="1"/>
  <c r="AO13" i="20"/>
  <c r="J5" i="18"/>
  <c r="BM14" i="20"/>
  <c r="AZ25" i="20"/>
  <c r="AO14" i="20"/>
  <c r="AG12" i="20"/>
  <c r="M20" i="20"/>
  <c r="BM20" i="20" s="1"/>
  <c r="I17" i="18"/>
  <c r="G29" i="20" s="1"/>
  <c r="CP26" i="16"/>
  <c r="E4" i="27" s="1"/>
  <c r="B35" i="19"/>
  <c r="BP23" i="16"/>
  <c r="B34" i="19"/>
  <c r="B36" i="17"/>
  <c r="G15" i="18"/>
  <c r="C34" i="19"/>
  <c r="C13" i="22"/>
  <c r="D14" i="22"/>
  <c r="CO21" i="16"/>
  <c r="C36" i="19"/>
  <c r="C37" i="17"/>
  <c r="G17" i="22"/>
  <c r="B34" i="17"/>
  <c r="B36" i="19"/>
  <c r="C14" i="22"/>
  <c r="C32" i="17"/>
  <c r="BP24" i="16"/>
  <c r="AK11" i="17"/>
  <c r="AK16" i="17"/>
  <c r="G10" i="18"/>
  <c r="C35" i="17"/>
  <c r="A24" i="16"/>
  <c r="CO24" i="16"/>
  <c r="A19" i="16"/>
  <c r="B37" i="19"/>
  <c r="C27" i="17"/>
  <c r="BG20" i="20"/>
  <c r="BH20" i="20"/>
  <c r="BI19" i="20"/>
  <c r="AR23" i="16"/>
  <c r="AK14" i="17"/>
  <c r="M17" i="20"/>
  <c r="BH22" i="20"/>
  <c r="BG22" i="20"/>
  <c r="A23" i="16"/>
  <c r="BH16" i="20"/>
  <c r="BG16" i="20"/>
  <c r="G14" i="18"/>
  <c r="D12" i="22"/>
  <c r="BG17" i="20"/>
  <c r="BH17" i="20"/>
  <c r="C36" i="17"/>
  <c r="A22" i="16"/>
  <c r="CO19" i="16"/>
  <c r="AK15" i="17"/>
  <c r="BI15" i="20"/>
  <c r="BG23" i="20"/>
  <c r="BH23" i="20"/>
  <c r="W8" i="23"/>
  <c r="W12" i="23"/>
  <c r="D13" i="22"/>
  <c r="AH25" i="20"/>
  <c r="G34" i="20" s="1"/>
  <c r="C4" i="22"/>
  <c r="BL22" i="16"/>
  <c r="BM22" i="16" s="1"/>
  <c r="BL15" i="16"/>
  <c r="BM15" i="16" s="1"/>
  <c r="AR19" i="16"/>
  <c r="C34" i="17"/>
  <c r="A15" i="16"/>
  <c r="B29" i="19"/>
  <c r="BP19" i="16"/>
  <c r="A18" i="16"/>
  <c r="B35" i="17"/>
  <c r="BP16" i="16"/>
  <c r="BP21" i="16"/>
  <c r="B32" i="17"/>
  <c r="C32" i="19"/>
  <c r="AR22" i="16"/>
  <c r="AK13" i="17"/>
  <c r="G13" i="18"/>
  <c r="BL19" i="16"/>
  <c r="BM19" i="16" s="1"/>
  <c r="B27" i="17"/>
  <c r="BP14" i="16"/>
  <c r="BL24" i="16"/>
  <c r="BM24" i="16" s="1"/>
  <c r="G5" i="18"/>
  <c r="D8" i="22"/>
  <c r="AK10" i="17"/>
  <c r="CO14" i="16"/>
  <c r="C11" i="22"/>
  <c r="C31" i="17"/>
  <c r="G6" i="18"/>
  <c r="AR14" i="16"/>
  <c r="G9" i="18"/>
  <c r="A21" i="16"/>
  <c r="B28" i="17"/>
  <c r="BP22" i="16"/>
  <c r="B27" i="19"/>
  <c r="W3" i="23"/>
  <c r="B28" i="19"/>
  <c r="CO22" i="16"/>
  <c r="C28" i="19"/>
  <c r="C27" i="19"/>
  <c r="D11" i="22"/>
  <c r="AK7" i="17"/>
  <c r="CO16" i="16"/>
  <c r="C29" i="19"/>
  <c r="BL14" i="16"/>
  <c r="BM14" i="16" s="1"/>
  <c r="C8" i="22"/>
  <c r="BP15" i="16"/>
  <c r="AR16" i="16"/>
  <c r="B31" i="19"/>
  <c r="G7" i="18"/>
  <c r="CO15" i="16"/>
  <c r="BL17" i="16"/>
  <c r="BM17" i="16" s="1"/>
  <c r="C29" i="17"/>
  <c r="P26" i="16"/>
  <c r="J112" i="16" s="1"/>
  <c r="C6" i="22"/>
  <c r="CO18" i="16"/>
  <c r="D4" i="22"/>
  <c r="A16" i="16"/>
  <c r="B31" i="17"/>
  <c r="B29" i="17"/>
  <c r="D5" i="22"/>
  <c r="W7" i="23"/>
  <c r="W4" i="23"/>
  <c r="AK6" i="17"/>
  <c r="D6" i="22"/>
  <c r="BP18" i="16"/>
  <c r="C28" i="17"/>
  <c r="C12" i="22"/>
  <c r="W5" i="23"/>
  <c r="G6" i="23"/>
  <c r="G7" i="23" s="1"/>
  <c r="C31" i="19"/>
  <c r="AR15" i="16"/>
  <c r="W11" i="23"/>
  <c r="BL21" i="16"/>
  <c r="BM21" i="16" s="1"/>
  <c r="BL23" i="16"/>
  <c r="BM23" i="16" s="1"/>
  <c r="BL16" i="16"/>
  <c r="BM16" i="16" s="1"/>
  <c r="F20" i="18"/>
  <c r="F21" i="18"/>
  <c r="J138" i="16"/>
  <c r="N21" i="18"/>
  <c r="N20" i="18"/>
  <c r="CM31" i="16"/>
  <c r="B4" i="27"/>
  <c r="C8" i="27" s="1"/>
  <c r="C13" i="27" s="1"/>
  <c r="AL33" i="16"/>
  <c r="AL34" i="16" s="1"/>
  <c r="M31" i="16"/>
  <c r="DK20" i="16"/>
  <c r="M87" i="16"/>
  <c r="CO17" i="16"/>
  <c r="A17" i="16"/>
  <c r="D7" i="22"/>
  <c r="BP17" i="16"/>
  <c r="W6" i="23"/>
  <c r="C30" i="17"/>
  <c r="C30" i="19"/>
  <c r="AR17" i="16"/>
  <c r="AK9" i="17"/>
  <c r="C7" i="22"/>
  <c r="G8" i="18"/>
  <c r="B30" i="17"/>
  <c r="B30" i="19"/>
  <c r="K24" i="22"/>
  <c r="K25" i="22" s="1"/>
  <c r="L25" i="22" s="1"/>
  <c r="AA44" i="16"/>
  <c r="X43" i="20"/>
  <c r="BA38" i="16"/>
  <c r="O105" i="17"/>
  <c r="O105" i="19"/>
  <c r="G2" i="23"/>
  <c r="F6" i="23"/>
  <c r="F7" i="23" s="1"/>
  <c r="N23" i="18" l="1"/>
  <c r="N18" i="18" s="1"/>
  <c r="BM21" i="20"/>
  <c r="AO21" i="20"/>
  <c r="AO15" i="20"/>
  <c r="J7" i="18"/>
  <c r="BI16" i="20"/>
  <c r="AO23" i="20"/>
  <c r="J8" i="18"/>
  <c r="J15" i="18"/>
  <c r="AO16" i="20"/>
  <c r="I20" i="18"/>
  <c r="J14" i="18"/>
  <c r="J12" i="18"/>
  <c r="BM22" i="20"/>
  <c r="I21" i="18"/>
  <c r="AO20" i="20"/>
  <c r="J78" i="20"/>
  <c r="G38" i="20"/>
  <c r="G39" i="20" s="1"/>
  <c r="BI17" i="20"/>
  <c r="BI23" i="20"/>
  <c r="BI22" i="20"/>
  <c r="E26" i="27"/>
  <c r="BM17" i="20"/>
  <c r="J9" i="18"/>
  <c r="AO17" i="20"/>
  <c r="M25" i="20"/>
  <c r="J86" i="20"/>
  <c r="BI20" i="20"/>
  <c r="L52" i="16"/>
  <c r="B39" i="19"/>
  <c r="B39" i="17"/>
  <c r="J60" i="16" s="1"/>
  <c r="G17" i="18"/>
  <c r="Z130" i="16" s="1"/>
  <c r="J136" i="16" s="1"/>
  <c r="W15" i="23"/>
  <c r="W16" i="23" s="1"/>
  <c r="G10" i="23" s="1"/>
  <c r="C39" i="19"/>
  <c r="C40" i="19" s="1"/>
  <c r="BP26" i="16"/>
  <c r="BR26" i="16" s="1"/>
  <c r="CO26" i="16"/>
  <c r="D4" i="27" s="1"/>
  <c r="C17" i="27" s="1"/>
  <c r="C17" i="22"/>
  <c r="D25" i="22" s="1"/>
  <c r="D17" i="22"/>
  <c r="AZ36" i="16"/>
  <c r="F10" i="23"/>
  <c r="C39" i="17"/>
  <c r="C40" i="17" s="1"/>
  <c r="AK18" i="17"/>
  <c r="AL18" i="17" s="1"/>
  <c r="AA61" i="16"/>
  <c r="AR26" i="16"/>
  <c r="AS26" i="16" s="1"/>
  <c r="M84" i="16"/>
  <c r="F23" i="18"/>
  <c r="F18" i="18" s="1"/>
  <c r="BM26" i="16"/>
  <c r="L4" i="22" s="1"/>
  <c r="BL26" i="16"/>
  <c r="R198" i="16" s="1"/>
  <c r="P105" i="19"/>
  <c r="Q105" i="19"/>
  <c r="O106" i="17"/>
  <c r="O106" i="19"/>
  <c r="J134" i="16"/>
  <c r="M79" i="16"/>
  <c r="Q20" i="19"/>
  <c r="Q20" i="17"/>
  <c r="L8" i="23"/>
  <c r="J31" i="16"/>
  <c r="DN30" i="16"/>
  <c r="J32" i="16" s="1"/>
  <c r="M6" i="27"/>
  <c r="P105" i="17"/>
  <c r="Q105" i="17"/>
  <c r="U33" i="20" l="1"/>
  <c r="U46" i="20" s="1"/>
  <c r="I23" i="18"/>
  <c r="I18" i="18" s="1"/>
  <c r="J17" i="18"/>
  <c r="G40" i="20" s="1"/>
  <c r="G26" i="18"/>
  <c r="BI25" i="20"/>
  <c r="U34" i="20" s="1"/>
  <c r="G59" i="20"/>
  <c r="AO25" i="20"/>
  <c r="AP25" i="20" s="1"/>
  <c r="BM25" i="20"/>
  <c r="BO25" i="20" s="1"/>
  <c r="G111" i="20"/>
  <c r="X60" i="20"/>
  <c r="AW35" i="20"/>
  <c r="J83" i="20"/>
  <c r="G108" i="20" s="1"/>
  <c r="M7" i="22"/>
  <c r="H34" i="22" s="1"/>
  <c r="C25" i="22"/>
  <c r="R105" i="17"/>
  <c r="R105" i="19"/>
  <c r="Q22" i="19"/>
  <c r="Q23" i="19" s="1"/>
  <c r="O23" i="19" s="1"/>
  <c r="N27" i="19" s="1"/>
  <c r="Q22" i="17"/>
  <c r="Q23" i="17" s="1"/>
  <c r="O23" i="17" s="1"/>
  <c r="N27" i="17" s="1"/>
  <c r="L49" i="16"/>
  <c r="J33" i="16"/>
  <c r="T8" i="27"/>
  <c r="T12" i="27" s="1"/>
  <c r="P8" i="27" s="1"/>
  <c r="P106" i="19"/>
  <c r="Q106" i="19"/>
  <c r="P106" i="17"/>
  <c r="Q106" i="17"/>
  <c r="M8" i="23"/>
  <c r="I8" i="23" s="1"/>
  <c r="F8" i="23" s="1"/>
  <c r="M5" i="23"/>
  <c r="L17" i="18" l="1"/>
  <c r="U48" i="20"/>
  <c r="U38" i="20"/>
  <c r="W63" i="20" s="1"/>
  <c r="L38" i="20" s="1"/>
  <c r="U43" i="20"/>
  <c r="R14" i="27"/>
  <c r="T5" i="16" s="1"/>
  <c r="R106" i="19"/>
  <c r="R107" i="19" s="1"/>
  <c r="R109" i="19" s="1"/>
  <c r="R106" i="17"/>
  <c r="R107" i="17" s="1"/>
  <c r="R109" i="17" s="1"/>
  <c r="F22" i="23"/>
  <c r="Q45" i="16"/>
  <c r="F9" i="23"/>
  <c r="H17" i="23"/>
  <c r="H18" i="23" s="1"/>
  <c r="I18" i="23" s="1"/>
  <c r="Q15" i="27" l="1"/>
  <c r="R5" i="16" s="1"/>
  <c r="I17" i="23"/>
  <c r="I20" i="23" s="1"/>
  <c r="F11" i="23"/>
  <c r="C14" i="27" l="1"/>
  <c r="C15" i="27" s="1"/>
  <c r="C16" i="27" s="1"/>
  <c r="J20" i="23"/>
  <c r="K20" i="23" s="1"/>
  <c r="M21" i="23" s="1"/>
  <c r="I21" i="23"/>
  <c r="J21" i="23" s="1"/>
  <c r="K21" i="23" s="1"/>
  <c r="AE42" i="16"/>
  <c r="AE43" i="16" s="1"/>
  <c r="H29" i="22"/>
  <c r="H30" i="22" s="1"/>
  <c r="H53" i="16"/>
  <c r="W5" i="16"/>
  <c r="D20" i="22"/>
  <c r="C20" i="22"/>
  <c r="M93" i="16"/>
  <c r="G8" i="23"/>
  <c r="G9" i="23" s="1"/>
  <c r="G11" i="23" s="1"/>
  <c r="AA134" i="16"/>
  <c r="E278" i="16" l="1"/>
  <c r="H16" i="27"/>
  <c r="H17" i="27" s="1"/>
  <c r="H18" i="27" s="1"/>
  <c r="I18" i="27" s="1"/>
  <c r="C21" i="22"/>
  <c r="C22" i="22"/>
  <c r="C19" i="27"/>
  <c r="E27" i="27"/>
  <c r="D17" i="27"/>
  <c r="J114" i="19"/>
  <c r="J114" i="17"/>
  <c r="M118" i="19"/>
  <c r="K114" i="19"/>
  <c r="O113" i="17"/>
  <c r="K114" i="17"/>
  <c r="O113" i="19"/>
  <c r="M118" i="17"/>
  <c r="D21" i="22"/>
  <c r="D22" i="22"/>
  <c r="H31" i="22"/>
  <c r="A40" i="22"/>
  <c r="A41" i="22"/>
  <c r="A39" i="22"/>
  <c r="A36" i="22"/>
  <c r="A38" i="22"/>
  <c r="K92" i="19"/>
  <c r="AA136" i="16"/>
  <c r="X52" i="16" s="1"/>
  <c r="AA138" i="16"/>
  <c r="AA140" i="16" s="1"/>
  <c r="K92" i="17"/>
  <c r="J135" i="16" l="1"/>
  <c r="J131" i="16" s="1"/>
  <c r="J109" i="16"/>
  <c r="H19" i="27"/>
  <c r="I19" i="27" s="1"/>
  <c r="I20" i="27" s="1"/>
  <c r="I21" i="27" s="1"/>
  <c r="T4" i="16" s="1"/>
  <c r="C23" i="22"/>
  <c r="G109" i="20"/>
  <c r="D23" i="22"/>
  <c r="D27" i="22" s="1"/>
  <c r="C37" i="22" s="1"/>
  <c r="M114" i="19"/>
  <c r="AA52" i="16"/>
  <c r="R197" i="16"/>
  <c r="P113" i="19"/>
  <c r="O114" i="19"/>
  <c r="Q113" i="19"/>
  <c r="M119" i="17"/>
  <c r="M119" i="19"/>
  <c r="M114" i="17"/>
  <c r="J110" i="16"/>
  <c r="O114" i="17"/>
  <c r="Q113" i="17"/>
  <c r="P113" i="17"/>
  <c r="F115" i="17"/>
  <c r="C21" i="27" l="1"/>
  <c r="C23" i="27" s="1"/>
  <c r="G38" i="16" s="1"/>
  <c r="C36" i="22"/>
  <c r="K28" i="22"/>
  <c r="K30" i="22" s="1"/>
  <c r="K33" i="22" s="1"/>
  <c r="N11" i="22" s="1"/>
  <c r="C27" i="22"/>
  <c r="K26" i="22"/>
  <c r="R113" i="17"/>
  <c r="J93" i="20" s="1"/>
  <c r="C40" i="22"/>
  <c r="R113" i="19"/>
  <c r="Q114" i="17"/>
  <c r="P114" i="17"/>
  <c r="P114" i="19"/>
  <c r="Q114" i="19"/>
  <c r="AA34" i="16"/>
  <c r="X49" i="16"/>
  <c r="X191" i="16"/>
  <c r="X44" i="16"/>
  <c r="X47" i="16"/>
  <c r="M94" i="16" l="1"/>
  <c r="L108" i="16" s="1"/>
  <c r="E277" i="16"/>
  <c r="R114" i="17"/>
  <c r="R117" i="17" s="1"/>
  <c r="C39" i="22"/>
  <c r="C44" i="22" s="1"/>
  <c r="X144" i="16" s="1"/>
  <c r="C38" i="22"/>
  <c r="R114" i="19"/>
  <c r="R117" i="19" s="1"/>
  <c r="J94" i="20"/>
  <c r="I107" i="20"/>
  <c r="X39" i="16"/>
  <c r="Z64" i="16"/>
  <c r="G37" i="16" s="1"/>
  <c r="DK24" i="16"/>
  <c r="AZ40" i="16" l="1"/>
  <c r="AZ42" i="16" s="1"/>
  <c r="L113" i="16"/>
  <c r="L109" i="16"/>
  <c r="M95" i="16"/>
  <c r="R118" i="17"/>
  <c r="R118" i="19"/>
  <c r="AW41" i="2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Sepulveda Jorge (WM)</author>
  </authors>
  <commentList>
    <comment ref="M2" authorId="0" shapeId="0" xr:uid="{85E67A23-68C1-4037-9423-83A4A3AE0544}">
      <text>
        <r>
          <rPr>
            <b/>
            <sz val="9"/>
            <color indexed="81"/>
            <rFont val="Tahoma"/>
            <family val="2"/>
          </rPr>
          <t>Sepulveda Jorge (WM):</t>
        </r>
        <r>
          <rPr>
            <sz val="9"/>
            <color indexed="81"/>
            <rFont val="Tahoma"/>
            <family val="2"/>
          </rPr>
          <t xml:space="preserve">
Seleccionar la AFP donde mantiene su ahorro obligatorio</t>
        </r>
      </text>
    </comment>
    <comment ref="M4" authorId="0" shapeId="0" xr:uid="{A61041F3-8671-47A7-9561-90511EAFDB98}">
      <text>
        <r>
          <rPr>
            <b/>
            <sz val="9"/>
            <color indexed="81"/>
            <rFont val="Tahoma"/>
            <family val="2"/>
          </rPr>
          <t>Sepulveda Jorge (WM):</t>
        </r>
        <r>
          <rPr>
            <sz val="9"/>
            <color indexed="81"/>
            <rFont val="Tahoma"/>
            <family val="2"/>
          </rPr>
          <t xml:space="preserve">
Si efectuó rescates de APV opción B durante el año</t>
        </r>
      </text>
    </comment>
    <comment ref="T4" authorId="0" shapeId="0" xr:uid="{D7AFB2C6-D3CD-474F-9180-ECA3C2997127}">
      <text>
        <r>
          <rPr>
            <b/>
            <sz val="9"/>
            <color indexed="81"/>
            <rFont val="Tahoma"/>
            <family val="2"/>
          </rPr>
          <t>Sepulveda Jorge (WM):</t>
        </r>
        <r>
          <rPr>
            <sz val="9"/>
            <color indexed="81"/>
            <rFont val="Tahoma"/>
            <family val="2"/>
          </rPr>
          <t xml:space="preserve">
Tasa Impuesto Único que grava el retiro (calculada en f(x) de las rentas 2025).</t>
        </r>
      </text>
    </comment>
    <comment ref="R5" authorId="0" shapeId="0" xr:uid="{C39807FB-5233-407D-B56F-0EF1DBDA861F}">
      <text>
        <r>
          <rPr>
            <b/>
            <sz val="9"/>
            <color indexed="81"/>
            <rFont val="Tahoma"/>
            <family val="2"/>
          </rPr>
          <t>Sepulveda Jorge (WM):</t>
        </r>
        <r>
          <rPr>
            <sz val="9"/>
            <color indexed="81"/>
            <rFont val="Tahoma"/>
            <family val="2"/>
          </rPr>
          <t xml:space="preserve">
Los intereses que puede rebajar
</t>
        </r>
      </text>
    </comment>
    <comment ref="T5" authorId="0" shapeId="0" xr:uid="{D0BAF271-10EA-4DF5-8CE8-26C8A7BC62F6}">
      <text>
        <r>
          <rPr>
            <b/>
            <sz val="9"/>
            <color indexed="81"/>
            <rFont val="Tahoma"/>
            <family val="2"/>
          </rPr>
          <t>Sepulveda Jorge (WM):</t>
        </r>
        <r>
          <rPr>
            <sz val="9"/>
            <color indexed="81"/>
            <rFont val="Tahoma"/>
            <family val="2"/>
          </rPr>
          <t xml:space="preserve">
Corresponde al porcentaje de los intereses que puede rebajar.</t>
        </r>
      </text>
    </comment>
    <comment ref="R6" authorId="0" shapeId="0" xr:uid="{D455F396-2774-47F1-9E68-B380FBA84F7D}">
      <text>
        <r>
          <rPr>
            <b/>
            <sz val="9"/>
            <color indexed="81"/>
            <rFont val="Tahoma"/>
            <family val="2"/>
          </rPr>
          <t>Sepulveda Jorge (WM):</t>
        </r>
        <r>
          <rPr>
            <sz val="9"/>
            <color indexed="81"/>
            <rFont val="Tahoma"/>
            <family val="2"/>
          </rPr>
          <t xml:space="preserve">
Ingresar valores positivos y seleccionar (positivo/negativo)</t>
        </r>
      </text>
    </comment>
    <comment ref="Q7" authorId="0" shapeId="0" xr:uid="{5661CB06-CF77-4BF3-8255-351D56105212}">
      <text>
        <r>
          <rPr>
            <b/>
            <sz val="9"/>
            <color indexed="81"/>
            <rFont val="Tahoma"/>
            <family val="2"/>
          </rPr>
          <t>Sepulveda Jorge (WM):</t>
        </r>
        <r>
          <rPr>
            <sz val="9"/>
            <color indexed="81"/>
            <rFont val="Tahoma"/>
            <family val="2"/>
          </rPr>
          <t xml:space="preserve">
Resultado de la operación 57 bis (crédito, exento o débito)</t>
        </r>
      </text>
    </comment>
    <comment ref="G12" authorId="0" shapeId="0" xr:uid="{09EDA927-FB35-4C39-9199-E99B53747B19}">
      <text>
        <r>
          <rPr>
            <b/>
            <sz val="9"/>
            <color indexed="81"/>
            <rFont val="Tahoma"/>
            <family val="2"/>
          </rPr>
          <t>Sepulveda Jorge (WM):</t>
        </r>
        <r>
          <rPr>
            <sz val="9"/>
            <color indexed="81"/>
            <rFont val="Tahoma"/>
            <family val="2"/>
          </rPr>
          <t xml:space="preserve">
Correponde a la bruta menos movilización y colación.</t>
        </r>
      </text>
    </comment>
    <comment ref="V12" authorId="0" shapeId="0" xr:uid="{2ECD8F96-CB23-4D92-8065-D4D55CB1AF67}">
      <text>
        <r>
          <rPr>
            <b/>
            <sz val="9"/>
            <color indexed="81"/>
            <rFont val="Tahoma"/>
            <family val="2"/>
          </rPr>
          <t>Sepulveda Jorge (WM):</t>
        </r>
        <r>
          <rPr>
            <sz val="9"/>
            <color indexed="81"/>
            <rFont val="Tahoma"/>
            <family val="2"/>
          </rPr>
          <t xml:space="preserve">
Considera boletas con retención y gastos presuntos.</t>
        </r>
      </text>
    </comment>
    <comment ref="N30" authorId="0" shapeId="0" xr:uid="{3E15FDF6-9746-482E-9AC6-60CBFABDBFB4}">
      <text>
        <r>
          <rPr>
            <b/>
            <sz val="9"/>
            <color indexed="81"/>
            <rFont val="Tahoma"/>
            <family val="2"/>
          </rPr>
          <t>Sepulveda Jorge (WM):</t>
        </r>
        <r>
          <rPr>
            <sz val="9"/>
            <color indexed="81"/>
            <rFont val="Tahoma"/>
            <family val="2"/>
          </rPr>
          <t xml:space="preserve">
Ingresar otras rentas tributables (ganancias de capital, rentas capitales mobiliaros, etc).</t>
        </r>
      </text>
    </comment>
    <comment ref="E31" authorId="0" shapeId="0" xr:uid="{1ECEDB12-9226-4767-A0F0-053F06AD6252}">
      <text>
        <r>
          <rPr>
            <b/>
            <sz val="9"/>
            <color indexed="81"/>
            <rFont val="Tahoma"/>
            <family val="2"/>
          </rPr>
          <t>Sepulveda Jorge (WM):</t>
        </r>
        <r>
          <rPr>
            <sz val="9"/>
            <color indexed="81"/>
            <rFont val="Tahoma"/>
            <family val="2"/>
          </rPr>
          <t xml:space="preserve">
Corresponde a la diferencia entre el APV B máximo anual y los aportes directos y vía empledor efectuados durante el año.</t>
        </r>
      </text>
    </comment>
    <comment ref="E32" authorId="0" shapeId="0" xr:uid="{3BBAC9A8-087D-4BC9-B4DF-C4EAA0179067}">
      <text>
        <r>
          <rPr>
            <b/>
            <sz val="9"/>
            <color indexed="81"/>
            <rFont val="Tahoma"/>
            <family val="2"/>
          </rPr>
          <t>Sepulveda Jorge (WM):</t>
        </r>
        <r>
          <rPr>
            <sz val="9"/>
            <color indexed="81"/>
            <rFont val="Tahoma"/>
            <family val="2"/>
          </rPr>
          <t xml:space="preserve">
Monto máximo que puede rebajar en calidad de trabajador </t>
        </r>
        <r>
          <rPr>
            <u/>
            <sz val="9"/>
            <color indexed="81"/>
            <rFont val="Tahoma"/>
            <family val="2"/>
          </rPr>
          <t>dependiente</t>
        </r>
        <r>
          <rPr>
            <sz val="9"/>
            <color indexed="81"/>
            <rFont val="Tahoma"/>
            <family val="2"/>
          </rPr>
          <t>. En este caso debe seleccionar la opción "trabajador dependiente" en el formulario físico o digital  "Selección de Alternativas de Inversión". Recuerde que debe declarar el APV B en el código 765 del F-22.</t>
        </r>
      </text>
    </comment>
    <comment ref="E33" authorId="0" shapeId="0" xr:uid="{0A618327-D4A9-40B3-A00D-72A08BE7895D}">
      <text>
        <r>
          <rPr>
            <b/>
            <sz val="9"/>
            <color indexed="81"/>
            <rFont val="Tahoma"/>
            <family val="2"/>
          </rPr>
          <t>Sepulveda Jorge (WM):</t>
        </r>
        <r>
          <rPr>
            <sz val="9"/>
            <color indexed="81"/>
            <rFont val="Tahoma"/>
            <family val="2"/>
          </rPr>
          <t xml:space="preserve">
Monto máximo que puede rebajar en calidad de trabajador independiente. En este caso debe seleccionar la opción "trabajador independiente" en el formulario físico o digital  "Selección de Alternativas de Inversión". Recuerde que debe declarar el APV B en el código 770 del F-22, que se encuentra ubicado en el recuadro de honorarios.</t>
        </r>
      </text>
    </comment>
    <comment ref="E34" authorId="0" shapeId="0" xr:uid="{3364F76E-3462-4D68-B501-566BCFB0BA84}">
      <text>
        <r>
          <rPr>
            <b/>
            <sz val="9"/>
            <color indexed="81"/>
            <rFont val="Tahoma"/>
            <family val="2"/>
          </rPr>
          <t>Sepulveda Jorge (WM):</t>
        </r>
        <r>
          <rPr>
            <sz val="9"/>
            <color indexed="81"/>
            <rFont val="Tahoma"/>
            <family val="2"/>
          </rPr>
          <t xml:space="preserve">
Ingresar en esta sección el APV B directo final.</t>
        </r>
      </text>
    </comment>
    <comment ref="J34" authorId="0" shapeId="0" xr:uid="{566F72EC-0C1D-4CE7-A145-0119C302437C}">
      <text>
        <r>
          <rPr>
            <b/>
            <sz val="9"/>
            <color indexed="81"/>
            <rFont val="Tahoma"/>
            <family val="2"/>
          </rPr>
          <t>Sepulveda Jorge (WM):</t>
        </r>
        <r>
          <rPr>
            <sz val="9"/>
            <color indexed="81"/>
            <rFont val="Tahoma"/>
            <family val="2"/>
          </rPr>
          <t xml:space="preserve">
Recuerde que el APV Máximo no puede superar el valor indicado en la celda amarilla (*)</t>
        </r>
      </text>
    </comment>
  </commentList>
</comments>
</file>

<file path=xl/sharedStrings.xml><?xml version="1.0" encoding="utf-8"?>
<sst xmlns="http://schemas.openxmlformats.org/spreadsheetml/2006/main" count="509" uniqueCount="265">
  <si>
    <t>AFP ahorro Obligatorio (APO)</t>
  </si>
  <si>
    <t>Capital</t>
  </si>
  <si>
    <t xml:space="preserve"> </t>
  </si>
  <si>
    <t>Tipo de afiliado</t>
  </si>
  <si>
    <t>Pensionado cotizante</t>
  </si>
  <si>
    <t>Retiro APV B (2025)</t>
  </si>
  <si>
    <t>Impuesto Único</t>
  </si>
  <si>
    <t>YN</t>
  </si>
  <si>
    <t>AFP cotiza ahorro APO</t>
  </si>
  <si>
    <t>Intereses crédito hipotecario (2025)</t>
  </si>
  <si>
    <t>Si</t>
  </si>
  <si>
    <t>No</t>
  </si>
  <si>
    <t>Inversión 57 bis</t>
  </si>
  <si>
    <t>Saldo Ahorro Neto</t>
  </si>
  <si>
    <t>,</t>
  </si>
  <si>
    <t>Seguro cesantía</t>
  </si>
  <si>
    <t xml:space="preserve">Si </t>
  </si>
  <si>
    <t>Años SAN positivo</t>
  </si>
  <si>
    <t>APV opción A</t>
  </si>
  <si>
    <t>APV B</t>
  </si>
  <si>
    <t>APV A</t>
  </si>
  <si>
    <t>Mes</t>
  </si>
  <si>
    <t>UF</t>
  </si>
  <si>
    <t>Total renta 
afecta 
($)</t>
  </si>
  <si>
    <t>Pensión  
Bruta 
($)</t>
  </si>
  <si>
    <t>APV máximo
vía empleador 
($)</t>
  </si>
  <si>
    <t>Vía 
Empleador</t>
  </si>
  <si>
    <t>Directo</t>
  </si>
  <si>
    <t>Vía Empleador</t>
  </si>
  <si>
    <t>Renta 
Tributable 
($)</t>
  </si>
  <si>
    <t>Impuesto 
mensual 
($)</t>
  </si>
  <si>
    <t>Pensión 
Tributable 
($)</t>
  </si>
  <si>
    <t>Impuesto 
Pensión 
($)</t>
  </si>
  <si>
    <t>Honorarios 
($)</t>
  </si>
  <si>
    <t>Retención 
14,5% 
($)</t>
  </si>
  <si>
    <t>Tramo impuesto</t>
  </si>
  <si>
    <t>Rebaja</t>
  </si>
  <si>
    <t>Obligatorio</t>
  </si>
  <si>
    <t>Comisión AFP</t>
  </si>
  <si>
    <t>Salud</t>
  </si>
  <si>
    <t>Seguro Cesantía</t>
  </si>
  <si>
    <t>Comisión Pensión</t>
  </si>
  <si>
    <t>Salud pensión</t>
  </si>
  <si>
    <t>Factor actualización</t>
  </si>
  <si>
    <t>Renta tributable</t>
  </si>
  <si>
    <t>Pensión Tributable</t>
  </si>
  <si>
    <t>Impuetso sueldo</t>
  </si>
  <si>
    <t>Impuesto Pensión</t>
  </si>
  <si>
    <t>Honorarios</t>
  </si>
  <si>
    <t>Retenciones</t>
  </si>
  <si>
    <t>APV empleador</t>
  </si>
  <si>
    <t>APV directo</t>
  </si>
  <si>
    <t>Enero</t>
  </si>
  <si>
    <t>enero</t>
  </si>
  <si>
    <t>Febrero</t>
  </si>
  <si>
    <t>Cuprum</t>
  </si>
  <si>
    <t>febrero</t>
  </si>
  <si>
    <t>Marzo</t>
  </si>
  <si>
    <t>Habitat</t>
  </si>
  <si>
    <t>marzo</t>
  </si>
  <si>
    <t>APV independiente</t>
  </si>
  <si>
    <t>Abril</t>
  </si>
  <si>
    <t>Modelo</t>
  </si>
  <si>
    <t>abril</t>
  </si>
  <si>
    <t>Mayo</t>
  </si>
  <si>
    <t>Planvital</t>
  </si>
  <si>
    <t>mayo</t>
  </si>
  <si>
    <t>Junio</t>
  </si>
  <si>
    <t>Provida</t>
  </si>
  <si>
    <t>junio</t>
  </si>
  <si>
    <t>Julio</t>
  </si>
  <si>
    <t>julio</t>
  </si>
  <si>
    <t>Agosto</t>
  </si>
  <si>
    <t>agosto</t>
  </si>
  <si>
    <t>Septiembre</t>
  </si>
  <si>
    <t>septiembre</t>
  </si>
  <si>
    <t>Octubre</t>
  </si>
  <si>
    <t>octubre</t>
  </si>
  <si>
    <t>Noviembre</t>
  </si>
  <si>
    <t>noviembre</t>
  </si>
  <si>
    <t>Diciembre</t>
  </si>
  <si>
    <t>diciembre</t>
  </si>
  <si>
    <t>Total</t>
  </si>
  <si>
    <t xml:space="preserve">Pagos Directos y Vía Empleador corregidos efectuados en el año </t>
  </si>
  <si>
    <t>Otras Rentas afectas a IGC</t>
  </si>
  <si>
    <t>APV máx. dependiente (Art. 42 N° 1)</t>
  </si>
  <si>
    <t>APV B máx. para utilizar 100% del beneficio tributario (*)</t>
  </si>
  <si>
    <t>APV max. Independiente (Art. 42 N° 2)</t>
  </si>
  <si>
    <t>APV B máx. en calidad de trabajador independiente (Art. 42 N° 2)</t>
  </si>
  <si>
    <t xml:space="preserve">Pago Directo APV opción B final </t>
  </si>
  <si>
    <t>Sueldo Empresarial</t>
  </si>
  <si>
    <t>No pensionado</t>
  </si>
  <si>
    <t>RESULTADO RELIQUIDACIÓN DE IMPUESTO :</t>
  </si>
  <si>
    <t>Pensionado no cotizante</t>
  </si>
  <si>
    <t>Directos anuales</t>
  </si>
  <si>
    <t>pesos ($)</t>
  </si>
  <si>
    <t>Directo final</t>
  </si>
  <si>
    <t>55 bis</t>
  </si>
  <si>
    <t>positivo</t>
  </si>
  <si>
    <t>negativo</t>
  </si>
  <si>
    <t>Renta</t>
  </si>
  <si>
    <t>Pensión</t>
  </si>
  <si>
    <t>Pago directo parcial</t>
  </si>
  <si>
    <t>Pago directo final</t>
  </si>
  <si>
    <t>min</t>
  </si>
  <si>
    <t>CE</t>
  </si>
  <si>
    <t>Retiro APV</t>
  </si>
  <si>
    <t>Retiro APV opción B</t>
  </si>
  <si>
    <t>Impuesto al retiro de APV opción B (%)</t>
  </si>
  <si>
    <t>Impuesto al retiro de APV opción B ($)</t>
  </si>
  <si>
    <t>Retención 15%</t>
  </si>
  <si>
    <t>Diferencia a reliquidar</t>
  </si>
  <si>
    <t>Nueva Base tributable anual</t>
  </si>
  <si>
    <t>Impuesto Calculado sobre nueva Base</t>
  </si>
  <si>
    <t>Reliquidación Anual de Impuesto</t>
  </si>
  <si>
    <t>Base tributable anual</t>
  </si>
  <si>
    <t>Impuestos Pagados y retenciones enteradas en el año</t>
  </si>
  <si>
    <t>Pagos Directos efectuados en el año</t>
  </si>
  <si>
    <t>APV B máximo restante para utilizar 100% del beneficio tributario</t>
  </si>
  <si>
    <t>Intereses Crédito Hipotecario (Art. 55 bis)</t>
  </si>
  <si>
    <t>(*) Total Haberes afectos: Renta bruta menos asignación de colación y movilización.</t>
  </si>
  <si>
    <t>(**) APV opción B máximo con Beneficio Tributario = sumatoria cotizaciones obligatorias enteradas durante el año * 8.33, con tope UF 600.</t>
  </si>
  <si>
    <t>Impuestos Pagados durante el año</t>
  </si>
  <si>
    <t xml:space="preserve">Base tributable anual </t>
  </si>
  <si>
    <t>Impuesto único por retiros de Ahorro Previsional Voluntario</t>
  </si>
  <si>
    <t>BASE IMPONIBLE GLOBAL COMPLEMENTARIO</t>
  </si>
  <si>
    <t>Impuesto global complementario según tabla. (Art. 52)</t>
  </si>
  <si>
    <t>Crédito por impuesto único segunda categoría. (Art. 56 N° 2)</t>
  </si>
  <si>
    <t>(actualizado)</t>
  </si>
  <si>
    <t>Rentas Artículo 42 N° 1 (sueldos)</t>
  </si>
  <si>
    <t>Rentas Artículo 42 N° 1 (pensiones)</t>
  </si>
  <si>
    <t>Rentas Artículo 42 N° 2 (honorarios)</t>
  </si>
  <si>
    <t>ANTIGUO CALCULO</t>
  </si>
  <si>
    <t>IMPUESTO GLOBAL COMPLEMENTARIO</t>
  </si>
  <si>
    <t>Diferencia de Reliquidación Formulario 2514</t>
  </si>
  <si>
    <t>Retención de honorarios</t>
  </si>
  <si>
    <t>UTM</t>
  </si>
  <si>
    <t>Factores actualización</t>
  </si>
  <si>
    <t>Pagos Directos efectuados en el año corregido</t>
  </si>
  <si>
    <r>
      <t> </t>
    </r>
    <r>
      <rPr>
        <b/>
        <sz val="8"/>
        <color indexed="23"/>
        <rFont val="Arial"/>
        <family val="2"/>
      </rPr>
      <t>Febrero</t>
    </r>
  </si>
  <si>
    <r>
      <t> </t>
    </r>
    <r>
      <rPr>
        <b/>
        <sz val="8"/>
        <color indexed="23"/>
        <rFont val="Arial"/>
        <family val="2"/>
      </rPr>
      <t>Marzo</t>
    </r>
  </si>
  <si>
    <r>
      <t> </t>
    </r>
    <r>
      <rPr>
        <b/>
        <sz val="8"/>
        <color indexed="23"/>
        <rFont val="Arial"/>
        <family val="2"/>
      </rPr>
      <t>Abril</t>
    </r>
  </si>
  <si>
    <r>
      <t> </t>
    </r>
    <r>
      <rPr>
        <b/>
        <sz val="8"/>
        <color indexed="23"/>
        <rFont val="Arial"/>
        <family val="2"/>
      </rPr>
      <t>Mayo</t>
    </r>
  </si>
  <si>
    <r>
      <t> </t>
    </r>
    <r>
      <rPr>
        <b/>
        <sz val="8"/>
        <color indexed="23"/>
        <rFont val="Arial"/>
        <family val="2"/>
      </rPr>
      <t>Junio</t>
    </r>
  </si>
  <si>
    <t>UTM (1)</t>
  </si>
  <si>
    <t>UTA (2)</t>
  </si>
  <si>
    <t>Indice de Precios al Consumidor (IPC)</t>
  </si>
  <si>
    <t>Variación Porcentual</t>
  </si>
  <si>
    <r>
      <t> </t>
    </r>
    <r>
      <rPr>
        <b/>
        <sz val="8"/>
        <color indexed="23"/>
        <rFont val="Arial"/>
        <family val="2"/>
      </rPr>
      <t>Julio</t>
    </r>
  </si>
  <si>
    <t>Valor en puntos (6)</t>
  </si>
  <si>
    <t>Mensual (3)</t>
  </si>
  <si>
    <t>Acumulado 2014 (4)</t>
  </si>
  <si>
    <t>Ultimos 12 meses (5)</t>
  </si>
  <si>
    <r>
      <t> </t>
    </r>
    <r>
      <rPr>
        <b/>
        <sz val="8"/>
        <color indexed="23"/>
        <rFont val="Arial"/>
        <family val="2"/>
      </rPr>
      <t>Agosto</t>
    </r>
  </si>
  <si>
    <r>
      <t> </t>
    </r>
    <r>
      <rPr>
        <b/>
        <sz val="8"/>
        <color indexed="23"/>
        <rFont val="Arial"/>
        <family val="2"/>
      </rPr>
      <t>Septiembre</t>
    </r>
  </si>
  <si>
    <t>|</t>
  </si>
  <si>
    <r>
      <t> </t>
    </r>
    <r>
      <rPr>
        <b/>
        <sz val="8"/>
        <color indexed="23"/>
        <rFont val="Arial"/>
        <family val="2"/>
      </rPr>
      <t>Octubre</t>
    </r>
  </si>
  <si>
    <r>
      <t> </t>
    </r>
    <r>
      <rPr>
        <b/>
        <sz val="8"/>
        <color indexed="23"/>
        <rFont val="Arial"/>
        <family val="2"/>
      </rPr>
      <t>Noviembre</t>
    </r>
  </si>
  <si>
    <r>
      <t> </t>
    </r>
    <r>
      <rPr>
        <b/>
        <sz val="8"/>
        <color indexed="23"/>
        <rFont val="Arial"/>
        <family val="2"/>
      </rPr>
      <t>Diciembre</t>
    </r>
  </si>
  <si>
    <t>y más</t>
  </si>
  <si>
    <t>Tramo</t>
  </si>
  <si>
    <t>Desde</t>
  </si>
  <si>
    <t>Hasta</t>
  </si>
  <si>
    <t>Factor</t>
  </si>
  <si>
    <t>Pensionado</t>
  </si>
  <si>
    <t>No ¨Pensionado</t>
  </si>
  <si>
    <t>UTA</t>
  </si>
  <si>
    <t>UTA 15</t>
  </si>
  <si>
    <t>UTA 8</t>
  </si>
  <si>
    <t>Base UTA</t>
  </si>
  <si>
    <t>Intereses</t>
  </si>
  <si>
    <t>Sueldo</t>
  </si>
  <si>
    <t>Maximo</t>
  </si>
  <si>
    <t>Gastos</t>
  </si>
  <si>
    <t>Retención</t>
  </si>
  <si>
    <t>Gastos presuntos</t>
  </si>
  <si>
    <t>Subtotal</t>
  </si>
  <si>
    <t>57 bis</t>
  </si>
  <si>
    <t xml:space="preserve">Intereses </t>
  </si>
  <si>
    <t>Base Global</t>
  </si>
  <si>
    <t>Retiro</t>
  </si>
  <si>
    <t>Impuesto Global</t>
  </si>
  <si>
    <t>B+R</t>
  </si>
  <si>
    <t>Crédito IUSC</t>
  </si>
  <si>
    <t>IGC B+R</t>
  </si>
  <si>
    <t>Resultado</t>
  </si>
  <si>
    <t>Final</t>
  </si>
  <si>
    <r>
      <t> </t>
    </r>
    <r>
      <rPr>
        <b/>
        <sz val="10"/>
        <rFont val="Arial"/>
        <family val="2"/>
      </rPr>
      <t>Febrero</t>
    </r>
  </si>
  <si>
    <r>
      <t> </t>
    </r>
    <r>
      <rPr>
        <b/>
        <sz val="10"/>
        <rFont val="Arial"/>
        <family val="2"/>
      </rPr>
      <t>Marzo</t>
    </r>
  </si>
  <si>
    <r>
      <t> </t>
    </r>
    <r>
      <rPr>
        <b/>
        <sz val="10"/>
        <rFont val="Arial"/>
        <family val="2"/>
      </rPr>
      <t>Abril</t>
    </r>
  </si>
  <si>
    <r>
      <t> </t>
    </r>
    <r>
      <rPr>
        <b/>
        <sz val="10"/>
        <rFont val="Arial"/>
        <family val="2"/>
      </rPr>
      <t>Mayo</t>
    </r>
  </si>
  <si>
    <r>
      <t> </t>
    </r>
    <r>
      <rPr>
        <b/>
        <sz val="10"/>
        <rFont val="Arial"/>
        <family val="2"/>
      </rPr>
      <t>Junio</t>
    </r>
  </si>
  <si>
    <r>
      <t> </t>
    </r>
    <r>
      <rPr>
        <b/>
        <sz val="10"/>
        <rFont val="Arial"/>
        <family val="2"/>
      </rPr>
      <t>Julio</t>
    </r>
  </si>
  <si>
    <r>
      <t> </t>
    </r>
    <r>
      <rPr>
        <b/>
        <sz val="10"/>
        <rFont val="Arial"/>
        <family val="2"/>
      </rPr>
      <t>Agosto</t>
    </r>
  </si>
  <si>
    <r>
      <t> </t>
    </r>
    <r>
      <rPr>
        <b/>
        <sz val="10"/>
        <rFont val="Arial"/>
        <family val="2"/>
      </rPr>
      <t>Septiembre</t>
    </r>
  </si>
  <si>
    <r>
      <t> </t>
    </r>
    <r>
      <rPr>
        <b/>
        <sz val="10"/>
        <rFont val="Arial"/>
        <family val="2"/>
      </rPr>
      <t>Octubre</t>
    </r>
  </si>
  <si>
    <r>
      <t> </t>
    </r>
    <r>
      <rPr>
        <b/>
        <sz val="10"/>
        <rFont val="Arial"/>
        <family val="2"/>
      </rPr>
      <t>Noviembre</t>
    </r>
  </si>
  <si>
    <r>
      <t> </t>
    </r>
    <r>
      <rPr>
        <b/>
        <sz val="10"/>
        <rFont val="Arial"/>
        <family val="2"/>
      </rPr>
      <t>Diciembre</t>
    </r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</si>
  <si>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</si>
  <si>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</si>
  <si>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</si>
  <si>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</si>
  <si>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</si>
  <si>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</si>
  <si>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</si>
  <si>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</si>
  <si>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</si>
  <si>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</si>
  <si>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</si>
  <si>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</si>
  <si>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</si>
  <si>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Impuesto 1(UTM)</t>
  </si>
  <si>
    <t>Impuesto 1 (UF)</t>
  </si>
  <si>
    <t>Renta 1 (UTM)</t>
  </si>
  <si>
    <t>Renta 1 (UF)</t>
  </si>
  <si>
    <t>Impuesto 2(UTM)</t>
  </si>
  <si>
    <t>Renta 2 (UTM)</t>
  </si>
  <si>
    <t>Reliquidación 2 rentas</t>
  </si>
  <si>
    <t>Boleta y renta</t>
  </si>
  <si>
    <t>Actualizado</t>
  </si>
  <si>
    <t>Con honorarios</t>
  </si>
  <si>
    <t>Gasto presunto</t>
  </si>
  <si>
    <t>Base honorarios</t>
  </si>
  <si>
    <t>Impuesto</t>
  </si>
  <si>
    <t>Impuesto pagados</t>
  </si>
  <si>
    <t>Reliquidación</t>
  </si>
  <si>
    <t>Boleta</t>
  </si>
  <si>
    <t>Reliquida variable</t>
  </si>
  <si>
    <t>Si no hay reliquidación honorarios y 2514</t>
  </si>
  <si>
    <t>Si hay reliquidación normal</t>
  </si>
  <si>
    <t>Doble renta</t>
  </si>
  <si>
    <t>Solo honorarios</t>
  </si>
  <si>
    <t>Honorarios y renta</t>
  </si>
  <si>
    <t>honorario y 2514</t>
  </si>
  <si>
    <t>variable sin reliqui CON BOLETA</t>
  </si>
  <si>
    <t>con reliquidación</t>
  </si>
  <si>
    <t xml:space="preserve">Sin nada </t>
  </si>
  <si>
    <t>Intereses Crédito Hipotecario (55 bis)</t>
  </si>
  <si>
    <t>(*)Total renta afecta           ($)</t>
  </si>
  <si>
    <t>Pensión  Bruta            ($)</t>
  </si>
  <si>
    <t>APV máximo vía empleador        ($)</t>
  </si>
  <si>
    <t>Renta Tributable           ($)</t>
  </si>
  <si>
    <t>Impuesto mensual                ($)</t>
  </si>
  <si>
    <t>Pensión Tributable      ($)</t>
  </si>
  <si>
    <t>Impuesto Pensión         ($)</t>
  </si>
  <si>
    <t>Honorarios         ($)</t>
  </si>
  <si>
    <t>Retención 10%                  ($)</t>
  </si>
  <si>
    <t>APV B máx. para utilizar 100% del beneficio tributario</t>
  </si>
  <si>
    <t>MATERIAL DE USO INTERNO</t>
  </si>
  <si>
    <t>Pensión tributable</t>
  </si>
  <si>
    <t>Boletas tributable</t>
  </si>
  <si>
    <t>Impuesto sueldo</t>
  </si>
  <si>
    <t>Impuesto pensión</t>
  </si>
  <si>
    <t>Rerención</t>
  </si>
  <si>
    <t>Renta tributable mensual</t>
  </si>
  <si>
    <t>Pensiones</t>
  </si>
  <si>
    <t>Honorarios afectos</t>
  </si>
  <si>
    <t>Renta presunta</t>
  </si>
  <si>
    <t>Sub Total</t>
  </si>
  <si>
    <t>menos APV directo</t>
  </si>
  <si>
    <t>Pagos directos</t>
  </si>
  <si>
    <t>menos intereses hipocario</t>
  </si>
  <si>
    <t>Intereses hipotecario</t>
  </si>
  <si>
    <t>Impuesto según tabla</t>
  </si>
  <si>
    <t>Creditos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</si>
</sst>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-* #,##0_-;\-* #,##0_-;_-* &quot;-&quot;_-;_-@_-"/>
    <numFmt numFmtId="165" formatCode="_-&quot;$&quot;\ * #,##0_-;\-&quot;$&quot;\ * #,##0_-;_-&quot;$&quot;\ * &quot;-&quot;_-;_-@_-"/>
    <numFmt numFmtId="166" formatCode="_-&quot;$&quot;\ * #,##0.00_-;\-&quot;$&quot;\ * #,##0.00_-;_-&quot;$&quot;\ * &quot;-&quot;??_-;_-@_-"/>
    <numFmt numFmtId="167" formatCode="&quot;$&quot;\ #,##0"/>
    <numFmt numFmtId="168" formatCode="0.0%"/>
    <numFmt numFmtId="169" formatCode="&quot;$&quot;\ #,##0.00"/>
    <numFmt numFmtId="170" formatCode="0.00000000"/>
    <numFmt numFmtId="171" formatCode="&quot;$&quot;\ #,##0.000"/>
    <numFmt numFmtId="172" formatCode="&quot;$&quot;#,##0"/>
    <numFmt numFmtId="173" formatCode="0.0"/>
    <numFmt numFmtId="174" formatCode="0.000"/>
    <numFmt numFmtId="175" formatCode="_-&quot;$&quot;\ * #,##0_-;\-&quot;$&quot;\ * #,##0_-;_-&quot;$&quot;\ * &quot;-&quot;??_-;_-@_-"/>
    <numFmt numFmtId="176" formatCode="#,##0.000"/>
    <numFmt numFmtId="177" formatCode="0.0000%"/>
    <numFmt numFmtId="178" formatCode="_ * #,##0.0_ ;_ * \-#,##0.0_ ;_ * &quot;-&quot;?_ ;_ @_ "/>
    <numFmt numFmtId="179" formatCode="&quot;$&quot;#,##0.00"/>
    <numFmt numFmtId="180" formatCode="&quot;$&quot;#,##0.0"/>
  </numFmts>
  <fonts count="62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8"/>
      <color indexed="23"/>
      <name val="Arial"/>
      <family val="2"/>
    </font>
    <font>
      <sz val="8"/>
      <color indexed="8"/>
      <name val="Arial"/>
      <family val="2"/>
    </font>
    <font>
      <b/>
      <sz val="9"/>
      <color indexed="8"/>
      <name val="Arial"/>
      <family val="2"/>
    </font>
    <font>
      <sz val="7.5"/>
      <name val="Arial"/>
      <family val="2"/>
    </font>
    <font>
      <b/>
      <sz val="10"/>
      <name val="Arial"/>
      <family val="2"/>
    </font>
    <font>
      <sz val="10"/>
      <name val="Verdana"/>
      <family val="2"/>
    </font>
    <font>
      <b/>
      <sz val="10"/>
      <name val="Verdana"/>
      <family val="2"/>
    </font>
    <font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8"/>
      <name val="Calibri"/>
      <family val="2"/>
    </font>
    <font>
      <sz val="18"/>
      <name val="Calibri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sz val="8"/>
      <name val="Arial Narrow"/>
      <family val="2"/>
    </font>
    <font>
      <b/>
      <sz val="8"/>
      <name val="Arial Narrow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 Narrow"/>
      <family val="2"/>
    </font>
    <font>
      <b/>
      <sz val="12"/>
      <name val="Arial"/>
      <family val="2"/>
    </font>
    <font>
      <u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8"/>
      <color theme="1" tint="0.34998626667073579"/>
      <name val="Arial"/>
      <family val="2"/>
    </font>
    <font>
      <b/>
      <sz val="8"/>
      <color theme="1" tint="0.34998626667073579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 tint="0.499984740745262"/>
      <name val="Arial"/>
      <family val="2"/>
    </font>
    <font>
      <b/>
      <sz val="8"/>
      <color theme="0"/>
      <name val="Arial"/>
      <family val="2"/>
    </font>
    <font>
      <sz val="7.5"/>
      <color theme="1"/>
      <name val="Arial"/>
      <family val="2"/>
    </font>
    <font>
      <b/>
      <sz val="9"/>
      <color theme="1" tint="0.34998626667073579"/>
      <name val="Arial"/>
      <family val="2"/>
    </font>
    <font>
      <sz val="8"/>
      <color rgb="FF333333"/>
      <name val="Verdana"/>
      <family val="2"/>
    </font>
    <font>
      <b/>
      <sz val="14"/>
      <color rgb="FFFFFFFF"/>
      <name val="Arial Narrow"/>
      <family val="2"/>
    </font>
    <font>
      <b/>
      <sz val="14"/>
      <color rgb="FF000000"/>
      <name val="Arial Narrow"/>
      <family val="2"/>
    </font>
    <font>
      <b/>
      <shadow/>
      <sz val="16"/>
      <color rgb="FFFFFFFF"/>
      <name val="Arial Narrow"/>
      <family val="2"/>
    </font>
    <font>
      <sz val="14"/>
      <color rgb="FF000000"/>
      <name val="Arial Narrow"/>
      <family val="2"/>
    </font>
    <font>
      <b/>
      <shadow/>
      <sz val="14"/>
      <color rgb="FFFFFFFF"/>
      <name val="Arial Narrow"/>
      <family val="2"/>
    </font>
    <font>
      <sz val="8"/>
      <color theme="0"/>
      <name val="Arial Narrow"/>
      <family val="2"/>
    </font>
    <font>
      <b/>
      <sz val="10"/>
      <color rgb="FF0070C0"/>
      <name val="Arial Narrow"/>
      <family val="2"/>
    </font>
    <font>
      <b/>
      <sz val="8"/>
      <color rgb="FF0070C0"/>
      <name val="Arial Narrow"/>
      <family val="2"/>
    </font>
    <font>
      <sz val="8"/>
      <color theme="0"/>
      <name val="Aptos Narrow"/>
      <family val="2"/>
    </font>
    <font>
      <b/>
      <sz val="9"/>
      <color rgb="FF000E2A"/>
      <name val="Arial Narrow"/>
      <family val="2"/>
    </font>
    <font>
      <sz val="9"/>
      <color rgb="FF000E2A"/>
      <name val="Arial Narrow"/>
      <family val="2"/>
    </font>
    <font>
      <sz val="8"/>
      <color rgb="FF333333"/>
      <name val="Arial Narrow"/>
      <family val="2"/>
    </font>
    <font>
      <b/>
      <sz val="8"/>
      <color theme="0"/>
      <name val="Arial Narrow"/>
      <family val="2"/>
    </font>
    <font>
      <b/>
      <sz val="8"/>
      <color theme="0"/>
      <name val="Aptos Narrow"/>
      <family val="2"/>
    </font>
    <font>
      <sz val="8"/>
      <color theme="0"/>
      <name val="Arial"/>
      <family val="2"/>
    </font>
    <font>
      <b/>
      <sz val="9"/>
      <color theme="0"/>
      <name val="Arial"/>
      <family val="2"/>
    </font>
    <font>
      <sz val="8"/>
      <color rgb="FFDFDA00"/>
      <name val="Aptos Narrow"/>
      <family val="2"/>
    </font>
    <font>
      <sz val="8"/>
      <color rgb="FFDFDA00"/>
      <name val="Arial Narrow"/>
      <family val="2"/>
    </font>
    <font>
      <b/>
      <sz val="9"/>
      <color rgb="FF0070C0"/>
      <name val="Arial Narrow"/>
      <family val="2"/>
    </font>
    <font>
      <b/>
      <sz val="9"/>
      <color theme="1"/>
      <name val="Arial Narrow"/>
      <family val="2"/>
    </font>
    <font>
      <b/>
      <sz val="9"/>
      <color theme="0"/>
      <name val="Arial Narrow"/>
      <family val="2"/>
    </font>
    <font>
      <sz val="9"/>
      <color rgb="FFFFFF00"/>
      <name val="Arial Narrow"/>
      <family val="2"/>
    </font>
    <font>
      <b/>
      <sz val="9"/>
      <color theme="1" tint="0.14999847407452621"/>
      <name val="Arial"/>
      <family val="2"/>
    </font>
    <font>
      <b/>
      <sz val="18"/>
      <color theme="1" tint="0.499984740745262"/>
      <name val="Calibri"/>
      <family val="2"/>
    </font>
    <font>
      <sz val="18"/>
      <color theme="1" tint="0.499984740745262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C1DBF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6F248"/>
        <bgColor theme="0"/>
      </patternFill>
    </fill>
    <fill>
      <patternFill patternType="solid">
        <fgColor indexed="9"/>
        <bgColor theme="0"/>
      </patternFill>
    </fill>
    <fill>
      <patternFill patternType="solid">
        <fgColor rgb="FF7F7F7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3E829"/>
        <bgColor indexed="64"/>
      </patternFill>
    </fill>
    <fill>
      <patternFill patternType="solid">
        <fgColor rgb="FFB9CDE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DFDA00"/>
        <bgColor indexed="64"/>
      </patternFill>
    </fill>
    <fill>
      <patternFill patternType="solid">
        <fgColor rgb="FFC0BB00"/>
        <bgColor indexed="64"/>
      </patternFill>
    </fill>
    <fill>
      <patternFill patternType="solid">
        <fgColor theme="1"/>
        <bgColor theme="0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0" tint="-4.9989318521683403E-2"/>
        <bgColor theme="0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23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66"/>
      </left>
      <right style="thin">
        <color rgb="FF000066"/>
      </right>
      <top style="thin">
        <color rgb="FF000066"/>
      </top>
      <bottom style="thin">
        <color rgb="FF00006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Dashed">
        <color rgb="FF000066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000066"/>
      </left>
      <right style="thin">
        <color rgb="FF000066"/>
      </right>
      <top style="thin">
        <color rgb="FF000066"/>
      </top>
      <bottom/>
      <diagonal/>
    </border>
    <border>
      <left/>
      <right/>
      <top/>
      <bottom style="medium">
        <color rgb="FFC1DBF2"/>
      </bottom>
      <diagonal/>
    </border>
    <border>
      <left style="medium">
        <color rgb="FFC1DBF2"/>
      </left>
      <right style="medium">
        <color rgb="FFC1DBF2"/>
      </right>
      <top style="medium">
        <color rgb="FFC1DBF2"/>
      </top>
      <bottom style="medium">
        <color rgb="FFC1DBF2"/>
      </bottom>
      <diagonal/>
    </border>
    <border>
      <left style="medium">
        <color rgb="FFC1DBF2"/>
      </left>
      <right style="medium">
        <color rgb="FFF3F3F3"/>
      </right>
      <top style="medium">
        <color rgb="FFC1DBF2"/>
      </top>
      <bottom style="medium">
        <color rgb="FFF3F3F3"/>
      </bottom>
      <diagonal/>
    </border>
    <border>
      <left style="medium">
        <color rgb="FFF3F3F3"/>
      </left>
      <right style="medium">
        <color rgb="FFF3F3F3"/>
      </right>
      <top style="medium">
        <color rgb="FFC1DBF2"/>
      </top>
      <bottom style="medium">
        <color rgb="FFF3F3F3"/>
      </bottom>
      <diagonal/>
    </border>
    <border>
      <left style="medium">
        <color rgb="FFF3F3F3"/>
      </left>
      <right style="medium">
        <color rgb="FFC1DBF2"/>
      </right>
      <top style="medium">
        <color rgb="FFC1DBF2"/>
      </top>
      <bottom style="medium">
        <color rgb="FFF3F3F3"/>
      </bottom>
      <diagonal/>
    </border>
    <border>
      <left style="medium">
        <color rgb="FFC1DBF2"/>
      </left>
      <right style="medium">
        <color rgb="FFF3F3F3"/>
      </right>
      <top style="medium">
        <color rgb="FFF3F3F3"/>
      </top>
      <bottom style="medium">
        <color rgb="FFF3F3F3"/>
      </bottom>
      <diagonal/>
    </border>
    <border>
      <left style="medium">
        <color rgb="FFC1DBF2"/>
      </left>
      <right style="medium">
        <color rgb="FFF3F3F3"/>
      </right>
      <top style="medium">
        <color rgb="FFF3F3F3"/>
      </top>
      <bottom style="medium">
        <color rgb="FFC1DBF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rgb="FFC1DBF2"/>
      </right>
      <top/>
      <bottom style="medium">
        <color rgb="FFC1DBF2"/>
      </bottom>
      <diagonal/>
    </border>
    <border>
      <left style="medium">
        <color rgb="FFC1DBF2"/>
      </left>
      <right style="medium">
        <color rgb="FFF3F3F3"/>
      </right>
      <top/>
      <bottom style="medium">
        <color rgb="FFF3F3F3"/>
      </bottom>
      <diagonal/>
    </border>
    <border>
      <left style="medium">
        <color rgb="FFC1DBF2"/>
      </left>
      <right style="medium">
        <color rgb="FFC1DBF2"/>
      </right>
      <top style="medium">
        <color rgb="FFC1DBF2"/>
      </top>
      <bottom/>
      <diagonal/>
    </border>
    <border>
      <left style="medium">
        <color rgb="FFC1DBF2"/>
      </left>
      <right style="medium">
        <color rgb="FFC1DBF2"/>
      </right>
      <top/>
      <bottom style="medium">
        <color rgb="FFC1DBF2"/>
      </bottom>
      <diagonal/>
    </border>
    <border>
      <left style="medium">
        <color rgb="FFC1DBF2"/>
      </left>
      <right/>
      <top style="medium">
        <color rgb="FFC1DBF2"/>
      </top>
      <bottom style="medium">
        <color rgb="FFC1DBF2"/>
      </bottom>
      <diagonal/>
    </border>
    <border>
      <left/>
      <right/>
      <top style="medium">
        <color rgb="FFC1DBF2"/>
      </top>
      <bottom style="medium">
        <color rgb="FFC1DBF2"/>
      </bottom>
      <diagonal/>
    </border>
    <border>
      <left/>
      <right style="medium">
        <color rgb="FFC1DBF2"/>
      </right>
      <top style="medium">
        <color rgb="FFC1DBF2"/>
      </top>
      <bottom style="medium">
        <color rgb="FFC1DBF2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ck">
        <color rgb="FF00B0F0"/>
      </top>
      <bottom/>
      <diagonal/>
    </border>
    <border>
      <left/>
      <right style="thick">
        <color rgb="FF00B0F0"/>
      </right>
      <top style="thick">
        <color rgb="FF00B0F0"/>
      </top>
      <bottom/>
      <diagonal/>
    </border>
    <border>
      <left/>
      <right style="thick">
        <color rgb="FF00B0F0"/>
      </right>
      <top/>
      <bottom/>
      <diagonal/>
    </border>
    <border>
      <left/>
      <right/>
      <top/>
      <bottom style="thick">
        <color rgb="FF00B0F0"/>
      </bottom>
      <diagonal/>
    </border>
    <border>
      <left/>
      <right style="thick">
        <color rgb="FF00B0F0"/>
      </right>
      <top/>
      <bottom style="thick">
        <color rgb="FF00B0F0"/>
      </bottom>
      <diagonal/>
    </border>
    <border>
      <left style="hair">
        <color theme="1" tint="0.14996795556505021"/>
      </left>
      <right style="hair">
        <color theme="1" tint="0.14996795556505021"/>
      </right>
      <top style="hair">
        <color theme="1" tint="0.14996795556505021"/>
      </top>
      <bottom style="hair">
        <color theme="1" tint="0.14996795556505021"/>
      </bottom>
      <diagonal/>
    </border>
    <border>
      <left style="hair">
        <color theme="0" tint="-0.14993743705557422"/>
      </left>
      <right style="hair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70C0"/>
      </left>
      <right/>
      <top/>
      <bottom/>
      <diagonal/>
    </border>
    <border>
      <left/>
      <right style="thick">
        <color rgb="FF0070C0"/>
      </right>
      <top/>
      <bottom/>
      <diagonal/>
    </border>
    <border>
      <left style="thick">
        <color rgb="FF0070C0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/>
      <right style="thick">
        <color rgb="FF0070C0"/>
      </right>
      <top/>
      <bottom style="thick">
        <color rgb="FF0070C0"/>
      </bottom>
      <diagonal/>
    </border>
    <border>
      <left style="thick">
        <color rgb="FF0070C0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/>
      <right style="thick">
        <color rgb="FF0070C0"/>
      </right>
      <top style="thick">
        <color rgb="FF0070C0"/>
      </top>
      <bottom/>
      <diagonal/>
    </border>
    <border>
      <left/>
      <right style="thin">
        <color rgb="FF000066"/>
      </right>
      <top style="thin">
        <color rgb="FF000066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66"/>
      </left>
      <right/>
      <top style="thin">
        <color rgb="FF000066"/>
      </top>
      <bottom/>
      <diagonal/>
    </border>
    <border>
      <left style="thin">
        <color rgb="FF000066"/>
      </left>
      <right/>
      <top/>
      <bottom style="thin">
        <color rgb="FF000066"/>
      </bottom>
      <diagonal/>
    </border>
    <border>
      <left/>
      <right style="thin">
        <color rgb="FF000066"/>
      </right>
      <top/>
      <bottom style="thin">
        <color rgb="FF000066"/>
      </bottom>
      <diagonal/>
    </border>
    <border>
      <left/>
      <right style="thin">
        <color rgb="FF000066"/>
      </right>
      <top style="thin">
        <color rgb="FF000066"/>
      </top>
      <bottom style="thin">
        <color rgb="FF000066"/>
      </bottom>
      <diagonal/>
    </border>
    <border>
      <left style="thin">
        <color rgb="FF000066"/>
      </left>
      <right/>
      <top style="thin">
        <color rgb="FF000066"/>
      </top>
      <bottom style="thin">
        <color rgb="FF000066"/>
      </bottom>
      <diagonal/>
    </border>
    <border>
      <left style="thin">
        <color rgb="FF000066"/>
      </left>
      <right style="thin">
        <color rgb="FF000066"/>
      </right>
      <top/>
      <bottom style="thin">
        <color rgb="FF000066"/>
      </bottom>
      <diagonal/>
    </border>
    <border>
      <left/>
      <right/>
      <top style="thin">
        <color rgb="FF000066"/>
      </top>
      <bottom/>
      <diagonal/>
    </border>
  </borders>
  <cellStyleXfs count="5">
    <xf numFmtId="0" fontId="0" fillId="0" borderId="0"/>
    <xf numFmtId="164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26" fillId="0" borderId="0"/>
    <xf numFmtId="9" fontId="10" fillId="0" borderId="0" applyFont="0" applyFill="0" applyBorder="0" applyAlignment="0" applyProtection="0"/>
  </cellStyleXfs>
  <cellXfs count="544">
    <xf numFmtId="0" fontId="0" fillId="0" borderId="0" xfId="0"/>
    <xf numFmtId="0" fontId="27" fillId="2" borderId="0" xfId="0" applyFont="1" applyFill="1" applyProtection="1">
      <protection hidden="1"/>
    </xf>
    <xf numFmtId="0" fontId="27" fillId="2" borderId="0" xfId="0" applyFont="1" applyFill="1" applyAlignment="1" applyProtection="1">
      <alignment vertical="center" wrapText="1"/>
      <protection hidden="1"/>
    </xf>
    <xf numFmtId="3" fontId="27" fillId="2" borderId="18" xfId="0" applyNumberFormat="1" applyFont="1" applyFill="1" applyBorder="1" applyAlignment="1" applyProtection="1">
      <alignment horizontal="center" vertical="center" wrapText="1"/>
      <protection hidden="1"/>
    </xf>
    <xf numFmtId="167" fontId="28" fillId="2" borderId="18" xfId="0" applyNumberFormat="1" applyFont="1" applyFill="1" applyBorder="1" applyAlignment="1" applyProtection="1">
      <alignment horizontal="center" vertical="center" wrapText="1"/>
      <protection hidden="1"/>
    </xf>
    <xf numFmtId="167" fontId="27" fillId="2" borderId="0" xfId="0" applyNumberFormat="1" applyFont="1" applyFill="1" applyAlignment="1" applyProtection="1">
      <alignment vertical="center" wrapText="1"/>
      <protection hidden="1"/>
    </xf>
    <xf numFmtId="167" fontId="29" fillId="2" borderId="0" xfId="0" applyNumberFormat="1" applyFont="1" applyFill="1" applyAlignment="1" applyProtection="1">
      <alignment vertical="center" wrapText="1"/>
      <protection hidden="1"/>
    </xf>
    <xf numFmtId="0" fontId="30" fillId="2" borderId="0" xfId="0" applyFont="1" applyFill="1" applyAlignment="1" applyProtection="1">
      <alignment vertical="center" wrapText="1"/>
      <protection hidden="1"/>
    </xf>
    <xf numFmtId="167" fontId="27" fillId="2" borderId="0" xfId="0" applyNumberFormat="1" applyFont="1" applyFill="1" applyProtection="1">
      <protection hidden="1"/>
    </xf>
    <xf numFmtId="3" fontId="27" fillId="2" borderId="18" xfId="0" applyNumberFormat="1" applyFont="1" applyFill="1" applyBorder="1" applyAlignment="1" applyProtection="1">
      <alignment horizontal="center" vertical="center" wrapText="1"/>
      <protection locked="0" hidden="1"/>
    </xf>
    <xf numFmtId="0" fontId="29" fillId="3" borderId="18" xfId="0" applyFont="1" applyFill="1" applyBorder="1" applyAlignment="1" applyProtection="1">
      <alignment horizontal="center"/>
      <protection hidden="1"/>
    </xf>
    <xf numFmtId="0" fontId="28" fillId="2" borderId="18" xfId="0" applyFont="1" applyFill="1" applyBorder="1" applyAlignment="1" applyProtection="1">
      <alignment horizontal="left" vertical="center"/>
      <protection hidden="1"/>
    </xf>
    <xf numFmtId="0" fontId="28" fillId="2" borderId="18" xfId="0" applyFont="1" applyFill="1" applyBorder="1" applyAlignment="1" applyProtection="1">
      <alignment horizontal="center" vertical="center"/>
      <protection hidden="1"/>
    </xf>
    <xf numFmtId="167" fontId="28" fillId="2" borderId="18" xfId="0" applyNumberFormat="1" applyFont="1" applyFill="1" applyBorder="1" applyAlignment="1" applyProtection="1">
      <alignment horizontal="center" vertical="center"/>
      <protection hidden="1"/>
    </xf>
    <xf numFmtId="167" fontId="27" fillId="4" borderId="0" xfId="0" applyNumberFormat="1" applyFont="1" applyFill="1" applyProtection="1">
      <protection hidden="1"/>
    </xf>
    <xf numFmtId="0" fontId="28" fillId="0" borderId="19" xfId="0" applyFont="1" applyBorder="1" applyAlignment="1" applyProtection="1">
      <alignment horizontal="left" wrapText="1"/>
      <protection locked="0" hidden="1"/>
    </xf>
    <xf numFmtId="3" fontId="27" fillId="0" borderId="19" xfId="0" applyNumberFormat="1" applyFont="1" applyBorder="1" applyAlignment="1" applyProtection="1">
      <alignment horizontal="center" wrapText="1"/>
      <protection locked="0" hidden="1"/>
    </xf>
    <xf numFmtId="0" fontId="27" fillId="0" borderId="0" xfId="0" applyFont="1" applyProtection="1">
      <protection locked="0" hidden="1"/>
    </xf>
    <xf numFmtId="167" fontId="27" fillId="0" borderId="1" xfId="0" applyNumberFormat="1" applyFont="1" applyBorder="1" applyAlignment="1" applyProtection="1">
      <alignment horizontal="center"/>
      <protection locked="0" hidden="1"/>
    </xf>
    <xf numFmtId="9" fontId="28" fillId="0" borderId="1" xfId="0" applyNumberFormat="1" applyFont="1" applyBorder="1" applyAlignment="1" applyProtection="1">
      <alignment horizontal="center" vertical="top" wrapText="1"/>
      <protection locked="0" hidden="1"/>
    </xf>
    <xf numFmtId="0" fontId="1" fillId="0" borderId="0" xfId="0" applyFont="1" applyProtection="1">
      <protection locked="0" hidden="1"/>
    </xf>
    <xf numFmtId="0" fontId="27" fillId="0" borderId="2" xfId="0" applyFont="1" applyBorder="1" applyAlignment="1" applyProtection="1">
      <alignment horizontal="center"/>
      <protection locked="0" hidden="1"/>
    </xf>
    <xf numFmtId="0" fontId="27" fillId="0" borderId="3" xfId="0" applyFont="1" applyBorder="1" applyAlignment="1" applyProtection="1">
      <alignment horizontal="center"/>
      <protection locked="0" hidden="1"/>
    </xf>
    <xf numFmtId="9" fontId="28" fillId="0" borderId="4" xfId="0" applyNumberFormat="1" applyFont="1" applyBorder="1" applyAlignment="1" applyProtection="1">
      <alignment horizontal="center" vertical="top" wrapText="1"/>
      <protection locked="0" hidden="1"/>
    </xf>
    <xf numFmtId="0" fontId="27" fillId="0" borderId="5" xfId="0" applyFont="1" applyBorder="1" applyAlignment="1" applyProtection="1">
      <alignment horizontal="center"/>
      <protection locked="0" hidden="1"/>
    </xf>
    <xf numFmtId="0" fontId="27" fillId="0" borderId="19" xfId="0" applyFont="1" applyBorder="1" applyAlignment="1" applyProtection="1">
      <alignment horizontal="left" wrapText="1"/>
      <protection locked="0" hidden="1"/>
    </xf>
    <xf numFmtId="0" fontId="27" fillId="0" borderId="6" xfId="0" applyFont="1" applyBorder="1" applyAlignment="1" applyProtection="1">
      <alignment horizontal="center"/>
      <protection locked="0" hidden="1"/>
    </xf>
    <xf numFmtId="0" fontId="27" fillId="0" borderId="7" xfId="0" applyFont="1" applyBorder="1" applyAlignment="1" applyProtection="1">
      <alignment horizontal="center"/>
      <protection locked="0" hidden="1"/>
    </xf>
    <xf numFmtId="170" fontId="27" fillId="0" borderId="6" xfId="0" applyNumberFormat="1" applyFont="1" applyBorder="1" applyAlignment="1" applyProtection="1">
      <alignment horizontal="center"/>
      <protection locked="0" hidden="1"/>
    </xf>
    <xf numFmtId="170" fontId="27" fillId="0" borderId="8" xfId="0" applyNumberFormat="1" applyFont="1" applyBorder="1" applyAlignment="1" applyProtection="1">
      <alignment horizontal="center"/>
      <protection locked="0" hidden="1"/>
    </xf>
    <xf numFmtId="0" fontId="27" fillId="0" borderId="9" xfId="0" applyFont="1" applyBorder="1" applyAlignment="1" applyProtection="1">
      <alignment horizontal="center"/>
      <protection locked="0" hidden="1"/>
    </xf>
    <xf numFmtId="169" fontId="1" fillId="0" borderId="0" xfId="0" applyNumberFormat="1" applyFont="1" applyProtection="1">
      <protection locked="0" hidden="1"/>
    </xf>
    <xf numFmtId="10" fontId="27" fillId="0" borderId="0" xfId="0" applyNumberFormat="1" applyFont="1" applyProtection="1">
      <protection locked="0" hidden="1"/>
    </xf>
    <xf numFmtId="3" fontId="27" fillId="0" borderId="0" xfId="0" applyNumberFormat="1" applyFont="1" applyAlignment="1" applyProtection="1">
      <alignment horizontal="center" wrapText="1"/>
      <protection locked="0" hidden="1"/>
    </xf>
    <xf numFmtId="9" fontId="27" fillId="2" borderId="0" xfId="0" applyNumberFormat="1" applyFont="1" applyFill="1" applyProtection="1">
      <protection locked="0" hidden="1"/>
    </xf>
    <xf numFmtId="167" fontId="27" fillId="2" borderId="1" xfId="0" applyNumberFormat="1" applyFont="1" applyFill="1" applyBorder="1" applyProtection="1">
      <protection locked="0" hidden="1"/>
    </xf>
    <xf numFmtId="167" fontId="1" fillId="0" borderId="0" xfId="0" applyNumberFormat="1" applyFont="1" applyProtection="1">
      <protection locked="0" hidden="1"/>
    </xf>
    <xf numFmtId="167" fontId="27" fillId="0" borderId="0" xfId="0" applyNumberFormat="1" applyFont="1" applyProtection="1">
      <protection locked="0" hidden="1"/>
    </xf>
    <xf numFmtId="167" fontId="27" fillId="2" borderId="0" xfId="0" applyNumberFormat="1" applyFont="1" applyFill="1" applyAlignment="1" applyProtection="1">
      <alignment horizontal="left" wrapText="1"/>
      <protection hidden="1"/>
    </xf>
    <xf numFmtId="0" fontId="28" fillId="2" borderId="0" xfId="0" applyFont="1" applyFill="1" applyAlignment="1" applyProtection="1">
      <alignment horizontal="center" vertical="center"/>
      <protection hidden="1"/>
    </xf>
    <xf numFmtId="167" fontId="29" fillId="2" borderId="0" xfId="0" applyNumberFormat="1" applyFont="1" applyFill="1" applyAlignment="1" applyProtection="1">
      <alignment vertical="center" wrapText="1"/>
      <protection locked="0" hidden="1"/>
    </xf>
    <xf numFmtId="167" fontId="31" fillId="2" borderId="0" xfId="0" applyNumberFormat="1" applyFont="1" applyFill="1" applyAlignment="1" applyProtection="1">
      <alignment vertical="center" wrapText="1"/>
      <protection hidden="1"/>
    </xf>
    <xf numFmtId="167" fontId="1" fillId="0" borderId="1" xfId="0" applyNumberFormat="1" applyFont="1" applyBorder="1" applyProtection="1">
      <protection locked="0" hidden="1"/>
    </xf>
    <xf numFmtId="0" fontId="29" fillId="2" borderId="0" xfId="0" applyFont="1" applyFill="1" applyAlignment="1" applyProtection="1">
      <alignment vertical="center" wrapText="1"/>
      <protection hidden="1"/>
    </xf>
    <xf numFmtId="0" fontId="31" fillId="2" borderId="0" xfId="0" applyFont="1" applyFill="1" applyAlignment="1" applyProtection="1">
      <alignment vertical="center" wrapText="1"/>
      <protection hidden="1"/>
    </xf>
    <xf numFmtId="0" fontId="27" fillId="2" borderId="0" xfId="0" applyFont="1" applyFill="1" applyAlignment="1" applyProtection="1">
      <alignment horizontal="center" vertical="center"/>
      <protection locked="0" hidden="1"/>
    </xf>
    <xf numFmtId="0" fontId="27" fillId="2" borderId="0" xfId="0" applyFont="1" applyFill="1" applyAlignment="1" applyProtection="1">
      <alignment vertical="center"/>
      <protection locked="0" hidden="1"/>
    </xf>
    <xf numFmtId="0" fontId="27" fillId="2" borderId="0" xfId="0" applyFont="1" applyFill="1" applyAlignment="1" applyProtection="1">
      <alignment horizontal="center" vertical="center" wrapText="1"/>
      <protection locked="0" hidden="1"/>
    </xf>
    <xf numFmtId="167" fontId="29" fillId="2" borderId="0" xfId="0" applyNumberFormat="1" applyFont="1" applyFill="1" applyAlignment="1" applyProtection="1">
      <alignment horizontal="center" vertical="center" wrapText="1"/>
      <protection locked="0" hidden="1"/>
    </xf>
    <xf numFmtId="0" fontId="27" fillId="2" borderId="18" xfId="0" applyFont="1" applyFill="1" applyBorder="1" applyAlignment="1" applyProtection="1">
      <alignment horizontal="left"/>
      <protection hidden="1"/>
    </xf>
    <xf numFmtId="3" fontId="27" fillId="0" borderId="0" xfId="0" applyNumberFormat="1" applyFont="1" applyProtection="1">
      <protection locked="0" hidden="1"/>
    </xf>
    <xf numFmtId="169" fontId="1" fillId="0" borderId="1" xfId="0" applyNumberFormat="1" applyFont="1" applyBorder="1" applyProtection="1">
      <protection locked="0" hidden="1"/>
    </xf>
    <xf numFmtId="9" fontId="1" fillId="0" borderId="0" xfId="0" applyNumberFormat="1" applyFont="1" applyProtection="1">
      <protection locked="0" hidden="1"/>
    </xf>
    <xf numFmtId="10" fontId="1" fillId="0" borderId="0" xfId="0" applyNumberFormat="1" applyFont="1" applyProtection="1">
      <protection locked="0" hidden="1"/>
    </xf>
    <xf numFmtId="0" fontId="27" fillId="2" borderId="0" xfId="0" applyFont="1" applyFill="1" applyAlignment="1" applyProtection="1">
      <alignment horizontal="left" vertical="center" wrapText="1"/>
      <protection hidden="1"/>
    </xf>
    <xf numFmtId="0" fontId="28" fillId="2" borderId="0" xfId="0" applyFont="1" applyFill="1" applyProtection="1">
      <protection hidden="1"/>
    </xf>
    <xf numFmtId="0" fontId="27" fillId="2" borderId="0" xfId="0" applyFont="1" applyFill="1" applyAlignment="1" applyProtection="1">
      <alignment horizontal="center" vertical="center"/>
      <protection hidden="1"/>
    </xf>
    <xf numFmtId="0" fontId="27" fillId="2" borderId="0" xfId="0" applyFont="1" applyFill="1" applyAlignment="1" applyProtection="1">
      <alignment horizontal="left" vertical="center" wrapText="1"/>
      <protection locked="0" hidden="1"/>
    </xf>
    <xf numFmtId="167" fontId="27" fillId="2" borderId="1" xfId="0" applyNumberFormat="1" applyFont="1" applyFill="1" applyBorder="1" applyAlignment="1" applyProtection="1">
      <alignment horizontal="right" vertical="center" wrapText="1"/>
      <protection hidden="1"/>
    </xf>
    <xf numFmtId="167" fontId="27" fillId="2" borderId="0" xfId="0" applyNumberFormat="1" applyFont="1" applyFill="1" applyAlignment="1" applyProtection="1">
      <alignment horizontal="right" vertical="center" wrapText="1"/>
      <protection hidden="1"/>
    </xf>
    <xf numFmtId="167" fontId="29" fillId="5" borderId="1" xfId="0" applyNumberFormat="1" applyFont="1" applyFill="1" applyBorder="1" applyAlignment="1" applyProtection="1">
      <alignment horizontal="right" vertical="center" wrapText="1"/>
      <protection locked="0" hidden="1"/>
    </xf>
    <xf numFmtId="167" fontId="29" fillId="2" borderId="0" xfId="0" applyNumberFormat="1" applyFont="1" applyFill="1" applyAlignment="1" applyProtection="1">
      <alignment horizontal="right" vertical="center" wrapText="1"/>
      <protection locked="0" hidden="1"/>
    </xf>
    <xf numFmtId="167" fontId="31" fillId="3" borderId="1" xfId="0" applyNumberFormat="1" applyFont="1" applyFill="1" applyBorder="1" applyAlignment="1" applyProtection="1">
      <alignment horizontal="right" vertical="center" wrapText="1"/>
      <protection hidden="1"/>
    </xf>
    <xf numFmtId="3" fontId="28" fillId="2" borderId="18" xfId="0" applyNumberFormat="1" applyFont="1" applyFill="1" applyBorder="1" applyAlignment="1" applyProtection="1">
      <alignment horizontal="center" vertical="center" wrapText="1"/>
      <protection locked="0" hidden="1"/>
    </xf>
    <xf numFmtId="0" fontId="27" fillId="2" borderId="1" xfId="0" applyFont="1" applyFill="1" applyBorder="1" applyAlignment="1" applyProtection="1">
      <alignment vertical="center" wrapText="1"/>
      <protection hidden="1"/>
    </xf>
    <xf numFmtId="0" fontId="29" fillId="2" borderId="1" xfId="0" applyFont="1" applyFill="1" applyBorder="1" applyAlignment="1" applyProtection="1">
      <alignment vertical="center" wrapText="1"/>
      <protection hidden="1"/>
    </xf>
    <xf numFmtId="167" fontId="29" fillId="2" borderId="1" xfId="0" applyNumberFormat="1" applyFont="1" applyFill="1" applyBorder="1" applyAlignment="1" applyProtection="1">
      <alignment horizontal="right" vertical="center" wrapText="1"/>
      <protection locked="0" hidden="1"/>
    </xf>
    <xf numFmtId="168" fontId="32" fillId="2" borderId="1" xfId="0" applyNumberFormat="1" applyFont="1" applyFill="1" applyBorder="1" applyAlignment="1" applyProtection="1">
      <alignment horizontal="left" vertical="center" wrapText="1" indent="1"/>
      <protection locked="0" hidden="1"/>
    </xf>
    <xf numFmtId="0" fontId="29" fillId="3" borderId="18" xfId="0" applyFont="1" applyFill="1" applyBorder="1" applyAlignment="1" applyProtection="1">
      <alignment horizontal="center" vertical="center" wrapText="1"/>
      <protection hidden="1"/>
    </xf>
    <xf numFmtId="0" fontId="29" fillId="2" borderId="0" xfId="0" applyFont="1" applyFill="1" applyAlignment="1" applyProtection="1">
      <alignment horizontal="left" vertical="center" wrapText="1"/>
      <protection hidden="1"/>
    </xf>
    <xf numFmtId="0" fontId="7" fillId="0" borderId="19" xfId="0" applyFont="1" applyBorder="1" applyAlignment="1">
      <alignment horizontal="left" wrapText="1"/>
    </xf>
    <xf numFmtId="3" fontId="2" fillId="6" borderId="19" xfId="0" applyNumberFormat="1" applyFont="1" applyFill="1" applyBorder="1" applyAlignment="1">
      <alignment horizontal="center" wrapText="1"/>
    </xf>
    <xf numFmtId="0" fontId="2" fillId="0" borderId="19" xfId="0" applyFont="1" applyBorder="1" applyAlignment="1">
      <alignment horizontal="left" wrapText="1"/>
    </xf>
    <xf numFmtId="10" fontId="27" fillId="2" borderId="0" xfId="0" applyNumberFormat="1" applyFont="1" applyFill="1" applyAlignment="1" applyProtection="1">
      <alignment vertical="center" wrapText="1"/>
      <protection hidden="1"/>
    </xf>
    <xf numFmtId="3" fontId="1" fillId="0" borderId="0" xfId="0" applyNumberFormat="1" applyFont="1" applyProtection="1">
      <protection locked="0" hidden="1"/>
    </xf>
    <xf numFmtId="167" fontId="27" fillId="2" borderId="0" xfId="0" applyNumberFormat="1" applyFont="1" applyFill="1" applyAlignment="1" applyProtection="1">
      <alignment horizontal="center" vertical="center" wrapText="1"/>
      <protection hidden="1"/>
    </xf>
    <xf numFmtId="3" fontId="1" fillId="6" borderId="19" xfId="0" applyNumberFormat="1" applyFont="1" applyFill="1" applyBorder="1" applyAlignment="1" applyProtection="1">
      <alignment horizontal="center" wrapText="1"/>
      <protection locked="0" hidden="1"/>
    </xf>
    <xf numFmtId="0" fontId="0" fillId="0" borderId="0" xfId="0" applyProtection="1">
      <protection hidden="1"/>
    </xf>
    <xf numFmtId="0" fontId="33" fillId="2" borderId="0" xfId="0" applyFont="1" applyFill="1" applyAlignment="1" applyProtection="1">
      <alignment vertical="center" wrapText="1"/>
      <protection hidden="1"/>
    </xf>
    <xf numFmtId="0" fontId="27" fillId="2" borderId="0" xfId="0" applyFont="1" applyFill="1" applyAlignment="1" applyProtection="1">
      <alignment horizontal="left"/>
      <protection hidden="1"/>
    </xf>
    <xf numFmtId="0" fontId="28" fillId="4" borderId="10" xfId="0" applyFont="1" applyFill="1" applyBorder="1" applyProtection="1">
      <protection hidden="1"/>
    </xf>
    <xf numFmtId="0" fontId="28" fillId="4" borderId="0" xfId="0" applyFont="1" applyFill="1" applyProtection="1">
      <protection hidden="1"/>
    </xf>
    <xf numFmtId="0" fontId="27" fillId="7" borderId="20" xfId="0" applyFont="1" applyFill="1" applyBorder="1" applyAlignment="1" applyProtection="1">
      <alignment vertical="center" wrapText="1"/>
      <protection hidden="1"/>
    </xf>
    <xf numFmtId="0" fontId="28" fillId="2" borderId="0" xfId="0" applyFont="1" applyFill="1" applyAlignment="1" applyProtection="1">
      <alignment horizontal="left" vertical="center" wrapText="1"/>
      <protection hidden="1"/>
    </xf>
    <xf numFmtId="0" fontId="27" fillId="2" borderId="21" xfId="0" applyFont="1" applyFill="1" applyBorder="1" applyAlignment="1" applyProtection="1">
      <alignment vertical="center" wrapText="1"/>
      <protection hidden="1"/>
    </xf>
    <xf numFmtId="0" fontId="28" fillId="2" borderId="0" xfId="0" applyFont="1" applyFill="1" applyAlignment="1" applyProtection="1">
      <alignment vertical="center"/>
      <protection hidden="1"/>
    </xf>
    <xf numFmtId="0" fontId="29" fillId="2" borderId="0" xfId="0" applyFont="1" applyFill="1" applyAlignment="1" applyProtection="1">
      <alignment horizontal="center" vertical="center" wrapText="1"/>
      <protection hidden="1"/>
    </xf>
    <xf numFmtId="0" fontId="27" fillId="2" borderId="22" xfId="0" applyFont="1" applyFill="1" applyBorder="1" applyAlignment="1" applyProtection="1">
      <alignment horizontal="center" vertical="center" wrapText="1"/>
      <protection hidden="1"/>
    </xf>
    <xf numFmtId="0" fontId="27" fillId="2" borderId="23" xfId="0" applyFont="1" applyFill="1" applyBorder="1" applyAlignment="1" applyProtection="1">
      <alignment horizontal="center" vertical="center" wrapText="1"/>
      <protection hidden="1"/>
    </xf>
    <xf numFmtId="4" fontId="34" fillId="0" borderId="19" xfId="3" applyNumberFormat="1" applyFont="1" applyBorder="1" applyAlignment="1" applyProtection="1">
      <alignment horizontal="center" wrapText="1"/>
      <protection hidden="1"/>
    </xf>
    <xf numFmtId="3" fontId="27" fillId="2" borderId="0" xfId="0" applyNumberFormat="1" applyFont="1" applyFill="1" applyAlignment="1" applyProtection="1">
      <alignment horizontal="center" vertical="center" wrapText="1"/>
      <protection hidden="1"/>
    </xf>
    <xf numFmtId="3" fontId="27" fillId="2" borderId="22" xfId="0" applyNumberFormat="1" applyFont="1" applyFill="1" applyBorder="1" applyAlignment="1" applyProtection="1">
      <alignment horizontal="center" vertical="center" wrapText="1"/>
      <protection hidden="1"/>
    </xf>
    <xf numFmtId="3" fontId="27" fillId="2" borderId="22" xfId="0" applyNumberFormat="1" applyFont="1" applyFill="1" applyBorder="1" applyAlignment="1" applyProtection="1">
      <alignment vertical="center" wrapText="1"/>
      <protection hidden="1"/>
    </xf>
    <xf numFmtId="3" fontId="27" fillId="8" borderId="22" xfId="0" applyNumberFormat="1" applyFont="1" applyFill="1" applyBorder="1" applyAlignment="1" applyProtection="1">
      <alignment vertical="center" wrapText="1"/>
      <protection hidden="1"/>
    </xf>
    <xf numFmtId="167" fontId="27" fillId="2" borderId="22" xfId="0" applyNumberFormat="1" applyFont="1" applyFill="1" applyBorder="1" applyAlignment="1" applyProtection="1">
      <alignment horizontal="center" wrapText="1"/>
      <protection hidden="1"/>
    </xf>
    <xf numFmtId="169" fontId="27" fillId="2" borderId="0" xfId="0" applyNumberFormat="1" applyFont="1" applyFill="1" applyProtection="1">
      <protection hidden="1"/>
    </xf>
    <xf numFmtId="171" fontId="27" fillId="2" borderId="0" xfId="0" applyNumberFormat="1" applyFont="1" applyFill="1" applyProtection="1">
      <protection hidden="1"/>
    </xf>
    <xf numFmtId="3" fontId="27" fillId="2" borderId="1" xfId="0" applyNumberFormat="1" applyFont="1" applyFill="1" applyBorder="1" applyProtection="1">
      <protection hidden="1"/>
    </xf>
    <xf numFmtId="9" fontId="27" fillId="2" borderId="24" xfId="0" applyNumberFormat="1" applyFont="1" applyFill="1" applyBorder="1" applyAlignment="1" applyProtection="1">
      <alignment horizontal="center" vertical="center" wrapText="1"/>
      <protection hidden="1"/>
    </xf>
    <xf numFmtId="3" fontId="28" fillId="2" borderId="0" xfId="0" applyNumberFormat="1" applyFont="1" applyFill="1" applyAlignment="1" applyProtection="1">
      <alignment horizontal="center" vertical="center" wrapText="1"/>
      <protection hidden="1"/>
    </xf>
    <xf numFmtId="167" fontId="28" fillId="2" borderId="0" xfId="0" applyNumberFormat="1" applyFont="1" applyFill="1" applyAlignment="1" applyProtection="1">
      <alignment horizontal="center" vertical="center" wrapText="1"/>
      <protection hidden="1"/>
    </xf>
    <xf numFmtId="167" fontId="27" fillId="2" borderId="22" xfId="0" applyNumberFormat="1" applyFont="1" applyFill="1" applyBorder="1" applyAlignment="1" applyProtection="1">
      <alignment vertical="center" wrapText="1"/>
      <protection hidden="1"/>
    </xf>
    <xf numFmtId="167" fontId="27" fillId="2" borderId="22" xfId="0" applyNumberFormat="1" applyFont="1" applyFill="1" applyBorder="1" applyProtection="1">
      <protection hidden="1"/>
    </xf>
    <xf numFmtId="167" fontId="27" fillId="2" borderId="22" xfId="0" applyNumberFormat="1" applyFont="1" applyFill="1" applyBorder="1" applyAlignment="1" applyProtection="1">
      <alignment horizontal="center" vertical="center" wrapText="1"/>
      <protection hidden="1"/>
    </xf>
    <xf numFmtId="3" fontId="27" fillId="2" borderId="0" xfId="0" applyNumberFormat="1" applyFont="1" applyFill="1" applyProtection="1">
      <protection hidden="1"/>
    </xf>
    <xf numFmtId="0" fontId="35" fillId="2" borderId="0" xfId="0" applyFont="1" applyFill="1" applyAlignment="1" applyProtection="1">
      <alignment vertical="center"/>
      <protection hidden="1"/>
    </xf>
    <xf numFmtId="4" fontId="6" fillId="0" borderId="19" xfId="0" applyNumberFormat="1" applyFont="1" applyBorder="1" applyAlignment="1" applyProtection="1">
      <alignment horizontal="center" wrapText="1"/>
      <protection hidden="1"/>
    </xf>
    <xf numFmtId="0" fontId="27" fillId="2" borderId="0" xfId="0" applyFont="1" applyFill="1" applyAlignment="1" applyProtection="1">
      <alignment vertical="center"/>
      <protection hidden="1"/>
    </xf>
    <xf numFmtId="0" fontId="28" fillId="2" borderId="11" xfId="0" applyFont="1" applyFill="1" applyBorder="1" applyAlignment="1" applyProtection="1">
      <alignment horizontal="left" vertical="center"/>
      <protection hidden="1"/>
    </xf>
    <xf numFmtId="0" fontId="28" fillId="2" borderId="12" xfId="0" applyFont="1" applyFill="1" applyBorder="1" applyAlignment="1" applyProtection="1">
      <alignment horizontal="left" vertical="center"/>
      <protection hidden="1"/>
    </xf>
    <xf numFmtId="0" fontId="28" fillId="2" borderId="13" xfId="0" applyFont="1" applyFill="1" applyBorder="1" applyAlignment="1" applyProtection="1">
      <alignment horizontal="left" vertical="center"/>
      <protection hidden="1"/>
    </xf>
    <xf numFmtId="167" fontId="27" fillId="2" borderId="1" xfId="0" applyNumberFormat="1" applyFont="1" applyFill="1" applyBorder="1" applyProtection="1">
      <protection hidden="1"/>
    </xf>
    <xf numFmtId="165" fontId="27" fillId="2" borderId="0" xfId="0" applyNumberFormat="1" applyFont="1" applyFill="1" applyAlignment="1" applyProtection="1">
      <alignment vertical="center" wrapText="1"/>
      <protection hidden="1"/>
    </xf>
    <xf numFmtId="0" fontId="27" fillId="4" borderId="0" xfId="0" applyFont="1" applyFill="1" applyProtection="1">
      <protection hidden="1"/>
    </xf>
    <xf numFmtId="0" fontId="28" fillId="2" borderId="11" xfId="0" applyFont="1" applyFill="1" applyBorder="1" applyAlignment="1" applyProtection="1">
      <alignment vertical="center"/>
      <protection hidden="1"/>
    </xf>
    <xf numFmtId="0" fontId="28" fillId="2" borderId="12" xfId="0" applyFont="1" applyFill="1" applyBorder="1" applyAlignment="1" applyProtection="1">
      <alignment vertical="center"/>
      <protection hidden="1"/>
    </xf>
    <xf numFmtId="167" fontId="27" fillId="9" borderId="0" xfId="0" applyNumberFormat="1" applyFont="1" applyFill="1" applyProtection="1">
      <protection hidden="1"/>
    </xf>
    <xf numFmtId="0" fontId="27" fillId="2" borderId="11" xfId="0" applyFont="1" applyFill="1" applyBorder="1" applyAlignment="1" applyProtection="1">
      <alignment vertical="center"/>
      <protection hidden="1"/>
    </xf>
    <xf numFmtId="0" fontId="27" fillId="2" borderId="12" xfId="0" applyFont="1" applyFill="1" applyBorder="1" applyAlignment="1" applyProtection="1">
      <alignment vertical="center"/>
      <protection hidden="1"/>
    </xf>
    <xf numFmtId="0" fontId="27" fillId="2" borderId="1" xfId="0" applyFont="1" applyFill="1" applyBorder="1" applyAlignment="1" applyProtection="1">
      <alignment horizontal="center"/>
      <protection locked="0" hidden="1"/>
    </xf>
    <xf numFmtId="0" fontId="27" fillId="2" borderId="1" xfId="0" applyFont="1" applyFill="1" applyBorder="1" applyProtection="1">
      <protection locked="0" hidden="1"/>
    </xf>
    <xf numFmtId="0" fontId="27" fillId="2" borderId="0" xfId="0" applyFont="1" applyFill="1" applyProtection="1">
      <protection locked="0" hidden="1"/>
    </xf>
    <xf numFmtId="0" fontId="28" fillId="2" borderId="1" xfId="0" applyFont="1" applyFill="1" applyBorder="1" applyProtection="1">
      <protection hidden="1"/>
    </xf>
    <xf numFmtId="0" fontId="27" fillId="2" borderId="0" xfId="0" applyFont="1" applyFill="1" applyAlignment="1" applyProtection="1">
      <alignment horizontal="right"/>
      <protection hidden="1"/>
    </xf>
    <xf numFmtId="3" fontId="27" fillId="8" borderId="0" xfId="0" applyNumberFormat="1" applyFont="1" applyFill="1" applyProtection="1">
      <protection hidden="1"/>
    </xf>
    <xf numFmtId="167" fontId="27" fillId="2" borderId="18" xfId="0" applyNumberFormat="1" applyFont="1" applyFill="1" applyBorder="1" applyAlignment="1" applyProtection="1">
      <alignment vertical="center" wrapText="1"/>
      <protection hidden="1"/>
    </xf>
    <xf numFmtId="0" fontId="27" fillId="2" borderId="18" xfId="0" applyFont="1" applyFill="1" applyBorder="1" applyAlignment="1" applyProtection="1">
      <alignment horizontal="left" vertical="center" wrapText="1"/>
      <protection hidden="1"/>
    </xf>
    <xf numFmtId="0" fontId="29" fillId="5" borderId="25" xfId="0" applyFont="1" applyFill="1" applyBorder="1" applyAlignment="1" applyProtection="1">
      <alignment horizontal="left" vertical="center" wrapText="1"/>
      <protection hidden="1"/>
    </xf>
    <xf numFmtId="0" fontId="27" fillId="2" borderId="25" xfId="0" applyFont="1" applyFill="1" applyBorder="1" applyAlignment="1" applyProtection="1">
      <alignment horizontal="left" vertical="center" wrapText="1"/>
      <protection hidden="1"/>
    </xf>
    <xf numFmtId="167" fontId="27" fillId="2" borderId="25" xfId="0" applyNumberFormat="1" applyFont="1" applyFill="1" applyBorder="1" applyAlignment="1" applyProtection="1">
      <alignment vertical="center" wrapText="1"/>
      <protection hidden="1"/>
    </xf>
    <xf numFmtId="3" fontId="0" fillId="0" borderId="0" xfId="0" applyNumberFormat="1"/>
    <xf numFmtId="0" fontId="0" fillId="0" borderId="26" xfId="0" applyBorder="1"/>
    <xf numFmtId="4" fontId="8" fillId="0" borderId="27" xfId="0" applyNumberFormat="1" applyFont="1" applyBorder="1" applyAlignment="1">
      <alignment horizontal="right" wrapText="1"/>
    </xf>
    <xf numFmtId="0" fontId="8" fillId="0" borderId="27" xfId="0" applyFont="1" applyBorder="1" applyAlignment="1">
      <alignment horizontal="right" wrapText="1"/>
    </xf>
    <xf numFmtId="0" fontId="9" fillId="10" borderId="28" xfId="0" applyFont="1" applyFill="1" applyBorder="1" applyAlignment="1">
      <alignment horizontal="center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9" fillId="10" borderId="30" xfId="0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horizontal="center" vertical="center" wrapText="1"/>
    </xf>
    <xf numFmtId="0" fontId="9" fillId="10" borderId="32" xfId="0" applyFont="1" applyFill="1" applyBorder="1" applyAlignment="1">
      <alignment horizontal="center" vertical="center" wrapText="1"/>
    </xf>
    <xf numFmtId="0" fontId="27" fillId="8" borderId="18" xfId="0" applyFont="1" applyFill="1" applyBorder="1" applyAlignment="1" applyProtection="1">
      <alignment horizontal="left"/>
      <protection hidden="1"/>
    </xf>
    <xf numFmtId="172" fontId="0" fillId="0" borderId="0" xfId="0" applyNumberFormat="1"/>
    <xf numFmtId="0" fontId="2" fillId="0" borderId="0" xfId="0" applyFont="1"/>
    <xf numFmtId="0" fontId="28" fillId="2" borderId="11" xfId="0" applyFont="1" applyFill="1" applyBorder="1" applyProtection="1">
      <protection hidden="1"/>
    </xf>
    <xf numFmtId="0" fontId="0" fillId="8" borderId="0" xfId="0" applyFill="1"/>
    <xf numFmtId="3" fontId="0" fillId="8" borderId="0" xfId="0" applyNumberFormat="1" applyFill="1"/>
    <xf numFmtId="168" fontId="2" fillId="0" borderId="0" xfId="4" applyNumberFormat="1" applyFont="1"/>
    <xf numFmtId="172" fontId="0" fillId="8" borderId="0" xfId="0" applyNumberFormat="1" applyFill="1"/>
    <xf numFmtId="0" fontId="1" fillId="2" borderId="0" xfId="0" applyFont="1" applyFill="1" applyProtection="1">
      <protection hidden="1"/>
    </xf>
    <xf numFmtId="3" fontId="1" fillId="2" borderId="0" xfId="0" applyNumberFormat="1" applyFont="1" applyFill="1" applyAlignment="1" applyProtection="1">
      <alignment horizontal="center" vertical="center" wrapText="1"/>
      <protection hidden="1"/>
    </xf>
    <xf numFmtId="3" fontId="1" fillId="2" borderId="22" xfId="0" applyNumberFormat="1" applyFont="1" applyFill="1" applyBorder="1" applyAlignment="1" applyProtection="1">
      <alignment horizontal="center" vertical="center" wrapText="1"/>
      <protection hidden="1"/>
    </xf>
    <xf numFmtId="3" fontId="1" fillId="2" borderId="22" xfId="0" applyNumberFormat="1" applyFont="1" applyFill="1" applyBorder="1" applyAlignment="1" applyProtection="1">
      <alignment vertical="center" wrapText="1"/>
      <protection hidden="1"/>
    </xf>
    <xf numFmtId="167" fontId="1" fillId="2" borderId="22" xfId="0" applyNumberFormat="1" applyFont="1" applyFill="1" applyBorder="1" applyAlignment="1" applyProtection="1">
      <alignment horizontal="center" wrapText="1"/>
      <protection hidden="1"/>
    </xf>
    <xf numFmtId="0" fontId="2" fillId="2" borderId="0" xfId="0" applyFont="1" applyFill="1" applyProtection="1">
      <protection hidden="1"/>
    </xf>
    <xf numFmtId="169" fontId="1" fillId="2" borderId="0" xfId="0" applyNumberFormat="1" applyFont="1" applyFill="1" applyProtection="1">
      <protection hidden="1"/>
    </xf>
    <xf numFmtId="3" fontId="1" fillId="2" borderId="1" xfId="0" applyNumberFormat="1" applyFont="1" applyFill="1" applyBorder="1" applyProtection="1">
      <protection hidden="1"/>
    </xf>
    <xf numFmtId="9" fontId="1" fillId="2" borderId="24" xfId="0" applyNumberFormat="1" applyFont="1" applyFill="1" applyBorder="1" applyAlignment="1" applyProtection="1">
      <alignment horizontal="center" vertical="center" wrapText="1"/>
      <protection hidden="1"/>
    </xf>
    <xf numFmtId="0" fontId="1" fillId="2" borderId="0" xfId="0" applyFont="1" applyFill="1" applyAlignment="1" applyProtection="1">
      <alignment vertical="center" wrapText="1"/>
      <protection hidden="1"/>
    </xf>
    <xf numFmtId="0" fontId="2" fillId="0" borderId="0" xfId="0" applyFont="1" applyProtection="1">
      <protection hidden="1"/>
    </xf>
    <xf numFmtId="167" fontId="1" fillId="2" borderId="0" xfId="0" applyNumberFormat="1" applyFont="1" applyFill="1" applyProtection="1">
      <protection hidden="1"/>
    </xf>
    <xf numFmtId="167" fontId="1" fillId="2" borderId="0" xfId="0" applyNumberFormat="1" applyFont="1" applyFill="1" applyAlignment="1" applyProtection="1">
      <alignment horizontal="center" vertical="center" wrapText="1"/>
      <protection hidden="1"/>
    </xf>
    <xf numFmtId="0" fontId="1" fillId="2" borderId="1" xfId="0" applyFont="1" applyFill="1" applyBorder="1" applyAlignment="1" applyProtection="1">
      <alignment vertical="center" wrapText="1"/>
      <protection hidden="1"/>
    </xf>
    <xf numFmtId="0" fontId="11" fillId="4" borderId="10" xfId="0" applyFont="1" applyFill="1" applyBorder="1" applyProtection="1">
      <protection hidden="1"/>
    </xf>
    <xf numFmtId="0" fontId="11" fillId="4" borderId="0" xfId="0" applyFont="1" applyFill="1" applyProtection="1">
      <protection hidden="1"/>
    </xf>
    <xf numFmtId="0" fontId="11" fillId="2" borderId="0" xfId="0" applyFont="1" applyFill="1" applyAlignment="1" applyProtection="1">
      <alignment horizontal="center" vertical="center"/>
      <protection hidden="1"/>
    </xf>
    <xf numFmtId="0" fontId="11" fillId="2" borderId="0" xfId="0" applyFont="1" applyFill="1" applyAlignment="1" applyProtection="1">
      <alignment horizontal="left" vertical="center" wrapText="1"/>
      <protection hidden="1"/>
    </xf>
    <xf numFmtId="0" fontId="1" fillId="2" borderId="21" xfId="0" applyFont="1" applyFill="1" applyBorder="1" applyAlignment="1" applyProtection="1">
      <alignment vertical="center" wrapText="1"/>
      <protection hidden="1"/>
    </xf>
    <xf numFmtId="0" fontId="11" fillId="2" borderId="0" xfId="0" applyFont="1" applyFill="1" applyAlignment="1" applyProtection="1">
      <alignment vertical="center"/>
      <protection hidden="1"/>
    </xf>
    <xf numFmtId="0" fontId="11" fillId="2" borderId="0" xfId="0" applyFont="1" applyFill="1" applyAlignment="1" applyProtection="1">
      <alignment horizontal="center" vertical="center" wrapText="1"/>
      <protection hidden="1"/>
    </xf>
    <xf numFmtId="0" fontId="1" fillId="2" borderId="22" xfId="0" applyFont="1" applyFill="1" applyBorder="1" applyAlignment="1" applyProtection="1">
      <alignment horizontal="center" vertical="center" wrapText="1"/>
      <protection hidden="1"/>
    </xf>
    <xf numFmtId="0" fontId="1" fillId="2" borderId="23" xfId="0" applyFont="1" applyFill="1" applyBorder="1" applyAlignment="1" applyProtection="1">
      <alignment horizontal="center" vertical="center" wrapText="1"/>
      <protection hidden="1"/>
    </xf>
    <xf numFmtId="3" fontId="1" fillId="8" borderId="22" xfId="0" applyNumberFormat="1" applyFont="1" applyFill="1" applyBorder="1" applyAlignment="1" applyProtection="1">
      <alignment vertical="center" wrapText="1"/>
      <protection hidden="1"/>
    </xf>
    <xf numFmtId="171" fontId="1" fillId="2" borderId="0" xfId="0" applyNumberFormat="1" applyFont="1" applyFill="1" applyProtection="1">
      <protection hidden="1"/>
    </xf>
    <xf numFmtId="3" fontId="1" fillId="2" borderId="0" xfId="0" applyNumberFormat="1" applyFont="1" applyFill="1" applyProtection="1">
      <protection hidden="1"/>
    </xf>
    <xf numFmtId="3" fontId="1" fillId="5" borderId="22" xfId="0" applyNumberFormat="1" applyFont="1" applyFill="1" applyBorder="1" applyAlignment="1" applyProtection="1">
      <alignment horizontal="center" vertical="center" wrapText="1"/>
      <protection hidden="1"/>
    </xf>
    <xf numFmtId="167" fontId="1" fillId="2" borderId="22" xfId="0" applyNumberFormat="1" applyFont="1" applyFill="1" applyBorder="1" applyAlignment="1" applyProtection="1">
      <alignment vertical="center" wrapText="1"/>
      <protection hidden="1"/>
    </xf>
    <xf numFmtId="167" fontId="1" fillId="2" borderId="22" xfId="0" applyNumberFormat="1" applyFont="1" applyFill="1" applyBorder="1" applyProtection="1">
      <protection hidden="1"/>
    </xf>
    <xf numFmtId="167" fontId="1" fillId="2" borderId="22" xfId="0" applyNumberFormat="1" applyFont="1" applyFill="1" applyBorder="1" applyAlignment="1" applyProtection="1">
      <alignment horizontal="center" vertical="center" wrapText="1"/>
      <protection hidden="1"/>
    </xf>
    <xf numFmtId="167" fontId="1" fillId="2" borderId="0" xfId="0" applyNumberFormat="1" applyFont="1" applyFill="1" applyAlignment="1" applyProtection="1">
      <alignment vertical="center" wrapText="1"/>
      <protection hidden="1"/>
    </xf>
    <xf numFmtId="0" fontId="12" fillId="2" borderId="0" xfId="0" applyFont="1" applyFill="1" applyAlignment="1" applyProtection="1">
      <alignment vertical="center"/>
      <protection hidden="1"/>
    </xf>
    <xf numFmtId="0" fontId="1" fillId="4" borderId="0" xfId="0" applyFont="1" applyFill="1" applyProtection="1">
      <protection hidden="1"/>
    </xf>
    <xf numFmtId="167" fontId="11" fillId="2" borderId="0" xfId="0" applyNumberFormat="1" applyFont="1" applyFill="1" applyAlignment="1" applyProtection="1">
      <alignment vertical="center" wrapText="1"/>
      <protection locked="0" hidden="1"/>
    </xf>
    <xf numFmtId="167" fontId="11" fillId="2" borderId="0" xfId="0" applyNumberFormat="1" applyFont="1" applyFill="1" applyAlignment="1" applyProtection="1">
      <alignment vertical="center" wrapText="1"/>
      <protection hidden="1"/>
    </xf>
    <xf numFmtId="0" fontId="1" fillId="11" borderId="0" xfId="0" applyFont="1" applyFill="1" applyProtection="1">
      <protection hidden="1"/>
    </xf>
    <xf numFmtId="3" fontId="1" fillId="11" borderId="0" xfId="0" applyNumberFormat="1" applyFont="1" applyFill="1" applyProtection="1">
      <protection hidden="1"/>
    </xf>
    <xf numFmtId="0" fontId="1" fillId="11" borderId="0" xfId="0" applyFont="1" applyFill="1" applyAlignment="1" applyProtection="1">
      <alignment vertical="center" wrapText="1"/>
      <protection hidden="1"/>
    </xf>
    <xf numFmtId="0" fontId="2" fillId="11" borderId="0" xfId="0" applyFont="1" applyFill="1" applyProtection="1">
      <protection hidden="1"/>
    </xf>
    <xf numFmtId="168" fontId="11" fillId="12" borderId="33" xfId="0" applyNumberFormat="1" applyFont="1" applyFill="1" applyBorder="1" applyAlignment="1" applyProtection="1">
      <alignment horizontal="center" vertical="center" wrapText="1"/>
      <protection hidden="1"/>
    </xf>
    <xf numFmtId="174" fontId="1" fillId="13" borderId="33" xfId="0" applyNumberFormat="1" applyFont="1" applyFill="1" applyBorder="1" applyAlignment="1" applyProtection="1">
      <alignment horizontal="center" vertical="center"/>
      <protection hidden="1"/>
    </xf>
    <xf numFmtId="173" fontId="1" fillId="0" borderId="0" xfId="0" applyNumberFormat="1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168" fontId="11" fillId="0" borderId="0" xfId="0" applyNumberFormat="1" applyFont="1" applyAlignment="1" applyProtection="1">
      <alignment horizontal="center" vertical="center" wrapText="1"/>
      <protection hidden="1"/>
    </xf>
    <xf numFmtId="174" fontId="1" fillId="0" borderId="0" xfId="0" applyNumberFormat="1" applyFont="1" applyAlignment="1" applyProtection="1">
      <alignment horizontal="center" vertical="center"/>
      <protection hidden="1"/>
    </xf>
    <xf numFmtId="3" fontId="8" fillId="0" borderId="27" xfId="0" applyNumberFormat="1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9" fillId="10" borderId="31" xfId="0" applyFont="1" applyFill="1" applyBorder="1" applyAlignment="1">
      <alignment horizontal="left" vertical="center" wrapText="1"/>
    </xf>
    <xf numFmtId="0" fontId="9" fillId="10" borderId="32" xfId="0" applyFont="1" applyFill="1" applyBorder="1" applyAlignment="1">
      <alignment horizontal="left" vertical="center" wrapText="1"/>
    </xf>
    <xf numFmtId="0" fontId="0" fillId="0" borderId="34" xfId="0" applyBorder="1"/>
    <xf numFmtId="175" fontId="1" fillId="2" borderId="0" xfId="2" applyNumberFormat="1" applyFont="1" applyFill="1" applyProtection="1">
      <protection hidden="1"/>
    </xf>
    <xf numFmtId="10" fontId="0" fillId="0" borderId="0" xfId="0" applyNumberFormat="1"/>
    <xf numFmtId="167" fontId="0" fillId="0" borderId="0" xfId="0" applyNumberFormat="1"/>
    <xf numFmtId="168" fontId="28" fillId="0" borderId="1" xfId="0" applyNumberFormat="1" applyFont="1" applyBorder="1" applyAlignment="1" applyProtection="1">
      <alignment horizontal="center" vertical="top" wrapText="1"/>
      <protection locked="0" hidden="1"/>
    </xf>
    <xf numFmtId="0" fontId="9" fillId="10" borderId="35" xfId="0" applyFont="1" applyFill="1" applyBorder="1" applyAlignment="1">
      <alignment horizontal="left" vertical="center" wrapText="1"/>
    </xf>
    <xf numFmtId="3" fontId="8" fillId="0" borderId="36" xfId="0" applyNumberFormat="1" applyFont="1" applyBorder="1" applyAlignment="1">
      <alignment vertical="center" wrapText="1"/>
    </xf>
    <xf numFmtId="3" fontId="8" fillId="0" borderId="37" xfId="0" applyNumberFormat="1" applyFont="1" applyBorder="1" applyAlignment="1">
      <alignment vertical="center" wrapText="1"/>
    </xf>
    <xf numFmtId="0" fontId="8" fillId="0" borderId="38" xfId="0" applyFont="1" applyBorder="1" applyAlignment="1">
      <alignment vertical="center" wrapText="1"/>
    </xf>
    <xf numFmtId="0" fontId="8" fillId="0" borderId="39" xfId="0" applyFont="1" applyBorder="1" applyAlignment="1">
      <alignment vertical="center" wrapText="1"/>
    </xf>
    <xf numFmtId="0" fontId="8" fillId="0" borderId="40" xfId="0" applyFont="1" applyBorder="1" applyAlignment="1">
      <alignment vertical="center" wrapText="1"/>
    </xf>
    <xf numFmtId="4" fontId="36" fillId="0" borderId="0" xfId="0" applyNumberFormat="1" applyFont="1"/>
    <xf numFmtId="176" fontId="1" fillId="0" borderId="0" xfId="0" applyNumberFormat="1" applyFont="1" applyProtection="1">
      <protection locked="0" hidden="1"/>
    </xf>
    <xf numFmtId="175" fontId="1" fillId="0" borderId="0" xfId="2" applyNumberFormat="1" applyFont="1" applyFill="1" applyProtection="1">
      <protection locked="0" hidden="1"/>
    </xf>
    <xf numFmtId="0" fontId="0" fillId="4" borderId="0" xfId="0" applyFill="1"/>
    <xf numFmtId="0" fontId="37" fillId="14" borderId="41" xfId="0" applyFont="1" applyFill="1" applyBorder="1" applyAlignment="1">
      <alignment horizontal="center" vertical="center" wrapText="1" readingOrder="1"/>
    </xf>
    <xf numFmtId="0" fontId="38" fillId="15" borderId="41" xfId="0" applyFont="1" applyFill="1" applyBorder="1" applyAlignment="1">
      <alignment horizontal="center" vertical="center" wrapText="1" readingOrder="1"/>
    </xf>
    <xf numFmtId="0" fontId="38" fillId="16" borderId="41" xfId="0" applyFont="1" applyFill="1" applyBorder="1" applyAlignment="1">
      <alignment horizontal="center" vertical="center" wrapText="1" readingOrder="1"/>
    </xf>
    <xf numFmtId="0" fontId="39" fillId="17" borderId="41" xfId="0" applyFont="1" applyFill="1" applyBorder="1" applyAlignment="1">
      <alignment horizontal="center" vertical="center" wrapText="1" readingOrder="1"/>
    </xf>
    <xf numFmtId="0" fontId="40" fillId="0" borderId="41" xfId="0" applyFont="1" applyBorder="1" applyAlignment="1">
      <alignment horizontal="center" vertical="center" wrapText="1" readingOrder="1"/>
    </xf>
    <xf numFmtId="10" fontId="38" fillId="18" borderId="41" xfId="0" applyNumberFormat="1" applyFont="1" applyFill="1" applyBorder="1" applyAlignment="1">
      <alignment horizontal="center" vertical="center" wrapText="1" readingOrder="1"/>
    </xf>
    <xf numFmtId="0" fontId="38" fillId="19" borderId="41" xfId="0" applyFont="1" applyFill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center" vertical="center" wrapText="1" readingOrder="1"/>
    </xf>
    <xf numFmtId="10" fontId="41" fillId="20" borderId="41" xfId="0" applyNumberFormat="1" applyFont="1" applyFill="1" applyBorder="1" applyAlignment="1">
      <alignment horizontal="center" vertical="center" wrapText="1" readingOrder="1"/>
    </xf>
    <xf numFmtId="167" fontId="40" fillId="0" borderId="41" xfId="0" applyNumberFormat="1" applyFont="1" applyBorder="1" applyAlignment="1">
      <alignment horizontal="center" vertical="center" wrapText="1" readingOrder="1"/>
    </xf>
    <xf numFmtId="168" fontId="38" fillId="18" borderId="41" xfId="0" applyNumberFormat="1" applyFont="1" applyFill="1" applyBorder="1" applyAlignment="1">
      <alignment horizontal="center" vertical="center" wrapText="1" readingOrder="1"/>
    </xf>
    <xf numFmtId="168" fontId="41" fillId="20" borderId="41" xfId="0" applyNumberFormat="1" applyFont="1" applyFill="1" applyBorder="1" applyAlignment="1">
      <alignment horizontal="center" vertical="center" wrapText="1" readingOrder="1"/>
    </xf>
    <xf numFmtId="167" fontId="38" fillId="19" borderId="41" xfId="0" applyNumberFormat="1" applyFont="1" applyFill="1" applyBorder="1" applyAlignment="1">
      <alignment horizontal="center" vertical="center" wrapText="1" readingOrder="1"/>
    </xf>
    <xf numFmtId="175" fontId="0" fillId="0" borderId="0" xfId="2" applyNumberFormat="1" applyFont="1"/>
    <xf numFmtId="175" fontId="0" fillId="0" borderId="0" xfId="0" applyNumberFormat="1"/>
    <xf numFmtId="10" fontId="1" fillId="2" borderId="0" xfId="0" applyNumberFormat="1" applyFont="1" applyFill="1" applyProtection="1">
      <protection hidden="1"/>
    </xf>
    <xf numFmtId="3" fontId="1" fillId="2" borderId="0" xfId="0" applyNumberFormat="1" applyFont="1" applyFill="1" applyAlignment="1" applyProtection="1">
      <alignment vertical="center" wrapText="1"/>
      <protection hidden="1"/>
    </xf>
    <xf numFmtId="168" fontId="1" fillId="2" borderId="22" xfId="0" applyNumberFormat="1" applyFont="1" applyFill="1" applyBorder="1" applyAlignment="1" applyProtection="1">
      <alignment horizontal="center" vertical="center" wrapText="1"/>
      <protection hidden="1"/>
    </xf>
    <xf numFmtId="168" fontId="1" fillId="5" borderId="22" xfId="0" applyNumberFormat="1" applyFont="1" applyFill="1" applyBorder="1" applyAlignment="1" applyProtection="1">
      <alignment horizontal="center" vertical="center" wrapText="1"/>
      <protection hidden="1"/>
    </xf>
    <xf numFmtId="168" fontId="1" fillId="2" borderId="24" xfId="0" applyNumberFormat="1" applyFont="1" applyFill="1" applyBorder="1" applyAlignment="1" applyProtection="1">
      <alignment horizontal="center" vertical="center" wrapText="1"/>
      <protection hidden="1"/>
    </xf>
    <xf numFmtId="168" fontId="27" fillId="2" borderId="22" xfId="0" applyNumberFormat="1" applyFont="1" applyFill="1" applyBorder="1" applyAlignment="1" applyProtection="1">
      <alignment horizontal="center" vertical="center" wrapText="1"/>
      <protection hidden="1"/>
    </xf>
    <xf numFmtId="164" fontId="0" fillId="0" borderId="0" xfId="1" applyFont="1"/>
    <xf numFmtId="164" fontId="0" fillId="0" borderId="0" xfId="0" applyNumberFormat="1"/>
    <xf numFmtId="177" fontId="0" fillId="0" borderId="0" xfId="4" applyNumberFormat="1" applyFont="1"/>
    <xf numFmtId="177" fontId="0" fillId="0" borderId="0" xfId="0" applyNumberFormat="1"/>
    <xf numFmtId="9" fontId="0" fillId="0" borderId="0" xfId="0" applyNumberFormat="1"/>
    <xf numFmtId="9" fontId="0" fillId="0" borderId="0" xfId="4" applyFont="1"/>
    <xf numFmtId="168" fontId="0" fillId="0" borderId="0" xfId="4" applyNumberFormat="1" applyFont="1"/>
    <xf numFmtId="168" fontId="0" fillId="0" borderId="0" xfId="0" applyNumberFormat="1"/>
    <xf numFmtId="164" fontId="33" fillId="11" borderId="0" xfId="1" applyFont="1" applyFill="1" applyAlignment="1" applyProtection="1">
      <alignment horizontal="center"/>
      <protection hidden="1"/>
    </xf>
    <xf numFmtId="0" fontId="1" fillId="21" borderId="0" xfId="0" applyFont="1" applyFill="1" applyProtection="1">
      <protection hidden="1"/>
    </xf>
    <xf numFmtId="0" fontId="1" fillId="21" borderId="0" xfId="0" applyFont="1" applyFill="1" applyAlignment="1" applyProtection="1">
      <alignment vertical="center" wrapText="1"/>
      <protection hidden="1"/>
    </xf>
    <xf numFmtId="0" fontId="1" fillId="21" borderId="0" xfId="0" applyFont="1" applyFill="1" applyAlignment="1" applyProtection="1">
      <alignment horizontal="left" vertical="center" wrapText="1"/>
      <protection hidden="1"/>
    </xf>
    <xf numFmtId="167" fontId="1" fillId="21" borderId="0" xfId="0" applyNumberFormat="1" applyFont="1" applyFill="1" applyAlignment="1" applyProtection="1">
      <alignment horizontal="center" vertical="center" wrapText="1"/>
      <protection hidden="1"/>
    </xf>
    <xf numFmtId="3" fontId="1" fillId="21" borderId="0" xfId="0" applyNumberFormat="1" applyFont="1" applyFill="1" applyProtection="1">
      <protection hidden="1"/>
    </xf>
    <xf numFmtId="167" fontId="1" fillId="21" borderId="0" xfId="0" applyNumberFormat="1" applyFont="1" applyFill="1" applyAlignment="1" applyProtection="1">
      <alignment vertical="center" wrapText="1"/>
      <protection hidden="1"/>
    </xf>
    <xf numFmtId="0" fontId="11" fillId="21" borderId="0" xfId="0" applyFont="1" applyFill="1" applyAlignment="1" applyProtection="1">
      <alignment horizontal="left" vertical="center" wrapText="1"/>
      <protection hidden="1"/>
    </xf>
    <xf numFmtId="167" fontId="11" fillId="21" borderId="0" xfId="0" applyNumberFormat="1" applyFont="1" applyFill="1" applyAlignment="1" applyProtection="1">
      <alignment horizontal="center" vertical="center" wrapText="1"/>
      <protection locked="0" hidden="1"/>
    </xf>
    <xf numFmtId="167" fontId="1" fillId="21" borderId="0" xfId="0" applyNumberFormat="1" applyFont="1" applyFill="1" applyProtection="1">
      <protection hidden="1"/>
    </xf>
    <xf numFmtId="0" fontId="19" fillId="21" borderId="0" xfId="0" applyFont="1" applyFill="1" applyProtection="1">
      <protection hidden="1"/>
    </xf>
    <xf numFmtId="0" fontId="19" fillId="21" borderId="0" xfId="0" applyFont="1" applyFill="1" applyAlignment="1" applyProtection="1">
      <alignment vertical="center" wrapText="1"/>
      <protection hidden="1"/>
    </xf>
    <xf numFmtId="0" fontId="19" fillId="2" borderId="0" xfId="0" applyFont="1" applyFill="1" applyProtection="1">
      <protection hidden="1"/>
    </xf>
    <xf numFmtId="0" fontId="20" fillId="21" borderId="0" xfId="0" applyFont="1" applyFill="1" applyAlignment="1" applyProtection="1">
      <alignment vertical="center" wrapText="1"/>
      <protection hidden="1"/>
    </xf>
    <xf numFmtId="0" fontId="19" fillId="21" borderId="0" xfId="0" applyFont="1" applyFill="1" applyAlignment="1" applyProtection="1">
      <alignment vertical="center"/>
      <protection locked="0" hidden="1"/>
    </xf>
    <xf numFmtId="0" fontId="19" fillId="21" borderId="0" xfId="0" applyFont="1" applyFill="1" applyAlignment="1" applyProtection="1">
      <alignment horizontal="left" vertical="center" wrapText="1"/>
      <protection hidden="1"/>
    </xf>
    <xf numFmtId="0" fontId="19" fillId="21" borderId="0" xfId="0" applyFont="1" applyFill="1" applyAlignment="1" applyProtection="1">
      <alignment horizontal="center" vertical="center" wrapText="1"/>
      <protection locked="0" hidden="1"/>
    </xf>
    <xf numFmtId="167" fontId="19" fillId="21" borderId="0" xfId="0" applyNumberFormat="1" applyFont="1" applyFill="1" applyAlignment="1" applyProtection="1">
      <alignment horizontal="center" vertical="center" wrapText="1"/>
      <protection hidden="1"/>
    </xf>
    <xf numFmtId="0" fontId="19" fillId="21" borderId="0" xfId="0" applyFont="1" applyFill="1" applyAlignment="1" applyProtection="1">
      <alignment horizontal="center" vertical="center"/>
      <protection locked="0" hidden="1"/>
    </xf>
    <xf numFmtId="10" fontId="19" fillId="21" borderId="0" xfId="0" applyNumberFormat="1" applyFont="1" applyFill="1" applyAlignment="1" applyProtection="1">
      <alignment vertical="center" wrapText="1"/>
      <protection hidden="1"/>
    </xf>
    <xf numFmtId="167" fontId="19" fillId="2" borderId="1" xfId="0" applyNumberFormat="1" applyFont="1" applyFill="1" applyBorder="1" applyAlignment="1" applyProtection="1">
      <alignment horizontal="right" vertical="center" wrapText="1"/>
      <protection hidden="1"/>
    </xf>
    <xf numFmtId="0" fontId="19" fillId="2" borderId="0" xfId="0" applyFont="1" applyFill="1" applyAlignment="1" applyProtection="1">
      <alignment vertical="center" wrapText="1"/>
      <protection hidden="1"/>
    </xf>
    <xf numFmtId="0" fontId="19" fillId="2" borderId="0" xfId="0" applyFont="1" applyFill="1" applyAlignment="1" applyProtection="1">
      <alignment vertical="center"/>
      <protection hidden="1"/>
    </xf>
    <xf numFmtId="3" fontId="19" fillId="21" borderId="0" xfId="0" applyNumberFormat="1" applyFont="1" applyFill="1" applyProtection="1">
      <protection hidden="1"/>
    </xf>
    <xf numFmtId="0" fontId="20" fillId="2" borderId="0" xfId="0" applyFont="1" applyFill="1" applyAlignment="1" applyProtection="1">
      <alignment vertical="center" wrapText="1"/>
      <protection hidden="1"/>
    </xf>
    <xf numFmtId="167" fontId="19" fillId="21" borderId="0" xfId="0" applyNumberFormat="1" applyFont="1" applyFill="1" applyProtection="1">
      <protection hidden="1"/>
    </xf>
    <xf numFmtId="0" fontId="19" fillId="21" borderId="20" xfId="0" applyFont="1" applyFill="1" applyBorder="1" applyAlignment="1" applyProtection="1">
      <alignment vertical="center" wrapText="1"/>
      <protection hidden="1"/>
    </xf>
    <xf numFmtId="0" fontId="20" fillId="21" borderId="0" xfId="0" applyFont="1" applyFill="1" applyAlignment="1" applyProtection="1">
      <alignment horizontal="center" vertical="center"/>
      <protection hidden="1"/>
    </xf>
    <xf numFmtId="0" fontId="19" fillId="21" borderId="9" xfId="0" applyFont="1" applyFill="1" applyBorder="1" applyAlignment="1" applyProtection="1">
      <alignment vertical="center"/>
      <protection hidden="1"/>
    </xf>
    <xf numFmtId="0" fontId="19" fillId="21" borderId="9" xfId="0" applyFont="1" applyFill="1" applyBorder="1" applyAlignment="1" applyProtection="1">
      <alignment vertical="center"/>
      <protection locked="0"/>
    </xf>
    <xf numFmtId="167" fontId="19" fillId="21" borderId="1" xfId="0" applyNumberFormat="1" applyFont="1" applyFill="1" applyBorder="1" applyAlignment="1" applyProtection="1">
      <alignment vertical="center" wrapText="1"/>
      <protection locked="0" hidden="1"/>
    </xf>
    <xf numFmtId="0" fontId="20" fillId="21" borderId="14" xfId="0" applyFont="1" applyFill="1" applyBorder="1" applyAlignment="1" applyProtection="1">
      <alignment vertical="center" wrapText="1"/>
      <protection hidden="1"/>
    </xf>
    <xf numFmtId="0" fontId="20" fillId="21" borderId="15" xfId="0" applyFont="1" applyFill="1" applyBorder="1" applyAlignment="1" applyProtection="1">
      <alignment vertical="center" wrapText="1"/>
      <protection hidden="1"/>
    </xf>
    <xf numFmtId="0" fontId="19" fillId="21" borderId="1" xfId="0" applyFont="1" applyFill="1" applyBorder="1" applyAlignment="1" applyProtection="1">
      <alignment vertical="center" wrapText="1"/>
      <protection hidden="1"/>
    </xf>
    <xf numFmtId="0" fontId="2" fillId="21" borderId="0" xfId="0" applyFont="1" applyFill="1" applyProtection="1">
      <protection hidden="1"/>
    </xf>
    <xf numFmtId="167" fontId="11" fillId="21" borderId="0" xfId="0" applyNumberFormat="1" applyFont="1" applyFill="1" applyAlignment="1" applyProtection="1">
      <alignment vertical="center" wrapText="1"/>
      <protection hidden="1"/>
    </xf>
    <xf numFmtId="0" fontId="1" fillId="21" borderId="1" xfId="0" applyFont="1" applyFill="1" applyBorder="1" applyAlignment="1" applyProtection="1">
      <alignment horizontal="center"/>
      <protection locked="0" hidden="1"/>
    </xf>
    <xf numFmtId="0" fontId="1" fillId="21" borderId="1" xfId="0" applyFont="1" applyFill="1" applyBorder="1" applyProtection="1">
      <protection locked="0" hidden="1"/>
    </xf>
    <xf numFmtId="0" fontId="1" fillId="21" borderId="0" xfId="0" applyFont="1" applyFill="1" applyProtection="1">
      <protection locked="0" hidden="1"/>
    </xf>
    <xf numFmtId="167" fontId="12" fillId="21" borderId="0" xfId="0" applyNumberFormat="1" applyFont="1" applyFill="1" applyAlignment="1" applyProtection="1">
      <alignment vertical="center" wrapText="1"/>
      <protection hidden="1"/>
    </xf>
    <xf numFmtId="167" fontId="1" fillId="21" borderId="1" xfId="0" applyNumberFormat="1" applyFont="1" applyFill="1" applyBorder="1" applyAlignment="1" applyProtection="1">
      <alignment horizontal="right" vertical="center" wrapText="1"/>
      <protection hidden="1"/>
    </xf>
    <xf numFmtId="167" fontId="1" fillId="21" borderId="0" xfId="0" applyNumberFormat="1" applyFont="1" applyFill="1" applyAlignment="1" applyProtection="1">
      <alignment horizontal="left" wrapText="1"/>
      <protection hidden="1"/>
    </xf>
    <xf numFmtId="0" fontId="1" fillId="21" borderId="1" xfId="0" applyFont="1" applyFill="1" applyBorder="1" applyAlignment="1" applyProtection="1">
      <alignment vertical="center" wrapText="1"/>
      <protection hidden="1"/>
    </xf>
    <xf numFmtId="0" fontId="11" fillId="21" borderId="1" xfId="0" applyFont="1" applyFill="1" applyBorder="1" applyAlignment="1" applyProtection="1">
      <alignment vertical="center" wrapText="1"/>
      <protection hidden="1"/>
    </xf>
    <xf numFmtId="0" fontId="1" fillId="21" borderId="0" xfId="0" applyFont="1" applyFill="1" applyProtection="1">
      <protection locked="0"/>
    </xf>
    <xf numFmtId="0" fontId="1" fillId="21" borderId="0" xfId="0" applyFont="1" applyFill="1" applyAlignment="1" applyProtection="1">
      <alignment horizontal="center"/>
      <protection locked="0"/>
    </xf>
    <xf numFmtId="0" fontId="11" fillId="21" borderId="1" xfId="0" applyFont="1" applyFill="1" applyBorder="1" applyProtection="1">
      <protection hidden="1"/>
    </xf>
    <xf numFmtId="167" fontId="11" fillId="21" borderId="1" xfId="0" applyNumberFormat="1" applyFont="1" applyFill="1" applyBorder="1" applyProtection="1">
      <protection hidden="1"/>
    </xf>
    <xf numFmtId="167" fontId="1" fillId="21" borderId="1" xfId="0" applyNumberFormat="1" applyFont="1" applyFill="1" applyBorder="1" applyProtection="1">
      <protection hidden="1"/>
    </xf>
    <xf numFmtId="0" fontId="11" fillId="21" borderId="0" xfId="0" applyFont="1" applyFill="1" applyProtection="1">
      <protection hidden="1"/>
    </xf>
    <xf numFmtId="0" fontId="12" fillId="21" borderId="0" xfId="0" applyFont="1" applyFill="1" applyAlignment="1" applyProtection="1">
      <alignment vertical="center" wrapText="1"/>
      <protection hidden="1"/>
    </xf>
    <xf numFmtId="167" fontId="12" fillId="21" borderId="1" xfId="0" applyNumberFormat="1" applyFont="1" applyFill="1" applyBorder="1" applyAlignment="1" applyProtection="1">
      <alignment horizontal="right" vertical="center" wrapText="1"/>
      <protection hidden="1"/>
    </xf>
    <xf numFmtId="167" fontId="11" fillId="21" borderId="1" xfId="0" applyNumberFormat="1" applyFont="1" applyFill="1" applyBorder="1" applyAlignment="1" applyProtection="1">
      <alignment horizontal="right" vertical="center" wrapText="1"/>
      <protection locked="0" hidden="1"/>
    </xf>
    <xf numFmtId="167" fontId="1" fillId="21" borderId="18" xfId="0" applyNumberFormat="1" applyFont="1" applyFill="1" applyBorder="1" applyAlignment="1" applyProtection="1">
      <alignment vertical="center" wrapText="1"/>
      <protection hidden="1"/>
    </xf>
    <xf numFmtId="0" fontId="1" fillId="21" borderId="18" xfId="0" applyFont="1" applyFill="1" applyBorder="1" applyAlignment="1" applyProtection="1">
      <alignment horizontal="left" vertical="center" wrapText="1"/>
      <protection hidden="1"/>
    </xf>
    <xf numFmtId="0" fontId="11" fillId="21" borderId="25" xfId="0" applyFont="1" applyFill="1" applyBorder="1" applyAlignment="1" applyProtection="1">
      <alignment horizontal="left" vertical="center" wrapText="1"/>
      <protection hidden="1"/>
    </xf>
    <xf numFmtId="0" fontId="1" fillId="21" borderId="25" xfId="0" applyFont="1" applyFill="1" applyBorder="1" applyAlignment="1" applyProtection="1">
      <alignment horizontal="left" vertical="center" wrapText="1"/>
      <protection hidden="1"/>
    </xf>
    <xf numFmtId="167" fontId="1" fillId="21" borderId="25" xfId="0" applyNumberFormat="1" applyFont="1" applyFill="1" applyBorder="1" applyAlignment="1" applyProtection="1">
      <alignment vertical="center" wrapText="1"/>
      <protection hidden="1"/>
    </xf>
    <xf numFmtId="0" fontId="11" fillId="21" borderId="11" xfId="0" applyFont="1" applyFill="1" applyBorder="1" applyAlignment="1" applyProtection="1">
      <alignment vertical="center"/>
      <protection hidden="1"/>
    </xf>
    <xf numFmtId="0" fontId="11" fillId="21" borderId="12" xfId="0" applyFont="1" applyFill="1" applyBorder="1" applyAlignment="1" applyProtection="1">
      <alignment vertical="center"/>
      <protection hidden="1"/>
    </xf>
    <xf numFmtId="0" fontId="1" fillId="21" borderId="11" xfId="0" applyFont="1" applyFill="1" applyBorder="1" applyAlignment="1" applyProtection="1">
      <alignment vertical="center"/>
      <protection hidden="1"/>
    </xf>
    <xf numFmtId="0" fontId="1" fillId="21" borderId="12" xfId="0" applyFont="1" applyFill="1" applyBorder="1" applyAlignment="1" applyProtection="1">
      <alignment vertical="center"/>
      <protection hidden="1"/>
    </xf>
    <xf numFmtId="0" fontId="11" fillId="21" borderId="11" xfId="0" applyFont="1" applyFill="1" applyBorder="1" applyAlignment="1" applyProtection="1">
      <alignment horizontal="left" vertical="center"/>
      <protection hidden="1"/>
    </xf>
    <xf numFmtId="0" fontId="11" fillId="21" borderId="12" xfId="0" applyFont="1" applyFill="1" applyBorder="1" applyAlignment="1" applyProtection="1">
      <alignment horizontal="left" vertical="center"/>
      <protection hidden="1"/>
    </xf>
    <xf numFmtId="0" fontId="11" fillId="21" borderId="13" xfId="0" applyFont="1" applyFill="1" applyBorder="1" applyAlignment="1" applyProtection="1">
      <alignment horizontal="left" vertical="center"/>
      <protection hidden="1"/>
    </xf>
    <xf numFmtId="167" fontId="21" fillId="21" borderId="9" xfId="0" applyNumberFormat="1" applyFont="1" applyFill="1" applyBorder="1" applyAlignment="1" applyProtection="1">
      <alignment vertical="center"/>
      <protection hidden="1"/>
    </xf>
    <xf numFmtId="164" fontId="1" fillId="21" borderId="0" xfId="1" applyFont="1" applyFill="1" applyAlignment="1" applyProtection="1">
      <alignment vertical="center" wrapText="1"/>
      <protection hidden="1"/>
    </xf>
    <xf numFmtId="0" fontId="21" fillId="21" borderId="16" xfId="0" applyFont="1" applyFill="1" applyBorder="1" applyAlignment="1" applyProtection="1">
      <alignment wrapText="1"/>
      <protection hidden="1"/>
    </xf>
    <xf numFmtId="0" fontId="21" fillId="21" borderId="5" xfId="0" applyFont="1" applyFill="1" applyBorder="1" applyAlignment="1" applyProtection="1">
      <alignment wrapText="1"/>
      <protection hidden="1"/>
    </xf>
    <xf numFmtId="0" fontId="22" fillId="21" borderId="0" xfId="0" applyFont="1" applyFill="1" applyAlignment="1" applyProtection="1">
      <alignment vertical="center" wrapText="1"/>
      <protection hidden="1"/>
    </xf>
    <xf numFmtId="0" fontId="22" fillId="21" borderId="17" xfId="0" applyFont="1" applyFill="1" applyBorder="1" applyAlignment="1" applyProtection="1">
      <alignment vertical="center" wrapText="1"/>
      <protection hidden="1"/>
    </xf>
    <xf numFmtId="167" fontId="21" fillId="21" borderId="0" xfId="0" applyNumberFormat="1" applyFont="1" applyFill="1" applyAlignment="1" applyProtection="1">
      <alignment vertical="center"/>
      <protection hidden="1"/>
    </xf>
    <xf numFmtId="178" fontId="0" fillId="0" borderId="0" xfId="0" applyNumberFormat="1"/>
    <xf numFmtId="0" fontId="1" fillId="22" borderId="0" xfId="0" applyFont="1" applyFill="1" applyProtection="1">
      <protection hidden="1"/>
    </xf>
    <xf numFmtId="3" fontId="1" fillId="22" borderId="0" xfId="0" applyNumberFormat="1" applyFont="1" applyFill="1" applyProtection="1">
      <protection hidden="1"/>
    </xf>
    <xf numFmtId="0" fontId="1" fillId="7" borderId="0" xfId="0" applyFont="1" applyFill="1" applyProtection="1">
      <protection hidden="1"/>
    </xf>
    <xf numFmtId="169" fontId="1" fillId="23" borderId="0" xfId="0" applyNumberFormat="1" applyFont="1" applyFill="1" applyProtection="1">
      <protection hidden="1"/>
    </xf>
    <xf numFmtId="179" fontId="1" fillId="2" borderId="0" xfId="0" applyNumberFormat="1" applyFont="1" applyFill="1" applyProtection="1">
      <protection hidden="1"/>
    </xf>
    <xf numFmtId="0" fontId="42" fillId="21" borderId="0" xfId="0" applyFont="1" applyFill="1" applyAlignment="1" applyProtection="1">
      <alignment vertical="center"/>
      <protection hidden="1"/>
    </xf>
    <xf numFmtId="0" fontId="21" fillId="24" borderId="42" xfId="0" applyFont="1" applyFill="1" applyBorder="1" applyAlignment="1" applyProtection="1">
      <alignment wrapText="1"/>
      <protection hidden="1"/>
    </xf>
    <xf numFmtId="0" fontId="21" fillId="24" borderId="43" xfId="0" applyFont="1" applyFill="1" applyBorder="1" applyAlignment="1" applyProtection="1">
      <alignment wrapText="1"/>
      <protection hidden="1"/>
    </xf>
    <xf numFmtId="0" fontId="43" fillId="24" borderId="0" xfId="0" applyFont="1" applyFill="1" applyAlignment="1" applyProtection="1">
      <alignment vertical="center" wrapText="1"/>
      <protection hidden="1"/>
    </xf>
    <xf numFmtId="0" fontId="43" fillId="24" borderId="44" xfId="0" applyFont="1" applyFill="1" applyBorder="1" applyAlignment="1" applyProtection="1">
      <alignment vertical="center" wrapText="1"/>
      <protection hidden="1"/>
    </xf>
    <xf numFmtId="167" fontId="23" fillId="2" borderId="0" xfId="0" applyNumberFormat="1" applyFont="1" applyFill="1" applyAlignment="1" applyProtection="1">
      <alignment vertical="center"/>
      <protection hidden="1"/>
    </xf>
    <xf numFmtId="167" fontId="23" fillId="2" borderId="44" xfId="0" applyNumberFormat="1" applyFont="1" applyFill="1" applyBorder="1" applyAlignment="1" applyProtection="1">
      <alignment vertical="center"/>
      <protection hidden="1"/>
    </xf>
    <xf numFmtId="167" fontId="23" fillId="2" borderId="45" xfId="0" applyNumberFormat="1" applyFont="1" applyFill="1" applyBorder="1" applyAlignment="1" applyProtection="1">
      <alignment vertical="center"/>
      <protection hidden="1"/>
    </xf>
    <xf numFmtId="167" fontId="23" fillId="2" borderId="46" xfId="0" applyNumberFormat="1" applyFont="1" applyFill="1" applyBorder="1" applyAlignment="1" applyProtection="1">
      <alignment vertical="center"/>
      <protection hidden="1"/>
    </xf>
    <xf numFmtId="0" fontId="43" fillId="21" borderId="0" xfId="0" applyFont="1" applyFill="1" applyAlignment="1" applyProtection="1">
      <alignment vertical="center" wrapText="1"/>
      <protection hidden="1"/>
    </xf>
    <xf numFmtId="167" fontId="23" fillId="21" borderId="0" xfId="0" applyNumberFormat="1" applyFont="1" applyFill="1" applyAlignment="1" applyProtection="1">
      <alignment vertical="center"/>
      <protection hidden="1"/>
    </xf>
    <xf numFmtId="167" fontId="1" fillId="11" borderId="0" xfId="0" applyNumberFormat="1" applyFont="1" applyFill="1" applyProtection="1">
      <protection hidden="1"/>
    </xf>
    <xf numFmtId="164" fontId="0" fillId="8" borderId="0" xfId="0" applyNumberFormat="1" applyFill="1"/>
    <xf numFmtId="0" fontId="44" fillId="21" borderId="5" xfId="0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vertical="center" wrapText="1"/>
      <protection hidden="1"/>
    </xf>
    <xf numFmtId="0" fontId="45" fillId="21" borderId="0" xfId="0" applyFont="1" applyFill="1" applyProtection="1">
      <protection hidden="1"/>
    </xf>
    <xf numFmtId="0" fontId="46" fillId="26" borderId="47" xfId="0" applyFont="1" applyFill="1" applyBorder="1" applyAlignment="1" applyProtection="1">
      <alignment horizontal="center"/>
      <protection hidden="1"/>
    </xf>
    <xf numFmtId="0" fontId="46" fillId="26" borderId="47" xfId="0" applyFont="1" applyFill="1" applyBorder="1" applyAlignment="1" applyProtection="1">
      <alignment horizontal="center" vertical="center" wrapText="1"/>
      <protection hidden="1"/>
    </xf>
    <xf numFmtId="0" fontId="47" fillId="26" borderId="47" xfId="0" applyFont="1" applyFill="1" applyBorder="1" applyProtection="1">
      <protection hidden="1"/>
    </xf>
    <xf numFmtId="0" fontId="19" fillId="2" borderId="47" xfId="0" applyFont="1" applyFill="1" applyBorder="1" applyAlignment="1" applyProtection="1">
      <alignment horizontal="left"/>
      <protection hidden="1"/>
    </xf>
    <xf numFmtId="4" fontId="48" fillId="0" borderId="47" xfId="0" applyNumberFormat="1" applyFont="1" applyBorder="1"/>
    <xf numFmtId="3" fontId="19" fillId="2" borderId="47" xfId="0" applyNumberFormat="1" applyFont="1" applyFill="1" applyBorder="1" applyAlignment="1" applyProtection="1">
      <alignment horizontal="center" vertical="center" wrapText="1"/>
      <protection locked="0" hidden="1"/>
    </xf>
    <xf numFmtId="3" fontId="19" fillId="2" borderId="47" xfId="0" applyNumberFormat="1" applyFont="1" applyFill="1" applyBorder="1" applyAlignment="1" applyProtection="1">
      <alignment horizontal="center" vertical="center" wrapText="1"/>
      <protection hidden="1"/>
    </xf>
    <xf numFmtId="3" fontId="19" fillId="27" borderId="47" xfId="0" applyNumberFormat="1" applyFont="1" applyFill="1" applyBorder="1" applyAlignment="1" applyProtection="1">
      <alignment horizontal="center" vertical="center" wrapText="1"/>
      <protection locked="0" hidden="1"/>
    </xf>
    <xf numFmtId="0" fontId="19" fillId="2" borderId="47" xfId="0" applyFont="1" applyFill="1" applyBorder="1" applyProtection="1">
      <protection hidden="1"/>
    </xf>
    <xf numFmtId="0" fontId="20" fillId="26" borderId="47" xfId="0" applyFont="1" applyFill="1" applyBorder="1" applyAlignment="1" applyProtection="1">
      <alignment horizontal="left" vertical="center"/>
      <protection hidden="1"/>
    </xf>
    <xf numFmtId="0" fontId="20" fillId="26" borderId="47" xfId="0" applyFont="1" applyFill="1" applyBorder="1" applyAlignment="1" applyProtection="1">
      <alignment horizontal="center" vertical="center"/>
      <protection hidden="1"/>
    </xf>
    <xf numFmtId="167" fontId="20" fillId="26" borderId="47" xfId="0" applyNumberFormat="1" applyFont="1" applyFill="1" applyBorder="1" applyAlignment="1" applyProtection="1">
      <alignment horizontal="center" vertical="center"/>
      <protection hidden="1"/>
    </xf>
    <xf numFmtId="3" fontId="20" fillId="26" borderId="47" xfId="0" applyNumberFormat="1" applyFont="1" applyFill="1" applyBorder="1" applyAlignment="1" applyProtection="1">
      <alignment horizontal="center" vertical="center" wrapText="1"/>
      <protection locked="0" hidden="1"/>
    </xf>
    <xf numFmtId="167" fontId="20" fillId="26" borderId="47" xfId="0" applyNumberFormat="1" applyFont="1" applyFill="1" applyBorder="1" applyAlignment="1" applyProtection="1">
      <alignment horizontal="center" vertical="center" wrapText="1"/>
      <protection hidden="1"/>
    </xf>
    <xf numFmtId="0" fontId="19" fillId="26" borderId="47" xfId="0" applyFont="1" applyFill="1" applyBorder="1" applyProtection="1">
      <protection hidden="1"/>
    </xf>
    <xf numFmtId="168" fontId="42" fillId="25" borderId="48" xfId="4" applyNumberFormat="1" applyFont="1" applyFill="1" applyBorder="1" applyAlignment="1" applyProtection="1">
      <alignment horizontal="center" vertical="center" wrapText="1"/>
      <protection locked="0" hidden="1"/>
    </xf>
    <xf numFmtId="168" fontId="42" fillId="25" borderId="48" xfId="0" applyNumberFormat="1" applyFont="1" applyFill="1" applyBorder="1" applyAlignment="1" applyProtection="1">
      <alignment horizontal="left" vertical="center" wrapText="1" indent="1"/>
      <protection locked="0" hidden="1"/>
    </xf>
    <xf numFmtId="0" fontId="42" fillId="28" borderId="48" xfId="0" applyFont="1" applyFill="1" applyBorder="1" applyAlignment="1" applyProtection="1">
      <alignment vertical="center" wrapText="1"/>
      <protection hidden="1"/>
    </xf>
    <xf numFmtId="0" fontId="49" fillId="28" borderId="48" xfId="0" applyFont="1" applyFill="1" applyBorder="1" applyAlignment="1" applyProtection="1">
      <alignment vertical="center" wrapText="1"/>
      <protection hidden="1"/>
    </xf>
    <xf numFmtId="0" fontId="42" fillId="21" borderId="48" xfId="0" applyFont="1" applyFill="1" applyBorder="1" applyAlignment="1" applyProtection="1">
      <alignment horizontal="center" vertical="center"/>
      <protection locked="0"/>
    </xf>
    <xf numFmtId="0" fontId="42" fillId="20" borderId="48" xfId="0" applyFont="1" applyFill="1" applyBorder="1" applyAlignment="1" applyProtection="1">
      <alignment horizontal="center" vertical="center"/>
      <protection hidden="1"/>
    </xf>
    <xf numFmtId="0" fontId="50" fillId="29" borderId="48" xfId="0" applyFont="1" applyFill="1" applyBorder="1" applyAlignment="1" applyProtection="1">
      <alignment horizontal="left" vertical="center"/>
      <protection hidden="1"/>
    </xf>
    <xf numFmtId="0" fontId="50" fillId="29" borderId="48" xfId="0" applyFont="1" applyFill="1" applyBorder="1" applyAlignment="1" applyProtection="1">
      <alignment horizontal="center" vertical="center"/>
      <protection hidden="1"/>
    </xf>
    <xf numFmtId="0" fontId="50" fillId="29" borderId="48" xfId="0" applyFont="1" applyFill="1" applyBorder="1" applyAlignment="1" applyProtection="1">
      <alignment horizontal="center" vertical="center" wrapText="1"/>
      <protection hidden="1"/>
    </xf>
    <xf numFmtId="0" fontId="45" fillId="28" borderId="48" xfId="0" applyFont="1" applyFill="1" applyBorder="1" applyAlignment="1" applyProtection="1">
      <alignment horizontal="left" vertical="center"/>
      <protection hidden="1"/>
    </xf>
    <xf numFmtId="4" fontId="45" fillId="21" borderId="48" xfId="0" applyNumberFormat="1" applyFont="1" applyFill="1" applyBorder="1" applyAlignment="1" applyProtection="1">
      <alignment horizontal="center" vertical="center" wrapText="1"/>
      <protection locked="0"/>
    </xf>
    <xf numFmtId="3" fontId="45" fillId="21" borderId="48" xfId="0" applyNumberFormat="1" applyFont="1" applyFill="1" applyBorder="1" applyAlignment="1" applyProtection="1">
      <alignment horizontal="center" vertical="center" wrapText="1"/>
      <protection locked="0"/>
    </xf>
    <xf numFmtId="172" fontId="51" fillId="29" borderId="49" xfId="0" applyNumberFormat="1" applyFont="1" applyFill="1" applyBorder="1" applyProtection="1">
      <protection hidden="1"/>
    </xf>
    <xf numFmtId="167" fontId="1" fillId="2" borderId="49" xfId="0" applyNumberFormat="1" applyFont="1" applyFill="1" applyBorder="1" applyAlignment="1" applyProtection="1">
      <alignment horizontal="right" vertical="center" wrapText="1"/>
      <protection hidden="1"/>
    </xf>
    <xf numFmtId="167" fontId="52" fillId="20" borderId="49" xfId="0" applyNumberFormat="1" applyFont="1" applyFill="1" applyBorder="1" applyAlignment="1" applyProtection="1">
      <alignment horizontal="right" vertical="center" wrapText="1"/>
      <protection locked="0" hidden="1"/>
    </xf>
    <xf numFmtId="10" fontId="1" fillId="11" borderId="0" xfId="4" applyNumberFormat="1" applyFont="1" applyFill="1" applyProtection="1">
      <protection hidden="1"/>
    </xf>
    <xf numFmtId="167" fontId="1" fillId="17" borderId="0" xfId="0" applyNumberFormat="1" applyFont="1" applyFill="1" applyProtection="1">
      <protection hidden="1"/>
    </xf>
    <xf numFmtId="167" fontId="29" fillId="30" borderId="49" xfId="0" applyNumberFormat="1" applyFont="1" applyFill="1" applyBorder="1" applyAlignment="1" applyProtection="1">
      <alignment horizontal="right" vertical="center" wrapText="1"/>
      <protection hidden="1"/>
    </xf>
    <xf numFmtId="164" fontId="1" fillId="11" borderId="0" xfId="1" applyFont="1" applyFill="1" applyProtection="1">
      <protection hidden="1"/>
    </xf>
    <xf numFmtId="167" fontId="19" fillId="21" borderId="11" xfId="0" applyNumberFormat="1" applyFont="1" applyFill="1" applyBorder="1" applyAlignment="1" applyProtection="1">
      <alignment vertical="center" wrapText="1"/>
      <protection locked="0" hidden="1"/>
    </xf>
    <xf numFmtId="0" fontId="1" fillId="8" borderId="0" xfId="0" applyFont="1" applyFill="1" applyProtection="1">
      <protection hidden="1"/>
    </xf>
    <xf numFmtId="180" fontId="27" fillId="0" borderId="0" xfId="0" applyNumberFormat="1" applyFont="1" applyProtection="1">
      <protection locked="0" hidden="1"/>
    </xf>
    <xf numFmtId="0" fontId="51" fillId="21" borderId="0" xfId="0" applyFont="1" applyFill="1" applyAlignment="1" applyProtection="1">
      <alignment vertical="center" wrapText="1"/>
      <protection hidden="1"/>
    </xf>
    <xf numFmtId="0" fontId="51" fillId="21" borderId="0" xfId="0" applyFont="1" applyFill="1" applyProtection="1">
      <protection hidden="1"/>
    </xf>
    <xf numFmtId="167" fontId="51" fillId="21" borderId="1" xfId="0" applyNumberFormat="1" applyFont="1" applyFill="1" applyBorder="1" applyAlignment="1" applyProtection="1">
      <alignment horizontal="right" vertical="center" wrapText="1"/>
      <protection hidden="1"/>
    </xf>
    <xf numFmtId="0" fontId="33" fillId="21" borderId="0" xfId="0" applyFont="1" applyFill="1" applyAlignment="1" applyProtection="1">
      <alignment vertical="center" wrapText="1"/>
      <protection hidden="1"/>
    </xf>
    <xf numFmtId="167" fontId="33" fillId="21" borderId="1" xfId="0" applyNumberFormat="1" applyFont="1" applyFill="1" applyBorder="1" applyAlignment="1" applyProtection="1">
      <alignment horizontal="right" vertical="center" wrapText="1"/>
      <protection locked="0" hidden="1"/>
    </xf>
    <xf numFmtId="0" fontId="33" fillId="21" borderId="0" xfId="0" applyFont="1" applyFill="1" applyAlignment="1" applyProtection="1">
      <alignment horizontal="left" vertical="center" wrapText="1"/>
      <protection hidden="1"/>
    </xf>
    <xf numFmtId="167" fontId="33" fillId="21" borderId="0" xfId="0" applyNumberFormat="1" applyFont="1" applyFill="1" applyAlignment="1" applyProtection="1">
      <alignment horizontal="center" vertical="center" wrapText="1"/>
      <protection locked="0" hidden="1"/>
    </xf>
    <xf numFmtId="167" fontId="33" fillId="21" borderId="0" xfId="0" applyNumberFormat="1" applyFont="1" applyFill="1" applyAlignment="1" applyProtection="1">
      <alignment horizontal="right" vertical="center" wrapText="1"/>
      <protection locked="0" hidden="1"/>
    </xf>
    <xf numFmtId="0" fontId="51" fillId="21" borderId="0" xfId="0" applyFont="1" applyFill="1" applyAlignment="1" applyProtection="1">
      <alignment horizontal="right"/>
      <protection hidden="1"/>
    </xf>
    <xf numFmtId="0" fontId="52" fillId="21" borderId="0" xfId="0" applyFont="1" applyFill="1" applyAlignment="1" applyProtection="1">
      <alignment vertical="center" wrapText="1"/>
      <protection hidden="1"/>
    </xf>
    <xf numFmtId="167" fontId="52" fillId="21" borderId="1" xfId="0" applyNumberFormat="1" applyFont="1" applyFill="1" applyBorder="1" applyAlignment="1" applyProtection="1">
      <alignment horizontal="right" vertical="center" wrapText="1"/>
      <protection hidden="1"/>
    </xf>
    <xf numFmtId="167" fontId="51" fillId="21" borderId="0" xfId="0" applyNumberFormat="1" applyFont="1" applyFill="1" applyProtection="1">
      <protection hidden="1"/>
    </xf>
    <xf numFmtId="167" fontId="51" fillId="21" borderId="0" xfId="0" applyNumberFormat="1" applyFont="1" applyFill="1" applyAlignment="1" applyProtection="1">
      <alignment horizontal="left" wrapText="1"/>
      <protection hidden="1"/>
    </xf>
    <xf numFmtId="3" fontId="51" fillId="21" borderId="0" xfId="0" applyNumberFormat="1" applyFont="1" applyFill="1" applyProtection="1">
      <protection hidden="1"/>
    </xf>
    <xf numFmtId="167" fontId="51" fillId="21" borderId="18" xfId="0" applyNumberFormat="1" applyFont="1" applyFill="1" applyBorder="1" applyAlignment="1" applyProtection="1">
      <alignment vertical="center" wrapText="1"/>
      <protection hidden="1"/>
    </xf>
    <xf numFmtId="0" fontId="51" fillId="21" borderId="0" xfId="0" applyFont="1" applyFill="1" applyAlignment="1" applyProtection="1">
      <alignment horizontal="left" vertical="center" wrapText="1"/>
      <protection hidden="1"/>
    </xf>
    <xf numFmtId="167" fontId="51" fillId="21" borderId="0" xfId="0" applyNumberFormat="1" applyFont="1" applyFill="1" applyAlignment="1" applyProtection="1">
      <alignment horizontal="right" vertical="center" wrapText="1"/>
      <protection hidden="1"/>
    </xf>
    <xf numFmtId="4" fontId="53" fillId="21" borderId="48" xfId="0" applyNumberFormat="1" applyFont="1" applyFill="1" applyBorder="1" applyAlignment="1" applyProtection="1">
      <alignment horizontal="center" vertical="center" wrapText="1"/>
      <protection locked="0"/>
    </xf>
    <xf numFmtId="3" fontId="53" fillId="21" borderId="48" xfId="0" applyNumberFormat="1" applyFont="1" applyFill="1" applyBorder="1" applyAlignment="1" applyProtection="1">
      <alignment horizontal="center" vertical="center" wrapText="1"/>
      <protection locked="0"/>
    </xf>
    <xf numFmtId="10" fontId="53" fillId="21" borderId="48" xfId="0" applyNumberFormat="1" applyFont="1" applyFill="1" applyBorder="1" applyAlignment="1" applyProtection="1">
      <alignment horizontal="center" vertical="center"/>
      <protection locked="0"/>
    </xf>
    <xf numFmtId="10" fontId="53" fillId="21" borderId="48" xfId="0" quotePrefix="1" applyNumberFormat="1" applyFont="1" applyFill="1" applyBorder="1" applyAlignment="1" applyProtection="1">
      <alignment horizontal="center" vertical="center"/>
      <protection locked="0"/>
    </xf>
    <xf numFmtId="0" fontId="1" fillId="30" borderId="0" xfId="0" applyFont="1" applyFill="1" applyProtection="1">
      <protection hidden="1"/>
    </xf>
    <xf numFmtId="0" fontId="1" fillId="30" borderId="0" xfId="0" applyFont="1" applyFill="1" applyAlignment="1" applyProtection="1">
      <alignment vertical="center" wrapText="1"/>
      <protection hidden="1"/>
    </xf>
    <xf numFmtId="0" fontId="2" fillId="30" borderId="0" xfId="0" applyFont="1" applyFill="1" applyProtection="1">
      <protection hidden="1"/>
    </xf>
    <xf numFmtId="0" fontId="1" fillId="31" borderId="0" xfId="0" applyFont="1" applyFill="1" applyProtection="1">
      <protection hidden="1"/>
    </xf>
    <xf numFmtId="0" fontId="1" fillId="31" borderId="0" xfId="0" applyFont="1" applyFill="1" applyAlignment="1" applyProtection="1">
      <alignment vertical="center" wrapText="1"/>
      <protection hidden="1"/>
    </xf>
    <xf numFmtId="0" fontId="2" fillId="31" borderId="0" xfId="0" applyFont="1" applyFill="1" applyProtection="1">
      <protection hidden="1"/>
    </xf>
    <xf numFmtId="167" fontId="20" fillId="26" borderId="47" xfId="0" applyNumberFormat="1" applyFont="1" applyFill="1" applyBorder="1" applyAlignment="1" applyProtection="1">
      <alignment horizontal="center" vertical="center" wrapText="1"/>
      <protection hidden="1"/>
    </xf>
    <xf numFmtId="3" fontId="19" fillId="21" borderId="0" xfId="0" applyNumberFormat="1" applyFont="1" applyFill="1" applyAlignment="1" applyProtection="1">
      <alignment horizontal="center" vertical="center" wrapText="1"/>
      <protection hidden="1"/>
    </xf>
    <xf numFmtId="0" fontId="19" fillId="21" borderId="0" xfId="0" applyFont="1" applyFill="1" applyAlignment="1" applyProtection="1">
      <alignment horizontal="center" vertical="center" wrapText="1"/>
      <protection hidden="1"/>
    </xf>
    <xf numFmtId="3" fontId="19" fillId="2" borderId="47" xfId="0" applyNumberFormat="1" applyFont="1" applyFill="1" applyBorder="1" applyAlignment="1" applyProtection="1">
      <alignment horizontal="center" vertical="center" wrapText="1"/>
      <protection locked="0" hidden="1"/>
    </xf>
    <xf numFmtId="0" fontId="46" fillId="26" borderId="47" xfId="0" applyFont="1" applyFill="1" applyBorder="1" applyAlignment="1" applyProtection="1">
      <alignment horizontal="center" vertical="center" wrapText="1"/>
      <protection hidden="1"/>
    </xf>
    <xf numFmtId="0" fontId="1" fillId="21" borderId="11" xfId="0" applyFont="1" applyFill="1" applyBorder="1" applyAlignment="1" applyProtection="1">
      <alignment horizontal="left" vertical="center" wrapText="1"/>
      <protection hidden="1"/>
    </xf>
    <xf numFmtId="0" fontId="1" fillId="21" borderId="12" xfId="0" applyFont="1" applyFill="1" applyBorder="1" applyAlignment="1" applyProtection="1">
      <alignment horizontal="left" vertical="center" wrapText="1"/>
      <protection hidden="1"/>
    </xf>
    <xf numFmtId="0" fontId="1" fillId="21" borderId="13" xfId="0" applyFont="1" applyFill="1" applyBorder="1" applyAlignment="1" applyProtection="1">
      <alignment horizontal="left" vertical="center" wrapText="1"/>
      <protection hidden="1"/>
    </xf>
    <xf numFmtId="167" fontId="11" fillId="21" borderId="11" xfId="0" applyNumberFormat="1" applyFont="1" applyFill="1" applyBorder="1" applyAlignment="1" applyProtection="1">
      <alignment horizontal="center" vertical="center" wrapText="1"/>
      <protection hidden="1"/>
    </xf>
    <xf numFmtId="0" fontId="11" fillId="21" borderId="13" xfId="0" applyFont="1" applyFill="1" applyBorder="1" applyAlignment="1" applyProtection="1">
      <alignment horizontal="center" vertical="center" wrapText="1"/>
      <protection hidden="1"/>
    </xf>
    <xf numFmtId="0" fontId="42" fillId="28" borderId="48" xfId="0" applyFont="1" applyFill="1" applyBorder="1" applyAlignment="1" applyProtection="1">
      <alignment horizontal="left" vertical="center"/>
      <protection hidden="1"/>
    </xf>
    <xf numFmtId="0" fontId="42" fillId="28" borderId="48" xfId="0" applyFont="1" applyFill="1" applyBorder="1" applyAlignment="1" applyProtection="1">
      <alignment horizontal="left" vertical="center" wrapText="1"/>
      <protection hidden="1"/>
    </xf>
    <xf numFmtId="0" fontId="54" fillId="28" borderId="48" xfId="0" applyFont="1" applyFill="1" applyBorder="1" applyAlignment="1" applyProtection="1">
      <alignment horizontal="left" vertical="center" wrapText="1"/>
      <protection hidden="1"/>
    </xf>
    <xf numFmtId="0" fontId="19" fillId="21" borderId="50" xfId="0" applyFont="1" applyFill="1" applyBorder="1" applyAlignment="1" applyProtection="1">
      <alignment horizontal="center" vertical="center"/>
      <protection locked="0"/>
    </xf>
    <xf numFmtId="0" fontId="19" fillId="21" borderId="51" xfId="0" applyFont="1" applyFill="1" applyBorder="1" applyAlignment="1" applyProtection="1">
      <alignment horizontal="center" vertical="center"/>
      <protection locked="0"/>
    </xf>
    <xf numFmtId="0" fontId="19" fillId="21" borderId="52" xfId="0" applyFont="1" applyFill="1" applyBorder="1" applyAlignment="1" applyProtection="1">
      <alignment horizontal="center" vertical="center"/>
      <protection locked="0"/>
    </xf>
    <xf numFmtId="0" fontId="42" fillId="21" borderId="53" xfId="0" applyFont="1" applyFill="1" applyBorder="1" applyAlignment="1" applyProtection="1">
      <alignment horizontal="left" vertical="center" wrapText="1"/>
      <protection hidden="1"/>
    </xf>
    <xf numFmtId="167" fontId="42" fillId="21" borderId="48" xfId="0" applyNumberFormat="1" applyFont="1" applyFill="1" applyBorder="1" applyAlignment="1" applyProtection="1">
      <alignment horizontal="center" vertical="center" wrapText="1"/>
      <protection locked="0" hidden="1"/>
    </xf>
    <xf numFmtId="3" fontId="19" fillId="2" borderId="47" xfId="0" applyNumberFormat="1" applyFont="1" applyFill="1" applyBorder="1" applyAlignment="1" applyProtection="1">
      <alignment horizontal="center" vertical="center" wrapText="1"/>
      <protection hidden="1"/>
    </xf>
    <xf numFmtId="0" fontId="54" fillId="28" borderId="48" xfId="0" applyFont="1" applyFill="1" applyBorder="1" applyAlignment="1" applyProtection="1">
      <alignment horizontal="center" vertical="center" wrapText="1"/>
      <protection hidden="1"/>
    </xf>
    <xf numFmtId="167" fontId="12" fillId="21" borderId="3" xfId="0" applyNumberFormat="1" applyFont="1" applyFill="1" applyBorder="1" applyAlignment="1" applyProtection="1">
      <alignment horizontal="right" vertical="center"/>
      <protection hidden="1"/>
    </xf>
    <xf numFmtId="167" fontId="12" fillId="21" borderId="7" xfId="0" applyNumberFormat="1" applyFont="1" applyFill="1" applyBorder="1" applyAlignment="1" applyProtection="1">
      <alignment horizontal="right" vertical="center"/>
      <protection hidden="1"/>
    </xf>
    <xf numFmtId="167" fontId="12" fillId="21" borderId="9" xfId="0" applyNumberFormat="1" applyFont="1" applyFill="1" applyBorder="1" applyAlignment="1" applyProtection="1">
      <alignment horizontal="right" vertical="center"/>
      <protection hidden="1"/>
    </xf>
    <xf numFmtId="10" fontId="11" fillId="21" borderId="11" xfId="0" applyNumberFormat="1" applyFont="1" applyFill="1" applyBorder="1" applyAlignment="1" applyProtection="1">
      <alignment horizontal="center" vertical="center" wrapText="1"/>
      <protection hidden="1"/>
    </xf>
    <xf numFmtId="10" fontId="11" fillId="21" borderId="13" xfId="0" applyNumberFormat="1" applyFont="1" applyFill="1" applyBorder="1" applyAlignment="1" applyProtection="1">
      <alignment horizontal="center" vertical="center" wrapText="1"/>
      <protection hidden="1"/>
    </xf>
    <xf numFmtId="0" fontId="11" fillId="21" borderId="0" xfId="0" applyFont="1" applyFill="1" applyAlignment="1" applyProtection="1">
      <alignment horizontal="center" vertical="center" wrapText="1"/>
      <protection hidden="1"/>
    </xf>
    <xf numFmtId="0" fontId="11" fillId="21" borderId="17" xfId="0" applyFont="1" applyFill="1" applyBorder="1" applyAlignment="1" applyProtection="1">
      <alignment horizontal="center" vertical="center" wrapText="1"/>
      <protection hidden="1"/>
    </xf>
    <xf numFmtId="0" fontId="51" fillId="21" borderId="11" xfId="0" applyFont="1" applyFill="1" applyBorder="1" applyAlignment="1" applyProtection="1">
      <alignment horizontal="left" vertical="center" wrapText="1"/>
      <protection hidden="1"/>
    </xf>
    <xf numFmtId="0" fontId="51" fillId="21" borderId="12" xfId="0" applyFont="1" applyFill="1" applyBorder="1" applyAlignment="1" applyProtection="1">
      <alignment horizontal="left" vertical="center" wrapText="1"/>
      <protection hidden="1"/>
    </xf>
    <xf numFmtId="0" fontId="51" fillId="21" borderId="13" xfId="0" applyFont="1" applyFill="1" applyBorder="1" applyAlignment="1" applyProtection="1">
      <alignment horizontal="left" vertical="center" wrapText="1"/>
      <protection hidden="1"/>
    </xf>
    <xf numFmtId="0" fontId="52" fillId="21" borderId="1" xfId="0" applyFont="1" applyFill="1" applyBorder="1" applyAlignment="1" applyProtection="1">
      <alignment horizontal="left" vertical="center" wrapText="1"/>
      <protection hidden="1"/>
    </xf>
    <xf numFmtId="0" fontId="51" fillId="21" borderId="1" xfId="0" applyFont="1" applyFill="1" applyBorder="1" applyAlignment="1" applyProtection="1">
      <alignment horizontal="left" vertical="center" wrapText="1"/>
      <protection hidden="1"/>
    </xf>
    <xf numFmtId="0" fontId="13" fillId="32" borderId="0" xfId="0" applyFont="1" applyFill="1" applyAlignment="1" applyProtection="1">
      <alignment horizontal="center" vertical="top" wrapText="1"/>
      <protection hidden="1"/>
    </xf>
    <xf numFmtId="0" fontId="14" fillId="32" borderId="0" xfId="0" applyFont="1" applyFill="1" applyAlignment="1" applyProtection="1">
      <alignment horizontal="center" vertical="top" wrapText="1"/>
      <protection hidden="1"/>
    </xf>
    <xf numFmtId="0" fontId="1" fillId="21" borderId="1" xfId="0" applyFont="1" applyFill="1" applyBorder="1" applyAlignment="1" applyProtection="1">
      <alignment horizontal="left" vertical="center" wrapText="1"/>
      <protection hidden="1"/>
    </xf>
    <xf numFmtId="0" fontId="33" fillId="21" borderId="11" xfId="0" applyFont="1" applyFill="1" applyBorder="1" applyAlignment="1" applyProtection="1">
      <alignment horizontal="left" vertical="center" wrapText="1"/>
      <protection hidden="1"/>
    </xf>
    <xf numFmtId="0" fontId="33" fillId="21" borderId="12" xfId="0" applyFont="1" applyFill="1" applyBorder="1" applyAlignment="1" applyProtection="1">
      <alignment horizontal="left" vertical="center" wrapText="1"/>
      <protection hidden="1"/>
    </xf>
    <xf numFmtId="0" fontId="33" fillId="21" borderId="13" xfId="0" applyFont="1" applyFill="1" applyBorder="1" applyAlignment="1" applyProtection="1">
      <alignment horizontal="left" vertical="center" wrapText="1"/>
      <protection hidden="1"/>
    </xf>
    <xf numFmtId="0" fontId="12" fillId="21" borderId="1" xfId="0" applyFont="1" applyFill="1" applyBorder="1" applyAlignment="1" applyProtection="1">
      <alignment horizontal="left" vertical="center" wrapText="1"/>
      <protection hidden="1"/>
    </xf>
    <xf numFmtId="0" fontId="19" fillId="2" borderId="11" xfId="0" applyFont="1" applyFill="1" applyBorder="1" applyAlignment="1" applyProtection="1">
      <alignment horizontal="left" vertical="center" wrapText="1"/>
      <protection hidden="1"/>
    </xf>
    <xf numFmtId="0" fontId="19" fillId="2" borderId="12" xfId="0" applyFont="1" applyFill="1" applyBorder="1" applyAlignment="1" applyProtection="1">
      <alignment horizontal="left" vertical="center" wrapText="1"/>
      <protection hidden="1"/>
    </xf>
    <xf numFmtId="0" fontId="19" fillId="2" borderId="13" xfId="0" applyFont="1" applyFill="1" applyBorder="1" applyAlignment="1" applyProtection="1">
      <alignment horizontal="left" vertical="center" wrapText="1"/>
      <protection hidden="1"/>
    </xf>
    <xf numFmtId="0" fontId="11" fillId="21" borderId="1" xfId="0" applyFont="1" applyFill="1" applyBorder="1" applyAlignment="1" applyProtection="1">
      <alignment horizontal="left"/>
      <protection hidden="1"/>
    </xf>
    <xf numFmtId="0" fontId="42" fillId="29" borderId="49" xfId="0" applyFont="1" applyFill="1" applyBorder="1" applyAlignment="1" applyProtection="1">
      <alignment horizontal="left" vertical="center" wrapText="1"/>
      <protection hidden="1"/>
    </xf>
    <xf numFmtId="0" fontId="55" fillId="26" borderId="54" xfId="0" applyFont="1" applyFill="1" applyBorder="1" applyAlignment="1" applyProtection="1">
      <alignment horizontal="center" vertical="center" wrapText="1"/>
      <protection hidden="1"/>
    </xf>
    <xf numFmtId="0" fontId="55" fillId="26" borderId="0" xfId="0" applyFont="1" applyFill="1" applyAlignment="1" applyProtection="1">
      <alignment horizontal="center" vertical="center" wrapText="1"/>
      <protection hidden="1"/>
    </xf>
    <xf numFmtId="0" fontId="55" fillId="26" borderId="55" xfId="0" applyFont="1" applyFill="1" applyBorder="1" applyAlignment="1" applyProtection="1">
      <alignment horizontal="center" vertical="center" wrapText="1"/>
      <protection hidden="1"/>
    </xf>
    <xf numFmtId="0" fontId="56" fillId="27" borderId="49" xfId="0" applyFont="1" applyFill="1" applyBorder="1" applyAlignment="1" applyProtection="1">
      <alignment horizontal="left" vertical="center" wrapText="1"/>
      <protection hidden="1"/>
    </xf>
    <xf numFmtId="0" fontId="56" fillId="30" borderId="49" xfId="0" applyFont="1" applyFill="1" applyBorder="1" applyAlignment="1" applyProtection="1">
      <alignment horizontal="left" vertical="center" wrapText="1"/>
      <protection hidden="1"/>
    </xf>
    <xf numFmtId="0" fontId="57" fillId="20" borderId="49" xfId="0" applyFont="1" applyFill="1" applyBorder="1" applyAlignment="1" applyProtection="1">
      <alignment horizontal="left" vertical="center" wrapText="1"/>
      <protection hidden="1"/>
    </xf>
    <xf numFmtId="0" fontId="33" fillId="21" borderId="0" xfId="0" applyFont="1" applyFill="1" applyAlignment="1" applyProtection="1">
      <alignment horizontal="left" vertical="center" wrapText="1"/>
      <protection hidden="1"/>
    </xf>
    <xf numFmtId="0" fontId="1" fillId="21" borderId="0" xfId="0" applyFont="1" applyFill="1" applyAlignment="1" applyProtection="1">
      <alignment horizontal="center" vertical="center" wrapText="1"/>
      <protection hidden="1"/>
    </xf>
    <xf numFmtId="167" fontId="24" fillId="2" borderId="54" xfId="0" applyNumberFormat="1" applyFont="1" applyFill="1" applyBorder="1" applyAlignment="1" applyProtection="1">
      <alignment horizontal="center" vertical="center"/>
      <protection hidden="1"/>
    </xf>
    <xf numFmtId="167" fontId="24" fillId="2" borderId="0" xfId="0" applyNumberFormat="1" applyFont="1" applyFill="1" applyAlignment="1" applyProtection="1">
      <alignment horizontal="center" vertical="center"/>
      <protection hidden="1"/>
    </xf>
    <xf numFmtId="167" fontId="24" fillId="2" borderId="55" xfId="0" applyNumberFormat="1" applyFont="1" applyFill="1" applyBorder="1" applyAlignment="1" applyProtection="1">
      <alignment horizontal="center" vertical="center"/>
      <protection hidden="1"/>
    </xf>
    <xf numFmtId="167" fontId="24" fillId="2" borderId="56" xfId="0" applyNumberFormat="1" applyFont="1" applyFill="1" applyBorder="1" applyAlignment="1" applyProtection="1">
      <alignment horizontal="center" vertical="center"/>
      <protection hidden="1"/>
    </xf>
    <xf numFmtId="167" fontId="24" fillId="2" borderId="57" xfId="0" applyNumberFormat="1" applyFont="1" applyFill="1" applyBorder="1" applyAlignment="1" applyProtection="1">
      <alignment horizontal="center" vertical="center"/>
      <protection hidden="1"/>
    </xf>
    <xf numFmtId="167" fontId="24" fillId="2" borderId="58" xfId="0" applyNumberFormat="1" applyFont="1" applyFill="1" applyBorder="1" applyAlignment="1" applyProtection="1">
      <alignment horizontal="center" vertical="center"/>
      <protection hidden="1"/>
    </xf>
    <xf numFmtId="0" fontId="21" fillId="26" borderId="59" xfId="0" applyFont="1" applyFill="1" applyBorder="1" applyAlignment="1" applyProtection="1">
      <alignment horizontal="center" wrapText="1"/>
      <protection hidden="1"/>
    </xf>
    <xf numFmtId="0" fontId="21" fillId="26" borderId="60" xfId="0" applyFont="1" applyFill="1" applyBorder="1" applyAlignment="1" applyProtection="1">
      <alignment horizontal="center" wrapText="1"/>
      <protection hidden="1"/>
    </xf>
    <xf numFmtId="0" fontId="21" fillId="26" borderId="61" xfId="0" applyFont="1" applyFill="1" applyBorder="1" applyAlignment="1" applyProtection="1">
      <alignment horizontal="center" wrapText="1"/>
      <protection hidden="1"/>
    </xf>
    <xf numFmtId="0" fontId="1" fillId="2" borderId="1" xfId="0" applyFont="1" applyFill="1" applyBorder="1" applyAlignment="1" applyProtection="1">
      <alignment horizontal="center"/>
      <protection hidden="1"/>
    </xf>
    <xf numFmtId="164" fontId="57" fillId="20" borderId="63" xfId="1" applyFont="1" applyFill="1" applyBorder="1" applyAlignment="1" applyProtection="1">
      <alignment horizontal="center" vertical="center" wrapText="1"/>
      <protection locked="0"/>
    </xf>
    <xf numFmtId="164" fontId="57" fillId="20" borderId="64" xfId="1" applyFont="1" applyFill="1" applyBorder="1" applyAlignment="1" applyProtection="1">
      <alignment horizontal="center" vertical="center" wrapText="1"/>
      <protection locked="0"/>
    </xf>
    <xf numFmtId="164" fontId="57" fillId="20" borderId="65" xfId="1" applyFont="1" applyFill="1" applyBorder="1" applyAlignment="1" applyProtection="1">
      <alignment horizontal="center" vertical="center" wrapText="1"/>
      <protection locked="0"/>
    </xf>
    <xf numFmtId="0" fontId="46" fillId="26" borderId="47" xfId="0" applyFont="1" applyFill="1" applyBorder="1" applyAlignment="1" applyProtection="1">
      <alignment horizontal="left" vertical="center"/>
      <protection hidden="1"/>
    </xf>
    <xf numFmtId="0" fontId="21" fillId="21" borderId="0" xfId="0" applyFont="1" applyFill="1" applyAlignment="1" applyProtection="1">
      <alignment horizontal="center" vertical="center"/>
      <protection hidden="1"/>
    </xf>
    <xf numFmtId="0" fontId="21" fillId="21" borderId="62" xfId="0" applyFont="1" applyFill="1" applyBorder="1" applyAlignment="1" applyProtection="1">
      <alignment horizontal="center" vertical="center"/>
      <protection hidden="1"/>
    </xf>
    <xf numFmtId="0" fontId="21" fillId="21" borderId="25" xfId="0" applyFont="1" applyFill="1" applyBorder="1" applyAlignment="1" applyProtection="1">
      <alignment horizontal="center" vertical="center"/>
      <protection hidden="1"/>
    </xf>
    <xf numFmtId="0" fontId="42" fillId="28" borderId="48" xfId="0" applyFont="1" applyFill="1" applyBorder="1" applyAlignment="1" applyProtection="1">
      <alignment horizontal="center" vertical="center" wrapText="1"/>
      <protection hidden="1"/>
    </xf>
    <xf numFmtId="0" fontId="19" fillId="21" borderId="1" xfId="0" applyFont="1" applyFill="1" applyBorder="1" applyAlignment="1" applyProtection="1">
      <alignment horizontal="center" vertical="center" wrapText="1"/>
      <protection hidden="1"/>
    </xf>
    <xf numFmtId="0" fontId="58" fillId="21" borderId="0" xfId="0" applyFont="1" applyFill="1" applyAlignment="1" applyProtection="1">
      <alignment horizontal="center" vertical="center" wrapText="1"/>
      <protection hidden="1"/>
    </xf>
    <xf numFmtId="0" fontId="1" fillId="2" borderId="1" xfId="0" applyFont="1" applyFill="1" applyBorder="1" applyAlignment="1" applyProtection="1">
      <alignment horizontal="center" vertical="center"/>
      <protection locked="0" hidden="1"/>
    </xf>
    <xf numFmtId="0" fontId="46" fillId="26" borderId="47" xfId="0" applyFont="1" applyFill="1" applyBorder="1" applyAlignment="1" applyProtection="1">
      <alignment horizontal="center" wrapText="1"/>
      <protection hidden="1"/>
    </xf>
    <xf numFmtId="0" fontId="42" fillId="21" borderId="48" xfId="0" applyFont="1" applyFill="1" applyBorder="1" applyAlignment="1" applyProtection="1">
      <alignment horizontal="center" vertical="center"/>
      <protection locked="0"/>
    </xf>
    <xf numFmtId="0" fontId="42" fillId="21" borderId="48" xfId="0" applyFont="1" applyFill="1" applyBorder="1" applyAlignment="1" applyProtection="1">
      <alignment horizontal="center" vertical="center" wrapText="1"/>
      <protection locked="0" hidden="1"/>
    </xf>
    <xf numFmtId="167" fontId="42" fillId="20" borderId="48" xfId="0" applyNumberFormat="1" applyFont="1" applyFill="1" applyBorder="1" applyAlignment="1" applyProtection="1">
      <alignment horizontal="center" vertical="center" wrapText="1"/>
      <protection locked="0" hidden="1"/>
    </xf>
    <xf numFmtId="167" fontId="42" fillId="25" borderId="48" xfId="0" applyNumberFormat="1" applyFont="1" applyFill="1" applyBorder="1" applyAlignment="1" applyProtection="1">
      <alignment horizontal="center" vertical="center" wrapText="1"/>
      <protection hidden="1"/>
    </xf>
    <xf numFmtId="0" fontId="11" fillId="2" borderId="1" xfId="0" applyFont="1" applyFill="1" applyBorder="1" applyAlignment="1" applyProtection="1">
      <alignment horizontal="left" vertical="center" wrapText="1"/>
      <protection hidden="1"/>
    </xf>
    <xf numFmtId="0" fontId="20" fillId="21" borderId="0" xfId="0" applyFont="1" applyFill="1" applyAlignment="1" applyProtection="1">
      <alignment horizontal="left" vertical="center" wrapText="1"/>
      <protection hidden="1"/>
    </xf>
    <xf numFmtId="167" fontId="19" fillId="21" borderId="0" xfId="0" applyNumberFormat="1" applyFont="1" applyFill="1" applyAlignment="1" applyProtection="1">
      <alignment horizontal="center" vertical="center" wrapText="1"/>
      <protection hidden="1"/>
    </xf>
    <xf numFmtId="167" fontId="42" fillId="21" borderId="48" xfId="0" applyNumberFormat="1" applyFont="1" applyFill="1" applyBorder="1" applyAlignment="1" applyProtection="1">
      <alignment horizontal="center" vertical="center" wrapText="1"/>
      <protection locked="0"/>
    </xf>
    <xf numFmtId="167" fontId="27" fillId="2" borderId="1" xfId="0" applyNumberFormat="1" applyFont="1" applyFill="1" applyBorder="1" applyAlignment="1" applyProtection="1">
      <alignment horizontal="center" vertical="center" wrapText="1"/>
      <protection locked="0" hidden="1"/>
    </xf>
    <xf numFmtId="0" fontId="29" fillId="3" borderId="18" xfId="0" applyFont="1" applyFill="1" applyBorder="1" applyAlignment="1" applyProtection="1">
      <alignment horizontal="center" vertical="center" wrapText="1"/>
      <protection hidden="1"/>
    </xf>
    <xf numFmtId="0" fontId="29" fillId="3" borderId="66" xfId="0" applyFont="1" applyFill="1" applyBorder="1" applyAlignment="1" applyProtection="1">
      <alignment horizontal="center" vertical="center" wrapText="1"/>
      <protection hidden="1"/>
    </xf>
    <xf numFmtId="0" fontId="29" fillId="3" borderId="62" xfId="0" applyFont="1" applyFill="1" applyBorder="1" applyAlignment="1" applyProtection="1">
      <alignment horizontal="center" vertical="center" wrapText="1"/>
      <protection hidden="1"/>
    </xf>
    <xf numFmtId="0" fontId="29" fillId="3" borderId="67" xfId="0" applyFont="1" applyFill="1" applyBorder="1" applyAlignment="1" applyProtection="1">
      <alignment horizontal="center" vertical="center" wrapText="1"/>
      <protection hidden="1"/>
    </xf>
    <xf numFmtId="0" fontId="29" fillId="3" borderId="68" xfId="0" applyFont="1" applyFill="1" applyBorder="1" applyAlignment="1" applyProtection="1">
      <alignment horizontal="center" vertical="center" wrapText="1"/>
      <protection hidden="1"/>
    </xf>
    <xf numFmtId="0" fontId="28" fillId="2" borderId="1" xfId="0" applyFont="1" applyFill="1" applyBorder="1" applyAlignment="1" applyProtection="1">
      <alignment horizontal="left" vertical="center" wrapText="1"/>
      <protection hidden="1"/>
    </xf>
    <xf numFmtId="0" fontId="27" fillId="2" borderId="1" xfId="0" applyFont="1" applyFill="1" applyBorder="1" applyAlignment="1" applyProtection="1">
      <alignment horizontal="center" vertical="center"/>
      <protection locked="0" hidden="1"/>
    </xf>
    <xf numFmtId="0" fontId="28" fillId="2" borderId="0" xfId="0" applyFont="1" applyFill="1" applyAlignment="1" applyProtection="1">
      <alignment horizontal="left" vertical="center" wrapText="1"/>
      <protection hidden="1"/>
    </xf>
    <xf numFmtId="167" fontId="27" fillId="2" borderId="0" xfId="0" applyNumberFormat="1" applyFont="1" applyFill="1" applyAlignment="1" applyProtection="1">
      <alignment horizontal="center" vertical="center" wrapText="1"/>
      <protection hidden="1"/>
    </xf>
    <xf numFmtId="0" fontId="31" fillId="2" borderId="0" xfId="0" applyFont="1" applyFill="1" applyAlignment="1" applyProtection="1">
      <alignment horizontal="center" vertical="center"/>
      <protection hidden="1"/>
    </xf>
    <xf numFmtId="0" fontId="31" fillId="33" borderId="69" xfId="0" applyFont="1" applyFill="1" applyBorder="1" applyAlignment="1" applyProtection="1">
      <alignment horizontal="center" vertical="center"/>
      <protection hidden="1"/>
    </xf>
    <xf numFmtId="0" fontId="31" fillId="33" borderId="18" xfId="0" applyFont="1" applyFill="1" applyBorder="1" applyAlignment="1" applyProtection="1">
      <alignment horizontal="center" vertical="center"/>
      <protection hidden="1"/>
    </xf>
    <xf numFmtId="0" fontId="27" fillId="2" borderId="1" xfId="0" applyFont="1" applyFill="1" applyBorder="1" applyAlignment="1" applyProtection="1">
      <alignment horizontal="center"/>
      <protection hidden="1"/>
    </xf>
    <xf numFmtId="0" fontId="27" fillId="2" borderId="1" xfId="0" applyFont="1" applyFill="1" applyBorder="1" applyAlignment="1" applyProtection="1">
      <alignment horizontal="center" vertical="center" wrapText="1"/>
      <protection locked="0" hidden="1"/>
    </xf>
    <xf numFmtId="0" fontId="28" fillId="2" borderId="2" xfId="0" applyFont="1" applyFill="1" applyBorder="1" applyAlignment="1" applyProtection="1">
      <alignment horizontal="left" vertical="center" wrapText="1"/>
      <protection hidden="1"/>
    </xf>
    <xf numFmtId="0" fontId="28" fillId="2" borderId="16" xfId="0" applyFont="1" applyFill="1" applyBorder="1" applyAlignment="1" applyProtection="1">
      <alignment horizontal="left" vertical="center" wrapText="1"/>
      <protection hidden="1"/>
    </xf>
    <xf numFmtId="0" fontId="28" fillId="2" borderId="5" xfId="0" applyFont="1" applyFill="1" applyBorder="1" applyAlignment="1" applyProtection="1">
      <alignment horizontal="left" vertical="center" wrapText="1"/>
      <protection hidden="1"/>
    </xf>
    <xf numFmtId="0" fontId="28" fillId="2" borderId="8" xfId="0" applyFont="1" applyFill="1" applyBorder="1" applyAlignment="1" applyProtection="1">
      <alignment horizontal="left" vertical="center" wrapText="1"/>
      <protection hidden="1"/>
    </xf>
    <xf numFmtId="0" fontId="28" fillId="2" borderId="14" xfId="0" applyFont="1" applyFill="1" applyBorder="1" applyAlignment="1" applyProtection="1">
      <alignment horizontal="left" vertical="center" wrapText="1"/>
      <protection hidden="1"/>
    </xf>
    <xf numFmtId="0" fontId="28" fillId="2" borderId="15" xfId="0" applyFont="1" applyFill="1" applyBorder="1" applyAlignment="1" applyProtection="1">
      <alignment horizontal="left" vertical="center" wrapText="1"/>
      <protection hidden="1"/>
    </xf>
    <xf numFmtId="3" fontId="27" fillId="2" borderId="70" xfId="0" applyNumberFormat="1" applyFont="1" applyFill="1" applyBorder="1" applyAlignment="1" applyProtection="1">
      <alignment horizontal="center" vertical="center" wrapText="1"/>
      <protection locked="0" hidden="1"/>
    </xf>
    <xf numFmtId="3" fontId="27" fillId="2" borderId="69" xfId="0" applyNumberFormat="1" applyFont="1" applyFill="1" applyBorder="1" applyAlignment="1" applyProtection="1">
      <alignment horizontal="center" vertical="center" wrapText="1"/>
      <protection locked="0" hidden="1"/>
    </xf>
    <xf numFmtId="3" fontId="27" fillId="2" borderId="70" xfId="0" applyNumberFormat="1" applyFont="1" applyFill="1" applyBorder="1" applyAlignment="1" applyProtection="1">
      <alignment horizontal="center" vertical="center" wrapText="1"/>
      <protection hidden="1"/>
    </xf>
    <xf numFmtId="3" fontId="27" fillId="2" borderId="69" xfId="0" applyNumberFormat="1" applyFont="1" applyFill="1" applyBorder="1" applyAlignment="1" applyProtection="1">
      <alignment horizontal="center" vertical="center" wrapText="1"/>
      <protection hidden="1"/>
    </xf>
    <xf numFmtId="0" fontId="29" fillId="3" borderId="25" xfId="0" applyFont="1" applyFill="1" applyBorder="1" applyAlignment="1" applyProtection="1">
      <alignment horizontal="left" vertical="center"/>
      <protection hidden="1"/>
    </xf>
    <xf numFmtId="0" fontId="29" fillId="3" borderId="71" xfId="0" applyFont="1" applyFill="1" applyBorder="1" applyAlignment="1" applyProtection="1">
      <alignment horizontal="left" vertical="center"/>
      <protection hidden="1"/>
    </xf>
    <xf numFmtId="167" fontId="28" fillId="2" borderId="70" xfId="0" applyNumberFormat="1" applyFont="1" applyFill="1" applyBorder="1" applyAlignment="1" applyProtection="1">
      <alignment horizontal="center" vertical="center" wrapText="1"/>
      <protection hidden="1"/>
    </xf>
    <xf numFmtId="167" fontId="28" fillId="2" borderId="69" xfId="0" applyNumberFormat="1" applyFont="1" applyFill="1" applyBorder="1" applyAlignment="1" applyProtection="1">
      <alignment horizontal="center" vertical="center" wrapText="1"/>
      <protection hidden="1"/>
    </xf>
    <xf numFmtId="0" fontId="30" fillId="2" borderId="11" xfId="0" applyFont="1" applyFill="1" applyBorder="1" applyAlignment="1" applyProtection="1">
      <alignment horizontal="left" vertical="center" wrapText="1"/>
      <protection hidden="1"/>
    </xf>
    <xf numFmtId="0" fontId="30" fillId="2" borderId="12" xfId="0" applyFont="1" applyFill="1" applyBorder="1" applyAlignment="1" applyProtection="1">
      <alignment horizontal="left" vertical="center" wrapText="1"/>
      <protection hidden="1"/>
    </xf>
    <xf numFmtId="0" fontId="30" fillId="2" borderId="13" xfId="0" applyFont="1" applyFill="1" applyBorder="1" applyAlignment="1" applyProtection="1">
      <alignment horizontal="left" vertical="center" wrapText="1"/>
      <protection hidden="1"/>
    </xf>
    <xf numFmtId="0" fontId="28" fillId="2" borderId="1" xfId="0" applyFont="1" applyFill="1" applyBorder="1" applyAlignment="1" applyProtection="1">
      <alignment horizontal="left"/>
      <protection hidden="1"/>
    </xf>
    <xf numFmtId="0" fontId="27" fillId="2" borderId="11" xfId="0" applyFont="1" applyFill="1" applyBorder="1" applyAlignment="1" applyProtection="1">
      <alignment horizontal="left" vertical="center" wrapText="1"/>
      <protection hidden="1"/>
    </xf>
    <xf numFmtId="0" fontId="27" fillId="2" borderId="12" xfId="0" applyFont="1" applyFill="1" applyBorder="1" applyAlignment="1" applyProtection="1">
      <alignment horizontal="left" vertical="center" wrapText="1"/>
      <protection hidden="1"/>
    </xf>
    <xf numFmtId="0" fontId="27" fillId="2" borderId="13" xfId="0" applyFont="1" applyFill="1" applyBorder="1" applyAlignment="1" applyProtection="1">
      <alignment horizontal="left" vertical="center" wrapText="1"/>
      <protection hidden="1"/>
    </xf>
    <xf numFmtId="0" fontId="33" fillId="9" borderId="11" xfId="0" applyFont="1" applyFill="1" applyBorder="1" applyAlignment="1" applyProtection="1">
      <alignment horizontal="left" vertical="center" wrapText="1"/>
      <protection hidden="1"/>
    </xf>
    <xf numFmtId="0" fontId="33" fillId="9" borderId="12" xfId="0" applyFont="1" applyFill="1" applyBorder="1" applyAlignment="1" applyProtection="1">
      <alignment horizontal="left" vertical="center" wrapText="1"/>
      <protection hidden="1"/>
    </xf>
    <xf numFmtId="0" fontId="33" fillId="9" borderId="13" xfId="0" applyFont="1" applyFill="1" applyBorder="1" applyAlignment="1" applyProtection="1">
      <alignment horizontal="left" vertical="center" wrapText="1"/>
      <protection hidden="1"/>
    </xf>
    <xf numFmtId="0" fontId="29" fillId="5" borderId="11" xfId="0" applyFont="1" applyFill="1" applyBorder="1" applyAlignment="1" applyProtection="1">
      <alignment horizontal="left" vertical="center" wrapText="1"/>
      <protection hidden="1"/>
    </xf>
    <xf numFmtId="0" fontId="29" fillId="5" borderId="12" xfId="0" applyFont="1" applyFill="1" applyBorder="1" applyAlignment="1" applyProtection="1">
      <alignment horizontal="left" vertical="center" wrapText="1"/>
      <protection hidden="1"/>
    </xf>
    <xf numFmtId="0" fontId="29" fillId="5" borderId="13" xfId="0" applyFont="1" applyFill="1" applyBorder="1" applyAlignment="1" applyProtection="1">
      <alignment horizontal="left" vertical="center" wrapText="1"/>
      <protection hidden="1"/>
    </xf>
    <xf numFmtId="3" fontId="27" fillId="2" borderId="72" xfId="0" applyNumberFormat="1" applyFont="1" applyFill="1" applyBorder="1" applyAlignment="1" applyProtection="1">
      <alignment horizontal="center" vertical="center" wrapText="1"/>
      <protection hidden="1"/>
    </xf>
    <xf numFmtId="0" fontId="27" fillId="2" borderId="72" xfId="0" applyFont="1" applyFill="1" applyBorder="1" applyAlignment="1" applyProtection="1">
      <alignment horizontal="center" vertical="center" wrapText="1"/>
      <protection hidden="1"/>
    </xf>
    <xf numFmtId="0" fontId="30" fillId="2" borderId="0" xfId="0" applyFont="1" applyFill="1" applyAlignment="1" applyProtection="1">
      <alignment horizontal="left" vertical="center" wrapText="1"/>
      <protection hidden="1"/>
    </xf>
    <xf numFmtId="0" fontId="52" fillId="34" borderId="2" xfId="0" applyFont="1" applyFill="1" applyBorder="1" applyAlignment="1" applyProtection="1">
      <alignment horizontal="center" vertical="center" wrapText="1"/>
      <protection hidden="1"/>
    </xf>
    <xf numFmtId="0" fontId="52" fillId="34" borderId="16" xfId="0" applyFont="1" applyFill="1" applyBorder="1" applyAlignment="1" applyProtection="1">
      <alignment horizontal="center" vertical="center" wrapText="1"/>
      <protection hidden="1"/>
    </xf>
    <xf numFmtId="0" fontId="52" fillId="34" borderId="6" xfId="0" applyFont="1" applyFill="1" applyBorder="1" applyAlignment="1" applyProtection="1">
      <alignment horizontal="center" vertical="center" wrapText="1"/>
      <protection hidden="1"/>
    </xf>
    <xf numFmtId="0" fontId="52" fillId="34" borderId="0" xfId="0" applyFont="1" applyFill="1" applyAlignment="1" applyProtection="1">
      <alignment horizontal="center" vertical="center" wrapText="1"/>
      <protection hidden="1"/>
    </xf>
    <xf numFmtId="0" fontId="52" fillId="34" borderId="8" xfId="0" applyFont="1" applyFill="1" applyBorder="1" applyAlignment="1" applyProtection="1">
      <alignment horizontal="center" vertical="center" wrapText="1"/>
      <protection hidden="1"/>
    </xf>
    <xf numFmtId="0" fontId="52" fillId="34" borderId="14" xfId="0" applyFont="1" applyFill="1" applyBorder="1" applyAlignment="1" applyProtection="1">
      <alignment horizontal="center" vertical="center" wrapText="1"/>
      <protection hidden="1"/>
    </xf>
    <xf numFmtId="0" fontId="5" fillId="3" borderId="1" xfId="0" applyFont="1" applyFill="1" applyBorder="1" applyAlignment="1" applyProtection="1">
      <alignment horizontal="left" vertical="center" wrapText="1"/>
      <protection hidden="1"/>
    </xf>
    <xf numFmtId="0" fontId="4" fillId="3" borderId="1" xfId="0" applyFont="1" applyFill="1" applyBorder="1" applyAlignment="1" applyProtection="1">
      <alignment horizontal="left" vertical="center" wrapText="1"/>
      <protection hidden="1"/>
    </xf>
    <xf numFmtId="0" fontId="29" fillId="2" borderId="0" xfId="0" applyFont="1" applyFill="1" applyAlignment="1" applyProtection="1">
      <alignment horizontal="left" vertical="center" wrapText="1"/>
      <protection hidden="1"/>
    </xf>
    <xf numFmtId="167" fontId="29" fillId="2" borderId="11" xfId="0" applyNumberFormat="1" applyFont="1" applyFill="1" applyBorder="1" applyAlignment="1" applyProtection="1">
      <alignment horizontal="center" vertical="center" wrapText="1"/>
      <protection hidden="1"/>
    </xf>
    <xf numFmtId="0" fontId="29" fillId="2" borderId="13" xfId="0" applyFont="1" applyFill="1" applyBorder="1" applyAlignment="1" applyProtection="1">
      <alignment horizontal="center" vertical="center" wrapText="1"/>
      <protection hidden="1"/>
    </xf>
    <xf numFmtId="0" fontId="60" fillId="35" borderId="0" xfId="0" applyFont="1" applyFill="1" applyAlignment="1" applyProtection="1">
      <alignment horizontal="center" vertical="top" wrapText="1"/>
      <protection hidden="1"/>
    </xf>
    <xf numFmtId="0" fontId="61" fillId="35" borderId="0" xfId="0" applyFont="1" applyFill="1" applyAlignment="1" applyProtection="1">
      <alignment horizontal="center" vertical="top" wrapText="1"/>
      <protection hidden="1"/>
    </xf>
    <xf numFmtId="167" fontId="59" fillId="2" borderId="3" xfId="0" applyNumberFormat="1" applyFont="1" applyFill="1" applyBorder="1" applyAlignment="1" applyProtection="1">
      <alignment horizontal="right" vertical="center"/>
      <protection hidden="1"/>
    </xf>
    <xf numFmtId="167" fontId="59" fillId="2" borderId="7" xfId="0" applyNumberFormat="1" applyFont="1" applyFill="1" applyBorder="1" applyAlignment="1" applyProtection="1">
      <alignment horizontal="right" vertical="center"/>
      <protection hidden="1"/>
    </xf>
    <xf numFmtId="167" fontId="59" fillId="2" borderId="9" xfId="0" applyNumberFormat="1" applyFont="1" applyFill="1" applyBorder="1" applyAlignment="1" applyProtection="1">
      <alignment horizontal="right" vertical="center"/>
      <protection hidden="1"/>
    </xf>
    <xf numFmtId="10" fontId="29" fillId="2" borderId="11" xfId="0" applyNumberFormat="1" applyFont="1" applyFill="1" applyBorder="1" applyAlignment="1" applyProtection="1">
      <alignment horizontal="center" vertical="center" wrapText="1"/>
      <protection hidden="1"/>
    </xf>
    <xf numFmtId="10" fontId="29" fillId="2" borderId="13" xfId="0" applyNumberFormat="1" applyFont="1" applyFill="1" applyBorder="1" applyAlignment="1" applyProtection="1">
      <alignment horizontal="center" vertical="center" wrapText="1"/>
      <protection hidden="1"/>
    </xf>
    <xf numFmtId="0" fontId="30" fillId="2" borderId="1" xfId="0" applyFont="1" applyFill="1" applyBorder="1" applyAlignment="1" applyProtection="1">
      <alignment horizontal="left" vertical="center" wrapText="1"/>
      <protection hidden="1"/>
    </xf>
  </cellXfs>
  <cellStyles count="5">
    <cellStyle name="Millares [0]" xfId="1" builtinId="6"/>
    <cellStyle name="Moneda" xfId="2" builtinId="4"/>
    <cellStyle name="Normal" xfId="0" builtinId="0"/>
    <cellStyle name="Normal 2" xfId="3" xr:uid="{D241D602-5E15-49B7-BDCA-6BA066BB0E07}"/>
    <cellStyle name="Porcentaje" xfId="4" builtinId="5"/>
  </cellStyles>
  <dxfs count="3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14996795556505021"/>
      </font>
    </dxf>
    <dxf>
      <font>
        <color theme="0"/>
      </font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21" fmlaLink="$AJ$42" fmlaRange="$AJ$40:$AJ$41" noThreeD="1" sel="2" val="0"/>
</file>

<file path=xl/ctrlProps/ctrlProp2.xml><?xml version="1.0" encoding="utf-8"?>
<formControlPr xmlns="http://schemas.microsoft.com/office/spreadsheetml/2009/9/main" objectType="Drop" dropStyle="combo" dx="21" fmlaLink="$AK$42" fmlaRange="$AJ$40:$AJ$41" noThreeD="1" sel="1" val="0"/>
</file>

<file path=xl/ctrlProps/ctrlProp3.xml><?xml version="1.0" encoding="utf-8"?>
<formControlPr xmlns="http://schemas.microsoft.com/office/spreadsheetml/2009/9/main" objectType="Drop" dropStyle="combo" dx="21" fmlaLink="$T$45" fmlaRange="$T$46:$T$48" sel="2" val="0"/>
</file>

<file path=xl/ctrlProps/ctrlProp4.xml><?xml version="1.0" encoding="utf-8"?>
<formControlPr xmlns="http://schemas.microsoft.com/office/spreadsheetml/2009/9/main" objectType="Drop" dropStyle="combo" dx="21" fmlaLink="$AG$41" fmlaRange="$AG$39:$AG$40" noThreeD="1" sel="2" val="0"/>
</file>

<file path=xl/ctrlProps/ctrlProp5.xml><?xml version="1.0" encoding="utf-8"?>
<formControlPr xmlns="http://schemas.microsoft.com/office/spreadsheetml/2009/9/main" objectType="Drop" dropStyle="combo" dx="21" fmlaLink="$AH$41" fmlaRange="$AG$39:$AG$40" noThreeD="1" sel="2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53686</xdr:colOff>
      <xdr:row>6</xdr:row>
      <xdr:rowOff>190500</xdr:rowOff>
    </xdr:from>
    <xdr:ext cx="739741" cy="170688"/>
    <xdr:sp macro="" textlink="">
      <xdr:nvSpPr>
        <xdr:cNvPr id="11" name="10 CuadroTexto">
          <a:extLst>
            <a:ext uri="{FF2B5EF4-FFF2-40B4-BE49-F238E27FC236}">
              <a16:creationId xmlns:a16="http://schemas.microsoft.com/office/drawing/2014/main" id="{C0AD27E7-6F7B-3F99-BD51-6941171CEA87}"/>
            </a:ext>
          </a:extLst>
        </xdr:cNvPr>
        <xdr:cNvSpPr txBox="1"/>
      </xdr:nvSpPr>
      <xdr:spPr>
        <a:xfrm>
          <a:off x="9457459" y="1321955"/>
          <a:ext cx="739741" cy="1706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>
            <a:lnSpc>
              <a:spcPts val="600"/>
            </a:lnSpc>
          </a:pPr>
          <a:r>
            <a:rPr lang="es-ES" sz="600">
              <a:solidFill>
                <a:schemeClr val="tx2">
                  <a:lumMod val="40000"/>
                  <a:lumOff val="60000"/>
                </a:schemeClr>
              </a:solidFill>
            </a:rPr>
            <a:t>jsep2025</a:t>
          </a:r>
        </a:p>
      </xdr:txBody>
    </xdr:sp>
    <xdr:clientData/>
  </xdr:oneCellAnchor>
  <xdr:oneCellAnchor>
    <xdr:from>
      <xdr:col>4</xdr:col>
      <xdr:colOff>53987</xdr:colOff>
      <xdr:row>2</xdr:row>
      <xdr:rowOff>111125</xdr:rowOff>
    </xdr:from>
    <xdr:ext cx="4052296" cy="351124"/>
    <xdr:sp macro="" textlink="">
      <xdr:nvSpPr>
        <xdr:cNvPr id="12" name="11 CuadroTexto">
          <a:extLst>
            <a:ext uri="{FF2B5EF4-FFF2-40B4-BE49-F238E27FC236}">
              <a16:creationId xmlns:a16="http://schemas.microsoft.com/office/drawing/2014/main" id="{63E22E8E-9B30-8ED7-4B73-83A3743BC41B}"/>
            </a:ext>
          </a:extLst>
        </xdr:cNvPr>
        <xdr:cNvSpPr txBox="1"/>
      </xdr:nvSpPr>
      <xdr:spPr>
        <a:xfrm>
          <a:off x="1012837" y="561975"/>
          <a:ext cx="3755818" cy="4095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l">
            <a:lnSpc>
              <a:spcPts val="2200"/>
            </a:lnSpc>
          </a:pPr>
          <a:r>
            <a:rPr lang="es-ES" sz="2000" b="1">
              <a:solidFill>
                <a:srgbClr val="DFDA00"/>
              </a:solidFill>
              <a:latin typeface="Arial" pitchFamily="34" charset="0"/>
              <a:cs typeface="Arial" pitchFamily="34" charset="0"/>
            </a:rPr>
            <a:t>Planilla</a:t>
          </a:r>
          <a:r>
            <a:rPr lang="es-ES" sz="2000" b="1" baseline="0">
              <a:solidFill>
                <a:srgbClr val="DFDA00"/>
              </a:solidFill>
              <a:latin typeface="Arial" pitchFamily="34" charset="0"/>
              <a:cs typeface="Arial" pitchFamily="34" charset="0"/>
            </a:rPr>
            <a:t> Reliquidación IGC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</xdr:colOff>
          <xdr:row>12</xdr:row>
          <xdr:rowOff>0</xdr:rowOff>
        </xdr:from>
        <xdr:to>
          <xdr:col>10</xdr:col>
          <xdr:colOff>0</xdr:colOff>
          <xdr:row>13</xdr:row>
          <xdr:rowOff>0</xdr:rowOff>
        </xdr:to>
        <xdr:sp macro="" textlink="">
          <xdr:nvSpPr>
            <xdr:cNvPr id="752641" name="Drop Down 1" hidden="1">
              <a:extLst>
                <a:ext uri="{63B3BB69-23CF-44E3-9099-C40C66FF867C}">
                  <a14:compatExt spid="_x0000_s752641"/>
                </a:ext>
                <a:ext uri="{FF2B5EF4-FFF2-40B4-BE49-F238E27FC236}">
                  <a16:creationId xmlns:a16="http://schemas.microsoft.com/office/drawing/2014/main" id="{00000000-0008-0000-0000-0000017C0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30480</xdr:colOff>
          <xdr:row>12</xdr:row>
          <xdr:rowOff>0</xdr:rowOff>
        </xdr:from>
        <xdr:to>
          <xdr:col>13</xdr:col>
          <xdr:colOff>0</xdr:colOff>
          <xdr:row>13</xdr:row>
          <xdr:rowOff>0</xdr:rowOff>
        </xdr:to>
        <xdr:sp macro="" textlink="">
          <xdr:nvSpPr>
            <xdr:cNvPr id="752643" name="Drop Down 3" hidden="1">
              <a:extLst>
                <a:ext uri="{63B3BB69-23CF-44E3-9099-C40C66FF867C}">
                  <a14:compatExt spid="_x0000_s752643"/>
                </a:ext>
                <a:ext uri="{FF2B5EF4-FFF2-40B4-BE49-F238E27FC236}">
                  <a16:creationId xmlns:a16="http://schemas.microsoft.com/office/drawing/2014/main" id="{00000000-0008-0000-0000-0000037C0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38100</xdr:colOff>
          <xdr:row>5</xdr:row>
          <xdr:rowOff>15240</xdr:rowOff>
        </xdr:from>
        <xdr:to>
          <xdr:col>17</xdr:col>
          <xdr:colOff>53340</xdr:colOff>
          <xdr:row>6</xdr:row>
          <xdr:rowOff>0</xdr:rowOff>
        </xdr:to>
        <xdr:sp macro="" textlink="">
          <xdr:nvSpPr>
            <xdr:cNvPr id="752760" name="Drop Down 120" hidden="1">
              <a:extLst>
                <a:ext uri="{63B3BB69-23CF-44E3-9099-C40C66FF867C}">
                  <a14:compatExt spid="_x0000_s752760"/>
                </a:ext>
                <a:ext uri="{FF2B5EF4-FFF2-40B4-BE49-F238E27FC236}">
                  <a16:creationId xmlns:a16="http://schemas.microsoft.com/office/drawing/2014/main" id="{00000000-0008-0000-0000-0000787C0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3</xdr:col>
      <xdr:colOff>0</xdr:colOff>
      <xdr:row>241</xdr:row>
      <xdr:rowOff>295275</xdr:rowOff>
    </xdr:from>
    <xdr:to>
      <xdr:col>124</xdr:col>
      <xdr:colOff>19050</xdr:colOff>
      <xdr:row>266</xdr:row>
      <xdr:rowOff>0</xdr:rowOff>
    </xdr:to>
    <xdr:pic>
      <xdr:nvPicPr>
        <xdr:cNvPr id="1090871" name="Picture 2">
          <a:extLst>
            <a:ext uri="{FF2B5EF4-FFF2-40B4-BE49-F238E27FC236}">
              <a16:creationId xmlns:a16="http://schemas.microsoft.com/office/drawing/2014/main" id="{6F5C1993-D967-4117-35CE-3F5514D81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234"/>
        <a:stretch>
          <a:fillRect/>
        </a:stretch>
      </xdr:blipFill>
      <xdr:spPr bwMode="auto">
        <a:xfrm>
          <a:off x="571500" y="9782175"/>
          <a:ext cx="9191625" cy="3409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161925</xdr:colOff>
      <xdr:row>0</xdr:row>
      <xdr:rowOff>19050</xdr:rowOff>
    </xdr:from>
    <xdr:to>
      <xdr:col>6</xdr:col>
      <xdr:colOff>533400</xdr:colOff>
      <xdr:row>1</xdr:row>
      <xdr:rowOff>57150</xdr:rowOff>
    </xdr:to>
    <xdr:pic>
      <xdr:nvPicPr>
        <xdr:cNvPr id="1090872" name="Imagen 3">
          <a:extLst>
            <a:ext uri="{FF2B5EF4-FFF2-40B4-BE49-F238E27FC236}">
              <a16:creationId xmlns:a16="http://schemas.microsoft.com/office/drawing/2014/main" id="{8EB50F0D-8E93-F443-F976-EF6B956D8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9050"/>
          <a:ext cx="10763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</xdr:col>
      <xdr:colOff>696857</xdr:colOff>
      <xdr:row>39</xdr:row>
      <xdr:rowOff>1442</xdr:rowOff>
    </xdr:from>
    <xdr:ext cx="2785564" cy="493311"/>
    <xdr:sp macro="" textlink="">
      <xdr:nvSpPr>
        <xdr:cNvPr id="7" name="6 CuadroTexto">
          <a:extLst>
            <a:ext uri="{FF2B5EF4-FFF2-40B4-BE49-F238E27FC236}">
              <a16:creationId xmlns:a16="http://schemas.microsoft.com/office/drawing/2014/main" id="{187F8F11-94FC-287C-A884-66F4B5C20F58}"/>
            </a:ext>
          </a:extLst>
        </xdr:cNvPr>
        <xdr:cNvSpPr txBox="1"/>
      </xdr:nvSpPr>
      <xdr:spPr>
        <a:xfrm>
          <a:off x="1325507" y="5974675"/>
          <a:ext cx="2772874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>
            <a:lnSpc>
              <a:spcPts val="700"/>
            </a:lnSpc>
          </a:pPr>
          <a:r>
            <a:rPr lang="es-ES" sz="800" i="1">
              <a:solidFill>
                <a:schemeClr val="bg1">
                  <a:lumMod val="95000"/>
                </a:schemeClr>
              </a:solidFill>
              <a:latin typeface="Aptos Narrow" panose="020B0004020202020204" pitchFamily="34" charset="0"/>
            </a:rPr>
            <a:t>(Los resultados mostrados</a:t>
          </a:r>
          <a:r>
            <a:rPr lang="es-ES" sz="800" i="1" baseline="0">
              <a:solidFill>
                <a:schemeClr val="bg1">
                  <a:lumMod val="95000"/>
                </a:schemeClr>
              </a:solidFill>
              <a:latin typeface="Aptos Narrow" panose="020B0004020202020204" pitchFamily="34" charset="0"/>
            </a:rPr>
            <a:t> en esta simulación son referenciales y no necesariamente representan la situación particular del cliente.)</a:t>
          </a:r>
          <a:endParaRPr lang="es-ES" sz="800" i="1">
            <a:solidFill>
              <a:schemeClr val="bg1">
                <a:lumMod val="95000"/>
              </a:schemeClr>
            </a:solidFill>
            <a:latin typeface="Aptos Narrow" panose="020B0004020202020204" pitchFamily="34" charset="0"/>
          </a:endParaRPr>
        </a:p>
      </xdr:txBody>
    </xdr:sp>
    <xdr:clientData/>
  </xdr:oneCellAnchor>
  <xdr:twoCellAnchor editAs="oneCell">
    <xdr:from>
      <xdr:col>12</xdr:col>
      <xdr:colOff>47625</xdr:colOff>
      <xdr:row>31</xdr:row>
      <xdr:rowOff>76200</xdr:rowOff>
    </xdr:from>
    <xdr:to>
      <xdr:col>124</xdr:col>
      <xdr:colOff>0</xdr:colOff>
      <xdr:row>222</xdr:row>
      <xdr:rowOff>123825</xdr:rowOff>
    </xdr:to>
    <xdr:pic>
      <xdr:nvPicPr>
        <xdr:cNvPr id="1090874" name="Picture 6">
          <a:extLst>
            <a:ext uri="{FF2B5EF4-FFF2-40B4-BE49-F238E27FC236}">
              <a16:creationId xmlns:a16="http://schemas.microsoft.com/office/drawing/2014/main" id="{7CEF374B-1BFF-D27C-4BBE-741E49679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3486"/>
        <a:stretch>
          <a:fillRect/>
        </a:stretch>
      </xdr:blipFill>
      <xdr:spPr bwMode="auto">
        <a:xfrm>
          <a:off x="4610100" y="4810125"/>
          <a:ext cx="5133975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123092</xdr:colOff>
      <xdr:row>31</xdr:row>
      <xdr:rowOff>83042</xdr:rowOff>
    </xdr:from>
    <xdr:ext cx="2500295" cy="567498"/>
    <xdr:sp macro="" textlink="">
      <xdr:nvSpPr>
        <xdr:cNvPr id="9" name="6 CuadroTexto">
          <a:extLst>
            <a:ext uri="{FF2B5EF4-FFF2-40B4-BE49-F238E27FC236}">
              <a16:creationId xmlns:a16="http://schemas.microsoft.com/office/drawing/2014/main" id="{0EC3F96B-A7F6-6ABB-04E5-129A9CB9A7CE}"/>
            </a:ext>
          </a:extLst>
        </xdr:cNvPr>
        <xdr:cNvSpPr txBox="1"/>
      </xdr:nvSpPr>
      <xdr:spPr>
        <a:xfrm>
          <a:off x="5680308" y="4792809"/>
          <a:ext cx="2541501" cy="567570"/>
        </a:xfrm>
        <a:custGeom>
          <a:avLst/>
          <a:gdLst>
            <a:gd name="connsiteX0" fmla="*/ 0 w 2541501"/>
            <a:gd name="connsiteY0" fmla="*/ 0 h 567570"/>
            <a:gd name="connsiteX1" fmla="*/ 482885 w 2541501"/>
            <a:gd name="connsiteY1" fmla="*/ 0 h 567570"/>
            <a:gd name="connsiteX2" fmla="*/ 991185 w 2541501"/>
            <a:gd name="connsiteY2" fmla="*/ 0 h 567570"/>
            <a:gd name="connsiteX3" fmla="*/ 1524901 w 2541501"/>
            <a:gd name="connsiteY3" fmla="*/ 0 h 567570"/>
            <a:gd name="connsiteX4" fmla="*/ 2058616 w 2541501"/>
            <a:gd name="connsiteY4" fmla="*/ 0 h 567570"/>
            <a:gd name="connsiteX5" fmla="*/ 2541501 w 2541501"/>
            <a:gd name="connsiteY5" fmla="*/ 0 h 567570"/>
            <a:gd name="connsiteX6" fmla="*/ 2541501 w 2541501"/>
            <a:gd name="connsiteY6" fmla="*/ 567570 h 567570"/>
            <a:gd name="connsiteX7" fmla="*/ 1982371 w 2541501"/>
            <a:gd name="connsiteY7" fmla="*/ 567570 h 567570"/>
            <a:gd name="connsiteX8" fmla="*/ 1423241 w 2541501"/>
            <a:gd name="connsiteY8" fmla="*/ 567570 h 567570"/>
            <a:gd name="connsiteX9" fmla="*/ 914940 w 2541501"/>
            <a:gd name="connsiteY9" fmla="*/ 567570 h 567570"/>
            <a:gd name="connsiteX10" fmla="*/ 0 w 2541501"/>
            <a:gd name="connsiteY10" fmla="*/ 567570 h 567570"/>
            <a:gd name="connsiteX11" fmla="*/ 0 w 2541501"/>
            <a:gd name="connsiteY11" fmla="*/ 0 h 56757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2541501" h="567570" fill="none" extrusionOk="0">
              <a:moveTo>
                <a:pt x="0" y="0"/>
              </a:moveTo>
              <a:cubicBezTo>
                <a:pt x="179806" y="-26108"/>
                <a:pt x="269831" y="6339"/>
                <a:pt x="482885" y="0"/>
              </a:cubicBezTo>
              <a:cubicBezTo>
                <a:pt x="695940" y="-6339"/>
                <a:pt x="881695" y="14055"/>
                <a:pt x="991185" y="0"/>
              </a:cubicBezTo>
              <a:cubicBezTo>
                <a:pt x="1100675" y="-14055"/>
                <a:pt x="1335895" y="57490"/>
                <a:pt x="1524901" y="0"/>
              </a:cubicBezTo>
              <a:cubicBezTo>
                <a:pt x="1713907" y="-57490"/>
                <a:pt x="1815850" y="30944"/>
                <a:pt x="2058616" y="0"/>
              </a:cubicBezTo>
              <a:cubicBezTo>
                <a:pt x="2301383" y="-30944"/>
                <a:pt x="2301685" y="49582"/>
                <a:pt x="2541501" y="0"/>
              </a:cubicBezTo>
              <a:cubicBezTo>
                <a:pt x="2579017" y="131373"/>
                <a:pt x="2484493" y="416298"/>
                <a:pt x="2541501" y="567570"/>
              </a:cubicBezTo>
              <a:cubicBezTo>
                <a:pt x="2353569" y="625702"/>
                <a:pt x="2218909" y="561350"/>
                <a:pt x="1982371" y="567570"/>
              </a:cubicBezTo>
              <a:cubicBezTo>
                <a:pt x="1745833" y="573790"/>
                <a:pt x="1627049" y="550248"/>
                <a:pt x="1423241" y="567570"/>
              </a:cubicBezTo>
              <a:cubicBezTo>
                <a:pt x="1219433" y="584892"/>
                <a:pt x="1148976" y="547925"/>
                <a:pt x="914940" y="567570"/>
              </a:cubicBezTo>
              <a:cubicBezTo>
                <a:pt x="680904" y="587215"/>
                <a:pt x="323574" y="524264"/>
                <a:pt x="0" y="567570"/>
              </a:cubicBezTo>
              <a:cubicBezTo>
                <a:pt x="-22737" y="345628"/>
                <a:pt x="46802" y="161887"/>
                <a:pt x="0" y="0"/>
              </a:cubicBezTo>
              <a:close/>
            </a:path>
            <a:path w="2541501" h="567570" stroke="0" extrusionOk="0">
              <a:moveTo>
                <a:pt x="0" y="0"/>
              </a:moveTo>
              <a:cubicBezTo>
                <a:pt x="110058" y="-33729"/>
                <a:pt x="283783" y="15544"/>
                <a:pt x="482885" y="0"/>
              </a:cubicBezTo>
              <a:cubicBezTo>
                <a:pt x="681987" y="-15544"/>
                <a:pt x="787911" y="11272"/>
                <a:pt x="914940" y="0"/>
              </a:cubicBezTo>
              <a:cubicBezTo>
                <a:pt x="1041970" y="-11272"/>
                <a:pt x="1279668" y="51180"/>
                <a:pt x="1474071" y="0"/>
              </a:cubicBezTo>
              <a:cubicBezTo>
                <a:pt x="1668474" y="-51180"/>
                <a:pt x="1771500" y="27712"/>
                <a:pt x="1956956" y="0"/>
              </a:cubicBezTo>
              <a:cubicBezTo>
                <a:pt x="2142413" y="-27712"/>
                <a:pt x="2303901" y="53636"/>
                <a:pt x="2541501" y="0"/>
              </a:cubicBezTo>
              <a:cubicBezTo>
                <a:pt x="2557776" y="184834"/>
                <a:pt x="2540546" y="347568"/>
                <a:pt x="2541501" y="567570"/>
              </a:cubicBezTo>
              <a:cubicBezTo>
                <a:pt x="2367832" y="615125"/>
                <a:pt x="2216924" y="510751"/>
                <a:pt x="2033201" y="567570"/>
              </a:cubicBezTo>
              <a:cubicBezTo>
                <a:pt x="1849478" y="624389"/>
                <a:pt x="1703343" y="545284"/>
                <a:pt x="1474071" y="567570"/>
              </a:cubicBezTo>
              <a:cubicBezTo>
                <a:pt x="1244799" y="589856"/>
                <a:pt x="1171826" y="519506"/>
                <a:pt x="1042015" y="567570"/>
              </a:cubicBezTo>
              <a:cubicBezTo>
                <a:pt x="912204" y="615634"/>
                <a:pt x="670966" y="548680"/>
                <a:pt x="533715" y="567570"/>
              </a:cubicBezTo>
              <a:cubicBezTo>
                <a:pt x="396464" y="586460"/>
                <a:pt x="192464" y="544615"/>
                <a:pt x="0" y="567570"/>
              </a:cubicBezTo>
              <a:cubicBezTo>
                <a:pt x="-35643" y="419838"/>
                <a:pt x="35309" y="282496"/>
                <a:pt x="0" y="0"/>
              </a:cubicBezTo>
              <a:close/>
            </a:path>
          </a:pathLst>
        </a:custGeom>
        <a:solidFill>
          <a:schemeClr val="tx1">
            <a:lumMod val="75000"/>
            <a:lumOff val="25000"/>
          </a:schemeClr>
        </a:solidFill>
        <a:ln>
          <a:solidFill>
            <a:schemeClr val="bg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>
            <a:lnSpc>
              <a:spcPts val="900"/>
            </a:lnSpc>
          </a:pPr>
          <a:r>
            <a:rPr lang="es-ES" sz="900" b="1" i="1">
              <a:solidFill>
                <a:schemeClr val="bg1">
                  <a:lumMod val="95000"/>
                </a:schemeClr>
              </a:solidFill>
              <a:latin typeface="Aptos Narrow" panose="020B0004020202020204" pitchFamily="34" charset="0"/>
            </a:rPr>
            <a:t>Nota: </a:t>
          </a:r>
          <a:r>
            <a:rPr lang="es-ES" sz="900" i="1">
              <a:solidFill>
                <a:schemeClr val="bg1">
                  <a:lumMod val="95000"/>
                </a:schemeClr>
              </a:solidFill>
              <a:latin typeface="Aptos Narrow" panose="020B0004020202020204" pitchFamily="34" charset="0"/>
            </a:rPr>
            <a:t>considera solamente las rentas ingresadas en esta planilla, la existencia de otras rentas, podrían generar diferencias significativas en la estimación.</a:t>
          </a:r>
        </a:p>
      </xdr:txBody>
    </xdr:sp>
    <xdr:clientData/>
  </xdr:oneCellAnchor>
  <xdr:twoCellAnchor editAs="oneCell">
    <xdr:from>
      <xdr:col>22</xdr:col>
      <xdr:colOff>704850</xdr:colOff>
      <xdr:row>0</xdr:row>
      <xdr:rowOff>66675</xdr:rowOff>
    </xdr:from>
    <xdr:to>
      <xdr:col>24</xdr:col>
      <xdr:colOff>0</xdr:colOff>
      <xdr:row>0</xdr:row>
      <xdr:rowOff>209550</xdr:rowOff>
    </xdr:to>
    <xdr:pic>
      <xdr:nvPicPr>
        <xdr:cNvPr id="1090876" name="Graphic 3">
          <a:extLst>
            <a:ext uri="{FF2B5EF4-FFF2-40B4-BE49-F238E27FC236}">
              <a16:creationId xmlns:a16="http://schemas.microsoft.com/office/drawing/2014/main" id="{26EB7430-9927-0BA4-484A-0714B1B55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3025" y="66675"/>
          <a:ext cx="7524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1285875</xdr:colOff>
      <xdr:row>241</xdr:row>
      <xdr:rowOff>276225</xdr:rowOff>
    </xdr:from>
    <xdr:to>
      <xdr:col>13</xdr:col>
      <xdr:colOff>1152525</xdr:colOff>
      <xdr:row>247</xdr:row>
      <xdr:rowOff>352425</xdr:rowOff>
    </xdr:to>
    <xdr:grpSp>
      <xdr:nvGrpSpPr>
        <xdr:cNvPr id="1090877" name="Group 1">
          <a:extLst>
            <a:ext uri="{FF2B5EF4-FFF2-40B4-BE49-F238E27FC236}">
              <a16:creationId xmlns:a16="http://schemas.microsoft.com/office/drawing/2014/main" id="{212311E8-67C0-0D41-D231-59B038D33505}"/>
            </a:ext>
          </a:extLst>
        </xdr:cNvPr>
        <xdr:cNvGrpSpPr>
          <a:grpSpLocks/>
        </xdr:cNvGrpSpPr>
      </xdr:nvGrpSpPr>
      <xdr:grpSpPr bwMode="auto">
        <a:xfrm>
          <a:off x="4705870" y="9736109"/>
          <a:ext cx="1491095" cy="997527"/>
          <a:chOff x="5170821" y="4890428"/>
          <a:chExt cx="1469909" cy="1138169"/>
        </a:xfrm>
      </xdr:grpSpPr>
      <xdr:pic>
        <xdr:nvPicPr>
          <xdr:cNvPr id="1090883" name="Graphic 7">
            <a:extLst>
              <a:ext uri="{FF2B5EF4-FFF2-40B4-BE49-F238E27FC236}">
                <a16:creationId xmlns:a16="http://schemas.microsoft.com/office/drawing/2014/main" id="{8CC103D4-FD05-61F8-471A-12A4CD7071B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0821" y="5776300"/>
            <a:ext cx="1469909" cy="25229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090884" name="Graphic 10">
            <a:extLst>
              <a:ext uri="{FF2B5EF4-FFF2-40B4-BE49-F238E27FC236}">
                <a16:creationId xmlns:a16="http://schemas.microsoft.com/office/drawing/2014/main" id="{75DA02AC-04BD-866A-95FF-6BDC948750B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00616" y="4890428"/>
            <a:ext cx="1410318" cy="48778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oneCellAnchor>
    <xdr:from>
      <xdr:col>5</xdr:col>
      <xdr:colOff>0</xdr:colOff>
      <xdr:row>41</xdr:row>
      <xdr:rowOff>66675</xdr:rowOff>
    </xdr:from>
    <xdr:ext cx="7258747" cy="254399"/>
    <xdr:sp macro="" textlink="">
      <xdr:nvSpPr>
        <xdr:cNvPr id="17" name="6 CuadroTexto">
          <a:extLst>
            <a:ext uri="{FF2B5EF4-FFF2-40B4-BE49-F238E27FC236}">
              <a16:creationId xmlns:a16="http://schemas.microsoft.com/office/drawing/2014/main" id="{3168413A-79FB-9DC5-4BE0-34DAE6826DCD}"/>
            </a:ext>
          </a:extLst>
        </xdr:cNvPr>
        <xdr:cNvSpPr txBox="1"/>
      </xdr:nvSpPr>
      <xdr:spPr>
        <a:xfrm>
          <a:off x="1539587" y="6372225"/>
          <a:ext cx="7280563" cy="2158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s-ES" sz="800">
              <a:solidFill>
                <a:schemeClr val="bg1">
                  <a:lumMod val="95000"/>
                </a:schemeClr>
              </a:solidFill>
              <a:latin typeface="Aptos Narrow" panose="020B0004020202020204" pitchFamily="34" charset="0"/>
            </a:rPr>
            <a:t>MATERIAL DE USO INTERNO SURA</a:t>
          </a:r>
        </a:p>
      </xdr:txBody>
    </xdr:sp>
    <xdr:clientData/>
  </xdr:oneCellAnchor>
  <xdr:oneCellAnchor>
    <xdr:from>
      <xdr:col>5</xdr:col>
      <xdr:colOff>0</xdr:colOff>
      <xdr:row>264</xdr:row>
      <xdr:rowOff>38677</xdr:rowOff>
    </xdr:from>
    <xdr:ext cx="8534552" cy="263545"/>
    <xdr:sp macro="" textlink="">
      <xdr:nvSpPr>
        <xdr:cNvPr id="18" name="6 CuadroTexto">
          <a:extLst>
            <a:ext uri="{FF2B5EF4-FFF2-40B4-BE49-F238E27FC236}">
              <a16:creationId xmlns:a16="http://schemas.microsoft.com/office/drawing/2014/main" id="{BA739539-3514-CD96-5746-48783F9D335F}"/>
            </a:ext>
          </a:extLst>
        </xdr:cNvPr>
        <xdr:cNvSpPr txBox="1"/>
      </xdr:nvSpPr>
      <xdr:spPr>
        <a:xfrm>
          <a:off x="1411429" y="13092545"/>
          <a:ext cx="8555182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s-ES" sz="800">
              <a:solidFill>
                <a:schemeClr val="bg1">
                  <a:lumMod val="95000"/>
                </a:schemeClr>
              </a:solidFill>
              <a:latin typeface="Aptos Narrow" panose="020B0004020202020204" pitchFamily="34" charset="0"/>
            </a:rPr>
            <a:t>MATERIAL DE USO INTERNO SURA</a:t>
          </a:r>
        </a:p>
      </xdr:txBody>
    </xdr:sp>
    <xdr:clientData/>
  </xdr:oneCellAnchor>
  <xdr:oneCellAnchor>
    <xdr:from>
      <xdr:col>20</xdr:col>
      <xdr:colOff>0</xdr:colOff>
      <xdr:row>41</xdr:row>
      <xdr:rowOff>88071</xdr:rowOff>
    </xdr:from>
    <xdr:ext cx="1540071" cy="238571"/>
    <xdr:sp macro="" textlink="">
      <xdr:nvSpPr>
        <xdr:cNvPr id="20" name="11 CuadroTexto">
          <a:extLst>
            <a:ext uri="{FF2B5EF4-FFF2-40B4-BE49-F238E27FC236}">
              <a16:creationId xmlns:a16="http://schemas.microsoft.com/office/drawing/2014/main" id="{A07BEECD-610A-F829-7BE6-B299B307CD79}"/>
            </a:ext>
          </a:extLst>
        </xdr:cNvPr>
        <xdr:cNvSpPr txBox="1"/>
      </xdr:nvSpPr>
      <xdr:spPr>
        <a:xfrm>
          <a:off x="8575286" y="6414880"/>
          <a:ext cx="1574223" cy="219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l"/>
          <a:r>
            <a:rPr lang="es-ES" sz="700" b="0" i="0">
              <a:solidFill>
                <a:schemeClr val="bg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SUBGERENCI</a:t>
          </a:r>
          <a:r>
            <a:rPr lang="es-ES" sz="700" b="0" i="0" baseline="0">
              <a:solidFill>
                <a:schemeClr val="bg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A TRIBUTARIA</a:t>
          </a:r>
        </a:p>
        <a:p>
          <a:pPr algn="l"/>
          <a:r>
            <a:rPr lang="es-ES" sz="700" b="0" i="0" baseline="0">
              <a:solidFill>
                <a:schemeClr val="bg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VP NEGOCIO VOLUNTARIO</a:t>
          </a:r>
          <a:endParaRPr lang="es-ES" sz="600" b="0" i="0" baseline="0">
            <a:solidFill>
              <a:schemeClr val="bg1">
                <a:lumMod val="75000"/>
              </a:schemeClr>
            </a:solidFill>
            <a:latin typeface="Aptos Black" panose="020B0004020202020204" pitchFamily="34" charset="0"/>
            <a:cs typeface="Arial" pitchFamily="34" charset="0"/>
          </a:endParaRPr>
        </a:p>
      </xdr:txBody>
    </xdr:sp>
    <xdr:clientData/>
  </xdr:oneCellAnchor>
  <xdr:oneCellAnchor>
    <xdr:from>
      <xdr:col>7</xdr:col>
      <xdr:colOff>437567</xdr:colOff>
      <xdr:row>3</xdr:row>
      <xdr:rowOff>145556</xdr:rowOff>
    </xdr:from>
    <xdr:ext cx="1313436" cy="687176"/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5AFB5A85-CB42-288B-72D7-2D1D65058843}"/>
            </a:ext>
          </a:extLst>
        </xdr:cNvPr>
        <xdr:cNvSpPr/>
      </xdr:nvSpPr>
      <xdr:spPr>
        <a:xfrm>
          <a:off x="2636976" y="820965"/>
          <a:ext cx="1313436" cy="687176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3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glow rad="139700">
                  <a:schemeClr val="accent3">
                    <a:satMod val="175000"/>
                    <a:alpha val="40000"/>
                  </a:schemeClr>
                </a:glow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Aptos Black" panose="020B0004020202020204" pitchFamily="34" charset="0"/>
              <a:cs typeface="Aharoni" panose="02010803020104030203" pitchFamily="2" charset="-79"/>
            </a:rPr>
            <a:t>2026</a:t>
          </a:r>
        </a:p>
      </xdr:txBody>
    </xdr:sp>
    <xdr:clientData/>
  </xdr:oneCellAnchor>
  <xdr:oneCellAnchor>
    <xdr:from>
      <xdr:col>4</xdr:col>
      <xdr:colOff>79374</xdr:colOff>
      <xdr:row>5</xdr:row>
      <xdr:rowOff>2309</xdr:rowOff>
    </xdr:from>
    <xdr:ext cx="2337225" cy="391019"/>
    <xdr:sp macro="" textlink="">
      <xdr:nvSpPr>
        <xdr:cNvPr id="2" name="11 CuadroTexto">
          <a:extLst>
            <a:ext uri="{FF2B5EF4-FFF2-40B4-BE49-F238E27FC236}">
              <a16:creationId xmlns:a16="http://schemas.microsoft.com/office/drawing/2014/main" id="{EA35379C-38A5-1C20-50BC-B2BFBAE05181}"/>
            </a:ext>
          </a:extLst>
        </xdr:cNvPr>
        <xdr:cNvSpPr txBox="1"/>
      </xdr:nvSpPr>
      <xdr:spPr>
        <a:xfrm>
          <a:off x="1028699" y="914400"/>
          <a:ext cx="2009775" cy="4286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l">
            <a:lnSpc>
              <a:spcPts val="3100"/>
            </a:lnSpc>
          </a:pPr>
          <a:r>
            <a:rPr lang="es-ES" sz="1800" b="1" baseline="0">
              <a:solidFill>
                <a:schemeClr val="bg1"/>
              </a:solidFill>
              <a:latin typeface="Arial" pitchFamily="34" charset="0"/>
              <a:cs typeface="Arial" pitchFamily="34" charset="0"/>
            </a:rPr>
            <a:t>Año Tributario  </a:t>
          </a:r>
          <a:endParaRPr lang="es-ES" sz="1800" b="1" baseline="0">
            <a:solidFill>
              <a:schemeClr val="bg1">
                <a:lumMod val="75000"/>
              </a:schemeClr>
            </a:solidFill>
            <a:latin typeface="Aptos Black" panose="020B0004020202020204" pitchFamily="34" charset="0"/>
            <a:cs typeface="Arial" pitchFamily="34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101600</xdr:colOff>
      <xdr:row>26</xdr:row>
      <xdr:rowOff>0</xdr:rowOff>
    </xdr:from>
    <xdr:to>
      <xdr:col>29</xdr:col>
      <xdr:colOff>3135</xdr:colOff>
      <xdr:row>28</xdr:row>
      <xdr:rowOff>3055</xdr:rowOff>
    </xdr:to>
    <xdr:sp macro="" textlink="">
      <xdr:nvSpPr>
        <xdr:cNvPr id="3" name="2 Rectángulo redondeado">
          <a:extLst>
            <a:ext uri="{FF2B5EF4-FFF2-40B4-BE49-F238E27FC236}">
              <a16:creationId xmlns:a16="http://schemas.microsoft.com/office/drawing/2014/main" id="{D8420460-41D5-7228-9592-AF5C263C64E2}"/>
            </a:ext>
          </a:extLst>
        </xdr:cNvPr>
        <xdr:cNvSpPr/>
      </xdr:nvSpPr>
      <xdr:spPr>
        <a:xfrm>
          <a:off x="9372600" y="3448050"/>
          <a:ext cx="0" cy="180975"/>
        </a:xfrm>
        <a:prstGeom prst="roundRect">
          <a:avLst>
            <a:gd name="adj" fmla="val 9375"/>
          </a:avLst>
        </a:prstGeom>
        <a:noFill/>
        <a:ln w="19050"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r>
            <a:rPr lang="es-ES" sz="1300" b="0">
              <a:solidFill>
                <a:srgbClr val="002060"/>
              </a:solidFill>
              <a:latin typeface="+mn-lt"/>
              <a:ea typeface="+mn-ea"/>
              <a:cs typeface="+mn-cs"/>
            </a:rPr>
            <a:t>Completa las </a:t>
          </a:r>
          <a:r>
            <a:rPr lang="es-ES" sz="1300" b="1">
              <a:solidFill>
                <a:srgbClr val="FF9900"/>
              </a:solidFill>
              <a:latin typeface="+mn-lt"/>
              <a:ea typeface="+mn-ea"/>
              <a:cs typeface="+mn-cs"/>
            </a:rPr>
            <a:t>UF 600  de</a:t>
          </a:r>
          <a:r>
            <a:rPr lang="es-ES" sz="1300" b="1" baseline="0">
              <a:solidFill>
                <a:srgbClr val="FF9900"/>
              </a:solidFill>
              <a:latin typeface="+mn-lt"/>
              <a:ea typeface="+mn-ea"/>
              <a:cs typeface="+mn-cs"/>
            </a:rPr>
            <a:t> APV opción B </a:t>
          </a:r>
          <a:r>
            <a:rPr lang="es-ES" sz="1300" b="0">
              <a:solidFill>
                <a:srgbClr val="002060"/>
              </a:solidFill>
              <a:latin typeface="+mn-lt"/>
              <a:ea typeface="+mn-ea"/>
              <a:cs typeface="+mn-cs"/>
            </a:rPr>
            <a:t>y utiliza el 100% del </a:t>
          </a:r>
          <a:r>
            <a:rPr lang="es-ES" sz="1300" b="0">
              <a:solidFill>
                <a:srgbClr val="000066"/>
              </a:solidFill>
              <a:latin typeface="+mn-lt"/>
              <a:ea typeface="+mn-ea"/>
              <a:cs typeface="+mn-cs"/>
            </a:rPr>
            <a:t>Beneficio Tributario                    </a:t>
          </a:r>
          <a:endParaRPr lang="es-ES" sz="1300" b="1">
            <a:solidFill>
              <a:srgbClr val="FF99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123825</xdr:colOff>
      <xdr:row>0</xdr:row>
      <xdr:rowOff>47625</xdr:rowOff>
    </xdr:from>
    <xdr:to>
      <xdr:col>29</xdr:col>
      <xdr:colOff>409575</xdr:colOff>
      <xdr:row>0</xdr:row>
      <xdr:rowOff>171450</xdr:rowOff>
    </xdr:to>
    <xdr:pic>
      <xdr:nvPicPr>
        <xdr:cNvPr id="1088746" name="Picture 179">
          <a:extLst>
            <a:ext uri="{FF2B5EF4-FFF2-40B4-BE49-F238E27FC236}">
              <a16:creationId xmlns:a16="http://schemas.microsoft.com/office/drawing/2014/main" id="{CC70FF5B-C5BF-5F5A-89E7-AFFE56D90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15" t="72949" r="1993" b="24945"/>
        <a:stretch>
          <a:fillRect/>
        </a:stretch>
      </xdr:blipFill>
      <xdr:spPr bwMode="auto">
        <a:xfrm>
          <a:off x="123825" y="47625"/>
          <a:ext cx="160686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20</xdr:col>
      <xdr:colOff>431800</xdr:colOff>
      <xdr:row>0</xdr:row>
      <xdr:rowOff>50802</xdr:rowOff>
    </xdr:from>
    <xdr:ext cx="449279" cy="363305"/>
    <xdr:sp macro="" textlink="">
      <xdr:nvSpPr>
        <xdr:cNvPr id="5" name="4 CuadroTexto">
          <a:extLst>
            <a:ext uri="{FF2B5EF4-FFF2-40B4-BE49-F238E27FC236}">
              <a16:creationId xmlns:a16="http://schemas.microsoft.com/office/drawing/2014/main" id="{2B597593-17F7-BF98-8949-D34792C5689A}"/>
            </a:ext>
          </a:extLst>
        </xdr:cNvPr>
        <xdr:cNvSpPr txBox="1"/>
      </xdr:nvSpPr>
      <xdr:spPr>
        <a:xfrm>
          <a:off x="12039600" y="50802"/>
          <a:ext cx="428382" cy="3633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>
            <a:lnSpc>
              <a:spcPts val="700"/>
            </a:lnSpc>
          </a:pPr>
          <a:r>
            <a:rPr lang="es-ES" sz="700"/>
            <a:t>jsv ING2010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</xdr:row>
          <xdr:rowOff>0</xdr:rowOff>
        </xdr:from>
        <xdr:to>
          <xdr:col>7</xdr:col>
          <xdr:colOff>0</xdr:colOff>
          <xdr:row>12</xdr:row>
          <xdr:rowOff>0</xdr:rowOff>
        </xdr:to>
        <xdr:sp macro="" textlink="">
          <xdr:nvSpPr>
            <xdr:cNvPr id="1075201" name="Drop Down 1" hidden="1">
              <a:extLst>
                <a:ext uri="{63B3BB69-23CF-44E3-9099-C40C66FF867C}">
                  <a14:compatExt spid="_x0000_s1075201"/>
                </a:ext>
                <a:ext uri="{FF2B5EF4-FFF2-40B4-BE49-F238E27FC236}">
                  <a16:creationId xmlns:a16="http://schemas.microsoft.com/office/drawing/2014/main" id="{00000000-0008-0000-0900-000001681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11</xdr:row>
          <xdr:rowOff>0</xdr:rowOff>
        </xdr:from>
        <xdr:to>
          <xdr:col>11</xdr:col>
          <xdr:colOff>0</xdr:colOff>
          <xdr:row>12</xdr:row>
          <xdr:rowOff>0</xdr:rowOff>
        </xdr:to>
        <xdr:sp macro="" textlink="">
          <xdr:nvSpPr>
            <xdr:cNvPr id="1075202" name="Drop Down 2" hidden="1">
              <a:extLst>
                <a:ext uri="{63B3BB69-23CF-44E3-9099-C40C66FF867C}">
                  <a14:compatExt spid="_x0000_s1075202"/>
                </a:ext>
                <a:ext uri="{FF2B5EF4-FFF2-40B4-BE49-F238E27FC236}">
                  <a16:creationId xmlns:a16="http://schemas.microsoft.com/office/drawing/2014/main" id="{00000000-0008-0000-0900-000002681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omments" Target="../comments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Relationship Id="rId5" Type="http://schemas.openxmlformats.org/officeDocument/2006/relationships/ctrlProp" Target="../ctrlProps/ctrlProp5.xml"/><Relationship Id="rId4" Type="http://schemas.openxmlformats.org/officeDocument/2006/relationships/ctrlProp" Target="../ctrlProps/ctrlProp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8B6E7-24D7-40A1-B54C-565DBAF92A32}">
  <dimension ref="A1:HT1107"/>
  <sheetViews>
    <sheetView showGridLines="0" showRowColHeaders="0" tabSelected="1" topLeftCell="C2" zoomScale="110" zoomScaleNormal="110" workbookViewId="0">
      <selection activeCell="P3" sqref="P3:T3"/>
    </sheetView>
  </sheetViews>
  <sheetFormatPr baseColWidth="10" defaultColWidth="11.77734375" defaultRowHeight="13.2" x14ac:dyDescent="0.25"/>
  <cols>
    <col min="1" max="2" width="11.77734375" style="147" hidden="1" customWidth="1"/>
    <col min="3" max="3" width="8.5546875" style="395" customWidth="1"/>
    <col min="4" max="4" width="0.77734375" style="147" customWidth="1"/>
    <col min="5" max="5" width="10.5546875" style="147" customWidth="1"/>
    <col min="6" max="6" width="11.77734375" style="147" hidden="1" customWidth="1"/>
    <col min="7" max="7" width="13.21875" style="147" customWidth="1"/>
    <col min="8" max="8" width="10.77734375" style="147" customWidth="1"/>
    <col min="9" max="9" width="12.77734375" style="156" customWidth="1"/>
    <col min="10" max="10" width="11.77734375" style="147" customWidth="1"/>
    <col min="11" max="12" width="11.77734375" style="147" hidden="1" customWidth="1"/>
    <col min="13" max="13" width="10.21875" style="147" customWidth="1"/>
    <col min="14" max="14" width="11.44140625" style="156" customWidth="1"/>
    <col min="15" max="15" width="1.44140625" style="156" customWidth="1"/>
    <col min="16" max="16" width="5.21875" style="156" customWidth="1"/>
    <col min="17" max="17" width="7.77734375" style="156" customWidth="1"/>
    <col min="18" max="18" width="9.44140625" style="147" customWidth="1"/>
    <col min="19" max="19" width="1.44140625" style="147" customWidth="1"/>
    <col min="20" max="20" width="7.77734375" style="147" customWidth="1"/>
    <col min="21" max="21" width="11.77734375" style="147" hidden="1" customWidth="1"/>
    <col min="22" max="22" width="0.44140625" style="147" customWidth="1"/>
    <col min="23" max="23" width="10.5546875" style="147" customWidth="1"/>
    <col min="24" max="24" width="11.21875" style="147" customWidth="1"/>
    <col min="25" max="25" width="11.77734375" style="147" hidden="1" customWidth="1"/>
    <col min="26" max="27" width="11.77734375" style="156" hidden="1" customWidth="1"/>
    <col min="28" max="34" width="11.77734375" style="147" hidden="1" customWidth="1"/>
    <col min="35" max="35" width="16.21875" style="147" hidden="1" customWidth="1"/>
    <col min="36" max="36" width="11.77734375" style="157" hidden="1" customWidth="1"/>
    <col min="37" max="79" width="11.77734375" style="147" hidden="1" customWidth="1"/>
    <col min="80" max="80" width="14.77734375" style="147" hidden="1" customWidth="1"/>
    <col min="81" max="87" width="11.77734375" style="147" hidden="1" customWidth="1"/>
    <col min="88" max="88" width="3.77734375" style="147" hidden="1" customWidth="1"/>
    <col min="89" max="91" width="11.77734375" style="147" hidden="1" customWidth="1"/>
    <col min="92" max="92" width="19.77734375" style="147" hidden="1" customWidth="1"/>
    <col min="93" max="111" width="11.77734375" style="147" hidden="1" customWidth="1"/>
    <col min="112" max="112" width="0.77734375" style="147" hidden="1" customWidth="1"/>
    <col min="113" max="113" width="2.77734375" style="182" hidden="1" customWidth="1"/>
    <col min="114" max="114" width="3.21875" style="182" hidden="1" customWidth="1"/>
    <col min="115" max="123" width="11.77734375" style="182" hidden="1" customWidth="1"/>
    <col min="124" max="124" width="0.44140625" style="182" customWidth="1"/>
    <col min="125" max="131" width="11.77734375" style="395" customWidth="1"/>
    <col min="132" max="142" width="11.77734375" style="392" customWidth="1"/>
    <col min="143" max="157" width="11.77734375" style="182" customWidth="1"/>
    <col min="158" max="158" width="0.5546875" style="182" customWidth="1"/>
    <col min="159" max="186" width="11.77734375" style="182" customWidth="1"/>
    <col min="187" max="16384" width="11.77734375" style="147"/>
  </cols>
  <sheetData>
    <row r="1" spans="1:228" ht="29.25" customHeight="1" x14ac:dyDescent="0.25">
      <c r="D1" s="241"/>
      <c r="E1" s="241"/>
      <c r="F1" s="241"/>
      <c r="G1" s="241"/>
      <c r="H1" s="241"/>
      <c r="I1" s="242"/>
      <c r="J1" s="241"/>
      <c r="K1" s="241"/>
      <c r="L1" s="241"/>
      <c r="M1" s="241"/>
      <c r="N1" s="242"/>
      <c r="O1" s="242"/>
      <c r="P1" s="242"/>
      <c r="Q1" s="242"/>
      <c r="R1" s="241"/>
      <c r="S1" s="241"/>
      <c r="T1" s="241"/>
      <c r="U1" s="241"/>
      <c r="V1" s="241"/>
      <c r="W1" s="241"/>
      <c r="X1" s="241"/>
      <c r="DH1" s="241"/>
      <c r="DT1" s="241"/>
      <c r="FB1" s="241"/>
    </row>
    <row r="2" spans="1:228" ht="11.25" customHeight="1" x14ac:dyDescent="0.25">
      <c r="D2" s="250"/>
      <c r="E2" s="250"/>
      <c r="F2" s="250"/>
      <c r="G2" s="250"/>
      <c r="H2" s="250"/>
      <c r="I2" s="251"/>
      <c r="J2" s="250"/>
      <c r="K2" s="250"/>
      <c r="L2" s="250"/>
      <c r="M2" s="408" t="s">
        <v>0</v>
      </c>
      <c r="N2" s="408"/>
      <c r="O2" s="408"/>
      <c r="P2" s="472" t="s">
        <v>1</v>
      </c>
      <c r="Q2" s="472"/>
      <c r="R2" s="472"/>
      <c r="S2" s="472"/>
      <c r="T2" s="472"/>
      <c r="U2" s="250"/>
      <c r="V2" s="250"/>
      <c r="W2" s="250"/>
      <c r="X2" s="250"/>
      <c r="AA2" s="227">
        <f>+Y17-AB17-AC17-AD17-AE17</f>
        <v>3190663.5281400001</v>
      </c>
      <c r="AB2" s="172"/>
      <c r="AC2" s="147" t="s">
        <v>2</v>
      </c>
      <c r="AD2" s="172">
        <f>+AD3-AD17</f>
        <v>-57149.469860000041</v>
      </c>
      <c r="DH2" s="241"/>
      <c r="DT2" s="241"/>
      <c r="FB2" s="241"/>
    </row>
    <row r="3" spans="1:228" ht="12" customHeight="1" x14ac:dyDescent="0.25">
      <c r="D3" s="250"/>
      <c r="E3" s="250"/>
      <c r="F3" s="250"/>
      <c r="G3" s="250"/>
      <c r="H3" s="250"/>
      <c r="I3" s="251"/>
      <c r="J3" s="250"/>
      <c r="K3" s="250"/>
      <c r="L3" s="250"/>
      <c r="M3" s="409" t="s">
        <v>3</v>
      </c>
      <c r="N3" s="409"/>
      <c r="O3" s="409"/>
      <c r="P3" s="473" t="s">
        <v>93</v>
      </c>
      <c r="Q3" s="473"/>
      <c r="R3" s="473"/>
      <c r="S3" s="473"/>
      <c r="T3" s="473"/>
      <c r="U3" s="250"/>
      <c r="V3" s="250"/>
      <c r="W3" s="250"/>
      <c r="X3" s="250"/>
      <c r="AA3" s="156">
        <f>+AA2*Z17-AA17</f>
        <v>-27076.228527800064</v>
      </c>
      <c r="AD3" s="172">
        <v>183008</v>
      </c>
      <c r="AE3" s="172"/>
      <c r="DH3" s="241"/>
      <c r="DT3" s="241"/>
      <c r="FB3" s="241"/>
    </row>
    <row r="4" spans="1:228" ht="12" customHeight="1" x14ac:dyDescent="0.25">
      <c r="D4" s="250"/>
      <c r="E4" s="250"/>
      <c r="F4" s="250"/>
      <c r="G4" s="250"/>
      <c r="H4" s="250"/>
      <c r="I4" s="251"/>
      <c r="J4" s="250"/>
      <c r="K4" s="252"/>
      <c r="L4" s="252"/>
      <c r="M4" s="410" t="s">
        <v>5</v>
      </c>
      <c r="N4" s="410"/>
      <c r="O4" s="410"/>
      <c r="P4" s="415">
        <v>10000000</v>
      </c>
      <c r="Q4" s="415"/>
      <c r="R4" s="474" t="s">
        <v>6</v>
      </c>
      <c r="S4" s="474"/>
      <c r="T4" s="349">
        <f>Hoja9!I21</f>
        <v>0.34936739372905157</v>
      </c>
      <c r="U4" s="250"/>
      <c r="V4" s="250"/>
      <c r="W4" s="250" t="s">
        <v>7</v>
      </c>
      <c r="X4" s="250"/>
      <c r="Y4" s="172">
        <f>IF(P3=Z34,1,0)</f>
        <v>0</v>
      </c>
      <c r="AB4" s="172"/>
      <c r="AC4" s="147">
        <f>VLOOKUP(P2,$CF$14:$CG$19,2)</f>
        <v>1.44E-2</v>
      </c>
      <c r="DH4" s="241"/>
      <c r="DT4" s="241"/>
      <c r="FB4" s="241"/>
    </row>
    <row r="5" spans="1:228" ht="12" customHeight="1" x14ac:dyDescent="0.25">
      <c r="D5" s="250"/>
      <c r="E5" s="241"/>
      <c r="F5" s="468" t="s">
        <v>8</v>
      </c>
      <c r="G5" s="241"/>
      <c r="H5" s="250"/>
      <c r="I5" s="242"/>
      <c r="J5" s="241"/>
      <c r="K5" s="252"/>
      <c r="L5" s="252"/>
      <c r="M5" s="410" t="s">
        <v>9</v>
      </c>
      <c r="N5" s="410"/>
      <c r="O5" s="410"/>
      <c r="P5" s="415">
        <v>0</v>
      </c>
      <c r="Q5" s="415"/>
      <c r="R5" s="475">
        <f>Hoja9!Q15</f>
        <v>0</v>
      </c>
      <c r="S5" s="475"/>
      <c r="T5" s="350">
        <f>Hoja9!R14</f>
        <v>0.50234715293956012</v>
      </c>
      <c r="U5" s="332"/>
      <c r="V5" s="331"/>
      <c r="W5" s="333" t="str">
        <f>IF(R5=6164736,"(Tope UTA 8)"," ")</f>
        <v xml:space="preserve"> </v>
      </c>
      <c r="X5" s="368"/>
      <c r="AF5" s="147" t="s">
        <v>10</v>
      </c>
      <c r="AG5" s="147" t="s">
        <v>11</v>
      </c>
      <c r="AH5" s="147">
        <f>IF(Q270="Si",1,0)</f>
        <v>1</v>
      </c>
      <c r="AX5" s="147">
        <f>IF(P3="No pensionado",0,IF(P3="Pensionado cotizante",3,2))</f>
        <v>2</v>
      </c>
      <c r="DH5" s="241"/>
      <c r="DT5" s="241"/>
      <c r="FB5" s="241"/>
      <c r="HM5" s="158">
        <f>MIN(P5,Hoja15!J19)</f>
        <v>0</v>
      </c>
    </row>
    <row r="6" spans="1:228" ht="13.5" customHeight="1" thickBot="1" x14ac:dyDescent="0.3">
      <c r="D6" s="250"/>
      <c r="E6" s="268"/>
      <c r="F6" s="468"/>
      <c r="G6" s="269"/>
      <c r="H6" s="250"/>
      <c r="I6" s="273"/>
      <c r="J6" s="241"/>
      <c r="K6" s="252"/>
      <c r="L6" s="252"/>
      <c r="M6" s="417" t="s">
        <v>12</v>
      </c>
      <c r="N6" s="467" t="s">
        <v>13</v>
      </c>
      <c r="O6" s="467"/>
      <c r="P6" s="351"/>
      <c r="Q6" s="352"/>
      <c r="R6" s="479">
        <v>0</v>
      </c>
      <c r="S6" s="479"/>
      <c r="T6" s="479"/>
      <c r="U6" s="271"/>
      <c r="V6" s="272"/>
      <c r="W6" s="270"/>
      <c r="X6" s="368" t="s">
        <v>14</v>
      </c>
      <c r="AC6" s="147">
        <v>1510523</v>
      </c>
      <c r="AD6" s="147">
        <f>AC6/67.4</f>
        <v>22411.320474777447</v>
      </c>
      <c r="DH6" s="241"/>
      <c r="DT6" s="241"/>
      <c r="FB6" s="241"/>
      <c r="HP6" s="476" t="s">
        <v>15</v>
      </c>
      <c r="HQ6" s="476"/>
      <c r="HR6" s="476"/>
      <c r="HS6" s="470" t="s">
        <v>16</v>
      </c>
      <c r="HT6" s="470"/>
    </row>
    <row r="7" spans="1:228" ht="16.5" customHeight="1" thickBot="1" x14ac:dyDescent="0.3">
      <c r="D7" s="250"/>
      <c r="E7" s="250"/>
      <c r="F7" s="253"/>
      <c r="G7" s="250"/>
      <c r="H7" s="254"/>
      <c r="I7" s="251"/>
      <c r="J7" s="250"/>
      <c r="K7" s="250"/>
      <c r="L7" s="250"/>
      <c r="M7" s="417"/>
      <c r="N7" s="467" t="s">
        <v>17</v>
      </c>
      <c r="O7" s="467"/>
      <c r="P7" s="353">
        <v>0</v>
      </c>
      <c r="Q7" s="354" t="str">
        <f>IF(R6=0," ",IF(T45=1,"Credito","Débito"))</f>
        <v xml:space="preserve"> </v>
      </c>
      <c r="R7" s="475">
        <f>IF(R6=" "," ",IF(R6=0,0,IF(Q7="Débito",Q48,Q48*-1)))</f>
        <v>0</v>
      </c>
      <c r="S7" s="475"/>
      <c r="T7" s="475"/>
      <c r="U7" s="255"/>
      <c r="V7" s="255"/>
      <c r="W7" s="257"/>
      <c r="X7" s="257"/>
      <c r="AA7" s="160">
        <f>IF(P3="No pensionado",0,1)</f>
        <v>1</v>
      </c>
      <c r="BF7" s="161">
        <f>IF(P3="Pensionado no cotizante",0,1)</f>
        <v>0</v>
      </c>
      <c r="DH7" s="241"/>
      <c r="DT7" s="241"/>
      <c r="FB7" s="241"/>
      <c r="HP7" s="476"/>
      <c r="HQ7" s="476"/>
      <c r="HR7" s="476"/>
      <c r="HS7" s="470"/>
      <c r="HT7" s="470"/>
    </row>
    <row r="8" spans="1:228" ht="16.5" hidden="1" customHeight="1" x14ac:dyDescent="0.25">
      <c r="D8" s="250"/>
      <c r="E8" s="250"/>
      <c r="F8" s="253"/>
      <c r="G8" s="250"/>
      <c r="H8" s="254"/>
      <c r="I8" s="251"/>
      <c r="J8" s="250"/>
      <c r="K8" s="250"/>
      <c r="L8" s="250"/>
      <c r="M8" s="250"/>
      <c r="N8" s="251"/>
      <c r="O8" s="251"/>
      <c r="P8" s="251"/>
      <c r="Q8" s="251"/>
      <c r="R8" s="250"/>
      <c r="S8" s="250"/>
      <c r="T8" s="477"/>
      <c r="U8" s="477"/>
      <c r="V8" s="477"/>
      <c r="W8" s="478"/>
      <c r="X8" s="478"/>
      <c r="BF8" s="162"/>
      <c r="DH8" s="241"/>
      <c r="DT8" s="241"/>
      <c r="FB8" s="241"/>
    </row>
    <row r="9" spans="1:228" ht="16.5" hidden="1" customHeight="1" x14ac:dyDescent="0.25">
      <c r="D9" s="250"/>
      <c r="E9" s="250"/>
      <c r="F9" s="253"/>
      <c r="G9" s="250"/>
      <c r="H9" s="254"/>
      <c r="I9" s="251"/>
      <c r="J9" s="250"/>
      <c r="K9" s="250"/>
      <c r="L9" s="250"/>
      <c r="M9" s="250"/>
      <c r="N9" s="251"/>
      <c r="O9" s="251"/>
      <c r="P9" s="251"/>
      <c r="Q9" s="251"/>
      <c r="R9" s="250"/>
      <c r="S9" s="250"/>
      <c r="T9" s="477"/>
      <c r="U9" s="477"/>
      <c r="V9" s="477"/>
      <c r="W9" s="478"/>
      <c r="X9" s="478"/>
      <c r="BF9" s="162"/>
      <c r="DH9" s="241"/>
      <c r="DT9" s="241"/>
      <c r="FB9" s="241"/>
    </row>
    <row r="10" spans="1:228" ht="16.5" hidden="1" customHeight="1" x14ac:dyDescent="0.25">
      <c r="D10" s="250"/>
      <c r="E10" s="250"/>
      <c r="F10" s="253"/>
      <c r="G10" s="250"/>
      <c r="H10" s="253"/>
      <c r="I10" s="251"/>
      <c r="J10" s="250"/>
      <c r="K10" s="250"/>
      <c r="L10" s="250"/>
      <c r="M10" s="250"/>
      <c r="N10" s="250"/>
      <c r="O10" s="250"/>
      <c r="P10" s="250"/>
      <c r="Q10" s="256"/>
      <c r="R10" s="250"/>
      <c r="S10" s="258"/>
      <c r="T10" s="250"/>
      <c r="U10" s="250"/>
      <c r="V10" s="250"/>
      <c r="W10" s="250"/>
      <c r="X10" s="250"/>
      <c r="DH10" s="241"/>
      <c r="DT10" s="241"/>
      <c r="FB10" s="241"/>
    </row>
    <row r="11" spans="1:228" ht="9" customHeight="1" x14ac:dyDescent="0.2">
      <c r="D11" s="250"/>
      <c r="E11" s="251"/>
      <c r="F11" s="266"/>
      <c r="G11" s="267"/>
      <c r="H11" s="251"/>
      <c r="I11" s="464"/>
      <c r="J11" s="464"/>
      <c r="K11" s="465" t="s">
        <v>18</v>
      </c>
      <c r="L11" s="466"/>
      <c r="M11" s="251"/>
      <c r="N11" s="251"/>
      <c r="O11" s="251"/>
      <c r="P11" s="251"/>
      <c r="Q11" s="251"/>
      <c r="R11" s="251"/>
      <c r="S11" s="251"/>
      <c r="T11" s="251"/>
      <c r="U11" s="251"/>
      <c r="V11" s="251"/>
      <c r="W11" s="251"/>
      <c r="X11" s="251"/>
      <c r="Y11" s="164"/>
      <c r="Z11" s="147"/>
      <c r="AA11" s="165"/>
      <c r="AB11" s="166"/>
      <c r="AC11" s="166"/>
      <c r="AD11" s="166"/>
      <c r="AE11" s="459" t="s">
        <v>19</v>
      </c>
      <c r="AF11" s="459"/>
      <c r="AG11" s="459" t="s">
        <v>20</v>
      </c>
      <c r="AH11" s="459"/>
      <c r="AJ11" s="147"/>
      <c r="DH11" s="241"/>
      <c r="DT11" s="241"/>
      <c r="FB11" s="241"/>
    </row>
    <row r="12" spans="1:228" ht="24" customHeight="1" x14ac:dyDescent="0.3">
      <c r="D12" s="250"/>
      <c r="E12" s="463" t="s">
        <v>21</v>
      </c>
      <c r="F12" s="334" t="s">
        <v>22</v>
      </c>
      <c r="G12" s="402" t="s">
        <v>23</v>
      </c>
      <c r="H12" s="402" t="s">
        <v>24</v>
      </c>
      <c r="I12" s="402" t="s">
        <v>25</v>
      </c>
      <c r="J12" s="335" t="s">
        <v>26</v>
      </c>
      <c r="K12" s="335" t="s">
        <v>27</v>
      </c>
      <c r="L12" s="335" t="s">
        <v>28</v>
      </c>
      <c r="M12" s="335" t="s">
        <v>27</v>
      </c>
      <c r="N12" s="402" t="s">
        <v>29</v>
      </c>
      <c r="O12" s="402"/>
      <c r="P12" s="402" t="s">
        <v>30</v>
      </c>
      <c r="Q12" s="402"/>
      <c r="R12" s="402" t="s">
        <v>31</v>
      </c>
      <c r="S12" s="402"/>
      <c r="T12" s="402" t="s">
        <v>32</v>
      </c>
      <c r="U12" s="336"/>
      <c r="V12" s="402" t="s">
        <v>33</v>
      </c>
      <c r="W12" s="402"/>
      <c r="X12" s="471" t="s">
        <v>34</v>
      </c>
      <c r="Y12" s="167"/>
      <c r="Z12" s="168" t="s">
        <v>35</v>
      </c>
      <c r="AA12" s="168" t="s">
        <v>36</v>
      </c>
      <c r="AB12" s="168" t="s">
        <v>37</v>
      </c>
      <c r="AC12" s="168" t="s">
        <v>38</v>
      </c>
      <c r="AD12" s="168" t="s">
        <v>39</v>
      </c>
      <c r="AE12" s="168" t="s">
        <v>40</v>
      </c>
      <c r="AF12" s="169" t="s">
        <v>28</v>
      </c>
      <c r="AG12" s="169" t="s">
        <v>27</v>
      </c>
      <c r="AH12" s="169" t="s">
        <v>28</v>
      </c>
      <c r="AI12" s="169" t="s">
        <v>27</v>
      </c>
      <c r="AX12" s="168" t="s">
        <v>35</v>
      </c>
      <c r="AY12" s="168" t="s">
        <v>36</v>
      </c>
      <c r="AZ12" s="168" t="s">
        <v>37</v>
      </c>
      <c r="BA12" s="168" t="s">
        <v>41</v>
      </c>
      <c r="BB12" s="168" t="s">
        <v>42</v>
      </c>
      <c r="BC12" s="168" t="s">
        <v>40</v>
      </c>
      <c r="BD12" s="168" t="s">
        <v>38</v>
      </c>
      <c r="BJ12" s="168" t="s">
        <v>35</v>
      </c>
      <c r="BK12" s="168" t="s">
        <v>36</v>
      </c>
      <c r="DH12" s="241"/>
      <c r="DT12" s="241"/>
      <c r="FB12" s="241"/>
    </row>
    <row r="13" spans="1:228" ht="15.75" customHeight="1" x14ac:dyDescent="0.3">
      <c r="D13" s="250"/>
      <c r="E13" s="463"/>
      <c r="F13" s="334"/>
      <c r="G13" s="402"/>
      <c r="H13" s="402"/>
      <c r="I13" s="402"/>
      <c r="J13" s="335"/>
      <c r="K13" s="335"/>
      <c r="L13" s="335"/>
      <c r="M13" s="335"/>
      <c r="N13" s="402"/>
      <c r="O13" s="402"/>
      <c r="P13" s="402"/>
      <c r="Q13" s="402"/>
      <c r="R13" s="402"/>
      <c r="S13" s="402"/>
      <c r="T13" s="402"/>
      <c r="U13" s="336"/>
      <c r="V13" s="402"/>
      <c r="W13" s="402"/>
      <c r="X13" s="471"/>
      <c r="Y13" s="167"/>
      <c r="Z13" s="168"/>
      <c r="AA13" s="168"/>
      <c r="AB13" s="168"/>
      <c r="AC13" s="168"/>
      <c r="AD13" s="168"/>
      <c r="AE13" s="168"/>
      <c r="AF13" s="168"/>
      <c r="AG13" s="168"/>
      <c r="AH13" s="168"/>
      <c r="AI13" s="168"/>
      <c r="AJ13" s="157">
        <f>SUM(AJ14:AJ25)</f>
        <v>0</v>
      </c>
      <c r="AX13" s="168"/>
      <c r="AY13" s="168"/>
      <c r="AZ13" s="168"/>
      <c r="BA13" s="168"/>
      <c r="BB13" s="168"/>
      <c r="BC13" s="168"/>
      <c r="BD13" s="168"/>
      <c r="BJ13" s="168"/>
      <c r="BK13" s="168"/>
      <c r="CK13" s="147" t="s">
        <v>43</v>
      </c>
      <c r="CM13" s="147" t="s">
        <v>44</v>
      </c>
      <c r="CN13" s="147" t="s">
        <v>45</v>
      </c>
      <c r="CO13" s="147" t="s">
        <v>46</v>
      </c>
      <c r="CP13" s="147" t="s">
        <v>47</v>
      </c>
      <c r="CQ13" s="147" t="s">
        <v>48</v>
      </c>
      <c r="CR13" s="147" t="s">
        <v>49</v>
      </c>
      <c r="CS13" s="313" t="s">
        <v>50</v>
      </c>
      <c r="CT13" s="313" t="s">
        <v>51</v>
      </c>
      <c r="DH13" s="241"/>
      <c r="DT13" s="241"/>
      <c r="FB13" s="241"/>
    </row>
    <row r="14" spans="1:228" x14ac:dyDescent="0.25">
      <c r="A14" s="147">
        <f>P14/Hoja15!C6</f>
        <v>8.0044057706951044</v>
      </c>
      <c r="B14" s="147">
        <f>J14/F14</f>
        <v>7.8156730818579724E-4</v>
      </c>
      <c r="D14" s="250"/>
      <c r="E14" s="337" t="s">
        <v>52</v>
      </c>
      <c r="F14" s="338">
        <f>H229</f>
        <v>38384.410000000003</v>
      </c>
      <c r="G14" s="339">
        <v>7000000</v>
      </c>
      <c r="H14" s="339"/>
      <c r="I14" s="340">
        <f>IF($Y$4=1,Y14*0.1,IF(G14-AB14-AC14-AD14-AE14&lt;(50*F14),G14-AB14-AC14-AD14-AE14,50*F14))</f>
        <v>1919220.5000000002</v>
      </c>
      <c r="J14" s="339">
        <v>30</v>
      </c>
      <c r="K14" s="341">
        <v>0</v>
      </c>
      <c r="L14" s="341">
        <v>0</v>
      </c>
      <c r="M14" s="339"/>
      <c r="N14" s="416">
        <f>G14-AB14-AC14-AD14-AE14-AF14</f>
        <v>5612557.1161400005</v>
      </c>
      <c r="O14" s="416"/>
      <c r="P14" s="416">
        <f>N14*Z14-AA14</f>
        <v>539729.07671220019</v>
      </c>
      <c r="Q14" s="416"/>
      <c r="R14" s="416">
        <f>AW14</f>
        <v>0</v>
      </c>
      <c r="S14" s="416"/>
      <c r="T14" s="340">
        <f>AW14*AX14-AY14</f>
        <v>0</v>
      </c>
      <c r="U14" s="342"/>
      <c r="V14" s="401"/>
      <c r="W14" s="401"/>
      <c r="X14" s="340">
        <f>+V14*0.145</f>
        <v>0</v>
      </c>
      <c r="Y14" s="148">
        <f>IF(G14&gt;87.8*F14,87.8*F14,G14)</f>
        <v>3370151.1980000003</v>
      </c>
      <c r="Z14" s="228">
        <f>VLOOKUP(N14,Hoja15!$E$6:$H$13,3)</f>
        <v>0.23</v>
      </c>
      <c r="AA14" s="149">
        <f>VLOOKUP(N14,Hoja15!$E$6:$H$14,4)</f>
        <v>751159.06</v>
      </c>
      <c r="AB14" s="150">
        <f>IF($AX$5=2,0,Y14*0.1)</f>
        <v>0</v>
      </c>
      <c r="AC14" s="170">
        <f t="shared" ref="AC14:AC25" si="0">IF($BF$7=0,0,(IF(G14&gt;87.8*F14,87.8*F14*$AC$4,$AC$4*G14)))</f>
        <v>0</v>
      </c>
      <c r="AD14" s="150">
        <f t="shared" ref="AD14:AD25" si="1">IF(G14&gt;87.8*F14,87.8*7%*F14,7%*G14)</f>
        <v>235910.58386000004</v>
      </c>
      <c r="AE14" s="150">
        <f>(IF($BF$7=0,0,IF($HS$6="No",0,IF(G14&gt;131.8*F14,0.6%*131.8*F14,0.6%*G14))))*AH5</f>
        <v>0</v>
      </c>
      <c r="AF14" s="149">
        <f t="shared" ref="AF14:AF25" si="2">IF($AJ$42=2,J14*F14,J14)</f>
        <v>1151532.3</v>
      </c>
      <c r="AG14" s="151">
        <f>IF($AK$42=2,M14*F14,M14)</f>
        <v>0</v>
      </c>
      <c r="AH14" s="149">
        <f t="shared" ref="AH14:AH25" si="3">IF($AL$42=2,L14*F14,L14)</f>
        <v>0</v>
      </c>
      <c r="AI14" s="151">
        <f t="shared" ref="AI14:AI25" si="4">IF($AM$42=2,M14*F14,M14)</f>
        <v>0</v>
      </c>
      <c r="AJ14" s="157">
        <f t="shared" ref="AJ14:AJ26" si="5">IF(AF14&gt;I14,1,0)</f>
        <v>0</v>
      </c>
      <c r="AK14" s="153">
        <f t="shared" ref="AK14:AK25" si="6">I14/F14</f>
        <v>50</v>
      </c>
      <c r="AL14" s="171">
        <f t="shared" ref="AL14:AL25" si="7">AF14/F14</f>
        <v>30</v>
      </c>
      <c r="AM14" s="153">
        <f t="shared" ref="AM14:AM25" si="8">AG14/F14</f>
        <v>0</v>
      </c>
      <c r="AN14" s="153">
        <f t="shared" ref="AN14:AN25" si="9">AH14/F14</f>
        <v>0</v>
      </c>
      <c r="AO14" s="153">
        <f t="shared" ref="AO14:AO25" si="10">AI14/F14</f>
        <v>0</v>
      </c>
      <c r="AR14" s="147">
        <f t="shared" ref="AR14:AR25" si="11">P14/F14</f>
        <v>14.061153387851999</v>
      </c>
      <c r="AW14" s="154">
        <f>BF14-BB14-AZ14</f>
        <v>0</v>
      </c>
      <c r="AX14" s="155">
        <f>VLOOKUP(AW14,Hoja15!$E$6:$H$13,3)</f>
        <v>0</v>
      </c>
      <c r="AY14" s="150">
        <f>VLOOKUP(AW14,Hoja15!$E$6:$H$13,4)</f>
        <v>0</v>
      </c>
      <c r="AZ14" s="150">
        <v>0</v>
      </c>
      <c r="BA14" s="170">
        <f>1.25%*BF14</f>
        <v>0</v>
      </c>
      <c r="BB14" s="150">
        <f t="shared" ref="BB14:BB25" si="12">IF(BF14&gt;60*F14,60*7%*F14,7%*BF14)</f>
        <v>0</v>
      </c>
      <c r="BC14" s="150">
        <v>0</v>
      </c>
      <c r="BD14" s="170">
        <v>0</v>
      </c>
      <c r="BF14" s="170">
        <f t="shared" ref="BF14:BF25" si="13">IF($P$3="No pensionado",0,H14)</f>
        <v>0</v>
      </c>
      <c r="BI14" s="154">
        <f>N14+R14</f>
        <v>5612557.1161400005</v>
      </c>
      <c r="BJ14" s="230">
        <f>VLOOKUP(BI14,Hoja15!$E$6:$H$13,3)</f>
        <v>0.23</v>
      </c>
      <c r="BK14" s="150">
        <f>VLOOKUP(BI14,Hoja15!$E$6:$H$13,4)</f>
        <v>751159.06</v>
      </c>
      <c r="BL14" s="154">
        <f>BI14*BJ14-BK14</f>
        <v>539729.07671220019</v>
      </c>
      <c r="BM14" s="147">
        <f>BL14/Hoja15!C6</f>
        <v>8.0044057706951044</v>
      </c>
      <c r="BP14" s="147">
        <f>P14/Hoja15!C6</f>
        <v>8.0044057706951044</v>
      </c>
      <c r="BQ14" s="147">
        <f>T14/Hoja15!C6</f>
        <v>0</v>
      </c>
      <c r="BT14" s="147">
        <f>I14/F14</f>
        <v>50</v>
      </c>
      <c r="BU14" s="172">
        <f>M14</f>
        <v>0</v>
      </c>
      <c r="BX14" s="147">
        <f>IF($AJ$42=1,M14/F14,J14)</f>
        <v>30</v>
      </c>
      <c r="BY14" s="179">
        <f>IF($AJ$42=1,J14/F14,J14)</f>
        <v>30</v>
      </c>
      <c r="BZ14" s="147">
        <f>I14/F14</f>
        <v>50</v>
      </c>
      <c r="CF14" s="147" t="s">
        <v>1</v>
      </c>
      <c r="CG14" s="226">
        <v>1.44E-2</v>
      </c>
      <c r="CJ14" s="147" t="s">
        <v>53</v>
      </c>
      <c r="CK14" s="226">
        <f>J229</f>
        <v>0</v>
      </c>
      <c r="CM14" s="172">
        <f>N14*(1+CK14)</f>
        <v>5612557.1161400005</v>
      </c>
      <c r="CN14" s="172">
        <f>R14*(1+CK14)</f>
        <v>0</v>
      </c>
      <c r="CO14" s="172">
        <f>P14*(1+CK14)</f>
        <v>539729.07671220019</v>
      </c>
      <c r="CP14" s="172">
        <f>T14*(1+CK14)</f>
        <v>0</v>
      </c>
      <c r="CQ14" s="172">
        <f>V14*(1+CK14)</f>
        <v>0</v>
      </c>
      <c r="CR14" s="172">
        <f>X14*(1+CK14)</f>
        <v>0</v>
      </c>
      <c r="CS14" s="314">
        <f>IF($AJ$42=2,J14*H229,J14)*(1+CK14)</f>
        <v>1151532.3</v>
      </c>
      <c r="CT14" s="314">
        <f>IF($AK$42=2,M14*H229,M14)*(1+CK14)</f>
        <v>0</v>
      </c>
      <c r="DH14" s="241"/>
      <c r="DI14" s="183"/>
      <c r="DO14" s="182">
        <f>H14-10*H229</f>
        <v>-383844.10000000003</v>
      </c>
      <c r="DT14" s="241"/>
      <c r="FB14" s="241"/>
    </row>
    <row r="15" spans="1:228" x14ac:dyDescent="0.25">
      <c r="A15" s="147">
        <f>P15/Hoja15!C7</f>
        <v>8.010254985211164</v>
      </c>
      <c r="B15" s="147">
        <f t="shared" ref="B15:B25" si="14">J15/F15</f>
        <v>7.7623800906335494E-4</v>
      </c>
      <c r="D15" s="250"/>
      <c r="E15" s="337" t="s">
        <v>54</v>
      </c>
      <c r="F15" s="338">
        <f t="shared" ref="F15:F25" si="15">H230</f>
        <v>38647.94</v>
      </c>
      <c r="G15" s="339">
        <v>7000000</v>
      </c>
      <c r="H15" s="339"/>
      <c r="I15" s="340">
        <f>IF($Y$4=1,Y15*0.1,IF(G15-AB15-AC15-AD15-AE15&lt;(50*F15),G15-AB15-AC15-AD15-AE15,50*F15))</f>
        <v>1932397</v>
      </c>
      <c r="J15" s="339">
        <v>30</v>
      </c>
      <c r="K15" s="341">
        <v>0</v>
      </c>
      <c r="L15" s="341">
        <v>0</v>
      </c>
      <c r="M15" s="339"/>
      <c r="N15" s="416">
        <f>G15-AB15-AC15-AD15-AE15-AF15</f>
        <v>5603031.5607599998</v>
      </c>
      <c r="O15" s="416"/>
      <c r="P15" s="416">
        <f t="shared" ref="P15:P24" si="16">N15*Z15-AA15</f>
        <v>539042.09897480009</v>
      </c>
      <c r="Q15" s="416"/>
      <c r="R15" s="416">
        <f t="shared" ref="R15:R25" si="17">AW15</f>
        <v>0</v>
      </c>
      <c r="S15" s="416"/>
      <c r="T15" s="340">
        <f t="shared" ref="T15:T25" si="18">AW15*AX15-AY15</f>
        <v>0</v>
      </c>
      <c r="U15" s="342"/>
      <c r="V15" s="401"/>
      <c r="W15" s="401"/>
      <c r="X15" s="340">
        <f t="shared" ref="X15:X25" si="19">+V15*0.145</f>
        <v>0</v>
      </c>
      <c r="Y15" s="148">
        <f>IF(G15&gt;87.8*F15,87.8*F15,G15)</f>
        <v>3393289.1320000002</v>
      </c>
      <c r="Z15" s="228">
        <f>VLOOKUP(N15,Hoja15!$E$15:$H$22,3)</f>
        <v>0.23</v>
      </c>
      <c r="AA15" s="149">
        <f>VLOOKUP(N15,Hoja15!$E$15:$H$22,4)</f>
        <v>749655.16</v>
      </c>
      <c r="AB15" s="150">
        <f t="shared" ref="AB15:AB25" si="20">IF($AX$5=2,0,Y15*0.1)</f>
        <v>0</v>
      </c>
      <c r="AC15" s="170">
        <f>IF($BF$7=0,0,(IF(G15&gt;87.8*F15,87.8*F15*$AC$4,$AC$4*G15)))</f>
        <v>0</v>
      </c>
      <c r="AD15" s="150">
        <f>IF(G15&gt;87.8*F15,87.8*7%*F15,7%*G15)</f>
        <v>237530.23924000005</v>
      </c>
      <c r="AE15" s="150">
        <f>(IF($BF$7=0,0,IF($HS$6="No",0,IF(G15&gt;131.8*F15,0.6%*131.8*F15,0.6%*G15))))*$AH$5</f>
        <v>0</v>
      </c>
      <c r="AF15" s="149">
        <f t="shared" si="2"/>
        <v>1159438.2000000002</v>
      </c>
      <c r="AG15" s="151">
        <f t="shared" ref="AG15:AG25" si="21">IF($AK$42=2,M15*F15,M15)</f>
        <v>0</v>
      </c>
      <c r="AH15" s="149">
        <f t="shared" si="3"/>
        <v>0</v>
      </c>
      <c r="AI15" s="151">
        <f t="shared" si="4"/>
        <v>0</v>
      </c>
      <c r="AJ15" s="157">
        <f t="shared" si="5"/>
        <v>0</v>
      </c>
      <c r="AK15" s="153">
        <f t="shared" si="6"/>
        <v>50</v>
      </c>
      <c r="AL15" s="153">
        <f t="shared" si="7"/>
        <v>30.000000000000004</v>
      </c>
      <c r="AM15" s="153">
        <f t="shared" si="8"/>
        <v>0</v>
      </c>
      <c r="AN15" s="153">
        <f t="shared" si="9"/>
        <v>0</v>
      </c>
      <c r="AO15" s="153">
        <f t="shared" si="10"/>
        <v>0</v>
      </c>
      <c r="AR15" s="147">
        <f t="shared" si="11"/>
        <v>13.947498856984359</v>
      </c>
      <c r="AW15" s="154">
        <f t="shared" ref="AW15:AW24" si="22">BF15-BB15-AZ15</f>
        <v>0</v>
      </c>
      <c r="AX15" s="155">
        <f>VLOOKUP(AW15,Hoja15!$E$15:$H$22,3)</f>
        <v>0</v>
      </c>
      <c r="AY15" s="150">
        <f>VLOOKUP(AW15,Hoja15!$E$15:$H$22,4)</f>
        <v>0</v>
      </c>
      <c r="AZ15" s="150">
        <v>0</v>
      </c>
      <c r="BA15" s="170">
        <f t="shared" ref="BA15:BA25" si="23">1.25%*BF15</f>
        <v>0</v>
      </c>
      <c r="BB15" s="150">
        <f t="shared" si="12"/>
        <v>0</v>
      </c>
      <c r="BC15" s="150">
        <v>0</v>
      </c>
      <c r="BD15" s="170">
        <v>0</v>
      </c>
      <c r="BF15" s="170">
        <f t="shared" si="13"/>
        <v>0</v>
      </c>
      <c r="BI15" s="154">
        <f t="shared" ref="BI15:BI25" si="24">N15+R15</f>
        <v>5603031.5607599998</v>
      </c>
      <c r="BJ15" s="230">
        <f>VLOOKUP(BI15,Hoja15!$E$15:$H$22,3)</f>
        <v>0.23</v>
      </c>
      <c r="BK15" s="150">
        <f>VLOOKUP(BI15,Hoja15!$E$15:$H$22,4)</f>
        <v>749655.16</v>
      </c>
      <c r="BL15" s="154">
        <f t="shared" ref="BL15:BL25" si="25">BI15*BJ15-BK15</f>
        <v>539042.09897480009</v>
      </c>
      <c r="BM15" s="147">
        <f>BL15/Hoja15!C7</f>
        <v>8.010254985211164</v>
      </c>
      <c r="BP15" s="147">
        <f>P15/Hoja15!C7</f>
        <v>8.010254985211164</v>
      </c>
      <c r="BQ15" s="147">
        <f>T15/Hoja15!C7</f>
        <v>0</v>
      </c>
      <c r="BT15" s="147">
        <f t="shared" ref="BT15:BT25" si="26">I15/F15</f>
        <v>50</v>
      </c>
      <c r="BX15" s="147">
        <f t="shared" ref="BX15:BX25" si="27">IF($AJ$42=1,M15/F15,J15)</f>
        <v>30</v>
      </c>
      <c r="BY15" s="179">
        <f t="shared" ref="BY15:BY25" si="28">IF($AJ$42=1,J15/F15,J15)</f>
        <v>30</v>
      </c>
      <c r="BZ15" s="147">
        <f t="shared" ref="BZ15:BZ25" si="29">I15/F15</f>
        <v>50</v>
      </c>
      <c r="CF15" s="147" t="s">
        <v>55</v>
      </c>
      <c r="CG15" s="226">
        <v>1.44E-2</v>
      </c>
      <c r="CJ15" s="147" t="s">
        <v>56</v>
      </c>
      <c r="CK15" s="226">
        <f t="shared" ref="CK15:CK25" si="30">J230</f>
        <v>0</v>
      </c>
      <c r="CM15" s="172">
        <f t="shared" ref="CM15:CM25" si="31">N15*(1+CK15)</f>
        <v>5603031.5607599998</v>
      </c>
      <c r="CN15" s="172">
        <f t="shared" ref="CN15:CN25" si="32">R15*(1+CK15)</f>
        <v>0</v>
      </c>
      <c r="CO15" s="172">
        <f t="shared" ref="CO15:CO25" si="33">P15*(1+CK15)</f>
        <v>539042.09897480009</v>
      </c>
      <c r="CP15" s="172">
        <f t="shared" ref="CP15:CP25" si="34">T15*(1+CK15)</f>
        <v>0</v>
      </c>
      <c r="CQ15" s="172">
        <f t="shared" ref="CQ15:CQ25" si="35">V15*(1+CK15)</f>
        <v>0</v>
      </c>
      <c r="CR15" s="172">
        <f t="shared" ref="CR15:CR25" si="36">X15*(1+CK15)</f>
        <v>0</v>
      </c>
      <c r="CS15" s="314">
        <f t="shared" ref="CS15:CS25" si="37">IF($AJ$42=2,J15*H230,J15)*(1+CK15)</f>
        <v>1159438.2000000002</v>
      </c>
      <c r="CT15" s="314">
        <f t="shared" ref="CT15:CT25" si="38">IF($AK$42=2,M15*H230,M15)*(1+CK15)</f>
        <v>0</v>
      </c>
      <c r="DH15" s="241"/>
      <c r="DK15" s="183"/>
      <c r="DL15" s="183"/>
      <c r="DO15" s="182">
        <f t="shared" ref="DO15:DO25" si="39">H15-10*H230</f>
        <v>-386479.4</v>
      </c>
      <c r="DT15" s="241"/>
      <c r="FB15" s="241"/>
    </row>
    <row r="16" spans="1:228" x14ac:dyDescent="0.25">
      <c r="A16" s="147">
        <f>P16/Hoja15!C8</f>
        <v>117.53790046118118</v>
      </c>
      <c r="B16" s="147">
        <f t="shared" si="14"/>
        <v>7.7132501553577135E-4</v>
      </c>
      <c r="D16" s="250"/>
      <c r="E16" s="337" t="s">
        <v>57</v>
      </c>
      <c r="F16" s="338">
        <f t="shared" si="15"/>
        <v>38894.11</v>
      </c>
      <c r="G16" s="339">
        <v>28000000</v>
      </c>
      <c r="H16" s="339"/>
      <c r="I16" s="340">
        <f>IF($Y$4=1,Y16*0.1,IF(G16-AB16-AC16-AD16-AE16&lt;(50*F16),G16-AB16-AC16-AD16-AE16,50*F16))</f>
        <v>1944705.5</v>
      </c>
      <c r="J16" s="339">
        <v>30</v>
      </c>
      <c r="K16" s="341">
        <v>0</v>
      </c>
      <c r="L16" s="341">
        <v>0</v>
      </c>
      <c r="M16" s="339"/>
      <c r="N16" s="416">
        <f>G16-AB16-AC16-AD16-AE16-AF16</f>
        <v>26594133.49994</v>
      </c>
      <c r="O16" s="416"/>
      <c r="P16" s="416">
        <f t="shared" si="16"/>
        <v>7996573.5199760003</v>
      </c>
      <c r="Q16" s="416"/>
      <c r="R16" s="416">
        <f t="shared" si="17"/>
        <v>0</v>
      </c>
      <c r="S16" s="416"/>
      <c r="T16" s="340">
        <f t="shared" si="18"/>
        <v>0</v>
      </c>
      <c r="U16" s="342"/>
      <c r="V16" s="401"/>
      <c r="W16" s="401"/>
      <c r="X16" s="340">
        <f t="shared" si="19"/>
        <v>0</v>
      </c>
      <c r="Y16" s="148">
        <f>IF(G16&gt;87.8*F16,87.8*F16,G16)</f>
        <v>3414902.858</v>
      </c>
      <c r="Z16" s="228">
        <f>VLOOKUP(N16,Hoja15!$E$24:$H$31,3)</f>
        <v>0.4</v>
      </c>
      <c r="AA16" s="149">
        <f>VLOOKUP(N16,Hoja15!$E$24:$H$31,4)</f>
        <v>2641079.88</v>
      </c>
      <c r="AB16" s="150">
        <f t="shared" si="20"/>
        <v>0</v>
      </c>
      <c r="AC16" s="170">
        <f>IF($BF$7=0,0,(IF(G16&gt;87.8*F16,87.8*F16*$AC$4,$AC$4*G16)))</f>
        <v>0</v>
      </c>
      <c r="AD16" s="150">
        <f>IF(G16&gt;87.8*F16,87.8*7%*F16,7%*G16)</f>
        <v>239043.20006000003</v>
      </c>
      <c r="AE16" s="150">
        <f>(IF($BF$7=0,0,IF($HS$6="No",0,IF(G16&gt;131.8*F16,0.6%*131.8*F16,0.6%*G16))))*$AH$5</f>
        <v>0</v>
      </c>
      <c r="AF16" s="149">
        <f t="shared" si="2"/>
        <v>1166823.3</v>
      </c>
      <c r="AG16" s="151">
        <f t="shared" si="21"/>
        <v>0</v>
      </c>
      <c r="AH16" s="149">
        <f t="shared" si="3"/>
        <v>0</v>
      </c>
      <c r="AI16" s="151">
        <f t="shared" si="4"/>
        <v>0</v>
      </c>
      <c r="AJ16" s="157">
        <f t="shared" si="5"/>
        <v>0</v>
      </c>
      <c r="AK16" s="153">
        <f t="shared" si="6"/>
        <v>50</v>
      </c>
      <c r="AL16" s="153">
        <f t="shared" si="7"/>
        <v>30</v>
      </c>
      <c r="AM16" s="153">
        <f t="shared" si="8"/>
        <v>0</v>
      </c>
      <c r="AN16" s="153">
        <f t="shared" si="9"/>
        <v>0</v>
      </c>
      <c r="AO16" s="153">
        <f t="shared" si="10"/>
        <v>0</v>
      </c>
      <c r="AR16" s="147">
        <f t="shared" si="11"/>
        <v>205.59857315094754</v>
      </c>
      <c r="AW16" s="154">
        <f t="shared" si="22"/>
        <v>0</v>
      </c>
      <c r="AX16" s="155">
        <f>VLOOKUP(AW16,Hoja15!$E$24:$H$31,3)</f>
        <v>0</v>
      </c>
      <c r="AY16" s="150">
        <f>VLOOKUP(AW16,Hoja15!$E$24:$H$31,4)</f>
        <v>0</v>
      </c>
      <c r="AZ16" s="150">
        <v>0</v>
      </c>
      <c r="BA16" s="170">
        <f t="shared" si="23"/>
        <v>0</v>
      </c>
      <c r="BB16" s="150">
        <f t="shared" si="12"/>
        <v>0</v>
      </c>
      <c r="BC16" s="150">
        <v>0</v>
      </c>
      <c r="BD16" s="170">
        <v>0</v>
      </c>
      <c r="BF16" s="170">
        <f t="shared" si="13"/>
        <v>0</v>
      </c>
      <c r="BI16" s="154">
        <f t="shared" si="24"/>
        <v>26594133.49994</v>
      </c>
      <c r="BJ16" s="230">
        <f>VLOOKUP(BI16,Hoja15!$E$24:$H$31,3)</f>
        <v>0.4</v>
      </c>
      <c r="BK16" s="150">
        <f>VLOOKUP(BI16,Hoja15!$E$24:$H$31,4)</f>
        <v>2641079.88</v>
      </c>
      <c r="BL16" s="154">
        <f t="shared" si="25"/>
        <v>7996573.5199760003</v>
      </c>
      <c r="BM16" s="147">
        <f>BL16/Hoja15!C8</f>
        <v>117.53790046118118</v>
      </c>
      <c r="BP16" s="147">
        <f>P16/Hoja15!C8</f>
        <v>117.53790046118118</v>
      </c>
      <c r="BQ16" s="147">
        <f>T16/Hoja15!C8</f>
        <v>0</v>
      </c>
      <c r="BT16" s="147">
        <f t="shared" si="26"/>
        <v>50</v>
      </c>
      <c r="BX16" s="147">
        <f t="shared" si="27"/>
        <v>30</v>
      </c>
      <c r="BY16" s="179">
        <f t="shared" si="28"/>
        <v>30</v>
      </c>
      <c r="BZ16" s="147">
        <f t="shared" si="29"/>
        <v>50</v>
      </c>
      <c r="CF16" s="147" t="s">
        <v>58</v>
      </c>
      <c r="CG16" s="226">
        <v>1.2699999999999999E-2</v>
      </c>
      <c r="CJ16" s="147" t="s">
        <v>59</v>
      </c>
      <c r="CK16" s="226">
        <f t="shared" si="30"/>
        <v>0</v>
      </c>
      <c r="CM16" s="172">
        <f t="shared" si="31"/>
        <v>26594133.49994</v>
      </c>
      <c r="CN16" s="172">
        <f t="shared" si="32"/>
        <v>0</v>
      </c>
      <c r="CO16" s="172">
        <f t="shared" si="33"/>
        <v>7996573.5199760003</v>
      </c>
      <c r="CP16" s="172">
        <f t="shared" si="34"/>
        <v>0</v>
      </c>
      <c r="CQ16" s="172">
        <f t="shared" si="35"/>
        <v>0</v>
      </c>
      <c r="CR16" s="172">
        <f t="shared" si="36"/>
        <v>0</v>
      </c>
      <c r="CS16" s="314">
        <f t="shared" si="37"/>
        <v>1166823.3</v>
      </c>
      <c r="CT16" s="314">
        <f t="shared" si="38"/>
        <v>0</v>
      </c>
      <c r="DH16" s="241"/>
      <c r="DK16" s="182" t="s">
        <v>60</v>
      </c>
      <c r="DO16" s="182">
        <f t="shared" si="39"/>
        <v>-388941.1</v>
      </c>
      <c r="DT16" s="241"/>
      <c r="EM16" s="369">
        <f>IF(AVERAGE(G14:G25)=G26/12,1,0)</f>
        <v>1</v>
      </c>
      <c r="FB16" s="241"/>
    </row>
    <row r="17" spans="1:158" x14ac:dyDescent="0.25">
      <c r="A17" s="147">
        <f>P17/Hoja15!C9</f>
        <v>7.6745031612479151</v>
      </c>
      <c r="B17" s="147">
        <f t="shared" si="14"/>
        <v>7.6774626293108622E-4</v>
      </c>
      <c r="D17" s="250"/>
      <c r="E17" s="337" t="s">
        <v>61</v>
      </c>
      <c r="F17" s="338">
        <f t="shared" si="15"/>
        <v>39075.410000000003</v>
      </c>
      <c r="G17" s="339">
        <v>7000000</v>
      </c>
      <c r="H17" s="339"/>
      <c r="I17" s="340">
        <f t="shared" ref="I17:I25" si="40">IF($Y$4=1,Y17*0.1,IF(G17-AB17-AC17-AD17-AE17&lt;(50*F17),G17-AB17-AC17-AD17-AE17,50*F17))</f>
        <v>1953770.5000000002</v>
      </c>
      <c r="J17" s="339">
        <v>30</v>
      </c>
      <c r="K17" s="341">
        <v>0</v>
      </c>
      <c r="L17" s="341">
        <v>0</v>
      </c>
      <c r="M17" s="339"/>
      <c r="N17" s="416">
        <f>G17-AB17-AC17-AD17-AE17-AF17</f>
        <v>5587580.2301400006</v>
      </c>
      <c r="O17" s="416"/>
      <c r="P17" s="416">
        <f t="shared" si="16"/>
        <v>524214.61293220008</v>
      </c>
      <c r="Q17" s="416"/>
      <c r="R17" s="416">
        <f t="shared" si="17"/>
        <v>0</v>
      </c>
      <c r="S17" s="416"/>
      <c r="T17" s="340">
        <f t="shared" si="18"/>
        <v>0</v>
      </c>
      <c r="U17" s="342"/>
      <c r="V17" s="401"/>
      <c r="W17" s="401"/>
      <c r="X17" s="340">
        <f t="shared" si="19"/>
        <v>0</v>
      </c>
      <c r="Y17" s="148">
        <f t="shared" ref="Y17:Y25" si="41">IF(G17&gt;87.8*F17,87.8*F17,G17)</f>
        <v>3430820.9980000001</v>
      </c>
      <c r="Z17" s="228">
        <f>VLOOKUP(N17,Hoja15!$E$33:$H$40,3)</f>
        <v>0.23</v>
      </c>
      <c r="AA17" s="149">
        <f>VLOOKUP(N17,Hoja15!$E$33:$H$40,4)</f>
        <v>760928.84000000008</v>
      </c>
      <c r="AB17" s="150">
        <f t="shared" si="20"/>
        <v>0</v>
      </c>
      <c r="AC17" s="170">
        <f t="shared" si="0"/>
        <v>0</v>
      </c>
      <c r="AD17" s="150">
        <f t="shared" si="1"/>
        <v>240157.46986000004</v>
      </c>
      <c r="AE17" s="150">
        <f t="shared" ref="AE17:AE25" si="42">(IF($BF$7=0,0,IF($HS$6="No",0,IF(G17&gt;131.8*F17,0.6%*131.8*F17,0.6%*G17))))*$AH$5</f>
        <v>0</v>
      </c>
      <c r="AF17" s="149">
        <f t="shared" si="2"/>
        <v>1172262.3</v>
      </c>
      <c r="AG17" s="151">
        <f t="shared" si="21"/>
        <v>0</v>
      </c>
      <c r="AH17" s="149">
        <f t="shared" si="3"/>
        <v>0</v>
      </c>
      <c r="AI17" s="151">
        <f t="shared" si="4"/>
        <v>0</v>
      </c>
      <c r="AJ17" s="157">
        <f t="shared" si="5"/>
        <v>0</v>
      </c>
      <c r="AK17" s="153">
        <f t="shared" si="6"/>
        <v>50</v>
      </c>
      <c r="AL17" s="153">
        <f t="shared" si="7"/>
        <v>30</v>
      </c>
      <c r="AM17" s="153">
        <f t="shared" si="8"/>
        <v>0</v>
      </c>
      <c r="AN17" s="153">
        <f t="shared" si="9"/>
        <v>0</v>
      </c>
      <c r="AO17" s="153">
        <f t="shared" si="10"/>
        <v>0</v>
      </c>
      <c r="AR17" s="147">
        <f t="shared" si="11"/>
        <v>13.415460335085417</v>
      </c>
      <c r="AW17" s="154">
        <f t="shared" si="22"/>
        <v>0</v>
      </c>
      <c r="AX17" s="155">
        <f>VLOOKUP(AW17,Hoja15!$E$33:$H$40,3)</f>
        <v>0</v>
      </c>
      <c r="AY17" s="150">
        <f>VLOOKUP(AW17,Hoja15!$E$33:$H$40,4)</f>
        <v>0</v>
      </c>
      <c r="AZ17" s="150">
        <v>0</v>
      </c>
      <c r="BA17" s="170">
        <f t="shared" si="23"/>
        <v>0</v>
      </c>
      <c r="BB17" s="150">
        <f t="shared" si="12"/>
        <v>0</v>
      </c>
      <c r="BC17" s="150">
        <v>0</v>
      </c>
      <c r="BD17" s="170">
        <v>0</v>
      </c>
      <c r="BF17" s="170">
        <f t="shared" si="13"/>
        <v>0</v>
      </c>
      <c r="BI17" s="154">
        <f t="shared" si="24"/>
        <v>5587580.2301400006</v>
      </c>
      <c r="BJ17" s="230">
        <f>VLOOKUP(BI17,Hoja15!$E$33:$H$40,3)</f>
        <v>0.23</v>
      </c>
      <c r="BK17" s="150">
        <f>VLOOKUP(BI17,Hoja15!$E$33:$H$40,4)</f>
        <v>760928.84000000008</v>
      </c>
      <c r="BL17" s="154">
        <f t="shared" si="25"/>
        <v>524214.61293220008</v>
      </c>
      <c r="BM17" s="147">
        <f>BL17/Hoja15!C9</f>
        <v>7.6745031612479151</v>
      </c>
      <c r="BP17" s="147">
        <f>P17/Hoja15!C9</f>
        <v>7.6745031612479151</v>
      </c>
      <c r="BQ17" s="147">
        <f>T17/Hoja15!C9</f>
        <v>0</v>
      </c>
      <c r="BT17" s="147">
        <f t="shared" si="26"/>
        <v>50</v>
      </c>
      <c r="BX17" s="147">
        <f t="shared" si="27"/>
        <v>30</v>
      </c>
      <c r="BY17" s="179">
        <f t="shared" si="28"/>
        <v>30</v>
      </c>
      <c r="BZ17" s="147">
        <f t="shared" si="29"/>
        <v>50</v>
      </c>
      <c r="CF17" s="147" t="s">
        <v>62</v>
      </c>
      <c r="CG17" s="226">
        <v>5.7999999999999996E-3</v>
      </c>
      <c r="CJ17" s="147" t="s">
        <v>63</v>
      </c>
      <c r="CK17" s="226">
        <f t="shared" si="30"/>
        <v>0</v>
      </c>
      <c r="CM17" s="172">
        <f t="shared" si="31"/>
        <v>5587580.2301400006</v>
      </c>
      <c r="CN17" s="172">
        <f t="shared" si="32"/>
        <v>0</v>
      </c>
      <c r="CO17" s="172">
        <f t="shared" si="33"/>
        <v>524214.61293220008</v>
      </c>
      <c r="CP17" s="172">
        <f t="shared" si="34"/>
        <v>0</v>
      </c>
      <c r="CQ17" s="172">
        <f t="shared" si="35"/>
        <v>0</v>
      </c>
      <c r="CR17" s="172">
        <f t="shared" si="36"/>
        <v>0</v>
      </c>
      <c r="CS17" s="314">
        <f t="shared" si="37"/>
        <v>1172262.3</v>
      </c>
      <c r="CT17" s="314">
        <f t="shared" si="38"/>
        <v>0</v>
      </c>
      <c r="DH17" s="241"/>
      <c r="DK17" s="182">
        <f>15*I240*12</f>
        <v>12517560</v>
      </c>
      <c r="DO17" s="182">
        <f t="shared" si="39"/>
        <v>-390754.10000000003</v>
      </c>
      <c r="DT17" s="241"/>
      <c r="EM17" s="369">
        <f>IF(H26+J26+M26+V26+P4+P5+R6+J34=0,1,0)</f>
        <v>0</v>
      </c>
      <c r="FB17" s="241"/>
    </row>
    <row r="18" spans="1:158" x14ac:dyDescent="0.25">
      <c r="A18" s="147">
        <f>P18/Hoja15!C10</f>
        <v>7.5669597405459745</v>
      </c>
      <c r="B18" s="147">
        <f t="shared" si="14"/>
        <v>7.6551214676398886E-4</v>
      </c>
      <c r="D18" s="250"/>
      <c r="E18" s="337" t="s">
        <v>64</v>
      </c>
      <c r="F18" s="338">
        <f t="shared" si="15"/>
        <v>39189.449999999997</v>
      </c>
      <c r="G18" s="339">
        <v>7000000</v>
      </c>
      <c r="H18" s="339"/>
      <c r="I18" s="340">
        <f t="shared" si="40"/>
        <v>1959472.4999999998</v>
      </c>
      <c r="J18" s="339">
        <v>30</v>
      </c>
      <c r="K18" s="341">
        <v>0</v>
      </c>
      <c r="L18" s="341">
        <v>0</v>
      </c>
      <c r="M18" s="339"/>
      <c r="N18" s="416">
        <f t="shared" ref="N18:N25" si="43">G18-AB18-AC18-AD18-AE18-AF18</f>
        <v>5583458.1403000001</v>
      </c>
      <c r="O18" s="416"/>
      <c r="P18" s="416">
        <f t="shared" si="16"/>
        <v>519456.65226900007</v>
      </c>
      <c r="Q18" s="416"/>
      <c r="R18" s="416">
        <f t="shared" si="17"/>
        <v>0</v>
      </c>
      <c r="S18" s="416"/>
      <c r="T18" s="340">
        <f t="shared" si="18"/>
        <v>0</v>
      </c>
      <c r="U18" s="342"/>
      <c r="V18" s="401"/>
      <c r="W18" s="401"/>
      <c r="X18" s="340">
        <f t="shared" si="19"/>
        <v>0</v>
      </c>
      <c r="Y18" s="148">
        <f t="shared" si="41"/>
        <v>3440833.7099999995</v>
      </c>
      <c r="Z18" s="228">
        <f>VLOOKUP(N18,Hoja15!$E$42:$H$49,3)</f>
        <v>0.23</v>
      </c>
      <c r="AA18" s="149">
        <f>VLOOKUP(N18,Hoja15!$E$42:$H$49,4)</f>
        <v>764738.72000000009</v>
      </c>
      <c r="AB18" s="150">
        <f t="shared" si="20"/>
        <v>0</v>
      </c>
      <c r="AC18" s="170">
        <f t="shared" si="0"/>
        <v>0</v>
      </c>
      <c r="AD18" s="150">
        <f t="shared" si="1"/>
        <v>240858.3597</v>
      </c>
      <c r="AE18" s="150">
        <f t="shared" si="42"/>
        <v>0</v>
      </c>
      <c r="AF18" s="149">
        <f t="shared" si="2"/>
        <v>1175683.5</v>
      </c>
      <c r="AG18" s="151">
        <f t="shared" si="21"/>
        <v>0</v>
      </c>
      <c r="AH18" s="149">
        <f t="shared" si="3"/>
        <v>0</v>
      </c>
      <c r="AI18" s="151">
        <f t="shared" si="4"/>
        <v>0</v>
      </c>
      <c r="AJ18" s="157">
        <f t="shared" si="5"/>
        <v>0</v>
      </c>
      <c r="AK18" s="153">
        <f t="shared" si="6"/>
        <v>50</v>
      </c>
      <c r="AL18" s="153">
        <f t="shared" si="7"/>
        <v>30.000000000000004</v>
      </c>
      <c r="AM18" s="153">
        <f t="shared" si="8"/>
        <v>0</v>
      </c>
      <c r="AN18" s="153">
        <f t="shared" si="9"/>
        <v>0</v>
      </c>
      <c r="AO18" s="153">
        <f t="shared" si="10"/>
        <v>0</v>
      </c>
      <c r="AR18" s="147">
        <f t="shared" si="11"/>
        <v>13.25501256764257</v>
      </c>
      <c r="AW18" s="154">
        <f t="shared" si="22"/>
        <v>0</v>
      </c>
      <c r="AX18" s="155">
        <f>VLOOKUP(AW18,Hoja15!$E$42:$H$49,3)</f>
        <v>0</v>
      </c>
      <c r="AY18" s="150">
        <f>VLOOKUP(AW18,Hoja15!$E$42:$H$49,4)</f>
        <v>0</v>
      </c>
      <c r="AZ18" s="150">
        <v>0</v>
      </c>
      <c r="BA18" s="170">
        <f t="shared" si="23"/>
        <v>0</v>
      </c>
      <c r="BB18" s="150">
        <f t="shared" si="12"/>
        <v>0</v>
      </c>
      <c r="BC18" s="150">
        <v>0</v>
      </c>
      <c r="BD18" s="170">
        <v>0</v>
      </c>
      <c r="BF18" s="170">
        <f t="shared" si="13"/>
        <v>0</v>
      </c>
      <c r="BI18" s="154">
        <f t="shared" si="24"/>
        <v>5583458.1403000001</v>
      </c>
      <c r="BJ18" s="230">
        <f>VLOOKUP(BI18,Hoja15!$E$42:$H$49,3)</f>
        <v>0.23</v>
      </c>
      <c r="BK18" s="150">
        <f>VLOOKUP(BI18,Hoja15!$E$42:$H$49,4)</f>
        <v>764738.72000000009</v>
      </c>
      <c r="BL18" s="154">
        <f t="shared" si="25"/>
        <v>519456.65226900007</v>
      </c>
      <c r="BM18" s="147">
        <f>BL18/Hoja15!C10</f>
        <v>7.5669597405459745</v>
      </c>
      <c r="BP18" s="147">
        <f>P18/Hoja15!C10</f>
        <v>7.5669597405459745</v>
      </c>
      <c r="BQ18" s="147">
        <f>T18/Hoja15!C10</f>
        <v>0</v>
      </c>
      <c r="BT18" s="147">
        <f t="shared" si="26"/>
        <v>50</v>
      </c>
      <c r="BX18" s="147">
        <f t="shared" si="27"/>
        <v>30</v>
      </c>
      <c r="BY18" s="179">
        <f t="shared" si="28"/>
        <v>30</v>
      </c>
      <c r="BZ18" s="147">
        <f t="shared" si="29"/>
        <v>50</v>
      </c>
      <c r="CF18" s="147" t="s">
        <v>65</v>
      </c>
      <c r="CG18" s="226">
        <v>1.1599999999999999E-2</v>
      </c>
      <c r="CJ18" s="147" t="s">
        <v>66</v>
      </c>
      <c r="CK18" s="226">
        <f t="shared" si="30"/>
        <v>0</v>
      </c>
      <c r="CM18" s="172">
        <f t="shared" si="31"/>
        <v>5583458.1403000001</v>
      </c>
      <c r="CN18" s="172">
        <f t="shared" si="32"/>
        <v>0</v>
      </c>
      <c r="CO18" s="172">
        <f t="shared" si="33"/>
        <v>519456.65226900007</v>
      </c>
      <c r="CP18" s="172">
        <f t="shared" si="34"/>
        <v>0</v>
      </c>
      <c r="CQ18" s="172">
        <f t="shared" si="35"/>
        <v>0</v>
      </c>
      <c r="CR18" s="172">
        <f t="shared" si="36"/>
        <v>0</v>
      </c>
      <c r="CS18" s="314">
        <f t="shared" si="37"/>
        <v>1175683.5</v>
      </c>
      <c r="CT18" s="314">
        <f t="shared" si="38"/>
        <v>0</v>
      </c>
      <c r="DH18" s="241"/>
      <c r="DK18" s="365">
        <f>V26-(MIN(30%*V26,DK17))</f>
        <v>0</v>
      </c>
      <c r="DO18" s="182">
        <f t="shared" si="39"/>
        <v>-391894.5</v>
      </c>
      <c r="DT18" s="241"/>
      <c r="EM18" s="369">
        <f>EM16+EM17</f>
        <v>1</v>
      </c>
      <c r="FB18" s="241"/>
    </row>
    <row r="19" spans="1:158" x14ac:dyDescent="0.25">
      <c r="A19" s="147">
        <f>P19/Hoja15!C11</f>
        <v>7.5203194328618155</v>
      </c>
      <c r="B19" s="147">
        <f t="shared" si="14"/>
        <v>7.6399894364412725E-4</v>
      </c>
      <c r="D19" s="250"/>
      <c r="E19" s="337" t="s">
        <v>67</v>
      </c>
      <c r="F19" s="338">
        <f t="shared" si="15"/>
        <v>39267.07</v>
      </c>
      <c r="G19" s="339">
        <v>7000000</v>
      </c>
      <c r="H19" s="339"/>
      <c r="I19" s="340">
        <f t="shared" si="40"/>
        <v>1963353.5</v>
      </c>
      <c r="J19" s="339">
        <v>30</v>
      </c>
      <c r="K19" s="341">
        <v>0</v>
      </c>
      <c r="L19" s="341">
        <v>0</v>
      </c>
      <c r="M19" s="339"/>
      <c r="N19" s="416">
        <f t="shared" si="43"/>
        <v>5580652.4877799992</v>
      </c>
      <c r="O19" s="416"/>
      <c r="P19" s="416">
        <f t="shared" si="16"/>
        <v>517285.17218939995</v>
      </c>
      <c r="Q19" s="416"/>
      <c r="R19" s="416">
        <f t="shared" si="17"/>
        <v>0</v>
      </c>
      <c r="S19" s="416"/>
      <c r="T19" s="340">
        <f t="shared" si="18"/>
        <v>0</v>
      </c>
      <c r="U19" s="342"/>
      <c r="V19" s="401"/>
      <c r="W19" s="401"/>
      <c r="X19" s="340">
        <f t="shared" si="19"/>
        <v>0</v>
      </c>
      <c r="Y19" s="148">
        <f t="shared" si="41"/>
        <v>3447648.7459999998</v>
      </c>
      <c r="Z19" s="228">
        <f>VLOOKUP(N19,Hoja15!$E$51:$H$58,3)</f>
        <v>0.23</v>
      </c>
      <c r="AA19" s="149">
        <f>VLOOKUP(N19,Hoja15!$E$51:$H$58,4)</f>
        <v>766264.9</v>
      </c>
      <c r="AB19" s="150">
        <f t="shared" si="20"/>
        <v>0</v>
      </c>
      <c r="AC19" s="170">
        <f t="shared" si="0"/>
        <v>0</v>
      </c>
      <c r="AD19" s="150">
        <f t="shared" si="1"/>
        <v>241335.41222000003</v>
      </c>
      <c r="AE19" s="150">
        <f t="shared" si="42"/>
        <v>0</v>
      </c>
      <c r="AF19" s="149">
        <f t="shared" si="2"/>
        <v>1178012.1000000001</v>
      </c>
      <c r="AG19" s="151">
        <f t="shared" si="21"/>
        <v>0</v>
      </c>
      <c r="AH19" s="149">
        <f t="shared" si="3"/>
        <v>0</v>
      </c>
      <c r="AI19" s="151">
        <f t="shared" si="4"/>
        <v>0</v>
      </c>
      <c r="AJ19" s="152">
        <f t="shared" si="5"/>
        <v>0</v>
      </c>
      <c r="AK19" s="153">
        <f t="shared" si="6"/>
        <v>50</v>
      </c>
      <c r="AL19" s="153">
        <f t="shared" si="7"/>
        <v>30.000000000000004</v>
      </c>
      <c r="AM19" s="153">
        <f t="shared" si="8"/>
        <v>0</v>
      </c>
      <c r="AN19" s="153">
        <f t="shared" si="9"/>
        <v>0</v>
      </c>
      <c r="AO19" s="153">
        <f t="shared" si="10"/>
        <v>0</v>
      </c>
      <c r="AR19" s="147">
        <f t="shared" si="11"/>
        <v>13.173510837182402</v>
      </c>
      <c r="AW19" s="154">
        <f t="shared" si="22"/>
        <v>0</v>
      </c>
      <c r="AX19" s="155">
        <f>VLOOKUP(AW19,Hoja15!$E$51:$H$58,3)</f>
        <v>0</v>
      </c>
      <c r="AY19" s="150">
        <f>VLOOKUP(AW19,Hoja15!$E$51:$H$58,4)</f>
        <v>0</v>
      </c>
      <c r="AZ19" s="150">
        <v>0</v>
      </c>
      <c r="BA19" s="150">
        <f t="shared" si="23"/>
        <v>0</v>
      </c>
      <c r="BB19" s="150">
        <f t="shared" si="12"/>
        <v>0</v>
      </c>
      <c r="BC19" s="150">
        <v>0</v>
      </c>
      <c r="BD19" s="150">
        <v>0</v>
      </c>
      <c r="BF19" s="150">
        <f t="shared" si="13"/>
        <v>0</v>
      </c>
      <c r="BI19" s="154">
        <f t="shared" si="24"/>
        <v>5580652.4877799992</v>
      </c>
      <c r="BJ19" s="230">
        <f>VLOOKUP(BI19,Hoja15!$E$51:$H$58,3)</f>
        <v>0.23</v>
      </c>
      <c r="BK19" s="150">
        <f>VLOOKUP(BI19,Hoja15!$E$51:$H$58,4)</f>
        <v>766264.9</v>
      </c>
      <c r="BL19" s="154">
        <f t="shared" si="25"/>
        <v>517285.17218939995</v>
      </c>
      <c r="BM19" s="147">
        <f>BL19/Hoja15!C11</f>
        <v>7.5203194328618155</v>
      </c>
      <c r="BP19" s="147">
        <f>P19/Hoja15!C11</f>
        <v>7.5203194328618155</v>
      </c>
      <c r="BQ19" s="147">
        <f>T19/Hoja15!C11</f>
        <v>0</v>
      </c>
      <c r="BT19" s="147">
        <f t="shared" si="26"/>
        <v>50</v>
      </c>
      <c r="BX19" s="147">
        <f t="shared" si="27"/>
        <v>30</v>
      </c>
      <c r="BY19" s="179">
        <f t="shared" si="28"/>
        <v>30</v>
      </c>
      <c r="BZ19" s="147">
        <f t="shared" si="29"/>
        <v>50</v>
      </c>
      <c r="CF19" s="147" t="s">
        <v>68</v>
      </c>
      <c r="CG19" s="226">
        <v>1.4500000000000001E-2</v>
      </c>
      <c r="CJ19" s="147" t="s">
        <v>69</v>
      </c>
      <c r="CK19" s="226">
        <f t="shared" si="30"/>
        <v>0</v>
      </c>
      <c r="CM19" s="172">
        <f t="shared" si="31"/>
        <v>5580652.4877799992</v>
      </c>
      <c r="CN19" s="172">
        <f t="shared" si="32"/>
        <v>0</v>
      </c>
      <c r="CO19" s="172">
        <f t="shared" si="33"/>
        <v>517285.17218939995</v>
      </c>
      <c r="CP19" s="172">
        <f t="shared" si="34"/>
        <v>0</v>
      </c>
      <c r="CQ19" s="172">
        <f t="shared" si="35"/>
        <v>0</v>
      </c>
      <c r="CR19" s="172">
        <f t="shared" si="36"/>
        <v>0</v>
      </c>
      <c r="CS19" s="314">
        <f t="shared" si="37"/>
        <v>1178012.1000000001</v>
      </c>
      <c r="CT19" s="314">
        <f t="shared" si="38"/>
        <v>0</v>
      </c>
      <c r="DH19" s="241"/>
      <c r="DK19" s="329">
        <f>MIN(600*H240,DK18)</f>
        <v>0</v>
      </c>
      <c r="DO19" s="182">
        <f t="shared" si="39"/>
        <v>-392670.7</v>
      </c>
      <c r="DT19" s="241"/>
      <c r="FB19" s="241"/>
    </row>
    <row r="20" spans="1:158" x14ac:dyDescent="0.25">
      <c r="A20" s="147">
        <f>P20/Hoja15!C12</f>
        <v>7.4935790091000101</v>
      </c>
      <c r="B20" s="147">
        <f t="shared" si="14"/>
        <v>7.6571613218404447E-4</v>
      </c>
      <c r="D20" s="250"/>
      <c r="E20" s="337" t="s">
        <v>70</v>
      </c>
      <c r="F20" s="338">
        <f t="shared" si="15"/>
        <v>39179.01</v>
      </c>
      <c r="G20" s="339">
        <v>7000000</v>
      </c>
      <c r="H20" s="339"/>
      <c r="I20" s="340">
        <f t="shared" si="40"/>
        <v>1958950.5</v>
      </c>
      <c r="J20" s="339">
        <v>30</v>
      </c>
      <c r="K20" s="341">
        <v>0</v>
      </c>
      <c r="L20" s="341">
        <v>0</v>
      </c>
      <c r="M20" s="339"/>
      <c r="N20" s="416">
        <f t="shared" si="43"/>
        <v>5583835.5045400001</v>
      </c>
      <c r="O20" s="416"/>
      <c r="P20" s="416">
        <f t="shared" si="16"/>
        <v>516479.94604419998</v>
      </c>
      <c r="Q20" s="416"/>
      <c r="R20" s="416">
        <f t="shared" si="17"/>
        <v>0</v>
      </c>
      <c r="S20" s="416"/>
      <c r="T20" s="340">
        <f t="shared" si="18"/>
        <v>0</v>
      </c>
      <c r="U20" s="342"/>
      <c r="V20" s="401"/>
      <c r="W20" s="401"/>
      <c r="X20" s="340">
        <f t="shared" si="19"/>
        <v>0</v>
      </c>
      <c r="Y20" s="148">
        <f t="shared" si="41"/>
        <v>3439917.0780000002</v>
      </c>
      <c r="Z20" s="228">
        <f>VLOOKUP(N20,Hoja15!$E$60:$H$67,3)</f>
        <v>0.23</v>
      </c>
      <c r="AA20" s="149">
        <f>VLOOKUP(N20,Hoja15!$E$60:$H$67,4)</f>
        <v>767802.22000000009</v>
      </c>
      <c r="AB20" s="150">
        <f t="shared" si="20"/>
        <v>0</v>
      </c>
      <c r="AC20" s="170">
        <f t="shared" si="0"/>
        <v>0</v>
      </c>
      <c r="AD20" s="150">
        <f t="shared" si="1"/>
        <v>240794.19546000005</v>
      </c>
      <c r="AE20" s="150">
        <f t="shared" si="42"/>
        <v>0</v>
      </c>
      <c r="AF20" s="149">
        <f t="shared" si="2"/>
        <v>1175370.3</v>
      </c>
      <c r="AG20" s="151">
        <f t="shared" si="21"/>
        <v>0</v>
      </c>
      <c r="AH20" s="149">
        <f t="shared" si="3"/>
        <v>0</v>
      </c>
      <c r="AI20" s="151">
        <f t="shared" si="4"/>
        <v>0</v>
      </c>
      <c r="AJ20" s="157">
        <f t="shared" si="5"/>
        <v>0</v>
      </c>
      <c r="AK20" s="153">
        <f t="shared" si="6"/>
        <v>50</v>
      </c>
      <c r="AL20" s="153">
        <f t="shared" si="7"/>
        <v>30</v>
      </c>
      <c r="AM20" s="153">
        <f t="shared" si="8"/>
        <v>0</v>
      </c>
      <c r="AN20" s="153">
        <f t="shared" si="9"/>
        <v>0</v>
      </c>
      <c r="AO20" s="153">
        <f t="shared" si="10"/>
        <v>0</v>
      </c>
      <c r="AR20" s="147">
        <f t="shared" si="11"/>
        <v>13.182567554519625</v>
      </c>
      <c r="AW20" s="154">
        <f t="shared" si="22"/>
        <v>0</v>
      </c>
      <c r="AX20" s="155">
        <f>VLOOKUP(AW20,Hoja15!$E$60:$H$67,3)</f>
        <v>0</v>
      </c>
      <c r="AY20" s="150">
        <f>VLOOKUP(AW20,Hoja15!$E$60:$H$67,4)</f>
        <v>0</v>
      </c>
      <c r="AZ20" s="150">
        <v>0</v>
      </c>
      <c r="BA20" s="170">
        <f t="shared" si="23"/>
        <v>0</v>
      </c>
      <c r="BB20" s="150">
        <f t="shared" si="12"/>
        <v>0</v>
      </c>
      <c r="BC20" s="150">
        <v>0</v>
      </c>
      <c r="BD20" s="170">
        <v>0</v>
      </c>
      <c r="BF20" s="170">
        <f t="shared" si="13"/>
        <v>0</v>
      </c>
      <c r="BI20" s="154">
        <f t="shared" si="24"/>
        <v>5583835.5045400001</v>
      </c>
      <c r="BJ20" s="230">
        <f>VLOOKUP(BI20,Hoja15!$E$60:$H$67,3)</f>
        <v>0.23</v>
      </c>
      <c r="BK20" s="150">
        <f>VLOOKUP(BI20,Hoja15!$E$60:$H$67,4)</f>
        <v>767802.22000000009</v>
      </c>
      <c r="BL20" s="154">
        <f t="shared" si="25"/>
        <v>516479.94604419998</v>
      </c>
      <c r="BM20" s="147">
        <f>BL20/Hoja15!C12</f>
        <v>7.4935790091000101</v>
      </c>
      <c r="BP20" s="147">
        <f>P20/Hoja15!C12</f>
        <v>7.4935790091000101</v>
      </c>
      <c r="BQ20" s="147">
        <f>T20/Hoja15!C12</f>
        <v>0</v>
      </c>
      <c r="BT20" s="147">
        <f t="shared" si="26"/>
        <v>50</v>
      </c>
      <c r="BX20" s="147">
        <f t="shared" si="27"/>
        <v>30</v>
      </c>
      <c r="BY20" s="179">
        <f t="shared" si="28"/>
        <v>30</v>
      </c>
      <c r="BZ20" s="147">
        <f t="shared" si="29"/>
        <v>50</v>
      </c>
      <c r="CJ20" s="147" t="s">
        <v>71</v>
      </c>
      <c r="CK20" s="226">
        <f t="shared" si="30"/>
        <v>0</v>
      </c>
      <c r="CM20" s="172">
        <f t="shared" si="31"/>
        <v>5583835.5045400001</v>
      </c>
      <c r="CN20" s="172">
        <f t="shared" si="32"/>
        <v>0</v>
      </c>
      <c r="CO20" s="172">
        <f t="shared" si="33"/>
        <v>516479.94604419998</v>
      </c>
      <c r="CP20" s="172">
        <f t="shared" si="34"/>
        <v>0</v>
      </c>
      <c r="CQ20" s="172">
        <f t="shared" si="35"/>
        <v>0</v>
      </c>
      <c r="CR20" s="172">
        <f t="shared" si="36"/>
        <v>0</v>
      </c>
      <c r="CS20" s="314">
        <f t="shared" si="37"/>
        <v>1175370.3</v>
      </c>
      <c r="CT20" s="314">
        <f t="shared" si="38"/>
        <v>0</v>
      </c>
      <c r="DH20" s="241"/>
      <c r="DK20" s="182">
        <f>IF(((AK26-(AL26+AM26))*F25)&lt;0,0,(AK26-(AL26+AM26))*F25)</f>
        <v>9514461.5999999996</v>
      </c>
      <c r="DO20" s="182">
        <f t="shared" si="39"/>
        <v>-391790.10000000003</v>
      </c>
      <c r="DT20" s="241"/>
      <c r="FB20" s="241"/>
    </row>
    <row r="21" spans="1:158" x14ac:dyDescent="0.25">
      <c r="A21" s="147">
        <f>P21/Hoja15!C13</f>
        <v>7.5437836600201038</v>
      </c>
      <c r="B21" s="147">
        <f t="shared" si="14"/>
        <v>7.6174863970736664E-4</v>
      </c>
      <c r="D21" s="250"/>
      <c r="E21" s="337" t="s">
        <v>72</v>
      </c>
      <c r="F21" s="338">
        <f t="shared" si="15"/>
        <v>39383.07</v>
      </c>
      <c r="G21" s="339">
        <v>7000000</v>
      </c>
      <c r="H21" s="339"/>
      <c r="I21" s="340">
        <f t="shared" si="40"/>
        <v>1969153.5</v>
      </c>
      <c r="J21" s="339">
        <v>30</v>
      </c>
      <c r="K21" s="341">
        <v>0</v>
      </c>
      <c r="L21" s="341">
        <v>0</v>
      </c>
      <c r="M21" s="339"/>
      <c r="N21" s="416">
        <f t="shared" si="43"/>
        <v>5576459.5517800003</v>
      </c>
      <c r="O21" s="416"/>
      <c r="P21" s="416">
        <f t="shared" si="16"/>
        <v>517858.11690940009</v>
      </c>
      <c r="Q21" s="416"/>
      <c r="R21" s="416">
        <f t="shared" si="17"/>
        <v>0</v>
      </c>
      <c r="S21" s="416"/>
      <c r="T21" s="340">
        <f t="shared" si="18"/>
        <v>0</v>
      </c>
      <c r="U21" s="342"/>
      <c r="V21" s="401"/>
      <c r="W21" s="401"/>
      <c r="X21" s="340">
        <f t="shared" si="19"/>
        <v>0</v>
      </c>
      <c r="Y21" s="148">
        <f t="shared" si="41"/>
        <v>3457833.5460000001</v>
      </c>
      <c r="Z21" s="229">
        <f>VLOOKUP(N21,Hoja15!$E$69:$H$76,3)</f>
        <v>0.23</v>
      </c>
      <c r="AA21" s="173">
        <f>VLOOKUP(N21,Hoja15!$E$69:$H$76,4)</f>
        <v>764727.58000000007</v>
      </c>
      <c r="AB21" s="150">
        <f t="shared" si="20"/>
        <v>0</v>
      </c>
      <c r="AC21" s="170">
        <f t="shared" si="0"/>
        <v>0</v>
      </c>
      <c r="AD21" s="150">
        <f t="shared" si="1"/>
        <v>242048.34822000004</v>
      </c>
      <c r="AE21" s="150">
        <f t="shared" si="42"/>
        <v>0</v>
      </c>
      <c r="AF21" s="149">
        <f t="shared" si="2"/>
        <v>1181492.1000000001</v>
      </c>
      <c r="AG21" s="151">
        <f t="shared" si="21"/>
        <v>0</v>
      </c>
      <c r="AH21" s="149">
        <f t="shared" si="3"/>
        <v>0</v>
      </c>
      <c r="AI21" s="151">
        <f t="shared" si="4"/>
        <v>0</v>
      </c>
      <c r="AJ21" s="157">
        <f t="shared" si="5"/>
        <v>0</v>
      </c>
      <c r="AK21" s="153">
        <f t="shared" si="6"/>
        <v>50</v>
      </c>
      <c r="AL21" s="153">
        <f t="shared" si="7"/>
        <v>30.000000000000004</v>
      </c>
      <c r="AM21" s="153">
        <f t="shared" si="8"/>
        <v>0</v>
      </c>
      <c r="AN21" s="153">
        <f t="shared" si="9"/>
        <v>0</v>
      </c>
      <c r="AO21" s="153">
        <f t="shared" si="10"/>
        <v>0</v>
      </c>
      <c r="AR21" s="147">
        <f t="shared" si="11"/>
        <v>13.149257203905131</v>
      </c>
      <c r="AW21" s="154">
        <f t="shared" si="22"/>
        <v>0</v>
      </c>
      <c r="AX21" s="155">
        <f>VLOOKUP(AW21,Hoja15!$E$69:$H$76,3)</f>
        <v>0</v>
      </c>
      <c r="AY21" s="150">
        <f>VLOOKUP(AW21,Hoja15!$E$69:$H$76,4)</f>
        <v>0</v>
      </c>
      <c r="AZ21" s="150">
        <v>0</v>
      </c>
      <c r="BA21" s="170">
        <f t="shared" si="23"/>
        <v>0</v>
      </c>
      <c r="BB21" s="150">
        <f t="shared" si="12"/>
        <v>0</v>
      </c>
      <c r="BC21" s="150">
        <v>0</v>
      </c>
      <c r="BD21" s="170">
        <v>0</v>
      </c>
      <c r="BF21" s="170">
        <f t="shared" si="13"/>
        <v>0</v>
      </c>
      <c r="BI21" s="154">
        <f t="shared" si="24"/>
        <v>5576459.5517800003</v>
      </c>
      <c r="BJ21" s="230">
        <f>VLOOKUP(BI21,Hoja15!$E$69:$H$76,3)</f>
        <v>0.23</v>
      </c>
      <c r="BK21" s="150">
        <f>VLOOKUP(BI21,Hoja15!$E$69:$H$76,4)</f>
        <v>764727.58000000007</v>
      </c>
      <c r="BL21" s="154">
        <f t="shared" si="25"/>
        <v>517858.11690940009</v>
      </c>
      <c r="BM21" s="147">
        <f>BL21/Hoja15!C13</f>
        <v>7.5437836600201038</v>
      </c>
      <c r="BP21" s="147">
        <f>P21/Hoja15!C13</f>
        <v>7.5437836600201038</v>
      </c>
      <c r="BQ21" s="147">
        <f>T21/Hoja15!C13</f>
        <v>0</v>
      </c>
      <c r="BT21" s="147">
        <f t="shared" si="26"/>
        <v>50</v>
      </c>
      <c r="BX21" s="147">
        <f t="shared" si="27"/>
        <v>30</v>
      </c>
      <c r="BY21" s="179">
        <f t="shared" si="28"/>
        <v>30</v>
      </c>
      <c r="BZ21" s="147">
        <f t="shared" si="29"/>
        <v>50</v>
      </c>
      <c r="CJ21" s="147" t="s">
        <v>73</v>
      </c>
      <c r="CK21" s="226">
        <f t="shared" si="30"/>
        <v>0</v>
      </c>
      <c r="CM21" s="172">
        <f t="shared" si="31"/>
        <v>5576459.5517800003</v>
      </c>
      <c r="CN21" s="172">
        <f t="shared" si="32"/>
        <v>0</v>
      </c>
      <c r="CO21" s="172">
        <f t="shared" si="33"/>
        <v>517858.11690940009</v>
      </c>
      <c r="CP21" s="172">
        <f t="shared" si="34"/>
        <v>0</v>
      </c>
      <c r="CQ21" s="172">
        <f t="shared" si="35"/>
        <v>0</v>
      </c>
      <c r="CR21" s="172">
        <f t="shared" si="36"/>
        <v>0</v>
      </c>
      <c r="CS21" s="314">
        <f t="shared" si="37"/>
        <v>1181492.1000000001</v>
      </c>
      <c r="CT21" s="314">
        <f t="shared" si="38"/>
        <v>0</v>
      </c>
      <c r="DH21" s="241"/>
      <c r="DO21" s="182">
        <f t="shared" si="39"/>
        <v>-393830.7</v>
      </c>
      <c r="DT21" s="241"/>
      <c r="FB21" s="241"/>
    </row>
    <row r="22" spans="1:158" x14ac:dyDescent="0.25">
      <c r="A22" s="147">
        <f>P22/Hoja15!C14</f>
        <v>7.364769939695373</v>
      </c>
      <c r="B22" s="147">
        <f t="shared" si="14"/>
        <v>7.5976968848176485E-4</v>
      </c>
      <c r="D22" s="250"/>
      <c r="E22" s="337" t="s">
        <v>74</v>
      </c>
      <c r="F22" s="338">
        <f t="shared" si="15"/>
        <v>39485.65</v>
      </c>
      <c r="G22" s="339">
        <v>7000000</v>
      </c>
      <c r="H22" s="339"/>
      <c r="I22" s="340">
        <f t="shared" si="40"/>
        <v>1974282.5</v>
      </c>
      <c r="J22" s="339">
        <v>30</v>
      </c>
      <c r="K22" s="341">
        <v>0</v>
      </c>
      <c r="L22" s="341">
        <v>0</v>
      </c>
      <c r="M22" s="339"/>
      <c r="N22" s="416">
        <f t="shared" si="43"/>
        <v>5572751.6951000001</v>
      </c>
      <c r="O22" s="416"/>
      <c r="P22" s="416">
        <f t="shared" si="16"/>
        <v>510120.789873</v>
      </c>
      <c r="Q22" s="416"/>
      <c r="R22" s="416">
        <f t="shared" si="17"/>
        <v>0</v>
      </c>
      <c r="S22" s="416"/>
      <c r="T22" s="340">
        <f t="shared" si="18"/>
        <v>0</v>
      </c>
      <c r="U22" s="342"/>
      <c r="V22" s="401"/>
      <c r="W22" s="401"/>
      <c r="X22" s="340">
        <f t="shared" si="19"/>
        <v>0</v>
      </c>
      <c r="Y22" s="148">
        <f t="shared" si="41"/>
        <v>3466840.07</v>
      </c>
      <c r="Z22" s="228">
        <f>VLOOKUP(N22,Hoja15!$E$78:$H$85,3)</f>
        <v>0.23</v>
      </c>
      <c r="AA22" s="149">
        <f>VLOOKUP(N22,Hoja15!$E$78:$H$85,4)</f>
        <v>771612.10000000009</v>
      </c>
      <c r="AB22" s="150">
        <f t="shared" si="20"/>
        <v>0</v>
      </c>
      <c r="AC22" s="170">
        <f t="shared" si="0"/>
        <v>0</v>
      </c>
      <c r="AD22" s="150">
        <f t="shared" si="1"/>
        <v>242678.80490000005</v>
      </c>
      <c r="AE22" s="150">
        <f t="shared" si="42"/>
        <v>0</v>
      </c>
      <c r="AF22" s="149">
        <f t="shared" si="2"/>
        <v>1184569.5</v>
      </c>
      <c r="AG22" s="151">
        <f t="shared" si="21"/>
        <v>0</v>
      </c>
      <c r="AH22" s="149">
        <f t="shared" si="3"/>
        <v>0</v>
      </c>
      <c r="AI22" s="151">
        <f t="shared" si="4"/>
        <v>0</v>
      </c>
      <c r="AJ22" s="157">
        <f t="shared" si="5"/>
        <v>0</v>
      </c>
      <c r="AK22" s="153">
        <f t="shared" si="6"/>
        <v>50</v>
      </c>
      <c r="AL22" s="153">
        <f t="shared" si="7"/>
        <v>30</v>
      </c>
      <c r="AM22" s="153">
        <f t="shared" si="8"/>
        <v>0</v>
      </c>
      <c r="AN22" s="153">
        <f t="shared" si="9"/>
        <v>0</v>
      </c>
      <c r="AO22" s="153">
        <f t="shared" si="10"/>
        <v>0</v>
      </c>
      <c r="AR22" s="147">
        <f t="shared" si="11"/>
        <v>12.919143786996035</v>
      </c>
      <c r="AW22" s="154">
        <f t="shared" si="22"/>
        <v>0</v>
      </c>
      <c r="AX22" s="155">
        <f>VLOOKUP(AW22,Hoja15!$E$78:$H$85,3)</f>
        <v>0</v>
      </c>
      <c r="AY22" s="150">
        <f>VLOOKUP(AW22,Hoja15!$E$78:$H$85,4)</f>
        <v>0</v>
      </c>
      <c r="AZ22" s="150">
        <v>0</v>
      </c>
      <c r="BA22" s="170">
        <f t="shared" si="23"/>
        <v>0</v>
      </c>
      <c r="BB22" s="150">
        <f t="shared" si="12"/>
        <v>0</v>
      </c>
      <c r="BC22" s="150">
        <v>0</v>
      </c>
      <c r="BD22" s="170">
        <v>0</v>
      </c>
      <c r="BF22" s="170">
        <f t="shared" si="13"/>
        <v>0</v>
      </c>
      <c r="BI22" s="154">
        <f t="shared" si="24"/>
        <v>5572751.6951000001</v>
      </c>
      <c r="BJ22" s="230">
        <f>VLOOKUP(BI22,Hoja15!$E$78:$H$85,3)</f>
        <v>0.23</v>
      </c>
      <c r="BK22" s="150">
        <f>VLOOKUP(BI22,Hoja15!$E$78:$H$85,4)</f>
        <v>771612.10000000009</v>
      </c>
      <c r="BL22" s="154">
        <f t="shared" si="25"/>
        <v>510120.789873</v>
      </c>
      <c r="BM22" s="147">
        <f>BL22/Hoja15!C14</f>
        <v>7.364769939695373</v>
      </c>
      <c r="BP22" s="147">
        <f>P22/Hoja15!C14</f>
        <v>7.364769939695373</v>
      </c>
      <c r="BQ22" s="147">
        <f>T22/Hoja15!C14</f>
        <v>0</v>
      </c>
      <c r="BT22" s="147">
        <f t="shared" si="26"/>
        <v>50</v>
      </c>
      <c r="BX22" s="147">
        <f t="shared" si="27"/>
        <v>30</v>
      </c>
      <c r="BY22" s="179">
        <f t="shared" si="28"/>
        <v>30</v>
      </c>
      <c r="BZ22" s="147">
        <f t="shared" si="29"/>
        <v>50</v>
      </c>
      <c r="CJ22" s="147" t="s">
        <v>75</v>
      </c>
      <c r="CK22" s="226">
        <f t="shared" si="30"/>
        <v>0</v>
      </c>
      <c r="CM22" s="172">
        <f t="shared" si="31"/>
        <v>5572751.6951000001</v>
      </c>
      <c r="CN22" s="172">
        <f t="shared" si="32"/>
        <v>0</v>
      </c>
      <c r="CO22" s="172">
        <f t="shared" si="33"/>
        <v>510120.789873</v>
      </c>
      <c r="CP22" s="172">
        <f t="shared" si="34"/>
        <v>0</v>
      </c>
      <c r="CQ22" s="172">
        <f t="shared" si="35"/>
        <v>0</v>
      </c>
      <c r="CR22" s="172">
        <f t="shared" si="36"/>
        <v>0</v>
      </c>
      <c r="CS22" s="314">
        <f t="shared" si="37"/>
        <v>1184569.5</v>
      </c>
      <c r="CT22" s="314">
        <f t="shared" si="38"/>
        <v>0</v>
      </c>
      <c r="DH22" s="241"/>
      <c r="DO22" s="182">
        <f t="shared" si="39"/>
        <v>-394856.5</v>
      </c>
      <c r="DT22" s="241"/>
      <c r="FB22" s="241"/>
    </row>
    <row r="23" spans="1:158" x14ac:dyDescent="0.25">
      <c r="A23" s="147">
        <f>P23/Hoja15!C15</f>
        <v>7.364769939695373</v>
      </c>
      <c r="B23" s="147">
        <f t="shared" si="14"/>
        <v>7.5976968848176485E-4</v>
      </c>
      <c r="D23" s="250"/>
      <c r="E23" s="337" t="s">
        <v>76</v>
      </c>
      <c r="F23" s="338">
        <f t="shared" si="15"/>
        <v>39485.65</v>
      </c>
      <c r="G23" s="339">
        <v>7000000</v>
      </c>
      <c r="H23" s="339"/>
      <c r="I23" s="340">
        <f t="shared" si="40"/>
        <v>1974282.5</v>
      </c>
      <c r="J23" s="339">
        <v>30</v>
      </c>
      <c r="K23" s="341">
        <v>0</v>
      </c>
      <c r="L23" s="341">
        <v>0</v>
      </c>
      <c r="M23" s="339"/>
      <c r="N23" s="416">
        <f>G23-AB23-AC23-AD23-AE23-AF23</f>
        <v>5572751.6951000001</v>
      </c>
      <c r="O23" s="416"/>
      <c r="P23" s="416">
        <f>N23*Z23-AA23</f>
        <v>510120.789873</v>
      </c>
      <c r="Q23" s="416"/>
      <c r="R23" s="416">
        <f t="shared" si="17"/>
        <v>0</v>
      </c>
      <c r="S23" s="416"/>
      <c r="T23" s="340">
        <f t="shared" si="18"/>
        <v>0</v>
      </c>
      <c r="U23" s="342"/>
      <c r="V23" s="401"/>
      <c r="W23" s="401"/>
      <c r="X23" s="340">
        <f t="shared" si="19"/>
        <v>0</v>
      </c>
      <c r="Y23" s="148">
        <f t="shared" si="41"/>
        <v>3466840.07</v>
      </c>
      <c r="Z23" s="228">
        <f>VLOOKUP(N23,Hoja15!$E$87:$H$94,3)</f>
        <v>0.23</v>
      </c>
      <c r="AA23" s="149">
        <f>VLOOKUP(N23,Hoja15!$E$87:$H$94,4)</f>
        <v>771612.10000000009</v>
      </c>
      <c r="AB23" s="150">
        <f>IF($AX$5=2,0,Y23*0.1)</f>
        <v>0</v>
      </c>
      <c r="AC23" s="170">
        <f t="shared" si="0"/>
        <v>0</v>
      </c>
      <c r="AD23" s="150">
        <f t="shared" si="1"/>
        <v>242678.80490000005</v>
      </c>
      <c r="AE23" s="150">
        <f t="shared" si="42"/>
        <v>0</v>
      </c>
      <c r="AF23" s="149">
        <f t="shared" si="2"/>
        <v>1184569.5</v>
      </c>
      <c r="AG23" s="151">
        <f t="shared" si="21"/>
        <v>0</v>
      </c>
      <c r="AH23" s="149">
        <f t="shared" si="3"/>
        <v>0</v>
      </c>
      <c r="AI23" s="151">
        <f t="shared" si="4"/>
        <v>0</v>
      </c>
      <c r="AJ23" s="157">
        <f t="shared" si="5"/>
        <v>0</v>
      </c>
      <c r="AK23" s="153">
        <f t="shared" si="6"/>
        <v>50</v>
      </c>
      <c r="AL23" s="153">
        <f t="shared" si="7"/>
        <v>30</v>
      </c>
      <c r="AM23" s="153">
        <f t="shared" si="8"/>
        <v>0</v>
      </c>
      <c r="AN23" s="153">
        <f t="shared" si="9"/>
        <v>0</v>
      </c>
      <c r="AO23" s="153">
        <f t="shared" si="10"/>
        <v>0</v>
      </c>
      <c r="AR23" s="147">
        <f t="shared" si="11"/>
        <v>12.919143786996035</v>
      </c>
      <c r="AW23" s="154">
        <f t="shared" si="22"/>
        <v>0</v>
      </c>
      <c r="AX23" s="155">
        <f>VLOOKUP(AW23,Hoja15!$E$87:$H$94,3)</f>
        <v>0</v>
      </c>
      <c r="AY23" s="150">
        <f>VLOOKUP(AW23,Hoja15!$E$87:$H$94,4)</f>
        <v>0</v>
      </c>
      <c r="AZ23" s="150">
        <v>0</v>
      </c>
      <c r="BA23" s="170">
        <f t="shared" si="23"/>
        <v>0</v>
      </c>
      <c r="BB23" s="150">
        <f t="shared" si="12"/>
        <v>0</v>
      </c>
      <c r="BC23" s="150">
        <v>0</v>
      </c>
      <c r="BD23" s="170">
        <v>0</v>
      </c>
      <c r="BF23" s="170">
        <f t="shared" si="13"/>
        <v>0</v>
      </c>
      <c r="BI23" s="154">
        <f t="shared" si="24"/>
        <v>5572751.6951000001</v>
      </c>
      <c r="BJ23" s="230">
        <f>VLOOKUP(BI23,Hoja15!$E$87:$H$94,3)</f>
        <v>0.23</v>
      </c>
      <c r="BK23" s="150">
        <f>VLOOKUP(BI23,Hoja15!$E$87:$H$94,4)</f>
        <v>771612.10000000009</v>
      </c>
      <c r="BL23" s="154">
        <f t="shared" si="25"/>
        <v>510120.789873</v>
      </c>
      <c r="BM23" s="147">
        <f>BL23/Hoja15!C15</f>
        <v>7.364769939695373</v>
      </c>
      <c r="BP23" s="147">
        <f>P23/Hoja15!C15</f>
        <v>7.364769939695373</v>
      </c>
      <c r="BQ23" s="147">
        <f>T23/Hoja15!C15</f>
        <v>0</v>
      </c>
      <c r="BT23" s="147">
        <f t="shared" si="26"/>
        <v>50</v>
      </c>
      <c r="BX23" s="147">
        <f t="shared" si="27"/>
        <v>30</v>
      </c>
      <c r="BY23" s="179">
        <f t="shared" si="28"/>
        <v>30</v>
      </c>
      <c r="BZ23" s="147">
        <f t="shared" si="29"/>
        <v>50</v>
      </c>
      <c r="CJ23" s="147" t="s">
        <v>77</v>
      </c>
      <c r="CK23" s="226">
        <f t="shared" si="30"/>
        <v>0</v>
      </c>
      <c r="CM23" s="172">
        <f t="shared" si="31"/>
        <v>5572751.6951000001</v>
      </c>
      <c r="CN23" s="172">
        <f t="shared" si="32"/>
        <v>0</v>
      </c>
      <c r="CO23" s="172">
        <f t="shared" si="33"/>
        <v>510120.789873</v>
      </c>
      <c r="CP23" s="172">
        <f t="shared" si="34"/>
        <v>0</v>
      </c>
      <c r="CQ23" s="172">
        <f t="shared" si="35"/>
        <v>0</v>
      </c>
      <c r="CR23" s="172">
        <f t="shared" si="36"/>
        <v>0</v>
      </c>
      <c r="CS23" s="314">
        <f t="shared" si="37"/>
        <v>1184569.5</v>
      </c>
      <c r="CT23" s="314">
        <f t="shared" si="38"/>
        <v>0</v>
      </c>
      <c r="DH23" s="241"/>
      <c r="DO23" s="182">
        <f t="shared" si="39"/>
        <v>-394856.5</v>
      </c>
      <c r="DT23" s="241"/>
      <c r="FB23" s="241"/>
    </row>
    <row r="24" spans="1:158" x14ac:dyDescent="0.25">
      <c r="A24" s="147">
        <f>P24/Hoja15!C16</f>
        <v>7.2776699353110379</v>
      </c>
      <c r="B24" s="147">
        <f t="shared" si="14"/>
        <v>7.5762033473181635E-4</v>
      </c>
      <c r="D24" s="250"/>
      <c r="E24" s="337" t="s">
        <v>78</v>
      </c>
      <c r="F24" s="338">
        <f t="shared" si="15"/>
        <v>39597.67</v>
      </c>
      <c r="G24" s="339">
        <v>7000000</v>
      </c>
      <c r="H24" s="339"/>
      <c r="I24" s="340">
        <f t="shared" si="40"/>
        <v>1979883.5</v>
      </c>
      <c r="J24" s="339">
        <v>30</v>
      </c>
      <c r="K24" s="341">
        <v>0</v>
      </c>
      <c r="L24" s="341">
        <v>0</v>
      </c>
      <c r="M24" s="339"/>
      <c r="N24" s="416">
        <f t="shared" si="43"/>
        <v>5568702.6201800006</v>
      </c>
      <c r="O24" s="416"/>
      <c r="P24" s="416">
        <f t="shared" si="16"/>
        <v>506103.72264140018</v>
      </c>
      <c r="Q24" s="416"/>
      <c r="R24" s="416">
        <f t="shared" si="17"/>
        <v>0</v>
      </c>
      <c r="S24" s="416"/>
      <c r="T24" s="340">
        <f t="shared" si="18"/>
        <v>0</v>
      </c>
      <c r="U24" s="342"/>
      <c r="V24" s="401"/>
      <c r="W24" s="401"/>
      <c r="X24" s="340">
        <f t="shared" si="19"/>
        <v>0</v>
      </c>
      <c r="Y24" s="148">
        <f t="shared" si="41"/>
        <v>3476675.4259999995</v>
      </c>
      <c r="Z24" s="228">
        <f>VLOOKUP(N24,Hoja15!$E$96:$H$103,3)</f>
        <v>0.23</v>
      </c>
      <c r="AA24" s="149">
        <f>VLOOKUP(N24,Hoja15!$E$96:$H$103,4)</f>
        <v>774697.88</v>
      </c>
      <c r="AB24" s="150">
        <f t="shared" si="20"/>
        <v>0</v>
      </c>
      <c r="AC24" s="170">
        <f t="shared" si="0"/>
        <v>0</v>
      </c>
      <c r="AD24" s="150">
        <f t="shared" si="1"/>
        <v>243367.27982000003</v>
      </c>
      <c r="AE24" s="150">
        <f t="shared" si="42"/>
        <v>0</v>
      </c>
      <c r="AF24" s="149">
        <f t="shared" si="2"/>
        <v>1187930.0999999999</v>
      </c>
      <c r="AG24" s="151">
        <f t="shared" si="21"/>
        <v>0</v>
      </c>
      <c r="AH24" s="149">
        <f t="shared" si="3"/>
        <v>0</v>
      </c>
      <c r="AI24" s="151">
        <f t="shared" si="4"/>
        <v>0</v>
      </c>
      <c r="AJ24" s="157">
        <f t="shared" si="5"/>
        <v>0</v>
      </c>
      <c r="AK24" s="153">
        <f t="shared" si="6"/>
        <v>50</v>
      </c>
      <c r="AL24" s="153">
        <f t="shared" si="7"/>
        <v>29.999999999999996</v>
      </c>
      <c r="AM24" s="153">
        <f t="shared" si="8"/>
        <v>0</v>
      </c>
      <c r="AN24" s="153">
        <f t="shared" si="9"/>
        <v>0</v>
      </c>
      <c r="AO24" s="153">
        <f t="shared" si="10"/>
        <v>0</v>
      </c>
      <c r="AR24" s="147">
        <f t="shared" si="11"/>
        <v>12.781149058553197</v>
      </c>
      <c r="AW24" s="154">
        <f t="shared" si="22"/>
        <v>0</v>
      </c>
      <c r="AX24" s="155">
        <f>VLOOKUP(AW24,Hoja15!$E$96:$H$103,3)</f>
        <v>0</v>
      </c>
      <c r="AY24" s="150">
        <f>VLOOKUP(AW24,Hoja15!$E$96:$H$103,4)</f>
        <v>0</v>
      </c>
      <c r="AZ24" s="150">
        <v>0</v>
      </c>
      <c r="BA24" s="170">
        <f t="shared" si="23"/>
        <v>0</v>
      </c>
      <c r="BB24" s="150">
        <f t="shared" si="12"/>
        <v>0</v>
      </c>
      <c r="BC24" s="150">
        <v>0</v>
      </c>
      <c r="BD24" s="170">
        <v>0</v>
      </c>
      <c r="BF24" s="170">
        <f t="shared" si="13"/>
        <v>0</v>
      </c>
      <c r="BI24" s="154">
        <f t="shared" si="24"/>
        <v>5568702.6201800006</v>
      </c>
      <c r="BJ24" s="230">
        <f>VLOOKUP(BI24,Hoja15!$E$96:$H$103,3)</f>
        <v>0.23</v>
      </c>
      <c r="BK24" s="150">
        <f>VLOOKUP(BI24,Hoja15!$E$96:$H$103,4)</f>
        <v>774697.88</v>
      </c>
      <c r="BL24" s="154">
        <f t="shared" si="25"/>
        <v>506103.72264140018</v>
      </c>
      <c r="BM24" s="147">
        <f>BL24/Hoja15!C16</f>
        <v>7.2776699353110379</v>
      </c>
      <c r="BP24" s="147">
        <f>P24/Hoja15!C16</f>
        <v>7.2776699353110379</v>
      </c>
      <c r="BQ24" s="147">
        <f>T24/Hoja15!C16</f>
        <v>0</v>
      </c>
      <c r="BT24" s="147">
        <f t="shared" si="26"/>
        <v>50</v>
      </c>
      <c r="BX24" s="147">
        <f t="shared" si="27"/>
        <v>30</v>
      </c>
      <c r="BY24" s="179">
        <f t="shared" si="28"/>
        <v>30</v>
      </c>
      <c r="BZ24" s="147">
        <f t="shared" si="29"/>
        <v>50</v>
      </c>
      <c r="CJ24" s="147" t="s">
        <v>79</v>
      </c>
      <c r="CK24" s="226">
        <f t="shared" si="30"/>
        <v>0</v>
      </c>
      <c r="CM24" s="172">
        <f t="shared" si="31"/>
        <v>5568702.6201800006</v>
      </c>
      <c r="CN24" s="172">
        <f t="shared" si="32"/>
        <v>0</v>
      </c>
      <c r="CO24" s="172">
        <f t="shared" si="33"/>
        <v>506103.72264140018</v>
      </c>
      <c r="CP24" s="172">
        <f t="shared" si="34"/>
        <v>0</v>
      </c>
      <c r="CQ24" s="172">
        <f t="shared" si="35"/>
        <v>0</v>
      </c>
      <c r="CR24" s="172">
        <f t="shared" si="36"/>
        <v>0</v>
      </c>
      <c r="CS24" s="314">
        <f t="shared" si="37"/>
        <v>1187930.0999999999</v>
      </c>
      <c r="CT24" s="314">
        <f t="shared" si="38"/>
        <v>0</v>
      </c>
      <c r="DH24" s="241"/>
      <c r="DK24" s="364">
        <f>G38/20000000</f>
        <v>0.19188475863622959</v>
      </c>
      <c r="DO24" s="182">
        <f t="shared" si="39"/>
        <v>-395976.69999999995</v>
      </c>
      <c r="DT24" s="241"/>
      <c r="FB24" s="241"/>
    </row>
    <row r="25" spans="1:158" x14ac:dyDescent="0.25">
      <c r="A25" s="147">
        <f>P25/Hoja15!C17</f>
        <v>7.2721803089902508</v>
      </c>
      <c r="B25" s="147">
        <f t="shared" si="14"/>
        <v>7.5674276724181644E-4</v>
      </c>
      <c r="D25" s="250"/>
      <c r="E25" s="337" t="s">
        <v>80</v>
      </c>
      <c r="F25" s="338">
        <f t="shared" si="15"/>
        <v>39643.589999999997</v>
      </c>
      <c r="G25" s="339">
        <v>7000000</v>
      </c>
      <c r="H25" s="339"/>
      <c r="I25" s="340">
        <f t="shared" si="40"/>
        <v>1982179.4999999998</v>
      </c>
      <c r="J25" s="339">
        <v>30</v>
      </c>
      <c r="K25" s="341">
        <v>0</v>
      </c>
      <c r="L25" s="341">
        <v>0</v>
      </c>
      <c r="M25" s="339"/>
      <c r="N25" s="416">
        <f t="shared" si="43"/>
        <v>5567042.79586</v>
      </c>
      <c r="O25" s="416"/>
      <c r="P25" s="416">
        <f>N25*Z25-AA25</f>
        <v>505721.9630478</v>
      </c>
      <c r="Q25" s="416"/>
      <c r="R25" s="416">
        <f t="shared" si="17"/>
        <v>0</v>
      </c>
      <c r="S25" s="416"/>
      <c r="T25" s="340">
        <f t="shared" si="18"/>
        <v>0</v>
      </c>
      <c r="U25" s="342"/>
      <c r="V25" s="401"/>
      <c r="W25" s="401"/>
      <c r="X25" s="340">
        <f t="shared" si="19"/>
        <v>0</v>
      </c>
      <c r="Y25" s="148">
        <f t="shared" si="41"/>
        <v>3480707.2019999996</v>
      </c>
      <c r="Z25" s="228">
        <f>VLOOKUP(N25,Hoja15!$E$105:$H$112,3)</f>
        <v>0.23</v>
      </c>
      <c r="AA25" s="149">
        <f>VLOOKUP(N25,Hoja15!$E$105:$H$112,4)</f>
        <v>774697.88</v>
      </c>
      <c r="AB25" s="150">
        <f t="shared" si="20"/>
        <v>0</v>
      </c>
      <c r="AC25" s="170">
        <f t="shared" si="0"/>
        <v>0</v>
      </c>
      <c r="AD25" s="150">
        <f t="shared" si="1"/>
        <v>243649.50414</v>
      </c>
      <c r="AE25" s="150">
        <f t="shared" si="42"/>
        <v>0</v>
      </c>
      <c r="AF25" s="149">
        <f t="shared" si="2"/>
        <v>1189307.7</v>
      </c>
      <c r="AG25" s="151">
        <f t="shared" si="21"/>
        <v>0</v>
      </c>
      <c r="AH25" s="149">
        <f t="shared" si="3"/>
        <v>0</v>
      </c>
      <c r="AI25" s="151">
        <f t="shared" si="4"/>
        <v>0</v>
      </c>
      <c r="AJ25" s="157">
        <f t="shared" si="5"/>
        <v>0</v>
      </c>
      <c r="AK25" s="153">
        <f t="shared" si="6"/>
        <v>50</v>
      </c>
      <c r="AL25" s="153">
        <f t="shared" si="7"/>
        <v>30</v>
      </c>
      <c r="AM25" s="153">
        <f t="shared" si="8"/>
        <v>0</v>
      </c>
      <c r="AN25" s="153">
        <f t="shared" si="9"/>
        <v>0</v>
      </c>
      <c r="AO25" s="153">
        <f t="shared" si="10"/>
        <v>0</v>
      </c>
      <c r="AR25" s="147">
        <f t="shared" si="11"/>
        <v>12.756714592391861</v>
      </c>
      <c r="AW25" s="154">
        <f>BF25-BB25-AZ25</f>
        <v>0</v>
      </c>
      <c r="AX25" s="155">
        <f>VLOOKUP(AW25,Hoja15!$E$105:$H$112,3)</f>
        <v>0</v>
      </c>
      <c r="AY25" s="150">
        <f>VLOOKUP(AW25,Hoja15!$E$105:$H$112,4)</f>
        <v>0</v>
      </c>
      <c r="AZ25" s="150">
        <v>0</v>
      </c>
      <c r="BA25" s="170">
        <f t="shared" si="23"/>
        <v>0</v>
      </c>
      <c r="BB25" s="150">
        <f t="shared" si="12"/>
        <v>0</v>
      </c>
      <c r="BC25" s="150">
        <v>0</v>
      </c>
      <c r="BD25" s="170">
        <v>0</v>
      </c>
      <c r="BF25" s="170">
        <f t="shared" si="13"/>
        <v>0</v>
      </c>
      <c r="BI25" s="154">
        <f t="shared" si="24"/>
        <v>5567042.79586</v>
      </c>
      <c r="BJ25" s="230">
        <f>VLOOKUP(BI25,Hoja15!$E$105:$H$112,3)</f>
        <v>0.23</v>
      </c>
      <c r="BK25" s="150">
        <f>VLOOKUP(BI25,Hoja15!$E$105:$H$112,4)</f>
        <v>774697.88</v>
      </c>
      <c r="BL25" s="154">
        <f t="shared" si="25"/>
        <v>505721.9630478</v>
      </c>
      <c r="BM25" s="147">
        <f>BL25/Hoja15!C17</f>
        <v>7.2721803089902508</v>
      </c>
      <c r="BP25" s="147">
        <f>P25/Hoja15!C17</f>
        <v>7.2721803089902508</v>
      </c>
      <c r="BQ25" s="147">
        <f>T25/Hoja15!C17</f>
        <v>0</v>
      </c>
      <c r="BT25" s="147">
        <f t="shared" si="26"/>
        <v>50</v>
      </c>
      <c r="BX25" s="147">
        <f t="shared" si="27"/>
        <v>30</v>
      </c>
      <c r="BY25" s="179">
        <f t="shared" si="28"/>
        <v>30</v>
      </c>
      <c r="BZ25" s="147">
        <f t="shared" si="29"/>
        <v>50</v>
      </c>
      <c r="CJ25" s="147" t="s">
        <v>81</v>
      </c>
      <c r="CK25" s="226">
        <f t="shared" si="30"/>
        <v>0</v>
      </c>
      <c r="CM25" s="172">
        <f t="shared" si="31"/>
        <v>5567042.79586</v>
      </c>
      <c r="CN25" s="172">
        <f t="shared" si="32"/>
        <v>0</v>
      </c>
      <c r="CO25" s="172">
        <f t="shared" si="33"/>
        <v>505721.9630478</v>
      </c>
      <c r="CP25" s="172">
        <f t="shared" si="34"/>
        <v>0</v>
      </c>
      <c r="CQ25" s="172">
        <f t="shared" si="35"/>
        <v>0</v>
      </c>
      <c r="CR25" s="172">
        <f t="shared" si="36"/>
        <v>0</v>
      </c>
      <c r="CS25" s="314">
        <f t="shared" si="37"/>
        <v>1189307.7</v>
      </c>
      <c r="CT25" s="314">
        <f t="shared" si="38"/>
        <v>0</v>
      </c>
      <c r="DH25" s="241"/>
      <c r="DO25" s="182">
        <f t="shared" si="39"/>
        <v>-396435.89999999997</v>
      </c>
      <c r="DT25" s="241"/>
      <c r="FB25" s="241"/>
    </row>
    <row r="26" spans="1:158" ht="16.5" customHeight="1" x14ac:dyDescent="0.25">
      <c r="D26" s="250"/>
      <c r="E26" s="343" t="s">
        <v>82</v>
      </c>
      <c r="F26" s="344"/>
      <c r="G26" s="345">
        <f>SUM(G14:G25)</f>
        <v>105000000</v>
      </c>
      <c r="H26" s="346">
        <f>SUM(H14:H25)</f>
        <v>0</v>
      </c>
      <c r="I26" s="347">
        <f>SUM(I14:I25)</f>
        <v>23511651.5</v>
      </c>
      <c r="J26" s="347">
        <f>AF26</f>
        <v>14106990.899999999</v>
      </c>
      <c r="K26" s="347">
        <f>AG26</f>
        <v>0</v>
      </c>
      <c r="L26" s="347">
        <f>AH26</f>
        <v>0</v>
      </c>
      <c r="M26" s="347">
        <f>(IF(AK42=1,SUM(M14:M25),AI26))+V62</f>
        <v>0</v>
      </c>
      <c r="N26" s="398">
        <f>SUM(N14:N25)</f>
        <v>88002956.897619992</v>
      </c>
      <c r="O26" s="398"/>
      <c r="P26" s="398">
        <f>SUM(P14:P25)</f>
        <v>13702706.461442402</v>
      </c>
      <c r="Q26" s="398"/>
      <c r="R26" s="398">
        <f>SUM(R14:R25)</f>
        <v>0</v>
      </c>
      <c r="S26" s="398"/>
      <c r="T26" s="347">
        <f>SUM(T14:T25)</f>
        <v>0</v>
      </c>
      <c r="U26" s="348"/>
      <c r="V26" s="398">
        <f>SUM(V14:V25)</f>
        <v>0</v>
      </c>
      <c r="W26" s="398"/>
      <c r="X26" s="347">
        <f>SUM(X14:X25)</f>
        <v>0</v>
      </c>
      <c r="Y26" s="148"/>
      <c r="Z26" s="174"/>
      <c r="AA26" s="174"/>
      <c r="AB26" s="175">
        <f t="shared" ref="AB26:AG26" si="44">SUM(AB14:AB25)</f>
        <v>0</v>
      </c>
      <c r="AC26" s="175">
        <f t="shared" si="44"/>
        <v>0</v>
      </c>
      <c r="AD26" s="175">
        <f t="shared" si="44"/>
        <v>2890052.2023799997</v>
      </c>
      <c r="AE26" s="175">
        <f t="shared" si="44"/>
        <v>0</v>
      </c>
      <c r="AF26" s="176">
        <f t="shared" si="44"/>
        <v>14106990.899999999</v>
      </c>
      <c r="AG26" s="176">
        <f t="shared" si="44"/>
        <v>0</v>
      </c>
      <c r="AH26" s="176">
        <f>IF(AK42=2,SUMPRODUCT(F14:F25,AH14:AH25),SUM(AH14:AH25))</f>
        <v>0</v>
      </c>
      <c r="AI26" s="176">
        <f>SUMPRODUCT(AI14:AI25,F14:F25)</f>
        <v>0</v>
      </c>
      <c r="AJ26" s="157">
        <f t="shared" si="5"/>
        <v>0</v>
      </c>
      <c r="AK26" s="153">
        <f>SUM(AK14:AK25)</f>
        <v>600</v>
      </c>
      <c r="AL26" s="316">
        <f>SUM(AL14:AL25)</f>
        <v>360</v>
      </c>
      <c r="AM26" s="316">
        <f>SUM(AM14:AM25)</f>
        <v>0</v>
      </c>
      <c r="AN26" s="153">
        <f>SUM(AN14:AN25)</f>
        <v>0</v>
      </c>
      <c r="AO26" s="153">
        <f>SUM(AO14:AO25)</f>
        <v>0</v>
      </c>
      <c r="AR26" s="315">
        <f>SUM(AR14:AR25)</f>
        <v>351.15918511905608</v>
      </c>
      <c r="AS26" s="147">
        <f>AR26*Hoja14!F25</f>
        <v>13921210.75959396</v>
      </c>
      <c r="AW26" s="172">
        <f>SUM(AW14:AW25)</f>
        <v>0</v>
      </c>
      <c r="AX26" s="174"/>
      <c r="AY26" s="174"/>
      <c r="AZ26" s="175">
        <f>SUM(AZ14:AZ25)</f>
        <v>0</v>
      </c>
      <c r="BA26" s="175">
        <f>SUM(BA14:BA25)</f>
        <v>0</v>
      </c>
      <c r="BB26" s="175">
        <f>SUM(BB14:BB25)</f>
        <v>0</v>
      </c>
      <c r="BC26" s="175">
        <f>SUM(BC14:BC25)</f>
        <v>0</v>
      </c>
      <c r="BD26" s="175">
        <f>SUM(BD14:BD25)</f>
        <v>0</v>
      </c>
      <c r="BL26" s="172">
        <f>SUM(BL14:BL25)</f>
        <v>13702706.461442402</v>
      </c>
      <c r="BM26" s="172">
        <f>SUM(BM14:BM25)*Hoja15!C17</f>
        <v>13952287.701993063</v>
      </c>
      <c r="BP26" s="147">
        <f>SUM(BP14:BP25)*Hoja15!C17</f>
        <v>13952287.701993063</v>
      </c>
      <c r="BQ26" s="147">
        <f>SUM(BQ14:BQ25)*Hoja15!C17</f>
        <v>0</v>
      </c>
      <c r="BR26" s="154">
        <f>BP26+BQ26</f>
        <v>13952287.701993063</v>
      </c>
      <c r="BX26" s="179">
        <f>SUM(BX14:BX25)</f>
        <v>360</v>
      </c>
      <c r="BY26" s="179">
        <f>SUM(BY14:BY25)</f>
        <v>360</v>
      </c>
      <c r="BZ26" s="179">
        <f>SUM(BZ14:BZ25)</f>
        <v>600</v>
      </c>
      <c r="CA26" s="147">
        <f>BZ26-BY26-BX26</f>
        <v>-120</v>
      </c>
      <c r="CB26" s="197">
        <f>CA26*F25</f>
        <v>-4757230.8</v>
      </c>
      <c r="CM26" s="172">
        <f>SUM(CM14:CM25)</f>
        <v>88002956.897619992</v>
      </c>
      <c r="CN26" s="172">
        <f t="shared" ref="CN26:CT26" si="45">SUM(CN14:CN25)</f>
        <v>0</v>
      </c>
      <c r="CO26" s="172">
        <f t="shared" si="45"/>
        <v>13702706.461442402</v>
      </c>
      <c r="CP26" s="172">
        <f t="shared" si="45"/>
        <v>0</v>
      </c>
      <c r="CQ26" s="172">
        <f t="shared" si="45"/>
        <v>0</v>
      </c>
      <c r="CR26" s="172">
        <f t="shared" si="45"/>
        <v>0</v>
      </c>
      <c r="CS26" s="314">
        <f t="shared" si="45"/>
        <v>14106990.899999999</v>
      </c>
      <c r="CT26" s="314">
        <f t="shared" si="45"/>
        <v>0</v>
      </c>
      <c r="DH26" s="241"/>
      <c r="DO26" s="367">
        <f>SUM(DO14:DO25)</f>
        <v>-4702330.3000000007</v>
      </c>
      <c r="DT26" s="241"/>
      <c r="FB26" s="241"/>
    </row>
    <row r="27" spans="1:158" ht="2.25" customHeight="1" x14ac:dyDescent="0.25">
      <c r="D27" s="250"/>
      <c r="E27" s="250"/>
      <c r="F27" s="250"/>
      <c r="G27" s="250"/>
      <c r="H27" s="250"/>
      <c r="I27" s="257"/>
      <c r="J27" s="250"/>
      <c r="K27" s="250"/>
      <c r="L27" s="250"/>
      <c r="M27" s="250"/>
      <c r="N27" s="399"/>
      <c r="O27" s="400"/>
      <c r="P27" s="399"/>
      <c r="Q27" s="400"/>
      <c r="R27" s="250"/>
      <c r="S27" s="250"/>
      <c r="T27" s="250"/>
      <c r="U27" s="250"/>
      <c r="V27" s="250"/>
      <c r="W27" s="250"/>
      <c r="X27" s="250"/>
      <c r="CM27" s="172"/>
      <c r="CP27" s="172">
        <f>T27</f>
        <v>0</v>
      </c>
      <c r="CT27" s="172">
        <f>IF($AK$42=2,M27*H242,M27)</f>
        <v>0</v>
      </c>
      <c r="DH27" s="241"/>
      <c r="DT27" s="241"/>
      <c r="FB27" s="241"/>
    </row>
    <row r="28" spans="1:158" ht="4.5" customHeight="1" x14ac:dyDescent="0.25">
      <c r="D28" s="250"/>
      <c r="E28" s="250"/>
      <c r="F28" s="250"/>
      <c r="G28" s="250"/>
      <c r="H28" s="250"/>
      <c r="I28" s="251"/>
      <c r="J28" s="250"/>
      <c r="K28" s="250"/>
      <c r="L28" s="250"/>
      <c r="M28" s="250"/>
      <c r="N28" s="251"/>
      <c r="O28" s="251"/>
      <c r="P28" s="251"/>
      <c r="Q28" s="251"/>
      <c r="R28" s="250"/>
      <c r="S28" s="250"/>
      <c r="T28" s="250"/>
      <c r="U28" s="250"/>
      <c r="V28" s="250"/>
      <c r="W28" s="250"/>
      <c r="X28" s="250"/>
      <c r="CM28" s="172"/>
      <c r="DH28" s="241"/>
      <c r="DT28" s="241"/>
      <c r="FB28" s="241"/>
    </row>
    <row r="29" spans="1:158" ht="3.75" customHeight="1" x14ac:dyDescent="0.25">
      <c r="D29" s="250"/>
      <c r="E29" s="250"/>
      <c r="F29" s="250"/>
      <c r="G29" s="250"/>
      <c r="H29" s="250"/>
      <c r="I29" s="251"/>
      <c r="J29" s="250"/>
      <c r="K29" s="250"/>
      <c r="L29" s="250"/>
      <c r="M29" s="250"/>
      <c r="N29" s="259"/>
      <c r="O29" s="251"/>
      <c r="P29" s="251"/>
      <c r="Q29" s="251"/>
      <c r="R29" s="250"/>
      <c r="S29" s="250"/>
      <c r="T29" s="250"/>
      <c r="U29" s="250"/>
      <c r="V29" s="250"/>
      <c r="W29" s="250"/>
      <c r="X29" s="250"/>
      <c r="CM29" s="172"/>
      <c r="DH29" s="241"/>
      <c r="DT29" s="241"/>
      <c r="FB29" s="241"/>
    </row>
    <row r="30" spans="1:158" ht="12.75" customHeight="1" x14ac:dyDescent="0.25">
      <c r="D30" s="250"/>
      <c r="E30" s="441" t="s">
        <v>83</v>
      </c>
      <c r="F30" s="441"/>
      <c r="G30" s="441"/>
      <c r="H30" s="441"/>
      <c r="I30" s="441"/>
      <c r="J30" s="361">
        <f>AL32+AM32</f>
        <v>14271692.399999999</v>
      </c>
      <c r="K30" s="261"/>
      <c r="L30" s="262"/>
      <c r="M30" s="263"/>
      <c r="N30" s="469" t="s">
        <v>84</v>
      </c>
      <c r="O30" s="469"/>
      <c r="P30" s="469"/>
      <c r="Q30" s="469"/>
      <c r="R30" s="460">
        <v>12000000</v>
      </c>
      <c r="S30" s="461"/>
      <c r="T30" s="462"/>
      <c r="U30" s="251"/>
      <c r="V30" s="251"/>
      <c r="W30" s="251"/>
      <c r="X30" s="251"/>
      <c r="Y30" s="163"/>
      <c r="Z30" s="178"/>
      <c r="CM30" s="172"/>
      <c r="DH30" s="241"/>
      <c r="DK30" s="182" t="s">
        <v>85</v>
      </c>
      <c r="DN30" s="329">
        <f>DK20</f>
        <v>9514461.5999999996</v>
      </c>
      <c r="DT30" s="241"/>
      <c r="FB30" s="241"/>
    </row>
    <row r="31" spans="1:158" ht="15.75" customHeight="1" x14ac:dyDescent="0.25">
      <c r="D31" s="250"/>
      <c r="E31" s="446" t="s">
        <v>86</v>
      </c>
      <c r="F31" s="446"/>
      <c r="G31" s="446"/>
      <c r="H31" s="446"/>
      <c r="I31" s="446"/>
      <c r="J31" s="366">
        <f>MIN(600*H240-J30,DK20+DK19)</f>
        <v>9514461.5999999978</v>
      </c>
      <c r="K31" s="261"/>
      <c r="L31" s="262"/>
      <c r="M31" s="250" t="str">
        <f>IF(((AK26-(AL26+AM26))*F25)&lt;0,"Supera límite anual"," ")</f>
        <v xml:space="preserve"> </v>
      </c>
      <c r="N31" s="251"/>
      <c r="O31" s="251"/>
      <c r="P31" s="251"/>
      <c r="Q31" s="251"/>
      <c r="R31" s="251"/>
      <c r="S31" s="251"/>
      <c r="T31" s="251"/>
      <c r="U31" s="251"/>
      <c r="V31" s="251"/>
      <c r="W31" s="251"/>
      <c r="X31" s="251"/>
      <c r="Y31" s="163"/>
      <c r="Z31" s="106">
        <v>20939.490000000002</v>
      </c>
      <c r="AA31" s="106">
        <v>20865.849999999999</v>
      </c>
      <c r="AB31" s="106">
        <v>20924.09</v>
      </c>
      <c r="AC31" s="106">
        <v>21000.55</v>
      </c>
      <c r="AD31" s="106">
        <v>21032.2</v>
      </c>
      <c r="AE31" s="106">
        <v>21115.8</v>
      </c>
      <c r="AF31" s="106">
        <v>21204.99</v>
      </c>
      <c r="AG31" s="106">
        <v>21227.57</v>
      </c>
      <c r="AL31" s="317">
        <f>AL26+AM26</f>
        <v>360</v>
      </c>
      <c r="CM31" s="172">
        <f>CM26*Hoja15!L111-Hoja15!M111</f>
        <v>11340401.634166993</v>
      </c>
      <c r="DH31" s="241"/>
      <c r="DK31" s="329" t="s">
        <v>87</v>
      </c>
      <c r="DN31" s="329">
        <f>DK19</f>
        <v>0</v>
      </c>
      <c r="DT31" s="241"/>
      <c r="FB31" s="241"/>
    </row>
    <row r="32" spans="1:158" ht="14.25" customHeight="1" x14ac:dyDescent="0.25">
      <c r="D32" s="250"/>
      <c r="E32" s="445" t="str">
        <f>IF(Y4=1,"APV B máx. socio que se asigna Sueldo Empresarial","APV B máx. en calidad de trabajador dependiente (Art. 42 N° 1)")</f>
        <v>APV B máx. en calidad de trabajador dependiente (Art. 42 N° 1)</v>
      </c>
      <c r="F32" s="445"/>
      <c r="G32" s="445"/>
      <c r="H32" s="445"/>
      <c r="I32" s="445"/>
      <c r="J32" s="362">
        <f>DN30</f>
        <v>9514461.5999999996</v>
      </c>
      <c r="K32" s="261"/>
      <c r="L32" s="264"/>
      <c r="M32" s="250"/>
      <c r="N32" s="251"/>
      <c r="O32" s="251"/>
      <c r="P32" s="251"/>
      <c r="Q32" s="251"/>
      <c r="R32" s="251"/>
      <c r="S32" s="251"/>
      <c r="T32" s="251"/>
      <c r="U32" s="251"/>
      <c r="V32" s="251"/>
      <c r="W32" s="251"/>
      <c r="X32" s="251"/>
      <c r="Y32" s="177"/>
      <c r="AL32" s="317">
        <f>AL26*H240</f>
        <v>14271692.399999999</v>
      </c>
      <c r="AM32" s="317">
        <f>AM26*H240</f>
        <v>0</v>
      </c>
      <c r="DH32" s="241"/>
      <c r="DT32" s="241"/>
      <c r="FB32" s="241"/>
    </row>
    <row r="33" spans="4:158" ht="16.5" customHeight="1" x14ac:dyDescent="0.25">
      <c r="D33" s="250"/>
      <c r="E33" s="445" t="s">
        <v>88</v>
      </c>
      <c r="F33" s="445"/>
      <c r="G33" s="445"/>
      <c r="H33" s="445"/>
      <c r="I33" s="445"/>
      <c r="J33" s="362">
        <f>MIN(J31,DN31)</f>
        <v>0</v>
      </c>
      <c r="K33" s="251"/>
      <c r="L33" s="251"/>
      <c r="M33" s="241"/>
      <c r="N33" s="251"/>
      <c r="O33" s="251"/>
      <c r="P33" s="251"/>
      <c r="Q33" s="251"/>
      <c r="R33" s="250"/>
      <c r="S33" s="250"/>
      <c r="T33" s="250"/>
      <c r="U33" s="250"/>
      <c r="V33" s="250"/>
      <c r="W33" s="250"/>
      <c r="X33" s="250"/>
      <c r="Y33" s="177"/>
      <c r="AL33" s="317">
        <f>AK26*H240</f>
        <v>23786153.999999996</v>
      </c>
      <c r="DH33" s="241"/>
      <c r="DT33" s="241"/>
      <c r="FB33" s="241"/>
    </row>
    <row r="34" spans="4:158" ht="15" customHeight="1" thickBot="1" x14ac:dyDescent="0.35">
      <c r="D34" s="250"/>
      <c r="E34" s="447" t="s">
        <v>89</v>
      </c>
      <c r="F34" s="447"/>
      <c r="G34" s="447"/>
      <c r="H34" s="447"/>
      <c r="I34" s="447"/>
      <c r="J34" s="363"/>
      <c r="K34" s="250"/>
      <c r="L34" s="250"/>
      <c r="M34" s="250"/>
      <c r="N34" s="251"/>
      <c r="O34" s="242"/>
      <c r="P34" s="242"/>
      <c r="Q34" s="242"/>
      <c r="R34" s="241"/>
      <c r="S34" s="241"/>
      <c r="T34" s="241"/>
      <c r="U34" s="307"/>
      <c r="V34" s="307"/>
      <c r="W34" s="308"/>
      <c r="X34" s="241"/>
      <c r="Y34" s="156"/>
      <c r="Z34" s="156" t="s">
        <v>90</v>
      </c>
      <c r="AA34" s="177">
        <f>R197+Hoja1!L17</f>
        <v>-1305364.3086956199</v>
      </c>
      <c r="AL34" s="317">
        <f>AL33-AL32</f>
        <v>9514461.5999999978</v>
      </c>
      <c r="DH34" s="241"/>
      <c r="DT34" s="241"/>
      <c r="FB34" s="241"/>
    </row>
    <row r="35" spans="4:158" ht="10.5" customHeight="1" thickTop="1" thickBot="1" x14ac:dyDescent="0.35">
      <c r="D35" s="250"/>
      <c r="E35" s="241"/>
      <c r="F35" s="241"/>
      <c r="G35" s="241"/>
      <c r="H35" s="241"/>
      <c r="I35" s="242"/>
      <c r="J35" s="241"/>
      <c r="K35" s="319"/>
      <c r="L35" s="320"/>
      <c r="M35" s="250"/>
      <c r="N35" s="251"/>
      <c r="O35" s="242"/>
      <c r="P35" s="242"/>
      <c r="Q35" s="242"/>
      <c r="R35" s="241"/>
      <c r="S35" s="241"/>
      <c r="T35" s="241"/>
      <c r="U35" s="309"/>
      <c r="V35" s="309"/>
      <c r="W35" s="310"/>
      <c r="X35" s="241"/>
      <c r="Y35" s="159"/>
      <c r="Z35" s="156" t="s">
        <v>91</v>
      </c>
      <c r="DH35" s="241"/>
      <c r="DT35" s="241"/>
      <c r="FB35" s="241"/>
    </row>
    <row r="36" spans="4:158" ht="14.25" customHeight="1" thickTop="1" x14ac:dyDescent="0.3">
      <c r="D36" s="250"/>
      <c r="E36" s="318"/>
      <c r="F36" s="318"/>
      <c r="G36" s="456" t="s">
        <v>92</v>
      </c>
      <c r="H36" s="457"/>
      <c r="I36" s="458"/>
      <c r="J36" s="327"/>
      <c r="K36" s="321"/>
      <c r="L36" s="322"/>
      <c r="M36" s="250"/>
      <c r="N36" s="251"/>
      <c r="O36" s="242"/>
      <c r="P36" s="242"/>
      <c r="Q36" s="242"/>
      <c r="R36" s="241"/>
      <c r="S36" s="241"/>
      <c r="T36" s="241"/>
      <c r="U36" s="311"/>
      <c r="V36" s="311"/>
      <c r="W36" s="311"/>
      <c r="X36" s="305"/>
      <c r="Y36" s="159"/>
      <c r="Z36" s="156" t="s">
        <v>93</v>
      </c>
      <c r="AB36" s="179">
        <f>IF(P5&gt;8*Hoja15!B23,8*Hoja15!B23,Hoja14!P5)</f>
        <v>0</v>
      </c>
      <c r="AZ36" s="158">
        <f>P26</f>
        <v>13702706.461442402</v>
      </c>
      <c r="BA36" s="159"/>
      <c r="DH36" s="241"/>
      <c r="DT36" s="241"/>
      <c r="FB36" s="241"/>
    </row>
    <row r="37" spans="4:158" ht="13.5" customHeight="1" x14ac:dyDescent="0.25">
      <c r="D37" s="250"/>
      <c r="E37" s="241"/>
      <c r="F37" s="318"/>
      <c r="G37" s="442" t="str">
        <f>Z64</f>
        <v>(En contra)</v>
      </c>
      <c r="H37" s="443"/>
      <c r="I37" s="444"/>
      <c r="J37" s="328"/>
      <c r="K37" s="323"/>
      <c r="L37" s="324"/>
      <c r="M37" s="250"/>
      <c r="N37" s="251"/>
      <c r="O37" s="242"/>
      <c r="P37" s="242"/>
      <c r="Q37" s="242"/>
      <c r="R37" s="241"/>
      <c r="S37" s="241"/>
      <c r="T37" s="241"/>
      <c r="U37" s="311"/>
      <c r="V37" s="311"/>
      <c r="W37" s="311"/>
      <c r="X37" s="250"/>
      <c r="Y37" s="156"/>
      <c r="Z37" s="165" t="s">
        <v>4</v>
      </c>
      <c r="AZ37" s="180">
        <f>X26</f>
        <v>0</v>
      </c>
      <c r="BA37" s="156"/>
      <c r="DH37" s="241"/>
      <c r="DT37" s="241"/>
      <c r="FB37" s="241"/>
    </row>
    <row r="38" spans="4:158" ht="15" customHeight="1" thickBot="1" x14ac:dyDescent="0.3">
      <c r="D38" s="250"/>
      <c r="E38" s="250"/>
      <c r="F38" s="250"/>
      <c r="G38" s="450">
        <f>Hoja9!C23</f>
        <v>3837695.1727245916</v>
      </c>
      <c r="H38" s="451"/>
      <c r="I38" s="452"/>
      <c r="J38" s="328"/>
      <c r="K38" s="325"/>
      <c r="L38" s="326"/>
      <c r="M38" s="250"/>
      <c r="N38" s="251"/>
      <c r="O38" s="251"/>
      <c r="P38" s="251"/>
      <c r="Q38" s="251"/>
      <c r="R38" s="250"/>
      <c r="S38" s="250"/>
      <c r="T38" s="250"/>
      <c r="U38" s="250"/>
      <c r="V38" s="250"/>
      <c r="W38" s="250"/>
      <c r="X38" s="250"/>
      <c r="Y38" s="181"/>
      <c r="AZ38" s="158">
        <f>N26</f>
        <v>88002956.897619992</v>
      </c>
      <c r="BA38" s="181">
        <f>AZ38+AZ39</f>
        <v>88002956.897619992</v>
      </c>
      <c r="DH38" s="241"/>
      <c r="DT38" s="241"/>
      <c r="FB38" s="241"/>
    </row>
    <row r="39" spans="4:158" ht="9" customHeight="1" thickTop="1" thickBot="1" x14ac:dyDescent="0.3">
      <c r="D39" s="250"/>
      <c r="E39" s="250"/>
      <c r="F39" s="250"/>
      <c r="G39" s="453"/>
      <c r="H39" s="454"/>
      <c r="I39" s="455"/>
      <c r="J39" s="250"/>
      <c r="K39" s="250"/>
      <c r="L39" s="250"/>
      <c r="M39" s="250"/>
      <c r="N39" s="251"/>
      <c r="O39" s="251"/>
      <c r="P39" s="251"/>
      <c r="Q39" s="251"/>
      <c r="R39" s="250"/>
      <c r="S39" s="250"/>
      <c r="T39" s="250"/>
      <c r="U39" s="250"/>
      <c r="V39" s="250"/>
      <c r="W39" s="250"/>
      <c r="X39" s="265">
        <f>IF(G38=0,1,0)</f>
        <v>0</v>
      </c>
      <c r="Y39" s="242"/>
      <c r="Z39" s="242"/>
      <c r="AA39" s="242"/>
      <c r="AB39" s="249">
        <f>Hoja15!C17*15*12</f>
        <v>12517560</v>
      </c>
      <c r="AC39" s="241"/>
      <c r="AD39" s="241"/>
      <c r="AE39" s="241"/>
      <c r="AF39" s="241"/>
      <c r="AG39" s="241"/>
      <c r="AH39" s="241"/>
      <c r="AI39" s="241"/>
      <c r="AJ39" s="274"/>
      <c r="AK39" s="241"/>
      <c r="AL39" s="241"/>
      <c r="AM39" s="241"/>
      <c r="AN39" s="241"/>
      <c r="AO39" s="241"/>
      <c r="AP39" s="241"/>
      <c r="AQ39" s="241"/>
      <c r="AR39" s="241"/>
      <c r="AS39" s="241"/>
      <c r="AT39" s="241"/>
      <c r="AU39" s="241"/>
      <c r="AV39" s="241"/>
      <c r="AW39" s="241"/>
      <c r="AX39" s="241"/>
      <c r="AY39" s="241"/>
      <c r="AZ39" s="246">
        <f>V26</f>
        <v>0</v>
      </c>
      <c r="BA39" s="242"/>
      <c r="BB39" s="241"/>
      <c r="BC39" s="241"/>
      <c r="BD39" s="241"/>
      <c r="BE39" s="241"/>
      <c r="BF39" s="241"/>
      <c r="BG39" s="241"/>
      <c r="BH39" s="241"/>
      <c r="BI39" s="241"/>
      <c r="BJ39" s="241"/>
      <c r="BK39" s="241"/>
      <c r="BL39" s="241"/>
      <c r="BM39" s="241"/>
      <c r="BN39" s="241"/>
      <c r="BO39" s="241"/>
      <c r="BP39" s="241"/>
      <c r="BQ39" s="241"/>
      <c r="BR39" s="241"/>
      <c r="BS39" s="241"/>
      <c r="BT39" s="241"/>
      <c r="BU39" s="241"/>
      <c r="BV39" s="241"/>
      <c r="BW39" s="241"/>
      <c r="BX39" s="241"/>
      <c r="BY39" s="241"/>
      <c r="BZ39" s="241"/>
      <c r="CA39" s="241"/>
      <c r="CB39" s="241"/>
      <c r="CC39" s="241"/>
      <c r="CD39" s="241"/>
      <c r="CE39" s="241"/>
      <c r="CF39" s="241"/>
      <c r="CG39" s="241"/>
      <c r="CH39" s="241"/>
      <c r="CI39" s="241"/>
      <c r="CJ39" s="241"/>
      <c r="CK39" s="241"/>
      <c r="CL39" s="241"/>
      <c r="CM39" s="241"/>
      <c r="CN39" s="241"/>
      <c r="CO39" s="241"/>
      <c r="CP39" s="241"/>
      <c r="CQ39" s="241"/>
      <c r="CR39" s="241"/>
      <c r="CS39" s="241"/>
      <c r="CT39" s="241"/>
      <c r="CU39" s="241"/>
      <c r="CV39" s="241"/>
      <c r="CW39" s="241"/>
      <c r="CX39" s="241"/>
      <c r="CY39" s="241"/>
      <c r="CZ39" s="241"/>
      <c r="DA39" s="241"/>
      <c r="DB39" s="241"/>
      <c r="DC39" s="241"/>
      <c r="DD39" s="241"/>
      <c r="DE39" s="241"/>
      <c r="DF39" s="241"/>
      <c r="DG39" s="241"/>
      <c r="DH39" s="241"/>
      <c r="DT39" s="241"/>
      <c r="FB39" s="241"/>
    </row>
    <row r="40" spans="4:158" ht="7.5" customHeight="1" thickTop="1" x14ac:dyDescent="0.2">
      <c r="D40" s="250"/>
      <c r="E40" s="250"/>
      <c r="F40" s="250"/>
      <c r="G40" s="241"/>
      <c r="H40" s="241"/>
      <c r="I40" s="242"/>
      <c r="J40" s="250"/>
      <c r="K40" s="250"/>
      <c r="L40" s="250"/>
      <c r="M40" s="250"/>
      <c r="N40" s="251"/>
      <c r="O40" s="251"/>
      <c r="P40" s="251"/>
      <c r="Q40" s="251"/>
      <c r="R40" s="250"/>
      <c r="S40" s="250"/>
      <c r="T40" s="250"/>
      <c r="U40" s="250"/>
      <c r="V40" s="250"/>
      <c r="W40" s="250"/>
      <c r="X40" s="250"/>
      <c r="Y40" s="275"/>
      <c r="Z40" s="242"/>
      <c r="AA40" s="242"/>
      <c r="AB40" s="241">
        <f>IF(30%*V26&gt;AB39,AB39,30%*V26)</f>
        <v>0</v>
      </c>
      <c r="AC40" s="241"/>
      <c r="AD40" s="241" t="s">
        <v>94</v>
      </c>
      <c r="AE40" s="241">
        <f>IF(M26&gt;0,1,0)</f>
        <v>0</v>
      </c>
      <c r="AF40" s="241"/>
      <c r="AG40" s="241"/>
      <c r="AH40" s="241"/>
      <c r="AI40" s="241"/>
      <c r="AJ40" s="276" t="s">
        <v>95</v>
      </c>
      <c r="AK40" s="277" t="s">
        <v>16</v>
      </c>
      <c r="AL40" s="278"/>
      <c r="AM40" s="278"/>
      <c r="AN40" s="241"/>
      <c r="AO40" s="241"/>
      <c r="AP40" s="241"/>
      <c r="AQ40" s="241"/>
      <c r="AR40" s="241"/>
      <c r="AS40" s="241"/>
      <c r="AT40" s="241"/>
      <c r="AU40" s="241"/>
      <c r="AV40" s="241"/>
      <c r="AW40" s="241"/>
      <c r="AX40" s="241"/>
      <c r="AY40" s="241"/>
      <c r="AZ40" s="279">
        <f>IF((L110+L111)=0,0,IF(L111=0,0,M84-M94))</f>
        <v>0</v>
      </c>
      <c r="BA40" s="275"/>
      <c r="BB40" s="241"/>
      <c r="BC40" s="241"/>
      <c r="BD40" s="241"/>
      <c r="BE40" s="241"/>
      <c r="BF40" s="241"/>
      <c r="BG40" s="241"/>
      <c r="BH40" s="241"/>
      <c r="BI40" s="241"/>
      <c r="BJ40" s="241"/>
      <c r="BK40" s="241"/>
      <c r="BL40" s="241"/>
      <c r="BM40" s="241"/>
      <c r="BN40" s="241"/>
      <c r="BO40" s="241"/>
      <c r="BP40" s="241"/>
      <c r="BQ40" s="241"/>
      <c r="BR40" s="241"/>
      <c r="BS40" s="241"/>
      <c r="BT40" s="241"/>
      <c r="BU40" s="241"/>
      <c r="BV40" s="241"/>
      <c r="BW40" s="241"/>
      <c r="BX40" s="241"/>
      <c r="BY40" s="241"/>
      <c r="BZ40" s="241"/>
      <c r="CA40" s="241"/>
      <c r="CB40" s="241"/>
      <c r="CC40" s="241"/>
      <c r="CD40" s="241"/>
      <c r="CE40" s="241"/>
      <c r="CF40" s="241"/>
      <c r="CG40" s="241"/>
      <c r="CH40" s="241"/>
      <c r="CI40" s="241"/>
      <c r="CJ40" s="241"/>
      <c r="CK40" s="241"/>
      <c r="CL40" s="241"/>
      <c r="CM40" s="241"/>
      <c r="CN40" s="241"/>
      <c r="CO40" s="241"/>
      <c r="CP40" s="241"/>
      <c r="CQ40" s="241"/>
      <c r="CR40" s="241"/>
      <c r="CS40" s="241"/>
      <c r="CT40" s="241"/>
      <c r="CU40" s="241"/>
      <c r="CV40" s="241"/>
      <c r="CW40" s="241"/>
      <c r="CX40" s="241"/>
      <c r="CY40" s="241"/>
      <c r="CZ40" s="241"/>
      <c r="DA40" s="241"/>
      <c r="DB40" s="241"/>
      <c r="DC40" s="241"/>
      <c r="DD40" s="241"/>
      <c r="DE40" s="241"/>
      <c r="DF40" s="241"/>
      <c r="DG40" s="241"/>
      <c r="DH40" s="241"/>
      <c r="DT40" s="241"/>
      <c r="FB40" s="241"/>
    </row>
    <row r="41" spans="4:158" ht="12" customHeight="1" x14ac:dyDescent="0.2">
      <c r="D41" s="241"/>
      <c r="E41" s="241"/>
      <c r="F41" s="241"/>
      <c r="G41" s="241"/>
      <c r="H41" s="241"/>
      <c r="I41" s="242"/>
      <c r="J41" s="241"/>
      <c r="K41" s="241"/>
      <c r="L41" s="241"/>
      <c r="M41" s="241"/>
      <c r="N41" s="242"/>
      <c r="O41" s="242"/>
      <c r="P41" s="242"/>
      <c r="Q41" s="242">
        <f>IF(P7=4,1,0)</f>
        <v>0</v>
      </c>
      <c r="R41" s="241"/>
      <c r="S41" s="241"/>
      <c r="T41" s="241"/>
      <c r="U41" s="241"/>
      <c r="V41" s="241"/>
      <c r="W41" s="241"/>
      <c r="X41" s="241"/>
      <c r="Y41" s="241"/>
      <c r="Z41" s="242"/>
      <c r="AA41" s="242"/>
      <c r="AB41" s="249">
        <f>V26-AB40</f>
        <v>0</v>
      </c>
      <c r="AC41" s="241"/>
      <c r="AD41" s="241" t="s">
        <v>96</v>
      </c>
      <c r="AE41" s="241">
        <f>IF(J34&gt;0,1,0)</f>
        <v>0</v>
      </c>
      <c r="AF41" s="241"/>
      <c r="AG41" s="241"/>
      <c r="AH41" s="241"/>
      <c r="AI41" s="241"/>
      <c r="AJ41" s="276" t="s">
        <v>22</v>
      </c>
      <c r="AK41" s="277" t="s">
        <v>11</v>
      </c>
      <c r="AL41" s="278"/>
      <c r="AM41" s="278"/>
      <c r="AN41" s="241"/>
      <c r="AO41" s="241"/>
      <c r="AP41" s="241"/>
      <c r="AQ41" s="241"/>
      <c r="AR41" s="241"/>
      <c r="AS41" s="241"/>
      <c r="AT41" s="241"/>
      <c r="AU41" s="241"/>
      <c r="AV41" s="241"/>
      <c r="AW41" s="241"/>
      <c r="AX41" s="241"/>
      <c r="AY41" s="241"/>
      <c r="AZ41" s="241"/>
      <c r="BA41" s="241"/>
      <c r="BB41" s="241"/>
      <c r="BC41" s="241"/>
      <c r="BD41" s="241"/>
      <c r="BE41" s="241"/>
      <c r="BF41" s="241"/>
      <c r="BG41" s="241"/>
      <c r="BH41" s="241"/>
      <c r="BI41" s="241"/>
      <c r="BJ41" s="241"/>
      <c r="BK41" s="241"/>
      <c r="BL41" s="241"/>
      <c r="BM41" s="241"/>
      <c r="BN41" s="241"/>
      <c r="BO41" s="241"/>
      <c r="BP41" s="241"/>
      <c r="BQ41" s="241"/>
      <c r="BR41" s="241"/>
      <c r="BS41" s="241"/>
      <c r="BT41" s="241"/>
      <c r="BU41" s="241"/>
      <c r="BV41" s="241"/>
      <c r="BW41" s="241"/>
      <c r="BX41" s="241"/>
      <c r="BY41" s="241"/>
      <c r="BZ41" s="241"/>
      <c r="CA41" s="241"/>
      <c r="CB41" s="241"/>
      <c r="CC41" s="241"/>
      <c r="CD41" s="241"/>
      <c r="CE41" s="241"/>
      <c r="CF41" s="241"/>
      <c r="CG41" s="241"/>
      <c r="CH41" s="241"/>
      <c r="CI41" s="241"/>
      <c r="CJ41" s="241"/>
      <c r="CK41" s="241"/>
      <c r="CL41" s="241"/>
      <c r="CM41" s="241"/>
      <c r="CN41" s="241"/>
      <c r="CO41" s="241"/>
      <c r="CP41" s="241"/>
      <c r="CQ41" s="241"/>
      <c r="CR41" s="241"/>
      <c r="CS41" s="241"/>
      <c r="CT41" s="241"/>
      <c r="CU41" s="241"/>
      <c r="CV41" s="241"/>
      <c r="CW41" s="241"/>
      <c r="CX41" s="241"/>
      <c r="CY41" s="241"/>
      <c r="CZ41" s="241"/>
      <c r="DA41" s="241"/>
      <c r="DB41" s="241"/>
      <c r="DC41" s="241"/>
      <c r="DD41" s="241"/>
      <c r="DE41" s="241"/>
      <c r="DF41" s="241"/>
      <c r="DG41" s="241"/>
      <c r="DH41" s="241"/>
      <c r="DT41" s="241"/>
      <c r="FB41" s="241"/>
    </row>
    <row r="42" spans="4:158" ht="13.5" customHeight="1" x14ac:dyDescent="0.2">
      <c r="D42" s="241"/>
      <c r="E42" s="241"/>
      <c r="F42" s="241"/>
      <c r="G42" s="241"/>
      <c r="H42" s="241"/>
      <c r="I42" s="242"/>
      <c r="J42" s="241"/>
      <c r="K42" s="241"/>
      <c r="L42" s="241"/>
      <c r="M42" s="241"/>
      <c r="N42" s="242"/>
      <c r="O42" s="242"/>
      <c r="P42" s="242"/>
      <c r="Q42" s="242"/>
      <c r="R42" s="241"/>
      <c r="S42" s="241"/>
      <c r="T42" s="241"/>
      <c r="U42" s="241"/>
      <c r="V42" s="241"/>
      <c r="W42" s="241"/>
      <c r="X42" s="241"/>
      <c r="Y42" s="241"/>
      <c r="Z42" s="242"/>
      <c r="AA42" s="242"/>
      <c r="AB42" s="241"/>
      <c r="AC42" s="241"/>
      <c r="AD42" s="241" t="s">
        <v>97</v>
      </c>
      <c r="AE42" s="241">
        <f>IF(R5&gt;0,1,0)</f>
        <v>0</v>
      </c>
      <c r="AF42" s="241"/>
      <c r="AG42" s="241"/>
      <c r="AH42" s="241"/>
      <c r="AI42" s="241"/>
      <c r="AJ42" s="276">
        <v>2</v>
      </c>
      <c r="AK42" s="277">
        <v>1</v>
      </c>
      <c r="AL42" s="277">
        <v>1</v>
      </c>
      <c r="AM42" s="277">
        <v>1</v>
      </c>
      <c r="AN42" s="241"/>
      <c r="AO42" s="241"/>
      <c r="AP42" s="241"/>
      <c r="AQ42" s="241"/>
      <c r="AR42" s="241"/>
      <c r="AS42" s="241"/>
      <c r="AT42" s="241"/>
      <c r="AU42" s="241"/>
      <c r="AV42" s="241"/>
      <c r="AW42" s="241"/>
      <c r="AX42" s="241"/>
      <c r="AY42" s="241"/>
      <c r="AZ42" s="241">
        <f>IF((M86+M88)&gt;0,AZ40,IF(V26&gt;0,Hoja15!R109,Hoja14!AZ40))</f>
        <v>0</v>
      </c>
      <c r="BA42" s="241"/>
      <c r="BB42" s="241"/>
      <c r="BC42" s="241"/>
      <c r="BD42" s="241"/>
      <c r="BE42" s="241"/>
      <c r="BF42" s="241"/>
      <c r="BG42" s="241"/>
      <c r="BH42" s="241"/>
      <c r="BI42" s="241"/>
      <c r="BJ42" s="241"/>
      <c r="BK42" s="241"/>
      <c r="BL42" s="241"/>
      <c r="BM42" s="241"/>
      <c r="BN42" s="241"/>
      <c r="BO42" s="241"/>
      <c r="BP42" s="241"/>
      <c r="BQ42" s="241"/>
      <c r="BR42" s="241"/>
      <c r="BS42" s="241"/>
      <c r="BT42" s="241"/>
      <c r="BU42" s="241"/>
      <c r="BV42" s="241"/>
      <c r="BW42" s="241"/>
      <c r="BX42" s="241"/>
      <c r="BY42" s="241"/>
      <c r="BZ42" s="241"/>
      <c r="CA42" s="241"/>
      <c r="CB42" s="241"/>
      <c r="CC42" s="241"/>
      <c r="CD42" s="241"/>
      <c r="CE42" s="241"/>
      <c r="CF42" s="241"/>
      <c r="CG42" s="241"/>
      <c r="CH42" s="241"/>
      <c r="CI42" s="241"/>
      <c r="CJ42" s="241"/>
      <c r="CK42" s="241"/>
      <c r="CL42" s="241"/>
      <c r="CM42" s="241"/>
      <c r="CN42" s="241"/>
      <c r="CO42" s="241"/>
      <c r="CP42" s="241"/>
      <c r="CQ42" s="241"/>
      <c r="CR42" s="241"/>
      <c r="CS42" s="241"/>
      <c r="CT42" s="241"/>
      <c r="CU42" s="241"/>
      <c r="CV42" s="241"/>
      <c r="CW42" s="241"/>
      <c r="CX42" s="241"/>
      <c r="CY42" s="241"/>
      <c r="CZ42" s="241"/>
      <c r="DA42" s="241"/>
      <c r="DB42" s="241"/>
      <c r="DC42" s="241"/>
      <c r="DD42" s="241"/>
      <c r="DE42" s="241"/>
      <c r="DF42" s="241"/>
      <c r="DG42" s="241"/>
      <c r="DH42" s="241"/>
      <c r="DT42" s="241"/>
      <c r="FB42" s="241"/>
    </row>
    <row r="43" spans="4:158" ht="12" customHeight="1" x14ac:dyDescent="0.25">
      <c r="D43" s="241"/>
      <c r="E43" s="241"/>
      <c r="F43" s="241"/>
      <c r="G43" s="241"/>
      <c r="H43" s="241"/>
      <c r="I43" s="242"/>
      <c r="J43" s="249"/>
      <c r="K43" s="241"/>
      <c r="L43" s="241"/>
      <c r="M43" s="241"/>
      <c r="N43" s="242"/>
      <c r="O43" s="242"/>
      <c r="P43" s="242"/>
      <c r="Q43" s="280">
        <f>IF(T45=1,R6*1,R6*-1)</f>
        <v>0</v>
      </c>
      <c r="R43" s="241"/>
      <c r="S43" s="241"/>
      <c r="T43" s="241">
        <f>IF(T45=1,1,-1)</f>
        <v>-1</v>
      </c>
      <c r="U43" s="241"/>
      <c r="V43" s="241"/>
      <c r="W43" s="241"/>
      <c r="X43" s="241"/>
      <c r="Y43" s="241"/>
      <c r="Z43" s="242"/>
      <c r="AA43" s="246">
        <f>N26+R26</f>
        <v>88002956.897619992</v>
      </c>
      <c r="AB43" s="241"/>
      <c r="AC43" s="241"/>
      <c r="AD43" s="241"/>
      <c r="AE43" s="241">
        <f>SUM(AE40:AE42)</f>
        <v>0</v>
      </c>
      <c r="AF43" s="241"/>
      <c r="AG43" s="241"/>
      <c r="AH43" s="241"/>
      <c r="AI43" s="241"/>
      <c r="AJ43" s="274"/>
      <c r="AK43" s="241"/>
      <c r="AL43" s="241"/>
      <c r="AM43" s="241"/>
      <c r="AN43" s="241"/>
      <c r="AO43" s="241"/>
      <c r="AP43" s="241"/>
      <c r="AQ43" s="241"/>
      <c r="AR43" s="241"/>
      <c r="AS43" s="241"/>
      <c r="AT43" s="241"/>
      <c r="AU43" s="241"/>
      <c r="AV43" s="241"/>
      <c r="AW43" s="241"/>
      <c r="AX43" s="241"/>
      <c r="AY43" s="241"/>
      <c r="AZ43" s="241"/>
      <c r="BA43" s="241"/>
      <c r="BB43" s="241"/>
      <c r="BC43" s="241"/>
      <c r="BD43" s="241"/>
      <c r="BE43" s="241"/>
      <c r="BF43" s="241"/>
      <c r="BG43" s="241"/>
      <c r="BH43" s="241"/>
      <c r="BI43" s="241"/>
      <c r="BJ43" s="241"/>
      <c r="BK43" s="241"/>
      <c r="BL43" s="241"/>
      <c r="BM43" s="241"/>
      <c r="BN43" s="241"/>
      <c r="BO43" s="241"/>
      <c r="BP43" s="241"/>
      <c r="BQ43" s="241"/>
      <c r="BR43" s="241"/>
      <c r="BS43" s="241"/>
      <c r="BT43" s="241"/>
      <c r="BU43" s="241"/>
      <c r="BV43" s="241"/>
      <c r="BW43" s="241"/>
      <c r="BX43" s="241"/>
      <c r="BY43" s="241"/>
      <c r="BZ43" s="241"/>
      <c r="CA43" s="241"/>
      <c r="CB43" s="241"/>
      <c r="CC43" s="241"/>
      <c r="CD43" s="241"/>
      <c r="CE43" s="241"/>
      <c r="CF43" s="241"/>
      <c r="CG43" s="241"/>
      <c r="CH43" s="241"/>
      <c r="CI43" s="241"/>
      <c r="CJ43" s="241"/>
      <c r="CK43" s="241"/>
      <c r="CL43" s="241"/>
      <c r="CM43" s="241"/>
      <c r="CN43" s="241"/>
      <c r="CO43" s="241"/>
      <c r="CP43" s="241"/>
      <c r="CQ43" s="241"/>
      <c r="CR43" s="241"/>
      <c r="CS43" s="241"/>
      <c r="CT43" s="241"/>
      <c r="CU43" s="241"/>
      <c r="CV43" s="241"/>
      <c r="CW43" s="241"/>
      <c r="CX43" s="241"/>
      <c r="CY43" s="241"/>
      <c r="CZ43" s="241"/>
      <c r="DA43" s="241"/>
      <c r="DB43" s="241"/>
      <c r="DC43" s="241"/>
      <c r="DD43" s="241"/>
      <c r="DE43" s="241"/>
      <c r="DF43" s="241"/>
      <c r="DG43" s="241"/>
      <c r="DH43" s="241"/>
      <c r="DT43" s="241"/>
      <c r="FB43" s="241"/>
    </row>
    <row r="44" spans="4:158" hidden="1" x14ac:dyDescent="0.25">
      <c r="D44" s="241"/>
      <c r="E44" s="241">
        <f>SUM(B14:B25)*F25</f>
        <v>364.2355897410286</v>
      </c>
      <c r="F44" s="241"/>
      <c r="G44" s="241"/>
      <c r="H44" s="241"/>
      <c r="I44" s="242"/>
      <c r="J44" s="241"/>
      <c r="K44" s="241"/>
      <c r="L44" s="241"/>
      <c r="M44" s="241"/>
      <c r="N44" s="242"/>
      <c r="O44" s="242"/>
      <c r="P44" s="242"/>
      <c r="Q44" s="281"/>
      <c r="R44" s="281"/>
      <c r="S44" s="281"/>
      <c r="T44" s="281"/>
      <c r="U44" s="281"/>
      <c r="V44" s="241"/>
      <c r="W44" s="241"/>
      <c r="X44" s="249" t="e">
        <f>R197+R198-Y132-R199-#REF!</f>
        <v>#REF!</v>
      </c>
      <c r="Y44" s="241"/>
      <c r="Z44" s="242"/>
      <c r="AA44" s="246">
        <f>Hoja14!AA43*Hoja15!L110-Hoja15!M110</f>
        <v>11898727.696876477</v>
      </c>
      <c r="AB44" s="241"/>
      <c r="AC44" s="241"/>
      <c r="AD44" s="241"/>
      <c r="AE44" s="241"/>
      <c r="AF44" s="241"/>
      <c r="AG44" s="241"/>
      <c r="AH44" s="241"/>
      <c r="AI44" s="241"/>
      <c r="AJ44" s="274"/>
      <c r="AK44" s="241"/>
      <c r="AL44" s="241"/>
      <c r="AM44" s="241"/>
      <c r="AN44" s="241"/>
      <c r="AO44" s="241"/>
      <c r="AP44" s="241"/>
      <c r="AQ44" s="241"/>
      <c r="AR44" s="241"/>
      <c r="AS44" s="241"/>
      <c r="AT44" s="241"/>
      <c r="AU44" s="241"/>
      <c r="AV44" s="241"/>
      <c r="AW44" s="241"/>
      <c r="AX44" s="241"/>
      <c r="AY44" s="241"/>
      <c r="AZ44" s="241"/>
      <c r="BA44" s="241"/>
      <c r="BB44" s="241"/>
      <c r="BC44" s="241"/>
      <c r="BD44" s="241"/>
      <c r="BE44" s="241"/>
      <c r="BF44" s="241"/>
      <c r="BG44" s="241"/>
      <c r="BH44" s="241"/>
      <c r="BI44" s="241"/>
      <c r="BJ44" s="241"/>
      <c r="BK44" s="241"/>
      <c r="BL44" s="241"/>
      <c r="BM44" s="241"/>
      <c r="BN44" s="241"/>
      <c r="BO44" s="241"/>
      <c r="BP44" s="241"/>
      <c r="BQ44" s="241"/>
      <c r="BR44" s="241"/>
      <c r="BS44" s="241"/>
      <c r="BT44" s="241"/>
      <c r="BU44" s="241"/>
      <c r="BV44" s="241"/>
      <c r="BW44" s="241"/>
      <c r="BX44" s="241"/>
      <c r="BY44" s="241"/>
      <c r="BZ44" s="241"/>
      <c r="CA44" s="241"/>
      <c r="CB44" s="241"/>
      <c r="CC44" s="241"/>
      <c r="CD44" s="241"/>
      <c r="CE44" s="241"/>
      <c r="CF44" s="241"/>
      <c r="CG44" s="241"/>
      <c r="CH44" s="241"/>
      <c r="CI44" s="241"/>
      <c r="CJ44" s="241"/>
      <c r="CK44" s="241"/>
      <c r="CL44" s="241"/>
      <c r="CM44" s="241"/>
      <c r="CN44" s="241"/>
      <c r="CO44" s="241"/>
      <c r="CP44" s="241"/>
      <c r="CQ44" s="241"/>
      <c r="CR44" s="241"/>
      <c r="CS44" s="241"/>
      <c r="CT44" s="241"/>
      <c r="CU44" s="241"/>
      <c r="CV44" s="241"/>
      <c r="CW44" s="241"/>
      <c r="CX44" s="241"/>
      <c r="CY44" s="241"/>
      <c r="CZ44" s="241"/>
      <c r="DA44" s="241"/>
      <c r="DB44" s="241"/>
      <c r="DC44" s="241"/>
      <c r="DD44" s="241"/>
      <c r="DE44" s="241"/>
      <c r="DF44" s="241"/>
      <c r="DG44" s="241"/>
      <c r="DH44" s="241"/>
      <c r="DT44" s="241"/>
      <c r="FB44" s="241"/>
    </row>
    <row r="45" spans="4:158" ht="11.25" hidden="1" customHeight="1" x14ac:dyDescent="0.25">
      <c r="D45" s="241"/>
      <c r="E45" s="241">
        <f>SUM(BT14:BT25)*F25</f>
        <v>23786153.999999996</v>
      </c>
      <c r="F45" s="241"/>
      <c r="G45" s="241"/>
      <c r="H45" s="241"/>
      <c r="I45" s="242"/>
      <c r="J45" s="241"/>
      <c r="K45" s="282"/>
      <c r="L45" s="283"/>
      <c r="M45" s="241"/>
      <c r="N45" s="242"/>
      <c r="O45" s="281"/>
      <c r="P45" s="281"/>
      <c r="Q45" s="282">
        <f>15%*MIN(65*Hoja15!C17*12,30%*Hoja5!F8,Hoja14!R6)</f>
        <v>0</v>
      </c>
      <c r="R45" s="241"/>
      <c r="S45" s="241"/>
      <c r="T45" s="284">
        <v>2</v>
      </c>
      <c r="U45" s="241"/>
      <c r="V45" s="241"/>
      <c r="W45" s="241"/>
      <c r="X45" s="241"/>
      <c r="Y45" s="241"/>
      <c r="Z45" s="242"/>
      <c r="AA45" s="242"/>
      <c r="AB45" s="241"/>
      <c r="AC45" s="241"/>
      <c r="AD45" s="241"/>
      <c r="AE45" s="241"/>
      <c r="AF45" s="241"/>
      <c r="AG45" s="241"/>
      <c r="AH45" s="241"/>
      <c r="AI45" s="241"/>
      <c r="AJ45" s="274"/>
      <c r="AK45" s="241"/>
      <c r="AL45" s="241"/>
      <c r="AM45" s="241"/>
      <c r="AN45" s="241"/>
      <c r="AO45" s="241"/>
      <c r="AP45" s="241"/>
      <c r="AQ45" s="241"/>
      <c r="AR45" s="241"/>
      <c r="AS45" s="241"/>
      <c r="AT45" s="241"/>
      <c r="AU45" s="241"/>
      <c r="AV45" s="241"/>
      <c r="AW45" s="241"/>
      <c r="AX45" s="241"/>
      <c r="AY45" s="241"/>
      <c r="AZ45" s="241"/>
      <c r="BA45" s="241"/>
      <c r="BB45" s="241"/>
      <c r="BC45" s="241"/>
      <c r="BD45" s="241"/>
      <c r="BE45" s="241"/>
      <c r="BF45" s="241"/>
      <c r="BG45" s="241"/>
      <c r="BH45" s="241"/>
      <c r="BI45" s="241"/>
      <c r="BJ45" s="241"/>
      <c r="BK45" s="241"/>
      <c r="BL45" s="241"/>
      <c r="BM45" s="241"/>
      <c r="BN45" s="241"/>
      <c r="BO45" s="241"/>
      <c r="BP45" s="241"/>
      <c r="BQ45" s="241"/>
      <c r="BR45" s="241"/>
      <c r="BS45" s="241"/>
      <c r="BT45" s="241"/>
      <c r="BU45" s="241"/>
      <c r="BV45" s="241"/>
      <c r="BW45" s="241"/>
      <c r="BX45" s="241"/>
      <c r="BY45" s="241"/>
      <c r="BZ45" s="241"/>
      <c r="CA45" s="241"/>
      <c r="CB45" s="241"/>
      <c r="CC45" s="241"/>
      <c r="CD45" s="241"/>
      <c r="CE45" s="241"/>
      <c r="CF45" s="241"/>
      <c r="CG45" s="241"/>
      <c r="CH45" s="241"/>
      <c r="CI45" s="241"/>
      <c r="CJ45" s="241"/>
      <c r="CK45" s="241"/>
      <c r="CL45" s="241"/>
      <c r="CM45" s="241"/>
      <c r="CN45" s="241"/>
      <c r="CO45" s="241"/>
      <c r="CP45" s="241"/>
      <c r="CQ45" s="241"/>
      <c r="CR45" s="241"/>
      <c r="CS45" s="241"/>
      <c r="CT45" s="241"/>
      <c r="CU45" s="241"/>
      <c r="CV45" s="241"/>
      <c r="CW45" s="241"/>
      <c r="CX45" s="241"/>
      <c r="CY45" s="241"/>
      <c r="CZ45" s="241"/>
      <c r="DA45" s="241"/>
      <c r="DB45" s="241"/>
      <c r="DC45" s="241"/>
      <c r="DD45" s="241"/>
      <c r="DE45" s="241"/>
      <c r="DF45" s="241"/>
      <c r="DG45" s="241"/>
      <c r="DH45" s="241"/>
      <c r="DT45" s="241"/>
      <c r="FB45" s="241"/>
    </row>
    <row r="46" spans="4:158" ht="12.75" hidden="1" customHeight="1" x14ac:dyDescent="0.25">
      <c r="D46" s="241"/>
      <c r="E46" s="247">
        <f>E45-E44</f>
        <v>23785789.764410254</v>
      </c>
      <c r="F46" s="247"/>
      <c r="G46" s="241"/>
      <c r="H46" s="241"/>
      <c r="I46" s="242"/>
      <c r="J46" s="241"/>
      <c r="K46" s="241"/>
      <c r="L46" s="241"/>
      <c r="M46" s="241"/>
      <c r="N46" s="242"/>
      <c r="O46" s="242"/>
      <c r="P46" s="242"/>
      <c r="Q46" s="242"/>
      <c r="R46" s="241">
        <v>0</v>
      </c>
      <c r="S46" s="241"/>
      <c r="T46" s="285" t="s">
        <v>98</v>
      </c>
      <c r="U46" s="241"/>
      <c r="V46" s="241"/>
      <c r="W46" s="241"/>
      <c r="X46" s="241"/>
      <c r="Y46" s="241"/>
      <c r="Z46" s="242"/>
      <c r="AA46" s="242"/>
      <c r="AB46" s="241"/>
      <c r="AC46" s="241"/>
      <c r="AD46" s="241"/>
      <c r="AE46" s="241"/>
      <c r="AF46" s="241"/>
      <c r="AG46" s="241"/>
      <c r="AH46" s="241"/>
      <c r="AI46" s="241"/>
      <c r="AJ46" s="274"/>
      <c r="AK46" s="241"/>
      <c r="AL46" s="241"/>
      <c r="AM46" s="241"/>
      <c r="AN46" s="241"/>
      <c r="AO46" s="241"/>
      <c r="AP46" s="241"/>
      <c r="AQ46" s="241"/>
      <c r="AR46" s="241"/>
      <c r="AS46" s="241"/>
      <c r="AT46" s="241"/>
      <c r="AU46" s="241"/>
      <c r="AV46" s="241"/>
      <c r="AW46" s="241"/>
      <c r="AX46" s="241"/>
      <c r="AY46" s="241"/>
      <c r="AZ46" s="241"/>
      <c r="BA46" s="241"/>
      <c r="BB46" s="241"/>
      <c r="BC46" s="241"/>
      <c r="BD46" s="241"/>
      <c r="BE46" s="241"/>
      <c r="BF46" s="241"/>
      <c r="BG46" s="241"/>
      <c r="BH46" s="241"/>
      <c r="BI46" s="241"/>
      <c r="BJ46" s="241"/>
      <c r="BK46" s="241"/>
      <c r="BL46" s="241"/>
      <c r="BM46" s="241"/>
      <c r="BN46" s="241"/>
      <c r="BO46" s="241"/>
      <c r="BP46" s="241"/>
      <c r="BQ46" s="241"/>
      <c r="BR46" s="241"/>
      <c r="BS46" s="241"/>
      <c r="BT46" s="241"/>
      <c r="BU46" s="241"/>
      <c r="BV46" s="241"/>
      <c r="BW46" s="241"/>
      <c r="BX46" s="241"/>
      <c r="BY46" s="241"/>
      <c r="BZ46" s="241"/>
      <c r="CA46" s="241"/>
      <c r="CB46" s="241"/>
      <c r="CC46" s="241"/>
      <c r="CD46" s="241"/>
      <c r="CE46" s="241"/>
      <c r="CF46" s="241"/>
      <c r="CG46" s="241"/>
      <c r="CH46" s="241"/>
      <c r="CI46" s="241"/>
      <c r="CJ46" s="241"/>
      <c r="CK46" s="241"/>
      <c r="CL46" s="241"/>
      <c r="CM46" s="241"/>
      <c r="CN46" s="241"/>
      <c r="CO46" s="241"/>
      <c r="CP46" s="241"/>
      <c r="CQ46" s="241"/>
      <c r="CR46" s="241"/>
      <c r="CS46" s="241"/>
      <c r="CT46" s="241"/>
      <c r="CU46" s="241"/>
      <c r="CV46" s="241"/>
      <c r="CW46" s="241"/>
      <c r="CX46" s="241"/>
      <c r="CY46" s="241"/>
      <c r="CZ46" s="241"/>
      <c r="DA46" s="241"/>
      <c r="DB46" s="241"/>
      <c r="DC46" s="241"/>
      <c r="DD46" s="241"/>
      <c r="DE46" s="241"/>
      <c r="DF46" s="241"/>
      <c r="DG46" s="241"/>
      <c r="DH46" s="241"/>
      <c r="DT46" s="241"/>
      <c r="FB46" s="241"/>
    </row>
    <row r="47" spans="4:158" ht="12.75" hidden="1" customHeight="1" x14ac:dyDescent="0.25">
      <c r="D47" s="241"/>
      <c r="E47" s="241"/>
      <c r="F47" s="241"/>
      <c r="G47" s="241"/>
      <c r="H47" s="241"/>
      <c r="I47" s="242"/>
      <c r="J47" s="241"/>
      <c r="K47" s="241"/>
      <c r="L47" s="241"/>
      <c r="M47" s="241"/>
      <c r="N47" s="242"/>
      <c r="O47" s="242"/>
      <c r="P47" s="242"/>
      <c r="Q47" s="246">
        <f>R6*T43</f>
        <v>0</v>
      </c>
      <c r="R47" s="241">
        <v>1</v>
      </c>
      <c r="S47" s="241"/>
      <c r="T47" s="285" t="s">
        <v>99</v>
      </c>
      <c r="U47" s="241"/>
      <c r="V47" s="241"/>
      <c r="W47" s="241"/>
      <c r="X47" s="249">
        <f>IF(AE43=0,0,R197)</f>
        <v>0</v>
      </c>
      <c r="Y47" s="241"/>
      <c r="Z47" s="242"/>
      <c r="AA47" s="242"/>
      <c r="AB47" s="241"/>
      <c r="AC47" s="241"/>
      <c r="AD47" s="241"/>
      <c r="AE47" s="241"/>
      <c r="AF47" s="241"/>
      <c r="AG47" s="241"/>
      <c r="AH47" s="241"/>
      <c r="AI47" s="241"/>
      <c r="AJ47" s="274"/>
      <c r="AK47" s="241"/>
      <c r="AL47" s="241"/>
      <c r="AM47" s="241"/>
      <c r="AN47" s="241"/>
      <c r="AO47" s="241"/>
      <c r="AP47" s="241"/>
      <c r="AQ47" s="241"/>
      <c r="AR47" s="241"/>
      <c r="AS47" s="241"/>
      <c r="AT47" s="241"/>
      <c r="AU47" s="241"/>
      <c r="AV47" s="241"/>
      <c r="AW47" s="241"/>
      <c r="AX47" s="241"/>
      <c r="AY47" s="241"/>
      <c r="AZ47" s="241"/>
      <c r="BA47" s="241"/>
      <c r="BB47" s="241"/>
      <c r="BC47" s="241"/>
      <c r="BD47" s="241"/>
      <c r="BE47" s="241"/>
      <c r="BF47" s="241"/>
      <c r="BG47" s="241"/>
      <c r="BH47" s="241"/>
      <c r="BI47" s="241"/>
      <c r="BJ47" s="241"/>
      <c r="BK47" s="241"/>
      <c r="BL47" s="241"/>
      <c r="BM47" s="241"/>
      <c r="BN47" s="241"/>
      <c r="BO47" s="241"/>
      <c r="BP47" s="241"/>
      <c r="BQ47" s="241"/>
      <c r="BR47" s="241"/>
      <c r="BS47" s="241"/>
      <c r="BT47" s="241"/>
      <c r="BU47" s="241"/>
      <c r="BV47" s="241"/>
      <c r="BW47" s="241"/>
      <c r="BX47" s="241"/>
      <c r="BY47" s="241"/>
      <c r="BZ47" s="241"/>
      <c r="CA47" s="241"/>
      <c r="CB47" s="241"/>
      <c r="CC47" s="241"/>
      <c r="CD47" s="241"/>
      <c r="CE47" s="241"/>
      <c r="CF47" s="241"/>
      <c r="CG47" s="241"/>
      <c r="CH47" s="241"/>
      <c r="CI47" s="241"/>
      <c r="CJ47" s="241"/>
      <c r="CK47" s="241"/>
      <c r="CL47" s="241"/>
      <c r="CM47" s="241"/>
      <c r="CN47" s="241"/>
      <c r="CO47" s="241"/>
      <c r="CP47" s="241"/>
      <c r="CQ47" s="241"/>
      <c r="CR47" s="241"/>
      <c r="CS47" s="241"/>
      <c r="CT47" s="241"/>
      <c r="CU47" s="241"/>
      <c r="CV47" s="241"/>
      <c r="CW47" s="241"/>
      <c r="CX47" s="241"/>
      <c r="CY47" s="241"/>
      <c r="CZ47" s="241"/>
      <c r="DA47" s="241"/>
      <c r="DB47" s="241"/>
      <c r="DC47" s="241"/>
      <c r="DD47" s="241"/>
      <c r="DE47" s="241"/>
      <c r="DF47" s="241"/>
      <c r="DG47" s="241"/>
      <c r="DH47" s="241"/>
      <c r="DT47" s="241"/>
      <c r="FB47" s="241"/>
    </row>
    <row r="48" spans="4:158" ht="12.75" hidden="1" customHeight="1" x14ac:dyDescent="0.25">
      <c r="D48" s="241"/>
      <c r="E48" s="440" t="s">
        <v>100</v>
      </c>
      <c r="F48" s="440"/>
      <c r="G48" s="440"/>
      <c r="H48" s="286">
        <f>IF(G26&gt;0,1,0)</f>
        <v>1</v>
      </c>
      <c r="I48" s="242"/>
      <c r="J48" s="241"/>
      <c r="K48" s="241"/>
      <c r="L48" s="241">
        <v>0</v>
      </c>
      <c r="M48" s="241"/>
      <c r="N48" s="242"/>
      <c r="O48" s="242"/>
      <c r="P48" s="242"/>
      <c r="Q48" s="280" t="str">
        <f>IF(R6=0," ",IF(Q47&gt;0,Q45,S53))</f>
        <v xml:space="preserve"> </v>
      </c>
      <c r="R48" s="241">
        <v>2</v>
      </c>
      <c r="S48" s="241"/>
      <c r="T48" s="241"/>
      <c r="U48" s="241"/>
      <c r="V48" s="241"/>
      <c r="W48" s="241"/>
      <c r="X48" s="241"/>
      <c r="Y48" s="241"/>
      <c r="Z48" s="242"/>
      <c r="AA48" s="242"/>
      <c r="AB48" s="241"/>
      <c r="AC48" s="241"/>
      <c r="AD48" s="241"/>
      <c r="AE48" s="241"/>
      <c r="AF48" s="241"/>
      <c r="AG48" s="241"/>
      <c r="AH48" s="241"/>
      <c r="AI48" s="241"/>
      <c r="AJ48" s="274"/>
      <c r="AK48" s="241"/>
      <c r="AL48" s="241"/>
      <c r="AM48" s="241"/>
      <c r="AN48" s="241"/>
      <c r="AO48" s="241"/>
      <c r="AP48" s="241"/>
      <c r="AQ48" s="241"/>
      <c r="AR48" s="241"/>
      <c r="AS48" s="241"/>
      <c r="AT48" s="241"/>
      <c r="AU48" s="241"/>
      <c r="AV48" s="241"/>
      <c r="AW48" s="241"/>
      <c r="AX48" s="241"/>
      <c r="AY48" s="241"/>
      <c r="AZ48" s="241"/>
      <c r="BA48" s="241"/>
      <c r="BB48" s="241"/>
      <c r="BC48" s="241"/>
      <c r="BD48" s="241"/>
      <c r="BE48" s="241"/>
      <c r="BF48" s="241"/>
      <c r="BG48" s="241"/>
      <c r="BH48" s="241"/>
      <c r="BI48" s="241"/>
      <c r="BJ48" s="241"/>
      <c r="BK48" s="241"/>
      <c r="BL48" s="241"/>
      <c r="BM48" s="241"/>
      <c r="BN48" s="241"/>
      <c r="BO48" s="241"/>
      <c r="BP48" s="241"/>
      <c r="BQ48" s="241"/>
      <c r="BR48" s="241"/>
      <c r="BS48" s="241"/>
      <c r="BT48" s="241"/>
      <c r="BU48" s="241"/>
      <c r="BV48" s="241"/>
      <c r="BW48" s="241"/>
      <c r="BX48" s="241"/>
      <c r="BY48" s="241"/>
      <c r="BZ48" s="241"/>
      <c r="CA48" s="241"/>
      <c r="CB48" s="241"/>
      <c r="CC48" s="241"/>
      <c r="CD48" s="241"/>
      <c r="CE48" s="241"/>
      <c r="CF48" s="241"/>
      <c r="CG48" s="241"/>
      <c r="CH48" s="241"/>
      <c r="CI48" s="241"/>
      <c r="CJ48" s="241"/>
      <c r="CK48" s="241"/>
      <c r="CL48" s="241"/>
      <c r="CM48" s="241"/>
      <c r="CN48" s="241"/>
      <c r="CO48" s="241"/>
      <c r="CP48" s="241"/>
      <c r="CQ48" s="241"/>
      <c r="CR48" s="241"/>
      <c r="CS48" s="241"/>
      <c r="CT48" s="241"/>
      <c r="CU48" s="241"/>
      <c r="CV48" s="241"/>
      <c r="CW48" s="241"/>
      <c r="CX48" s="241"/>
      <c r="CY48" s="241"/>
      <c r="CZ48" s="241"/>
      <c r="DA48" s="241"/>
      <c r="DB48" s="241"/>
      <c r="DC48" s="241"/>
      <c r="DD48" s="241"/>
      <c r="DE48" s="241"/>
      <c r="DF48" s="241"/>
      <c r="DG48" s="241"/>
      <c r="DH48" s="241"/>
      <c r="DT48" s="241"/>
      <c r="FB48" s="241"/>
    </row>
    <row r="49" spans="4:158" hidden="1" x14ac:dyDescent="0.25">
      <c r="D49" s="241"/>
      <c r="E49" s="440" t="s">
        <v>101</v>
      </c>
      <c r="F49" s="440"/>
      <c r="G49" s="440"/>
      <c r="H49" s="286">
        <f>IF(AW26&gt;0,1,0)</f>
        <v>0</v>
      </c>
      <c r="I49" s="242"/>
      <c r="J49" s="241"/>
      <c r="K49" s="241"/>
      <c r="L49" s="249">
        <f>MAX(0,J31)</f>
        <v>9514461.5999999978</v>
      </c>
      <c r="M49" s="241"/>
      <c r="N49" s="242"/>
      <c r="O49" s="242"/>
      <c r="P49" s="242"/>
      <c r="Q49" s="242"/>
      <c r="R49" s="241">
        <v>3</v>
      </c>
      <c r="S49" s="241"/>
      <c r="T49" s="241"/>
      <c r="U49" s="241"/>
      <c r="V49" s="241"/>
      <c r="W49" s="241"/>
      <c r="X49" s="249" t="e">
        <f>R197+R198+Y132-R199-#REF!</f>
        <v>#REF!</v>
      </c>
      <c r="Y49" s="241"/>
      <c r="Z49" s="242"/>
      <c r="AA49" s="242">
        <f>IF(V26&gt;0,1,0)</f>
        <v>0</v>
      </c>
      <c r="AB49" s="241"/>
      <c r="AC49" s="241"/>
      <c r="AD49" s="241"/>
      <c r="AE49" s="241"/>
      <c r="AF49" s="241"/>
      <c r="AG49" s="241"/>
      <c r="AH49" s="241"/>
      <c r="AI49" s="241"/>
      <c r="AJ49" s="274"/>
      <c r="AK49" s="241"/>
      <c r="AL49" s="241"/>
      <c r="AM49" s="241"/>
      <c r="AN49" s="241"/>
      <c r="AO49" s="241"/>
      <c r="AP49" s="241"/>
      <c r="AQ49" s="241"/>
      <c r="AR49" s="241"/>
      <c r="AS49" s="241"/>
      <c r="AT49" s="241"/>
      <c r="AU49" s="241"/>
      <c r="AV49" s="241"/>
      <c r="AW49" s="241"/>
      <c r="AX49" s="241"/>
      <c r="AY49" s="241"/>
      <c r="AZ49" s="241"/>
      <c r="BA49" s="241"/>
      <c r="BB49" s="241"/>
      <c r="BC49" s="241"/>
      <c r="BD49" s="241"/>
      <c r="BE49" s="241"/>
      <c r="BF49" s="241"/>
      <c r="BG49" s="241"/>
      <c r="BH49" s="241"/>
      <c r="BI49" s="241"/>
      <c r="BJ49" s="241"/>
      <c r="BK49" s="241"/>
      <c r="BL49" s="241"/>
      <c r="BM49" s="241"/>
      <c r="BN49" s="241"/>
      <c r="BO49" s="241"/>
      <c r="BP49" s="241"/>
      <c r="BQ49" s="241"/>
      <c r="BR49" s="241"/>
      <c r="BS49" s="241"/>
      <c r="BT49" s="241"/>
      <c r="BU49" s="241"/>
      <c r="BV49" s="241"/>
      <c r="BW49" s="241"/>
      <c r="BX49" s="241"/>
      <c r="BY49" s="241"/>
      <c r="BZ49" s="241"/>
      <c r="CA49" s="241"/>
      <c r="CB49" s="241"/>
      <c r="CC49" s="241"/>
      <c r="CD49" s="241"/>
      <c r="CE49" s="241"/>
      <c r="CF49" s="241"/>
      <c r="CG49" s="241"/>
      <c r="CH49" s="241"/>
      <c r="CI49" s="241"/>
      <c r="CJ49" s="241"/>
      <c r="CK49" s="241"/>
      <c r="CL49" s="241"/>
      <c r="CM49" s="241"/>
      <c r="CN49" s="241"/>
      <c r="CO49" s="241"/>
      <c r="CP49" s="241"/>
      <c r="CQ49" s="241"/>
      <c r="CR49" s="241"/>
      <c r="CS49" s="241"/>
      <c r="CT49" s="241"/>
      <c r="CU49" s="241"/>
      <c r="CV49" s="241"/>
      <c r="CW49" s="241"/>
      <c r="CX49" s="241"/>
      <c r="CY49" s="241"/>
      <c r="CZ49" s="241"/>
      <c r="DA49" s="241"/>
      <c r="DB49" s="241"/>
      <c r="DC49" s="241"/>
      <c r="DD49" s="241"/>
      <c r="DE49" s="241"/>
      <c r="DF49" s="241"/>
      <c r="DG49" s="241"/>
      <c r="DH49" s="241"/>
      <c r="DT49" s="241"/>
      <c r="FB49" s="241"/>
    </row>
    <row r="50" spans="4:158" ht="12.75" hidden="1" customHeight="1" x14ac:dyDescent="0.25">
      <c r="D50" s="241"/>
      <c r="E50" s="440" t="s">
        <v>48</v>
      </c>
      <c r="F50" s="440"/>
      <c r="G50" s="440"/>
      <c r="H50" s="286">
        <f>IF(V26&gt;0,1,0)</f>
        <v>0</v>
      </c>
      <c r="I50" s="242"/>
      <c r="J50" s="241"/>
      <c r="K50" s="241"/>
      <c r="L50" s="241"/>
      <c r="M50" s="241"/>
      <c r="N50" s="242"/>
      <c r="O50" s="242"/>
      <c r="P50" s="242"/>
      <c r="Q50" s="242"/>
      <c r="R50" s="241">
        <v>4</v>
      </c>
      <c r="S50" s="241"/>
      <c r="T50" s="241"/>
      <c r="U50" s="241"/>
      <c r="V50" s="241"/>
      <c r="W50" s="241"/>
      <c r="X50" s="241"/>
      <c r="Y50" s="241"/>
      <c r="Z50" s="242"/>
      <c r="AA50" s="242">
        <f>IF((SUM(M14:M25)+J34+P5)=0,0,1)</f>
        <v>0</v>
      </c>
      <c r="AB50" s="241"/>
      <c r="AC50" s="241"/>
      <c r="AD50" s="241"/>
      <c r="AE50" s="241"/>
      <c r="AF50" s="249"/>
      <c r="AG50" s="241"/>
      <c r="AH50" s="241"/>
      <c r="AI50" s="241"/>
      <c r="AJ50" s="274"/>
      <c r="AK50" s="241"/>
      <c r="AL50" s="241"/>
      <c r="AM50" s="241"/>
      <c r="AN50" s="241"/>
      <c r="AO50" s="241"/>
      <c r="AP50" s="241"/>
      <c r="AQ50" s="241"/>
      <c r="AR50" s="241"/>
      <c r="AS50" s="241"/>
      <c r="AT50" s="241"/>
      <c r="AU50" s="241"/>
      <c r="AV50" s="241"/>
      <c r="AW50" s="241"/>
      <c r="AX50" s="241"/>
      <c r="AY50" s="241"/>
      <c r="AZ50" s="241"/>
      <c r="BA50" s="241"/>
      <c r="BB50" s="241"/>
      <c r="BC50" s="241"/>
      <c r="BD50" s="241"/>
      <c r="BE50" s="241"/>
      <c r="BF50" s="241"/>
      <c r="BG50" s="241"/>
      <c r="BH50" s="241"/>
      <c r="BI50" s="241"/>
      <c r="BJ50" s="241"/>
      <c r="BK50" s="241"/>
      <c r="BL50" s="241"/>
      <c r="BM50" s="241"/>
      <c r="BN50" s="241"/>
      <c r="BO50" s="241"/>
      <c r="BP50" s="241"/>
      <c r="BQ50" s="241"/>
      <c r="BR50" s="241"/>
      <c r="BS50" s="241"/>
      <c r="BT50" s="241"/>
      <c r="BU50" s="241"/>
      <c r="BV50" s="241"/>
      <c r="BW50" s="241"/>
      <c r="BX50" s="241"/>
      <c r="BY50" s="241"/>
      <c r="BZ50" s="241"/>
      <c r="CA50" s="241"/>
      <c r="CB50" s="241"/>
      <c r="CC50" s="241"/>
      <c r="CD50" s="241"/>
      <c r="CE50" s="241"/>
      <c r="CF50" s="241"/>
      <c r="CG50" s="241"/>
      <c r="CH50" s="241"/>
      <c r="CI50" s="241"/>
      <c r="CJ50" s="241"/>
      <c r="CK50" s="241"/>
      <c r="CL50" s="241"/>
      <c r="CM50" s="241"/>
      <c r="CN50" s="241"/>
      <c r="CO50" s="241"/>
      <c r="CP50" s="241"/>
      <c r="CQ50" s="241"/>
      <c r="CR50" s="241"/>
      <c r="CS50" s="241"/>
      <c r="CT50" s="241"/>
      <c r="CU50" s="241"/>
      <c r="CV50" s="241"/>
      <c r="CW50" s="241"/>
      <c r="CX50" s="241"/>
      <c r="CY50" s="241"/>
      <c r="CZ50" s="241"/>
      <c r="DA50" s="241"/>
      <c r="DB50" s="241"/>
      <c r="DC50" s="241"/>
      <c r="DD50" s="241"/>
      <c r="DE50" s="241"/>
      <c r="DF50" s="241"/>
      <c r="DG50" s="241"/>
      <c r="DH50" s="241"/>
      <c r="DT50" s="241"/>
      <c r="FB50" s="241"/>
    </row>
    <row r="51" spans="4:158" ht="12.75" hidden="1" customHeight="1" x14ac:dyDescent="0.25">
      <c r="D51" s="241"/>
      <c r="E51" s="440" t="s">
        <v>102</v>
      </c>
      <c r="F51" s="440"/>
      <c r="G51" s="440"/>
      <c r="H51" s="286">
        <f>IF(J272&gt;0,1,0)</f>
        <v>0</v>
      </c>
      <c r="I51" s="242"/>
      <c r="J51" s="241"/>
      <c r="K51" s="241"/>
      <c r="L51" s="241"/>
      <c r="M51" s="241"/>
      <c r="N51" s="242"/>
      <c r="O51" s="242"/>
      <c r="P51" s="242"/>
      <c r="Q51" s="242"/>
      <c r="R51" s="241"/>
      <c r="S51" s="241"/>
      <c r="T51" s="241"/>
      <c r="U51" s="241"/>
      <c r="V51" s="241"/>
      <c r="W51" s="241"/>
      <c r="X51" s="241"/>
      <c r="Y51" s="241"/>
      <c r="Z51" s="242"/>
      <c r="AA51" s="242"/>
      <c r="AB51" s="241"/>
      <c r="AC51" s="241"/>
      <c r="AD51" s="241"/>
      <c r="AE51" s="241"/>
      <c r="AF51" s="241"/>
      <c r="AG51" s="241"/>
      <c r="AH51" s="241"/>
      <c r="AI51" s="241"/>
      <c r="AJ51" s="274"/>
      <c r="AK51" s="241"/>
      <c r="AL51" s="241"/>
      <c r="AM51" s="241"/>
      <c r="AN51" s="241"/>
      <c r="AO51" s="241"/>
      <c r="AP51" s="241"/>
      <c r="AQ51" s="241"/>
      <c r="AR51" s="241"/>
      <c r="AS51" s="241"/>
      <c r="AT51" s="241"/>
      <c r="AU51" s="241"/>
      <c r="AV51" s="241"/>
      <c r="AW51" s="241"/>
      <c r="AX51" s="241"/>
      <c r="AY51" s="241"/>
      <c r="AZ51" s="241"/>
      <c r="BA51" s="241"/>
      <c r="BB51" s="241"/>
      <c r="BC51" s="241"/>
      <c r="BD51" s="241"/>
      <c r="BE51" s="241"/>
      <c r="BF51" s="241"/>
      <c r="BG51" s="241"/>
      <c r="BH51" s="241"/>
      <c r="BI51" s="241"/>
      <c r="BJ51" s="241"/>
      <c r="BK51" s="241"/>
      <c r="BL51" s="241"/>
      <c r="BM51" s="241"/>
      <c r="BN51" s="241"/>
      <c r="BO51" s="241"/>
      <c r="BP51" s="241"/>
      <c r="BQ51" s="241"/>
      <c r="BR51" s="241"/>
      <c r="BS51" s="241"/>
      <c r="BT51" s="241"/>
      <c r="BU51" s="241"/>
      <c r="BV51" s="241"/>
      <c r="BW51" s="241"/>
      <c r="BX51" s="241"/>
      <c r="BY51" s="241"/>
      <c r="BZ51" s="241"/>
      <c r="CA51" s="241"/>
      <c r="CB51" s="241"/>
      <c r="CC51" s="241"/>
      <c r="CD51" s="241"/>
      <c r="CE51" s="241"/>
      <c r="CF51" s="241"/>
      <c r="CG51" s="241"/>
      <c r="CH51" s="241"/>
      <c r="CI51" s="241"/>
      <c r="CJ51" s="241"/>
      <c r="CK51" s="241"/>
      <c r="CL51" s="241"/>
      <c r="CM51" s="241"/>
      <c r="CN51" s="241"/>
      <c r="CO51" s="241"/>
      <c r="CP51" s="241"/>
      <c r="CQ51" s="241"/>
      <c r="CR51" s="241"/>
      <c r="CS51" s="241"/>
      <c r="CT51" s="241"/>
      <c r="CU51" s="241"/>
      <c r="CV51" s="241"/>
      <c r="CW51" s="241"/>
      <c r="CX51" s="241"/>
      <c r="CY51" s="241"/>
      <c r="CZ51" s="241"/>
      <c r="DA51" s="241"/>
      <c r="DB51" s="241"/>
      <c r="DC51" s="241"/>
      <c r="DD51" s="241"/>
      <c r="DE51" s="241"/>
      <c r="DF51" s="241"/>
      <c r="DG51" s="241"/>
      <c r="DH51" s="241"/>
      <c r="DT51" s="241"/>
      <c r="FB51" s="241"/>
    </row>
    <row r="52" spans="4:158" ht="12.75" hidden="1" customHeight="1" x14ac:dyDescent="0.25">
      <c r="D52" s="241"/>
      <c r="E52" s="440" t="s">
        <v>103</v>
      </c>
      <c r="F52" s="440"/>
      <c r="G52" s="440"/>
      <c r="H52" s="286">
        <f>IF(J34&gt;0,1,0)</f>
        <v>0</v>
      </c>
      <c r="I52" s="242"/>
      <c r="J52" s="241"/>
      <c r="K52" s="241"/>
      <c r="L52" s="241">
        <f>SUM(A14:A25)</f>
        <v>200.63109634455529</v>
      </c>
      <c r="M52" s="241"/>
      <c r="N52" s="242"/>
      <c r="O52" s="242"/>
      <c r="P52" s="242"/>
      <c r="Q52" s="242" t="s">
        <v>104</v>
      </c>
      <c r="R52" s="246">
        <f>MIN(R6,R53)</f>
        <v>0</v>
      </c>
      <c r="S52" s="249">
        <f>R6-R52</f>
        <v>0</v>
      </c>
      <c r="T52" s="241"/>
      <c r="U52" s="241"/>
      <c r="V52" s="241"/>
      <c r="W52" s="241"/>
      <c r="X52" s="287">
        <f>IF(AE43&gt;0,AA136-Z130,0)</f>
        <v>0</v>
      </c>
      <c r="Y52" s="241"/>
      <c r="Z52" s="242"/>
      <c r="AA52" s="288">
        <f>IF(V26&gt;0,IF(AA50=0,Hoja2!U33,X52),X52)</f>
        <v>0</v>
      </c>
      <c r="AB52" s="241"/>
      <c r="AC52" s="241"/>
      <c r="AD52" s="241"/>
      <c r="AE52" s="241"/>
      <c r="AF52" s="241"/>
      <c r="AG52" s="241"/>
      <c r="AH52" s="241"/>
      <c r="AI52" s="241"/>
      <c r="AJ52" s="274"/>
      <c r="AK52" s="241"/>
      <c r="AL52" s="241"/>
      <c r="AM52" s="241"/>
      <c r="AN52" s="241"/>
      <c r="AO52" s="241"/>
      <c r="AP52" s="241"/>
      <c r="AQ52" s="241"/>
      <c r="AR52" s="241"/>
      <c r="AS52" s="241"/>
      <c r="AT52" s="241"/>
      <c r="AU52" s="241"/>
      <c r="AV52" s="241"/>
      <c r="AW52" s="241"/>
      <c r="AX52" s="241"/>
      <c r="AY52" s="241"/>
      <c r="AZ52" s="241"/>
      <c r="BA52" s="241"/>
      <c r="BB52" s="241"/>
      <c r="BC52" s="241"/>
      <c r="BD52" s="241"/>
      <c r="BE52" s="241"/>
      <c r="BF52" s="241"/>
      <c r="BG52" s="241"/>
      <c r="BH52" s="241"/>
      <c r="BI52" s="241"/>
      <c r="BJ52" s="241"/>
      <c r="BK52" s="241"/>
      <c r="BL52" s="241"/>
      <c r="BM52" s="241"/>
      <c r="BN52" s="241"/>
      <c r="BO52" s="241"/>
      <c r="BP52" s="241"/>
      <c r="BQ52" s="241"/>
      <c r="BR52" s="241"/>
      <c r="BS52" s="241"/>
      <c r="BT52" s="241"/>
      <c r="BU52" s="241"/>
      <c r="BV52" s="241"/>
      <c r="BW52" s="241"/>
      <c r="BX52" s="241"/>
      <c r="BY52" s="241"/>
      <c r="BZ52" s="241"/>
      <c r="CA52" s="241"/>
      <c r="CB52" s="241"/>
      <c r="CC52" s="241"/>
      <c r="CD52" s="241"/>
      <c r="CE52" s="241"/>
      <c r="CF52" s="241"/>
      <c r="CG52" s="241"/>
      <c r="CH52" s="241"/>
      <c r="CI52" s="241"/>
      <c r="CJ52" s="241"/>
      <c r="CK52" s="241"/>
      <c r="CL52" s="241"/>
      <c r="CM52" s="241"/>
      <c r="CN52" s="241"/>
      <c r="CO52" s="241"/>
      <c r="CP52" s="241"/>
      <c r="CQ52" s="241"/>
      <c r="CR52" s="241"/>
      <c r="CS52" s="241"/>
      <c r="CT52" s="241"/>
      <c r="CU52" s="241"/>
      <c r="CV52" s="241"/>
      <c r="CW52" s="241"/>
      <c r="CX52" s="241"/>
      <c r="CY52" s="241"/>
      <c r="CZ52" s="241"/>
      <c r="DA52" s="241"/>
      <c r="DB52" s="241"/>
      <c r="DC52" s="241"/>
      <c r="DD52" s="241"/>
      <c r="DE52" s="241"/>
      <c r="DF52" s="241"/>
      <c r="DG52" s="241"/>
      <c r="DH52" s="241"/>
      <c r="DT52" s="241"/>
      <c r="FB52" s="241"/>
    </row>
    <row r="53" spans="4:158" ht="12.75" hidden="1" customHeight="1" x14ac:dyDescent="0.25">
      <c r="D53" s="241"/>
      <c r="E53" s="440" t="s">
        <v>97</v>
      </c>
      <c r="F53" s="440"/>
      <c r="G53" s="440"/>
      <c r="H53" s="286">
        <f>IF(R5&gt;0,1,0)</f>
        <v>0</v>
      </c>
      <c r="I53" s="242"/>
      <c r="J53" s="241"/>
      <c r="K53" s="241"/>
      <c r="L53" s="241"/>
      <c r="M53" s="241"/>
      <c r="N53" s="242"/>
      <c r="O53" s="242"/>
      <c r="P53" s="242"/>
      <c r="Q53" s="242" t="s">
        <v>105</v>
      </c>
      <c r="R53" s="280">
        <f>Q41*10*Hoja15!C17*12</f>
        <v>0</v>
      </c>
      <c r="S53" s="288">
        <f>S52*15%</f>
        <v>0</v>
      </c>
      <c r="T53" s="241"/>
      <c r="U53" s="241"/>
      <c r="V53" s="241"/>
      <c r="W53" s="241"/>
      <c r="X53" s="241"/>
      <c r="Y53" s="241"/>
      <c r="Z53" s="242"/>
      <c r="AA53" s="242"/>
      <c r="AB53" s="241"/>
      <c r="AC53" s="241"/>
      <c r="AD53" s="241"/>
      <c r="AE53" s="241"/>
      <c r="AF53" s="241"/>
      <c r="AG53" s="241"/>
      <c r="AH53" s="241"/>
      <c r="AI53" s="241"/>
      <c r="AJ53" s="274"/>
      <c r="AK53" s="241"/>
      <c r="AL53" s="241"/>
      <c r="AM53" s="241"/>
      <c r="AN53" s="241"/>
      <c r="AO53" s="241"/>
      <c r="AP53" s="241"/>
      <c r="AQ53" s="241"/>
      <c r="AR53" s="241"/>
      <c r="AS53" s="241"/>
      <c r="AT53" s="241"/>
      <c r="AU53" s="241"/>
      <c r="AV53" s="241"/>
      <c r="AW53" s="241"/>
      <c r="AX53" s="241"/>
      <c r="AY53" s="241"/>
      <c r="AZ53" s="241"/>
      <c r="BA53" s="241"/>
      <c r="BB53" s="241"/>
      <c r="BC53" s="241"/>
      <c r="BD53" s="241"/>
      <c r="BE53" s="241"/>
      <c r="BF53" s="241"/>
      <c r="BG53" s="241"/>
      <c r="BH53" s="241"/>
      <c r="BI53" s="241"/>
      <c r="BJ53" s="241"/>
      <c r="BK53" s="241"/>
      <c r="BL53" s="241"/>
      <c r="BM53" s="241"/>
      <c r="BN53" s="241"/>
      <c r="BO53" s="241"/>
      <c r="BP53" s="241"/>
      <c r="BQ53" s="241"/>
      <c r="BR53" s="241"/>
      <c r="BS53" s="241"/>
      <c r="BT53" s="241"/>
      <c r="BU53" s="241"/>
      <c r="BV53" s="241"/>
      <c r="BW53" s="241"/>
      <c r="BX53" s="241"/>
      <c r="BY53" s="241"/>
      <c r="BZ53" s="241"/>
      <c r="CA53" s="241"/>
      <c r="CB53" s="241"/>
      <c r="CC53" s="241"/>
      <c r="CD53" s="241"/>
      <c r="CE53" s="241"/>
      <c r="CF53" s="241"/>
      <c r="CG53" s="241"/>
      <c r="CH53" s="241"/>
      <c r="CI53" s="241"/>
      <c r="CJ53" s="241"/>
      <c r="CK53" s="241"/>
      <c r="CL53" s="241"/>
      <c r="CM53" s="241"/>
      <c r="CN53" s="241"/>
      <c r="CO53" s="241"/>
      <c r="CP53" s="241"/>
      <c r="CQ53" s="241"/>
      <c r="CR53" s="241"/>
      <c r="CS53" s="241"/>
      <c r="CT53" s="241"/>
      <c r="CU53" s="241"/>
      <c r="CV53" s="241"/>
      <c r="CW53" s="241"/>
      <c r="CX53" s="241"/>
      <c r="CY53" s="241"/>
      <c r="CZ53" s="241"/>
      <c r="DA53" s="241"/>
      <c r="DB53" s="241"/>
      <c r="DC53" s="241"/>
      <c r="DD53" s="241"/>
      <c r="DE53" s="241"/>
      <c r="DF53" s="241"/>
      <c r="DG53" s="241"/>
      <c r="DH53" s="241"/>
      <c r="DT53" s="241"/>
      <c r="FB53" s="241"/>
    </row>
    <row r="54" spans="4:158" ht="12.75" hidden="1" customHeight="1" x14ac:dyDescent="0.25">
      <c r="D54" s="241"/>
      <c r="E54" s="440" t="s">
        <v>106</v>
      </c>
      <c r="F54" s="440"/>
      <c r="G54" s="440"/>
      <c r="H54" s="286">
        <f>IF(W8&gt;0,1,0)</f>
        <v>0</v>
      </c>
      <c r="I54" s="242"/>
      <c r="J54" s="241"/>
      <c r="K54" s="241"/>
      <c r="L54" s="241"/>
      <c r="M54" s="241"/>
      <c r="N54" s="242"/>
      <c r="O54" s="242"/>
      <c r="P54" s="242"/>
      <c r="Q54" s="242"/>
      <c r="R54" s="242"/>
      <c r="S54" s="241"/>
      <c r="T54" s="241"/>
      <c r="U54" s="241"/>
      <c r="V54" s="241"/>
      <c r="W54" s="241"/>
      <c r="X54" s="241"/>
      <c r="Y54" s="241"/>
      <c r="Z54" s="242"/>
      <c r="AA54" s="289" t="s">
        <v>107</v>
      </c>
      <c r="AB54" s="241"/>
      <c r="AC54" s="241"/>
      <c r="AD54" s="241"/>
      <c r="AE54" s="241"/>
      <c r="AF54" s="241"/>
      <c r="AG54" s="242"/>
      <c r="AH54" s="241"/>
      <c r="AI54" s="241"/>
      <c r="AJ54" s="274"/>
      <c r="AK54" s="241"/>
      <c r="AL54" s="241"/>
      <c r="AM54" s="241"/>
      <c r="AN54" s="241"/>
      <c r="AO54" s="241"/>
      <c r="AP54" s="241"/>
      <c r="AQ54" s="241"/>
      <c r="AR54" s="241"/>
      <c r="AS54" s="241"/>
      <c r="AT54" s="241"/>
      <c r="AU54" s="241"/>
      <c r="AV54" s="241"/>
      <c r="AW54" s="241"/>
      <c r="AX54" s="241"/>
      <c r="AY54" s="241"/>
      <c r="AZ54" s="241"/>
      <c r="BA54" s="241"/>
      <c r="BB54" s="241"/>
      <c r="BC54" s="241"/>
      <c r="BD54" s="241"/>
      <c r="BE54" s="241"/>
      <c r="BF54" s="241"/>
      <c r="BG54" s="241"/>
      <c r="BH54" s="241"/>
      <c r="BI54" s="241"/>
      <c r="BJ54" s="241"/>
      <c r="BK54" s="241"/>
      <c r="BL54" s="241"/>
      <c r="BM54" s="241"/>
      <c r="BN54" s="241"/>
      <c r="BO54" s="241"/>
      <c r="BP54" s="241"/>
      <c r="BQ54" s="241"/>
      <c r="BR54" s="241"/>
      <c r="BS54" s="241"/>
      <c r="BT54" s="241"/>
      <c r="BU54" s="241"/>
      <c r="BV54" s="241"/>
      <c r="BW54" s="241"/>
      <c r="BX54" s="241"/>
      <c r="BY54" s="241"/>
      <c r="BZ54" s="241"/>
      <c r="CA54" s="241"/>
      <c r="CB54" s="241"/>
      <c r="CC54" s="241"/>
      <c r="CD54" s="241"/>
      <c r="CE54" s="241"/>
      <c r="CF54" s="241"/>
      <c r="CG54" s="241"/>
      <c r="CH54" s="241"/>
      <c r="CI54" s="241"/>
      <c r="CJ54" s="241"/>
      <c r="CK54" s="241"/>
      <c r="CL54" s="241"/>
      <c r="CM54" s="241"/>
      <c r="CN54" s="241"/>
      <c r="CO54" s="241"/>
      <c r="CP54" s="241"/>
      <c r="CQ54" s="241"/>
      <c r="CR54" s="241"/>
      <c r="CS54" s="241"/>
      <c r="CT54" s="241"/>
      <c r="CU54" s="241"/>
      <c r="CV54" s="241"/>
      <c r="CW54" s="241"/>
      <c r="CX54" s="241"/>
      <c r="CY54" s="241"/>
      <c r="CZ54" s="241"/>
      <c r="DA54" s="241"/>
      <c r="DB54" s="241"/>
      <c r="DC54" s="241"/>
      <c r="DD54" s="241"/>
      <c r="DE54" s="241"/>
      <c r="DF54" s="241"/>
      <c r="DG54" s="241"/>
      <c r="DH54" s="241"/>
      <c r="DT54" s="241"/>
      <c r="FB54" s="241"/>
    </row>
    <row r="55" spans="4:158" ht="12.75" hidden="1" customHeight="1" x14ac:dyDescent="0.25">
      <c r="D55" s="241"/>
      <c r="E55" s="241"/>
      <c r="F55" s="241"/>
      <c r="G55" s="241"/>
      <c r="H55" s="241"/>
      <c r="I55" s="242"/>
      <c r="J55" s="241"/>
      <c r="K55" s="241"/>
      <c r="L55" s="241"/>
      <c r="M55" s="241"/>
      <c r="N55" s="242"/>
      <c r="O55" s="242"/>
      <c r="P55" s="242"/>
      <c r="Q55" s="242"/>
      <c r="R55" s="241"/>
      <c r="S55" s="241"/>
      <c r="T55" s="241"/>
      <c r="U55" s="241"/>
      <c r="V55" s="241"/>
      <c r="W55" s="241"/>
      <c r="X55" s="241"/>
      <c r="Y55" s="241"/>
      <c r="Z55" s="242"/>
      <c r="AA55" s="403" t="s">
        <v>107</v>
      </c>
      <c r="AB55" s="404"/>
      <c r="AC55" s="404"/>
      <c r="AD55" s="404"/>
      <c r="AE55" s="405"/>
      <c r="AF55" s="406">
        <f>W8</f>
        <v>0</v>
      </c>
      <c r="AG55" s="407"/>
      <c r="AH55" s="241"/>
      <c r="AI55" s="241"/>
      <c r="AJ55" s="274"/>
      <c r="AK55" s="241"/>
      <c r="AL55" s="241"/>
      <c r="AM55" s="241"/>
      <c r="AN55" s="241"/>
      <c r="AO55" s="241"/>
      <c r="AP55" s="241"/>
      <c r="AQ55" s="241"/>
      <c r="AR55" s="241"/>
      <c r="AS55" s="241"/>
      <c r="AT55" s="241"/>
      <c r="AU55" s="241"/>
      <c r="AV55" s="241"/>
      <c r="AW55" s="241"/>
      <c r="AX55" s="241"/>
      <c r="AY55" s="241"/>
      <c r="AZ55" s="241"/>
      <c r="BA55" s="241"/>
      <c r="BB55" s="241"/>
      <c r="BC55" s="241"/>
      <c r="BD55" s="241"/>
      <c r="BE55" s="241"/>
      <c r="BF55" s="241"/>
      <c r="BG55" s="241"/>
      <c r="BH55" s="241"/>
      <c r="BI55" s="241"/>
      <c r="BJ55" s="241"/>
      <c r="BK55" s="241"/>
      <c r="BL55" s="241"/>
      <c r="BM55" s="241"/>
      <c r="BN55" s="241"/>
      <c r="BO55" s="241"/>
      <c r="BP55" s="241"/>
      <c r="BQ55" s="241"/>
      <c r="BR55" s="241"/>
      <c r="BS55" s="241"/>
      <c r="BT55" s="241"/>
      <c r="BU55" s="241"/>
      <c r="BV55" s="241"/>
      <c r="BW55" s="241"/>
      <c r="BX55" s="241"/>
      <c r="BY55" s="241"/>
      <c r="BZ55" s="241"/>
      <c r="CA55" s="241"/>
      <c r="CB55" s="241"/>
      <c r="CC55" s="241"/>
      <c r="CD55" s="241"/>
      <c r="CE55" s="241"/>
      <c r="CF55" s="241"/>
      <c r="CG55" s="241"/>
      <c r="CH55" s="241"/>
      <c r="CI55" s="241"/>
      <c r="CJ55" s="241"/>
      <c r="CK55" s="241"/>
      <c r="CL55" s="241"/>
      <c r="CM55" s="241"/>
      <c r="CN55" s="241"/>
      <c r="CO55" s="241"/>
      <c r="CP55" s="241"/>
      <c r="CQ55" s="241"/>
      <c r="CR55" s="241"/>
      <c r="CS55" s="241"/>
      <c r="CT55" s="241"/>
      <c r="CU55" s="241"/>
      <c r="CV55" s="241"/>
      <c r="CW55" s="241"/>
      <c r="CX55" s="241"/>
      <c r="CY55" s="241"/>
      <c r="CZ55" s="241"/>
      <c r="DA55" s="241"/>
      <c r="DB55" s="241"/>
      <c r="DC55" s="241"/>
      <c r="DD55" s="241"/>
      <c r="DE55" s="241"/>
      <c r="DF55" s="241"/>
      <c r="DG55" s="241"/>
      <c r="DH55" s="241"/>
      <c r="DT55" s="241"/>
      <c r="FB55" s="241"/>
    </row>
    <row r="56" spans="4:158" ht="12" hidden="1" customHeight="1" x14ac:dyDescent="0.25">
      <c r="D56" s="241"/>
      <c r="E56" s="241"/>
      <c r="F56" s="241"/>
      <c r="G56" s="241"/>
      <c r="H56" s="241"/>
      <c r="I56" s="242"/>
      <c r="J56" s="241"/>
      <c r="K56" s="241"/>
      <c r="L56" s="241"/>
      <c r="M56" s="241"/>
      <c r="N56" s="242"/>
      <c r="O56" s="242"/>
      <c r="P56" s="242"/>
      <c r="Q56" s="242"/>
      <c r="R56" s="241"/>
      <c r="S56" s="241"/>
      <c r="T56" s="241"/>
      <c r="U56" s="241"/>
      <c r="V56" s="241"/>
      <c r="W56" s="241"/>
      <c r="X56" s="241"/>
      <c r="Y56" s="241"/>
      <c r="Z56" s="242"/>
      <c r="AA56" s="403" t="s">
        <v>108</v>
      </c>
      <c r="AB56" s="404"/>
      <c r="AC56" s="404"/>
      <c r="AD56" s="404"/>
      <c r="AE56" s="405"/>
      <c r="AF56" s="406">
        <f>IF(AF55=0,0,AF55*AF57)</f>
        <v>0</v>
      </c>
      <c r="AG56" s="407"/>
      <c r="AH56" s="241"/>
      <c r="AI56" s="241"/>
      <c r="AJ56" s="274"/>
      <c r="AK56" s="241"/>
      <c r="AL56" s="241"/>
      <c r="AM56" s="241"/>
      <c r="AN56" s="241"/>
      <c r="AO56" s="241"/>
      <c r="AP56" s="241"/>
      <c r="AQ56" s="241"/>
      <c r="AR56" s="241"/>
      <c r="AS56" s="241"/>
      <c r="AT56" s="241"/>
      <c r="AU56" s="241"/>
      <c r="AV56" s="241"/>
      <c r="AW56" s="241"/>
      <c r="AX56" s="241"/>
      <c r="AY56" s="241"/>
      <c r="AZ56" s="241"/>
      <c r="BA56" s="241"/>
      <c r="BB56" s="241"/>
      <c r="BC56" s="241"/>
      <c r="BD56" s="241"/>
      <c r="BE56" s="241"/>
      <c r="BF56" s="241"/>
      <c r="BG56" s="241"/>
      <c r="BH56" s="241"/>
      <c r="BI56" s="241"/>
      <c r="BJ56" s="241"/>
      <c r="BK56" s="241"/>
      <c r="BL56" s="241"/>
      <c r="BM56" s="241"/>
      <c r="BN56" s="241"/>
      <c r="BO56" s="241"/>
      <c r="BP56" s="241"/>
      <c r="BQ56" s="241"/>
      <c r="BR56" s="241"/>
      <c r="BS56" s="241"/>
      <c r="BT56" s="241"/>
      <c r="BU56" s="241"/>
      <c r="BV56" s="241"/>
      <c r="BW56" s="241"/>
      <c r="BX56" s="241"/>
      <c r="BY56" s="241"/>
      <c r="BZ56" s="241"/>
      <c r="CA56" s="241"/>
      <c r="CB56" s="241"/>
      <c r="CC56" s="241"/>
      <c r="CD56" s="241"/>
      <c r="CE56" s="241"/>
      <c r="CF56" s="241"/>
      <c r="CG56" s="241"/>
      <c r="CH56" s="241"/>
      <c r="CI56" s="241"/>
      <c r="CJ56" s="241"/>
      <c r="CK56" s="241"/>
      <c r="CL56" s="241"/>
      <c r="CM56" s="241"/>
      <c r="CN56" s="241"/>
      <c r="CO56" s="241"/>
      <c r="CP56" s="241"/>
      <c r="CQ56" s="241"/>
      <c r="CR56" s="241"/>
      <c r="CS56" s="241"/>
      <c r="CT56" s="241"/>
      <c r="CU56" s="241"/>
      <c r="CV56" s="241"/>
      <c r="CW56" s="241"/>
      <c r="CX56" s="241"/>
      <c r="CY56" s="241"/>
      <c r="CZ56" s="241"/>
      <c r="DA56" s="241"/>
      <c r="DB56" s="241"/>
      <c r="DC56" s="241"/>
      <c r="DD56" s="241"/>
      <c r="DE56" s="241"/>
      <c r="DF56" s="241"/>
      <c r="DG56" s="241"/>
      <c r="DH56" s="241"/>
      <c r="DT56" s="241"/>
      <c r="FB56" s="241"/>
    </row>
    <row r="57" spans="4:158" hidden="1" x14ac:dyDescent="0.25">
      <c r="D57" s="241"/>
      <c r="E57" s="241"/>
      <c r="F57" s="241"/>
      <c r="G57" s="241"/>
      <c r="H57" s="241"/>
      <c r="I57" s="242"/>
      <c r="J57" s="241"/>
      <c r="K57" s="241"/>
      <c r="L57" s="241"/>
      <c r="M57" s="241"/>
      <c r="N57" s="242"/>
      <c r="O57" s="242"/>
      <c r="P57" s="242"/>
      <c r="Q57" s="242"/>
      <c r="R57" s="241"/>
      <c r="S57" s="241"/>
      <c r="T57" s="241"/>
      <c r="U57" s="241"/>
      <c r="V57" s="241"/>
      <c r="W57" s="241"/>
      <c r="X57" s="241"/>
      <c r="Y57" s="241"/>
      <c r="Z57" s="242"/>
      <c r="AA57" s="403" t="s">
        <v>109</v>
      </c>
      <c r="AB57" s="404"/>
      <c r="AC57" s="404"/>
      <c r="AD57" s="404"/>
      <c r="AE57" s="405"/>
      <c r="AF57" s="421">
        <f>IF(AF55=0,0,IF(P3="No pensionado",Hoja15!R118,Hoja15!R117))</f>
        <v>0</v>
      </c>
      <c r="AG57" s="422"/>
      <c r="AH57" s="241"/>
      <c r="AI57" s="241"/>
      <c r="AJ57" s="274"/>
      <c r="AK57" s="241"/>
      <c r="AL57" s="241"/>
      <c r="AM57" s="241"/>
      <c r="AN57" s="241"/>
      <c r="AO57" s="241"/>
      <c r="AP57" s="241"/>
      <c r="AQ57" s="241"/>
      <c r="AR57" s="241"/>
      <c r="AS57" s="241"/>
      <c r="AT57" s="241"/>
      <c r="AU57" s="241"/>
      <c r="AV57" s="241"/>
      <c r="AW57" s="241"/>
      <c r="AX57" s="241"/>
      <c r="AY57" s="241"/>
      <c r="AZ57" s="241"/>
      <c r="BA57" s="241"/>
      <c r="BB57" s="241"/>
      <c r="BC57" s="241"/>
      <c r="BD57" s="241"/>
      <c r="BE57" s="241"/>
      <c r="BF57" s="241"/>
      <c r="BG57" s="241"/>
      <c r="BH57" s="241"/>
      <c r="BI57" s="241"/>
      <c r="BJ57" s="241"/>
      <c r="BK57" s="241"/>
      <c r="BL57" s="241"/>
      <c r="BM57" s="241"/>
      <c r="BN57" s="241"/>
      <c r="BO57" s="241"/>
      <c r="BP57" s="241"/>
      <c r="BQ57" s="241"/>
      <c r="BR57" s="241"/>
      <c r="BS57" s="241"/>
      <c r="BT57" s="241"/>
      <c r="BU57" s="241"/>
      <c r="BV57" s="241"/>
      <c r="BW57" s="241"/>
      <c r="BX57" s="241"/>
      <c r="BY57" s="241"/>
      <c r="BZ57" s="241"/>
      <c r="CA57" s="241"/>
      <c r="CB57" s="241"/>
      <c r="CC57" s="241"/>
      <c r="CD57" s="241"/>
      <c r="CE57" s="241"/>
      <c r="CF57" s="241"/>
      <c r="CG57" s="241"/>
      <c r="CH57" s="241"/>
      <c r="CI57" s="241"/>
      <c r="CJ57" s="241"/>
      <c r="CK57" s="241"/>
      <c r="CL57" s="241"/>
      <c r="CM57" s="241"/>
      <c r="CN57" s="241"/>
      <c r="CO57" s="241"/>
      <c r="CP57" s="241"/>
      <c r="CQ57" s="241"/>
      <c r="CR57" s="241"/>
      <c r="CS57" s="241"/>
      <c r="CT57" s="241"/>
      <c r="CU57" s="241"/>
      <c r="CV57" s="241"/>
      <c r="CW57" s="241"/>
      <c r="CX57" s="241"/>
      <c r="CY57" s="241"/>
      <c r="CZ57" s="241"/>
      <c r="DA57" s="241"/>
      <c r="DB57" s="241"/>
      <c r="DC57" s="241"/>
      <c r="DD57" s="241"/>
      <c r="DE57" s="241"/>
      <c r="DF57" s="241"/>
      <c r="DG57" s="241"/>
      <c r="DH57" s="241"/>
      <c r="DT57" s="241"/>
      <c r="FB57" s="241"/>
    </row>
    <row r="58" spans="4:158" hidden="1" x14ac:dyDescent="0.25">
      <c r="D58" s="241"/>
      <c r="E58" s="241"/>
      <c r="F58" s="241"/>
      <c r="G58" s="241"/>
      <c r="H58" s="241"/>
      <c r="I58" s="242"/>
      <c r="J58" s="241"/>
      <c r="K58" s="241"/>
      <c r="L58" s="241"/>
      <c r="M58" s="241"/>
      <c r="N58" s="242"/>
      <c r="O58" s="242"/>
      <c r="P58" s="242"/>
      <c r="Q58" s="242"/>
      <c r="R58" s="241"/>
      <c r="S58" s="241"/>
      <c r="T58" s="241"/>
      <c r="U58" s="241"/>
      <c r="V58" s="241"/>
      <c r="W58" s="241"/>
      <c r="X58" s="241"/>
      <c r="Y58" s="241"/>
      <c r="Z58" s="242"/>
      <c r="AA58" s="432" t="s">
        <v>110</v>
      </c>
      <c r="AB58" s="432"/>
      <c r="AC58" s="432"/>
      <c r="AD58" s="432"/>
      <c r="AE58" s="432"/>
      <c r="AF58" s="406">
        <f>IF(AF55=0,0,W8*15%)</f>
        <v>0</v>
      </c>
      <c r="AG58" s="407"/>
      <c r="AH58" s="241"/>
      <c r="AI58" s="241"/>
      <c r="AJ58" s="274"/>
      <c r="AK58" s="241"/>
      <c r="AL58" s="241"/>
      <c r="AM58" s="241"/>
      <c r="AN58" s="241"/>
      <c r="AO58" s="241"/>
      <c r="AP58" s="241"/>
      <c r="AQ58" s="241"/>
      <c r="AR58" s="241"/>
      <c r="AS58" s="241"/>
      <c r="AT58" s="241"/>
      <c r="AU58" s="241"/>
      <c r="AV58" s="241"/>
      <c r="AW58" s="241"/>
      <c r="AX58" s="241"/>
      <c r="AY58" s="241"/>
      <c r="AZ58" s="241"/>
      <c r="BA58" s="241"/>
      <c r="BB58" s="241"/>
      <c r="BC58" s="241"/>
      <c r="BD58" s="241"/>
      <c r="BE58" s="241"/>
      <c r="BF58" s="241"/>
      <c r="BG58" s="241"/>
      <c r="BH58" s="241"/>
      <c r="BI58" s="241"/>
      <c r="BJ58" s="241"/>
      <c r="BK58" s="241"/>
      <c r="BL58" s="241"/>
      <c r="BM58" s="241"/>
      <c r="BN58" s="241"/>
      <c r="BO58" s="241"/>
      <c r="BP58" s="241"/>
      <c r="BQ58" s="241"/>
      <c r="BR58" s="241"/>
      <c r="BS58" s="241"/>
      <c r="BT58" s="241"/>
      <c r="BU58" s="241"/>
      <c r="BV58" s="241"/>
      <c r="BW58" s="241"/>
      <c r="BX58" s="241"/>
      <c r="BY58" s="241"/>
      <c r="BZ58" s="241"/>
      <c r="CA58" s="241"/>
      <c r="CB58" s="241"/>
      <c r="CC58" s="241"/>
      <c r="CD58" s="241"/>
      <c r="CE58" s="241"/>
      <c r="CF58" s="241"/>
      <c r="CG58" s="241"/>
      <c r="CH58" s="241"/>
      <c r="CI58" s="241"/>
      <c r="CJ58" s="241"/>
      <c r="CK58" s="241"/>
      <c r="CL58" s="241"/>
      <c r="CM58" s="241"/>
      <c r="CN58" s="241"/>
      <c r="CO58" s="241"/>
      <c r="CP58" s="241"/>
      <c r="CQ58" s="241"/>
      <c r="CR58" s="241"/>
      <c r="CS58" s="241"/>
      <c r="CT58" s="241"/>
      <c r="CU58" s="241"/>
      <c r="CV58" s="241"/>
      <c r="CW58" s="241"/>
      <c r="CX58" s="241"/>
      <c r="CY58" s="241"/>
      <c r="CZ58" s="241"/>
      <c r="DA58" s="241"/>
      <c r="DB58" s="241"/>
      <c r="DC58" s="241"/>
      <c r="DD58" s="241"/>
      <c r="DE58" s="241"/>
      <c r="DF58" s="241"/>
      <c r="DG58" s="241"/>
      <c r="DH58" s="241"/>
      <c r="DT58" s="241"/>
      <c r="FB58" s="241"/>
    </row>
    <row r="59" spans="4:158" hidden="1" x14ac:dyDescent="0.25">
      <c r="D59" s="241"/>
      <c r="E59" s="241"/>
      <c r="F59" s="241"/>
      <c r="G59" s="241"/>
      <c r="H59" s="241"/>
      <c r="I59" s="242"/>
      <c r="J59" s="241"/>
      <c r="K59" s="241"/>
      <c r="L59" s="241"/>
      <c r="M59" s="241"/>
      <c r="N59" s="242"/>
      <c r="O59" s="242"/>
      <c r="P59" s="242"/>
      <c r="Q59" s="242"/>
      <c r="R59" s="241"/>
      <c r="S59" s="241"/>
      <c r="T59" s="241"/>
      <c r="U59" s="241"/>
      <c r="V59" s="241"/>
      <c r="W59" s="241"/>
      <c r="X59" s="241"/>
      <c r="Y59" s="241"/>
      <c r="Z59" s="242"/>
      <c r="AA59" s="403" t="s">
        <v>111</v>
      </c>
      <c r="AB59" s="404"/>
      <c r="AC59" s="404"/>
      <c r="AD59" s="404"/>
      <c r="AE59" s="405"/>
      <c r="AF59" s="406">
        <f>IF(AF55=0,0,AF58-AF56)</f>
        <v>0</v>
      </c>
      <c r="AG59" s="407"/>
      <c r="AH59" s="241"/>
      <c r="AI59" s="241"/>
      <c r="AJ59" s="274"/>
      <c r="AK59" s="241"/>
      <c r="AL59" s="241"/>
      <c r="AM59" s="241"/>
      <c r="AN59" s="241"/>
      <c r="AO59" s="241"/>
      <c r="AP59" s="241"/>
      <c r="AQ59" s="241"/>
      <c r="AR59" s="241"/>
      <c r="AS59" s="241"/>
      <c r="AT59" s="241"/>
      <c r="AU59" s="241"/>
      <c r="AV59" s="241"/>
      <c r="AW59" s="241"/>
      <c r="AX59" s="241"/>
      <c r="AY59" s="241"/>
      <c r="AZ59" s="241"/>
      <c r="BA59" s="241"/>
      <c r="BB59" s="241"/>
      <c r="BC59" s="241"/>
      <c r="BD59" s="241"/>
      <c r="BE59" s="241"/>
      <c r="BF59" s="241"/>
      <c r="BG59" s="241"/>
      <c r="BH59" s="241"/>
      <c r="BI59" s="241"/>
      <c r="BJ59" s="241"/>
      <c r="BK59" s="241"/>
      <c r="BL59" s="241"/>
      <c r="BM59" s="241"/>
      <c r="BN59" s="241"/>
      <c r="BO59" s="241"/>
      <c r="BP59" s="241"/>
      <c r="BQ59" s="241"/>
      <c r="BR59" s="241"/>
      <c r="BS59" s="241"/>
      <c r="BT59" s="241"/>
      <c r="BU59" s="241"/>
      <c r="BV59" s="241"/>
      <c r="BW59" s="241"/>
      <c r="BX59" s="241"/>
      <c r="BY59" s="241"/>
      <c r="BZ59" s="241"/>
      <c r="CA59" s="241"/>
      <c r="CB59" s="241"/>
      <c r="CC59" s="241"/>
      <c r="CD59" s="241"/>
      <c r="CE59" s="241"/>
      <c r="CF59" s="241"/>
      <c r="CG59" s="241"/>
      <c r="CH59" s="241"/>
      <c r="CI59" s="241"/>
      <c r="CJ59" s="241"/>
      <c r="CK59" s="241"/>
      <c r="CL59" s="241"/>
      <c r="CM59" s="241"/>
      <c r="CN59" s="241"/>
      <c r="CO59" s="241"/>
      <c r="CP59" s="241"/>
      <c r="CQ59" s="241"/>
      <c r="CR59" s="241"/>
      <c r="CS59" s="241"/>
      <c r="CT59" s="241"/>
      <c r="CU59" s="241"/>
      <c r="CV59" s="241"/>
      <c r="CW59" s="241"/>
      <c r="CX59" s="241"/>
      <c r="CY59" s="241"/>
      <c r="CZ59" s="241"/>
      <c r="DA59" s="241"/>
      <c r="DB59" s="241"/>
      <c r="DC59" s="241"/>
      <c r="DD59" s="241"/>
      <c r="DE59" s="241"/>
      <c r="DF59" s="241"/>
      <c r="DG59" s="241"/>
      <c r="DH59" s="241"/>
      <c r="DT59" s="241"/>
      <c r="FB59" s="241"/>
    </row>
    <row r="60" spans="4:158" hidden="1" x14ac:dyDescent="0.25">
      <c r="D60" s="241"/>
      <c r="E60" s="241"/>
      <c r="F60" s="241"/>
      <c r="G60" s="241"/>
      <c r="H60" s="241"/>
      <c r="I60" s="242"/>
      <c r="J60" s="241">
        <f>Hoja15!B39*Hoja15!C17</f>
        <v>13952287.701993063</v>
      </c>
      <c r="K60" s="241"/>
      <c r="L60" s="241"/>
      <c r="M60" s="241"/>
      <c r="N60" s="242"/>
      <c r="O60" s="242"/>
      <c r="P60" s="242"/>
      <c r="Q60" s="242"/>
      <c r="R60" s="241"/>
      <c r="S60" s="241"/>
      <c r="T60" s="241"/>
      <c r="U60" s="241"/>
      <c r="V60" s="241"/>
      <c r="W60" s="241"/>
      <c r="X60" s="241"/>
      <c r="Y60" s="241"/>
      <c r="Z60" s="242"/>
      <c r="AA60" s="242"/>
      <c r="AB60" s="241"/>
      <c r="AC60" s="241"/>
      <c r="AD60" s="241"/>
      <c r="AE60" s="241"/>
      <c r="AF60" s="241"/>
      <c r="AG60" s="241"/>
      <c r="AH60" s="241"/>
      <c r="AI60" s="241"/>
      <c r="AJ60" s="274"/>
      <c r="AK60" s="241"/>
      <c r="AL60" s="241"/>
      <c r="AM60" s="241"/>
      <c r="AN60" s="241"/>
      <c r="AO60" s="241"/>
      <c r="AP60" s="241"/>
      <c r="AQ60" s="241"/>
      <c r="AR60" s="241"/>
      <c r="AS60" s="241"/>
      <c r="AT60" s="241"/>
      <c r="AU60" s="241"/>
      <c r="AV60" s="241"/>
      <c r="AW60" s="241"/>
      <c r="AX60" s="241"/>
      <c r="AY60" s="241"/>
      <c r="AZ60" s="241"/>
      <c r="BA60" s="241"/>
      <c r="BB60" s="241"/>
      <c r="BC60" s="241"/>
      <c r="BD60" s="241"/>
      <c r="BE60" s="241"/>
      <c r="BF60" s="241"/>
      <c r="BG60" s="241"/>
      <c r="BH60" s="241"/>
      <c r="BI60" s="241"/>
      <c r="BJ60" s="241"/>
      <c r="BK60" s="241"/>
      <c r="BL60" s="241"/>
      <c r="BM60" s="241"/>
      <c r="BN60" s="241"/>
      <c r="BO60" s="241"/>
      <c r="BP60" s="241"/>
      <c r="BQ60" s="241"/>
      <c r="BR60" s="241"/>
      <c r="BS60" s="241"/>
      <c r="BT60" s="241"/>
      <c r="BU60" s="241"/>
      <c r="BV60" s="241"/>
      <c r="BW60" s="241"/>
      <c r="BX60" s="241"/>
      <c r="BY60" s="241"/>
      <c r="BZ60" s="241"/>
      <c r="CA60" s="241"/>
      <c r="CB60" s="241"/>
      <c r="CC60" s="241"/>
      <c r="CD60" s="241"/>
      <c r="CE60" s="241"/>
      <c r="CF60" s="241"/>
      <c r="CG60" s="241"/>
      <c r="CH60" s="241"/>
      <c r="CI60" s="241"/>
      <c r="CJ60" s="241"/>
      <c r="CK60" s="241"/>
      <c r="CL60" s="241"/>
      <c r="CM60" s="241"/>
      <c r="CN60" s="241"/>
      <c r="CO60" s="241"/>
      <c r="CP60" s="241"/>
      <c r="CQ60" s="241"/>
      <c r="CR60" s="241"/>
      <c r="CS60" s="241"/>
      <c r="CT60" s="241"/>
      <c r="CU60" s="241"/>
      <c r="CV60" s="241"/>
      <c r="CW60" s="241"/>
      <c r="CX60" s="241"/>
      <c r="CY60" s="241"/>
      <c r="CZ60" s="241"/>
      <c r="DA60" s="241"/>
      <c r="DB60" s="241"/>
      <c r="DC60" s="241"/>
      <c r="DD60" s="241"/>
      <c r="DE60" s="241"/>
      <c r="DF60" s="241"/>
      <c r="DG60" s="241"/>
      <c r="DH60" s="241"/>
      <c r="DT60" s="241"/>
      <c r="FB60" s="241"/>
    </row>
    <row r="61" spans="4:158" hidden="1" x14ac:dyDescent="0.25">
      <c r="D61" s="241"/>
      <c r="E61" s="241"/>
      <c r="F61" s="243"/>
      <c r="G61" s="243"/>
      <c r="H61" s="243"/>
      <c r="I61" s="243"/>
      <c r="J61" s="246"/>
      <c r="K61" s="241"/>
      <c r="L61" s="241"/>
      <c r="M61" s="241"/>
      <c r="N61" s="242"/>
      <c r="O61" s="242"/>
      <c r="P61" s="242"/>
      <c r="Q61" s="242"/>
      <c r="R61" s="241"/>
      <c r="S61" s="241"/>
      <c r="T61" s="241"/>
      <c r="U61" s="241"/>
      <c r="V61" s="241">
        <v>0</v>
      </c>
      <c r="W61" s="241"/>
      <c r="X61" s="241"/>
      <c r="Y61" s="241"/>
      <c r="Z61" s="242"/>
      <c r="AA61" s="246">
        <f>P26+T26</f>
        <v>13702706.461442402</v>
      </c>
      <c r="AB61" s="241"/>
      <c r="AC61" s="241"/>
      <c r="AD61" s="241"/>
      <c r="AE61" s="241"/>
      <c r="AF61" s="241"/>
      <c r="AG61" s="241"/>
      <c r="AH61" s="241"/>
      <c r="AI61" s="241"/>
      <c r="AJ61" s="274"/>
      <c r="AK61" s="241"/>
      <c r="AL61" s="241"/>
      <c r="AM61" s="241"/>
      <c r="AN61" s="241"/>
      <c r="AO61" s="241"/>
      <c r="AP61" s="241"/>
      <c r="AQ61" s="241"/>
      <c r="AR61" s="241"/>
      <c r="AS61" s="241"/>
      <c r="AT61" s="241"/>
      <c r="AU61" s="241"/>
      <c r="AV61" s="241"/>
      <c r="AW61" s="241"/>
      <c r="AX61" s="241"/>
      <c r="AY61" s="241"/>
      <c r="AZ61" s="241"/>
      <c r="BA61" s="241"/>
      <c r="BB61" s="241"/>
      <c r="BC61" s="241"/>
      <c r="BD61" s="241"/>
      <c r="BE61" s="241"/>
      <c r="BF61" s="241"/>
      <c r="BG61" s="241"/>
      <c r="BH61" s="241"/>
      <c r="BI61" s="241"/>
      <c r="BJ61" s="241"/>
      <c r="BK61" s="241"/>
      <c r="BL61" s="241"/>
      <c r="BM61" s="241"/>
      <c r="BN61" s="241"/>
      <c r="BO61" s="241"/>
      <c r="BP61" s="241"/>
      <c r="BQ61" s="241"/>
      <c r="BR61" s="241"/>
      <c r="BS61" s="241"/>
      <c r="BT61" s="241"/>
      <c r="BU61" s="241"/>
      <c r="BV61" s="241"/>
      <c r="BW61" s="241"/>
      <c r="BX61" s="241"/>
      <c r="BY61" s="241"/>
      <c r="BZ61" s="241"/>
      <c r="CA61" s="241"/>
      <c r="CB61" s="241"/>
      <c r="CC61" s="241"/>
      <c r="CD61" s="241"/>
      <c r="CE61" s="241"/>
      <c r="CF61" s="241"/>
      <c r="CG61" s="241"/>
      <c r="CH61" s="241"/>
      <c r="CI61" s="241"/>
      <c r="CJ61" s="241"/>
      <c r="CK61" s="241"/>
      <c r="CL61" s="241"/>
      <c r="CM61" s="241"/>
      <c r="CN61" s="241"/>
      <c r="CO61" s="241"/>
      <c r="CP61" s="241"/>
      <c r="CQ61" s="241"/>
      <c r="CR61" s="241"/>
      <c r="CS61" s="241"/>
      <c r="CT61" s="241"/>
      <c r="CU61" s="241"/>
      <c r="CV61" s="241"/>
      <c r="CW61" s="241"/>
      <c r="CX61" s="241"/>
      <c r="CY61" s="241"/>
      <c r="CZ61" s="241"/>
      <c r="DA61" s="241"/>
      <c r="DB61" s="241"/>
      <c r="DC61" s="241"/>
      <c r="DD61" s="241"/>
      <c r="DE61" s="241"/>
      <c r="DF61" s="241"/>
      <c r="DG61" s="241"/>
      <c r="DH61" s="241"/>
      <c r="DT61" s="241"/>
      <c r="FB61" s="241"/>
    </row>
    <row r="62" spans="4:158" ht="16.5" hidden="1" customHeight="1" x14ac:dyDescent="0.25">
      <c r="D62" s="241"/>
      <c r="E62" s="241"/>
      <c r="F62" s="241"/>
      <c r="G62" s="241"/>
      <c r="H62" s="241"/>
      <c r="I62" s="242"/>
      <c r="J62" s="241"/>
      <c r="K62" s="241"/>
      <c r="L62" s="241"/>
      <c r="M62" s="241"/>
      <c r="N62" s="242"/>
      <c r="O62" s="242"/>
      <c r="P62" s="242"/>
      <c r="Q62" s="242"/>
      <c r="R62" s="241"/>
      <c r="S62" s="241"/>
      <c r="T62" s="241"/>
      <c r="U62" s="241"/>
      <c r="V62" s="241">
        <f>IF(V26&gt;0,V61,0)</f>
        <v>0</v>
      </c>
      <c r="W62" s="241"/>
      <c r="X62" s="241"/>
      <c r="Y62" s="241"/>
      <c r="Z62" s="242"/>
      <c r="AA62" s="249"/>
      <c r="AB62" s="241"/>
      <c r="AC62" s="241"/>
      <c r="AD62" s="241"/>
      <c r="AE62" s="241"/>
      <c r="AF62" s="241"/>
      <c r="AG62" s="241"/>
      <c r="AH62" s="241"/>
      <c r="AI62" s="241"/>
      <c r="AJ62" s="274"/>
      <c r="AK62" s="241"/>
      <c r="AL62" s="241"/>
      <c r="AM62" s="241"/>
      <c r="AN62" s="241"/>
      <c r="AO62" s="241"/>
      <c r="AP62" s="241"/>
      <c r="AQ62" s="241"/>
      <c r="AR62" s="241"/>
      <c r="AS62" s="241"/>
      <c r="AT62" s="241"/>
      <c r="AU62" s="241"/>
      <c r="AV62" s="241"/>
      <c r="AW62" s="241"/>
      <c r="AX62" s="241"/>
      <c r="AY62" s="241"/>
      <c r="AZ62" s="241"/>
      <c r="BA62" s="241"/>
      <c r="BB62" s="241"/>
      <c r="BC62" s="241"/>
      <c r="BD62" s="241"/>
      <c r="BE62" s="241"/>
      <c r="BF62" s="241"/>
      <c r="BG62" s="241"/>
      <c r="BH62" s="241"/>
      <c r="BI62" s="241"/>
      <c r="BJ62" s="241"/>
      <c r="BK62" s="241"/>
      <c r="BL62" s="241"/>
      <c r="BM62" s="241"/>
      <c r="BN62" s="241"/>
      <c r="BO62" s="241"/>
      <c r="BP62" s="241"/>
      <c r="BQ62" s="241"/>
      <c r="BR62" s="241"/>
      <c r="BS62" s="241"/>
      <c r="BT62" s="241"/>
      <c r="BU62" s="241"/>
      <c r="BV62" s="241"/>
      <c r="BW62" s="241"/>
      <c r="BX62" s="241"/>
      <c r="BY62" s="241"/>
      <c r="BZ62" s="241"/>
      <c r="CA62" s="241"/>
      <c r="CB62" s="241"/>
      <c r="CC62" s="241"/>
      <c r="CD62" s="241"/>
      <c r="CE62" s="241"/>
      <c r="CF62" s="241"/>
      <c r="CG62" s="241"/>
      <c r="CH62" s="241"/>
      <c r="CI62" s="241"/>
      <c r="CJ62" s="241"/>
      <c r="CK62" s="241"/>
      <c r="CL62" s="241"/>
      <c r="CM62" s="241"/>
      <c r="CN62" s="241"/>
      <c r="CO62" s="241"/>
      <c r="CP62" s="241"/>
      <c r="CQ62" s="241"/>
      <c r="CR62" s="241"/>
      <c r="CS62" s="241"/>
      <c r="CT62" s="241"/>
      <c r="CU62" s="241"/>
      <c r="CV62" s="241"/>
      <c r="CW62" s="241"/>
      <c r="CX62" s="241"/>
      <c r="CY62" s="241"/>
      <c r="CZ62" s="241"/>
      <c r="DA62" s="241"/>
      <c r="DB62" s="241"/>
      <c r="DC62" s="241"/>
      <c r="DD62" s="241"/>
      <c r="DE62" s="241"/>
      <c r="DF62" s="241"/>
      <c r="DG62" s="241"/>
      <c r="DH62" s="241"/>
      <c r="DT62" s="241"/>
      <c r="FB62" s="241"/>
    </row>
    <row r="63" spans="4:158" hidden="1" x14ac:dyDescent="0.25">
      <c r="D63" s="241"/>
      <c r="E63" s="241"/>
      <c r="F63" s="241"/>
      <c r="G63" s="241"/>
      <c r="H63" s="241"/>
      <c r="I63" s="242"/>
      <c r="J63" s="241"/>
      <c r="K63" s="241"/>
      <c r="L63" s="241"/>
      <c r="M63" s="241"/>
      <c r="N63" s="242"/>
      <c r="O63" s="242"/>
      <c r="P63" s="242"/>
      <c r="Q63" s="242"/>
      <c r="R63" s="241"/>
      <c r="S63" s="241"/>
      <c r="T63" s="241"/>
      <c r="U63" s="241"/>
      <c r="V63" s="241"/>
      <c r="W63" s="241"/>
      <c r="X63" s="241"/>
      <c r="Y63" s="241"/>
      <c r="Z63" s="242"/>
      <c r="AA63" s="242"/>
      <c r="AB63" s="241"/>
      <c r="AC63" s="241"/>
      <c r="AD63" s="241"/>
      <c r="AE63" s="241"/>
      <c r="AF63" s="241"/>
      <c r="AG63" s="241"/>
      <c r="AH63" s="241"/>
      <c r="AI63" s="241"/>
      <c r="AJ63" s="274"/>
      <c r="AK63" s="241"/>
      <c r="AL63" s="241"/>
      <c r="AM63" s="241"/>
      <c r="AN63" s="241"/>
      <c r="AO63" s="241"/>
      <c r="AP63" s="241"/>
      <c r="AQ63" s="241"/>
      <c r="AR63" s="241"/>
      <c r="AS63" s="241"/>
      <c r="AT63" s="241"/>
      <c r="AU63" s="241"/>
      <c r="AV63" s="241"/>
      <c r="AW63" s="241"/>
      <c r="AX63" s="241"/>
      <c r="AY63" s="241"/>
      <c r="AZ63" s="241"/>
      <c r="BA63" s="241"/>
      <c r="BB63" s="241"/>
      <c r="BC63" s="241"/>
      <c r="BD63" s="241"/>
      <c r="BE63" s="241"/>
      <c r="BF63" s="241"/>
      <c r="BG63" s="241"/>
      <c r="BH63" s="241"/>
      <c r="BI63" s="241"/>
      <c r="BJ63" s="241"/>
      <c r="BK63" s="241"/>
      <c r="BL63" s="241"/>
      <c r="BM63" s="241"/>
      <c r="BN63" s="241"/>
      <c r="BO63" s="241"/>
      <c r="BP63" s="241"/>
      <c r="BQ63" s="241"/>
      <c r="BR63" s="241"/>
      <c r="BS63" s="241"/>
      <c r="BT63" s="241"/>
      <c r="BU63" s="241"/>
      <c r="BV63" s="241"/>
      <c r="BW63" s="241"/>
      <c r="BX63" s="241"/>
      <c r="BY63" s="241"/>
      <c r="BZ63" s="241"/>
      <c r="CA63" s="241"/>
      <c r="CB63" s="241"/>
      <c r="CC63" s="241"/>
      <c r="CD63" s="241"/>
      <c r="CE63" s="241"/>
      <c r="CF63" s="241"/>
      <c r="CG63" s="241"/>
      <c r="CH63" s="241"/>
      <c r="CI63" s="241"/>
      <c r="CJ63" s="241"/>
      <c r="CK63" s="241"/>
      <c r="CL63" s="241"/>
      <c r="CM63" s="241"/>
      <c r="CN63" s="241"/>
      <c r="CO63" s="241"/>
      <c r="CP63" s="241"/>
      <c r="CQ63" s="241"/>
      <c r="CR63" s="241"/>
      <c r="CS63" s="241"/>
      <c r="CT63" s="241"/>
      <c r="CU63" s="241"/>
      <c r="CV63" s="241"/>
      <c r="CW63" s="241"/>
      <c r="CX63" s="241"/>
      <c r="CY63" s="241"/>
      <c r="CZ63" s="241"/>
      <c r="DA63" s="241"/>
      <c r="DB63" s="241"/>
      <c r="DC63" s="241"/>
      <c r="DD63" s="241"/>
      <c r="DE63" s="241"/>
      <c r="DF63" s="241"/>
      <c r="DG63" s="241"/>
      <c r="DH63" s="241"/>
      <c r="DT63" s="241"/>
      <c r="FB63" s="241"/>
    </row>
    <row r="64" spans="4:158" ht="12" hidden="1" customHeight="1" x14ac:dyDescent="0.25">
      <c r="D64" s="241"/>
      <c r="E64" s="241"/>
      <c r="F64" s="241"/>
      <c r="G64" s="241"/>
      <c r="H64" s="241"/>
      <c r="I64" s="242"/>
      <c r="J64" s="241"/>
      <c r="K64" s="241"/>
      <c r="L64" s="241"/>
      <c r="M64" s="241"/>
      <c r="N64" s="242"/>
      <c r="O64" s="242"/>
      <c r="P64" s="242"/>
      <c r="Q64" s="242"/>
      <c r="R64" s="241"/>
      <c r="S64" s="241"/>
      <c r="T64" s="241"/>
      <c r="U64" s="241"/>
      <c r="V64" s="241"/>
      <c r="W64" s="241"/>
      <c r="X64" s="241"/>
      <c r="Y64" s="241"/>
      <c r="Z64" s="242" t="str">
        <f>IF(G38=0," ",IF(G38&gt;0,"(En contra)","(A favor)"))</f>
        <v>(En contra)</v>
      </c>
      <c r="AA64" s="242"/>
      <c r="AB64" s="241"/>
      <c r="AC64" s="241"/>
      <c r="AD64" s="241"/>
      <c r="AE64" s="241"/>
      <c r="AF64" s="241"/>
      <c r="AG64" s="241"/>
      <c r="AH64" s="241"/>
      <c r="AI64" s="241"/>
      <c r="AJ64" s="274"/>
      <c r="AK64" s="241"/>
      <c r="AL64" s="241"/>
      <c r="AM64" s="241"/>
      <c r="AN64" s="241"/>
      <c r="AO64" s="241"/>
      <c r="AP64" s="241"/>
      <c r="AQ64" s="241"/>
      <c r="AR64" s="241"/>
      <c r="AS64" s="241"/>
      <c r="AT64" s="241"/>
      <c r="AU64" s="241"/>
      <c r="AV64" s="241"/>
      <c r="AW64" s="241"/>
      <c r="AX64" s="241"/>
      <c r="AY64" s="241"/>
      <c r="AZ64" s="241"/>
      <c r="BA64" s="241"/>
      <c r="BB64" s="241"/>
      <c r="BC64" s="241"/>
      <c r="BD64" s="241"/>
      <c r="BE64" s="241"/>
      <c r="BF64" s="241"/>
      <c r="BG64" s="241"/>
      <c r="BH64" s="241"/>
      <c r="BI64" s="241"/>
      <c r="BJ64" s="241"/>
      <c r="BK64" s="241"/>
      <c r="BL64" s="241"/>
      <c r="BM64" s="241"/>
      <c r="BN64" s="241"/>
      <c r="BO64" s="241"/>
      <c r="BP64" s="241"/>
      <c r="BQ64" s="241"/>
      <c r="BR64" s="241"/>
      <c r="BS64" s="241"/>
      <c r="BT64" s="241"/>
      <c r="BU64" s="241"/>
      <c r="BV64" s="241"/>
      <c r="BW64" s="241"/>
      <c r="BX64" s="241"/>
      <c r="BY64" s="241"/>
      <c r="BZ64" s="241"/>
      <c r="CA64" s="241"/>
      <c r="CB64" s="241"/>
      <c r="CC64" s="241"/>
      <c r="CD64" s="241"/>
      <c r="CE64" s="241"/>
      <c r="CF64" s="241"/>
      <c r="CG64" s="241"/>
      <c r="CH64" s="241"/>
      <c r="CI64" s="241"/>
      <c r="CJ64" s="241"/>
      <c r="CK64" s="241"/>
      <c r="CL64" s="241"/>
      <c r="CM64" s="241"/>
      <c r="CN64" s="241"/>
      <c r="CO64" s="241"/>
      <c r="CP64" s="241"/>
      <c r="CQ64" s="241"/>
      <c r="CR64" s="241"/>
      <c r="CS64" s="241"/>
      <c r="CT64" s="241"/>
      <c r="CU64" s="241"/>
      <c r="CV64" s="241"/>
      <c r="CW64" s="241"/>
      <c r="CX64" s="241"/>
      <c r="CY64" s="241"/>
      <c r="CZ64" s="241"/>
      <c r="DA64" s="241"/>
      <c r="DB64" s="241"/>
      <c r="DC64" s="241"/>
      <c r="DD64" s="241"/>
      <c r="DE64" s="241"/>
      <c r="DF64" s="241"/>
      <c r="DG64" s="241"/>
      <c r="DH64" s="241"/>
      <c r="DT64" s="241"/>
      <c r="FB64" s="241"/>
    </row>
    <row r="65" spans="4:158" hidden="1" x14ac:dyDescent="0.25">
      <c r="D65" s="241"/>
      <c r="E65" s="241"/>
      <c r="F65" s="241"/>
      <c r="G65" s="241"/>
      <c r="H65" s="241"/>
      <c r="I65" s="242"/>
      <c r="J65" s="241"/>
      <c r="K65" s="241"/>
      <c r="L65" s="241"/>
      <c r="M65" s="241"/>
      <c r="N65" s="242"/>
      <c r="O65" s="242"/>
      <c r="P65" s="242"/>
      <c r="Q65" s="242"/>
      <c r="R65" s="241"/>
      <c r="S65" s="241"/>
      <c r="T65" s="241"/>
      <c r="U65" s="241"/>
      <c r="V65" s="241"/>
      <c r="W65" s="241"/>
      <c r="X65" s="241"/>
      <c r="Y65" s="241"/>
      <c r="Z65" s="242"/>
      <c r="AA65" s="242"/>
      <c r="AB65" s="241"/>
      <c r="AC65" s="241"/>
      <c r="AD65" s="241"/>
      <c r="AE65" s="241"/>
      <c r="AF65" s="241"/>
      <c r="AG65" s="241"/>
      <c r="AH65" s="241"/>
      <c r="AI65" s="241"/>
      <c r="AJ65" s="274"/>
      <c r="AK65" s="241"/>
      <c r="AL65" s="241"/>
      <c r="AM65" s="241"/>
      <c r="AN65" s="241"/>
      <c r="AO65" s="241"/>
      <c r="AP65" s="241"/>
      <c r="AQ65" s="241"/>
      <c r="AR65" s="241"/>
      <c r="AS65" s="241"/>
      <c r="AT65" s="241"/>
      <c r="AU65" s="241"/>
      <c r="AV65" s="241"/>
      <c r="AW65" s="241"/>
      <c r="AX65" s="241"/>
      <c r="AY65" s="241"/>
      <c r="AZ65" s="241"/>
      <c r="BA65" s="241"/>
      <c r="BB65" s="241"/>
      <c r="BC65" s="241"/>
      <c r="BD65" s="241"/>
      <c r="BE65" s="241"/>
      <c r="BF65" s="241"/>
      <c r="BG65" s="241"/>
      <c r="BH65" s="241"/>
      <c r="BI65" s="241"/>
      <c r="BJ65" s="241"/>
      <c r="BK65" s="241"/>
      <c r="BL65" s="241"/>
      <c r="BM65" s="241"/>
      <c r="BN65" s="241"/>
      <c r="BO65" s="241"/>
      <c r="BP65" s="241"/>
      <c r="BQ65" s="241"/>
      <c r="BR65" s="241"/>
      <c r="BS65" s="241"/>
      <c r="BT65" s="241"/>
      <c r="BU65" s="241"/>
      <c r="BV65" s="241"/>
      <c r="BW65" s="241"/>
      <c r="BX65" s="241"/>
      <c r="BY65" s="241"/>
      <c r="BZ65" s="241"/>
      <c r="CA65" s="241"/>
      <c r="CB65" s="241"/>
      <c r="CC65" s="241"/>
      <c r="CD65" s="241"/>
      <c r="CE65" s="241"/>
      <c r="CF65" s="241"/>
      <c r="CG65" s="241"/>
      <c r="CH65" s="241"/>
      <c r="CI65" s="241"/>
      <c r="CJ65" s="241"/>
      <c r="CK65" s="241"/>
      <c r="CL65" s="241"/>
      <c r="CM65" s="241"/>
      <c r="CN65" s="241"/>
      <c r="CO65" s="241"/>
      <c r="CP65" s="241"/>
      <c r="CQ65" s="241"/>
      <c r="CR65" s="241"/>
      <c r="CS65" s="241"/>
      <c r="CT65" s="241"/>
      <c r="CU65" s="241"/>
      <c r="CV65" s="241"/>
      <c r="CW65" s="241"/>
      <c r="CX65" s="241"/>
      <c r="CY65" s="241"/>
      <c r="CZ65" s="241"/>
      <c r="DA65" s="241"/>
      <c r="DB65" s="241"/>
      <c r="DC65" s="241"/>
      <c r="DD65" s="241"/>
      <c r="DE65" s="241"/>
      <c r="DF65" s="241"/>
      <c r="DG65" s="241"/>
      <c r="DH65" s="241"/>
      <c r="DT65" s="241"/>
      <c r="FB65" s="241"/>
    </row>
    <row r="66" spans="4:158" hidden="1" x14ac:dyDescent="0.25">
      <c r="D66" s="241"/>
      <c r="E66" s="241"/>
      <c r="F66" s="241"/>
      <c r="G66" s="241"/>
      <c r="H66" s="241"/>
      <c r="I66" s="242"/>
      <c r="J66" s="241"/>
      <c r="K66" s="241"/>
      <c r="L66" s="241"/>
      <c r="M66" s="241"/>
      <c r="N66" s="244"/>
      <c r="O66" s="242"/>
      <c r="P66" s="242"/>
      <c r="Q66" s="242"/>
      <c r="R66" s="241"/>
      <c r="S66" s="241"/>
      <c r="T66" s="241"/>
      <c r="U66" s="241"/>
      <c r="V66" s="241"/>
      <c r="W66" s="241"/>
      <c r="X66" s="241"/>
      <c r="Y66" s="241"/>
      <c r="Z66" s="242"/>
      <c r="AA66" s="242"/>
      <c r="AB66" s="241"/>
      <c r="AC66" s="241"/>
      <c r="AD66" s="241"/>
      <c r="AE66" s="241"/>
      <c r="AF66" s="241"/>
      <c r="AG66" s="241"/>
      <c r="AH66" s="241"/>
      <c r="AI66" s="241"/>
      <c r="AJ66" s="274"/>
      <c r="AK66" s="241"/>
      <c r="AL66" s="241"/>
      <c r="AM66" s="241"/>
      <c r="AN66" s="241"/>
      <c r="AO66" s="241"/>
      <c r="AP66" s="241"/>
      <c r="AQ66" s="241"/>
      <c r="AR66" s="241"/>
      <c r="AS66" s="241"/>
      <c r="AT66" s="241"/>
      <c r="AU66" s="241"/>
      <c r="AV66" s="241"/>
      <c r="AW66" s="241"/>
      <c r="AX66" s="241"/>
      <c r="AY66" s="241"/>
      <c r="AZ66" s="241"/>
      <c r="BA66" s="241"/>
      <c r="BB66" s="241"/>
      <c r="BC66" s="241"/>
      <c r="BD66" s="241"/>
      <c r="BE66" s="241"/>
      <c r="BF66" s="241"/>
      <c r="BG66" s="241"/>
      <c r="BH66" s="241"/>
      <c r="BI66" s="241"/>
      <c r="BJ66" s="241"/>
      <c r="BK66" s="241"/>
      <c r="BL66" s="241"/>
      <c r="BM66" s="241"/>
      <c r="BN66" s="241"/>
      <c r="BO66" s="241"/>
      <c r="BP66" s="241"/>
      <c r="BQ66" s="241"/>
      <c r="BR66" s="241"/>
      <c r="BS66" s="241"/>
      <c r="BT66" s="241"/>
      <c r="BU66" s="241"/>
      <c r="BV66" s="241"/>
      <c r="BW66" s="241"/>
      <c r="BX66" s="241"/>
      <c r="BY66" s="241"/>
      <c r="BZ66" s="241"/>
      <c r="CA66" s="241"/>
      <c r="CB66" s="241"/>
      <c r="CC66" s="241"/>
      <c r="CD66" s="241"/>
      <c r="CE66" s="241"/>
      <c r="CF66" s="241"/>
      <c r="CG66" s="241"/>
      <c r="CH66" s="241"/>
      <c r="CI66" s="241"/>
      <c r="CJ66" s="241"/>
      <c r="CK66" s="241"/>
      <c r="CL66" s="241"/>
      <c r="CM66" s="241"/>
      <c r="CN66" s="241"/>
      <c r="CO66" s="241"/>
      <c r="CP66" s="241"/>
      <c r="CQ66" s="241"/>
      <c r="CR66" s="241"/>
      <c r="CS66" s="241"/>
      <c r="CT66" s="241"/>
      <c r="CU66" s="241"/>
      <c r="CV66" s="241"/>
      <c r="CW66" s="241"/>
      <c r="CX66" s="241"/>
      <c r="CY66" s="241"/>
      <c r="CZ66" s="241"/>
      <c r="DA66" s="241"/>
      <c r="DB66" s="241"/>
      <c r="DC66" s="241"/>
      <c r="DD66" s="241"/>
      <c r="DE66" s="241"/>
      <c r="DF66" s="241"/>
      <c r="DG66" s="241"/>
      <c r="DH66" s="241"/>
      <c r="DT66" s="241"/>
      <c r="FB66" s="241"/>
    </row>
    <row r="67" spans="4:158" ht="6" hidden="1" customHeight="1" x14ac:dyDescent="0.25">
      <c r="D67" s="241"/>
      <c r="E67" s="241"/>
      <c r="F67" s="241"/>
      <c r="G67" s="241"/>
      <c r="H67" s="241"/>
      <c r="I67" s="242"/>
      <c r="J67" s="241"/>
      <c r="K67" s="241"/>
      <c r="L67" s="241"/>
      <c r="M67" s="241"/>
      <c r="N67" s="244"/>
      <c r="O67" s="242"/>
      <c r="P67" s="242"/>
      <c r="Q67" s="242"/>
      <c r="R67" s="241"/>
      <c r="S67" s="241"/>
      <c r="T67" s="241"/>
      <c r="U67" s="241"/>
      <c r="V67" s="241"/>
      <c r="W67" s="241"/>
      <c r="X67" s="241"/>
      <c r="Y67" s="241"/>
      <c r="Z67" s="242">
        <v>20939.490000000002</v>
      </c>
      <c r="AA67" s="242"/>
      <c r="AB67" s="241"/>
      <c r="AC67" s="241"/>
      <c r="AD67" s="241"/>
      <c r="AE67" s="241"/>
      <c r="AF67" s="241"/>
      <c r="AG67" s="241"/>
      <c r="AH67" s="241"/>
      <c r="AI67" s="241"/>
      <c r="AJ67" s="274"/>
      <c r="AK67" s="241"/>
      <c r="AL67" s="241"/>
      <c r="AM67" s="241"/>
      <c r="AN67" s="241"/>
      <c r="AO67" s="241"/>
      <c r="AP67" s="241"/>
      <c r="AQ67" s="241"/>
      <c r="AR67" s="241"/>
      <c r="AS67" s="241"/>
      <c r="AT67" s="241"/>
      <c r="AU67" s="241"/>
      <c r="AV67" s="241"/>
      <c r="AW67" s="241"/>
      <c r="AX67" s="241"/>
      <c r="AY67" s="241"/>
      <c r="AZ67" s="241"/>
      <c r="BA67" s="241"/>
      <c r="BB67" s="241"/>
      <c r="BC67" s="241"/>
      <c r="BD67" s="241"/>
      <c r="BE67" s="241"/>
      <c r="BF67" s="241"/>
      <c r="BG67" s="241"/>
      <c r="BH67" s="241"/>
      <c r="BI67" s="241"/>
      <c r="BJ67" s="241"/>
      <c r="BK67" s="241"/>
      <c r="BL67" s="241"/>
      <c r="BM67" s="241"/>
      <c r="BN67" s="241"/>
      <c r="BO67" s="241"/>
      <c r="BP67" s="241"/>
      <c r="BQ67" s="241"/>
      <c r="BR67" s="241"/>
      <c r="BS67" s="241"/>
      <c r="BT67" s="241"/>
      <c r="BU67" s="241"/>
      <c r="BV67" s="241"/>
      <c r="BW67" s="241"/>
      <c r="BX67" s="241"/>
      <c r="BY67" s="241"/>
      <c r="BZ67" s="241"/>
      <c r="CA67" s="241"/>
      <c r="CB67" s="241"/>
      <c r="CC67" s="241"/>
      <c r="CD67" s="241"/>
      <c r="CE67" s="241"/>
      <c r="CF67" s="241"/>
      <c r="CG67" s="241"/>
      <c r="CH67" s="241"/>
      <c r="CI67" s="241"/>
      <c r="CJ67" s="241"/>
      <c r="CK67" s="241"/>
      <c r="CL67" s="241"/>
      <c r="CM67" s="241"/>
      <c r="CN67" s="241"/>
      <c r="CO67" s="241"/>
      <c r="CP67" s="241"/>
      <c r="CQ67" s="241"/>
      <c r="CR67" s="241"/>
      <c r="CS67" s="241"/>
      <c r="CT67" s="241"/>
      <c r="CU67" s="241"/>
      <c r="CV67" s="241"/>
      <c r="CW67" s="241"/>
      <c r="CX67" s="241"/>
      <c r="CY67" s="241"/>
      <c r="CZ67" s="241"/>
      <c r="DA67" s="241"/>
      <c r="DB67" s="241"/>
      <c r="DC67" s="241"/>
      <c r="DD67" s="241"/>
      <c r="DE67" s="241"/>
      <c r="DF67" s="241"/>
      <c r="DG67" s="241"/>
      <c r="DH67" s="241"/>
      <c r="DT67" s="241"/>
      <c r="FB67" s="241"/>
    </row>
    <row r="68" spans="4:158" ht="12.75" hidden="1" customHeight="1" x14ac:dyDescent="0.25">
      <c r="D68" s="241"/>
      <c r="E68" s="430"/>
      <c r="F68" s="431"/>
      <c r="G68" s="431"/>
      <c r="H68" s="431"/>
      <c r="I68" s="431"/>
      <c r="J68" s="431"/>
      <c r="K68" s="431"/>
      <c r="L68" s="431"/>
      <c r="M68" s="431"/>
      <c r="N68" s="431"/>
      <c r="O68" s="431"/>
      <c r="P68" s="431"/>
      <c r="Q68" s="431"/>
      <c r="R68" s="431"/>
      <c r="S68" s="431"/>
      <c r="T68" s="431"/>
      <c r="U68" s="431"/>
      <c r="V68" s="431"/>
      <c r="W68" s="431"/>
      <c r="X68" s="431"/>
      <c r="Y68" s="241"/>
      <c r="Z68" s="242">
        <v>20865.849999999999</v>
      </c>
      <c r="AA68" s="242"/>
      <c r="AB68" s="241"/>
      <c r="AC68" s="241"/>
      <c r="AD68" s="241"/>
      <c r="AE68" s="241"/>
      <c r="AF68" s="241"/>
      <c r="AG68" s="241"/>
      <c r="AH68" s="241"/>
      <c r="AI68" s="241"/>
      <c r="AJ68" s="274"/>
      <c r="AK68" s="241"/>
      <c r="AL68" s="241"/>
      <c r="AM68" s="241"/>
      <c r="AN68" s="241"/>
      <c r="AO68" s="241"/>
      <c r="AP68" s="241"/>
      <c r="AQ68" s="241"/>
      <c r="AR68" s="241"/>
      <c r="AS68" s="241"/>
      <c r="AT68" s="241"/>
      <c r="AU68" s="241"/>
      <c r="AV68" s="241"/>
      <c r="AW68" s="241"/>
      <c r="AX68" s="241"/>
      <c r="AY68" s="241"/>
      <c r="AZ68" s="241"/>
      <c r="BA68" s="241"/>
      <c r="BB68" s="241"/>
      <c r="BC68" s="241"/>
      <c r="BD68" s="241"/>
      <c r="BE68" s="241"/>
      <c r="BF68" s="241"/>
      <c r="BG68" s="241"/>
      <c r="BH68" s="241"/>
      <c r="BI68" s="241"/>
      <c r="BJ68" s="241"/>
      <c r="BK68" s="241"/>
      <c r="BL68" s="241"/>
      <c r="BM68" s="241"/>
      <c r="BN68" s="241"/>
      <c r="BO68" s="241"/>
      <c r="BP68" s="241"/>
      <c r="BQ68" s="241"/>
      <c r="BR68" s="241"/>
      <c r="BS68" s="241"/>
      <c r="BT68" s="241"/>
      <c r="BU68" s="241"/>
      <c r="BV68" s="241"/>
      <c r="BW68" s="241"/>
      <c r="BX68" s="241"/>
      <c r="BY68" s="241"/>
      <c r="BZ68" s="241"/>
      <c r="CA68" s="241"/>
      <c r="CB68" s="241"/>
      <c r="CC68" s="241"/>
      <c r="CD68" s="241"/>
      <c r="CE68" s="241"/>
      <c r="CF68" s="241"/>
      <c r="CG68" s="241"/>
      <c r="CH68" s="241"/>
      <c r="CI68" s="241"/>
      <c r="CJ68" s="241"/>
      <c r="CK68" s="241"/>
      <c r="CL68" s="241"/>
      <c r="CM68" s="241"/>
      <c r="CN68" s="241"/>
      <c r="CO68" s="241"/>
      <c r="CP68" s="241"/>
      <c r="CQ68" s="241"/>
      <c r="CR68" s="241"/>
      <c r="CS68" s="241"/>
      <c r="CT68" s="241"/>
      <c r="CU68" s="241"/>
      <c r="CV68" s="241"/>
      <c r="CW68" s="241"/>
      <c r="CX68" s="241"/>
      <c r="CY68" s="241"/>
      <c r="CZ68" s="241"/>
      <c r="DA68" s="241"/>
      <c r="DB68" s="241"/>
      <c r="DC68" s="241"/>
      <c r="DD68" s="241"/>
      <c r="DE68" s="241"/>
      <c r="DF68" s="241"/>
      <c r="DG68" s="241"/>
      <c r="DH68" s="241"/>
      <c r="DT68" s="241"/>
      <c r="FB68" s="241"/>
    </row>
    <row r="69" spans="4:158" hidden="1" x14ac:dyDescent="0.25">
      <c r="D69" s="241"/>
      <c r="E69" s="431"/>
      <c r="F69" s="431"/>
      <c r="G69" s="431"/>
      <c r="H69" s="431"/>
      <c r="I69" s="431"/>
      <c r="J69" s="431"/>
      <c r="K69" s="431"/>
      <c r="L69" s="431"/>
      <c r="M69" s="431"/>
      <c r="N69" s="431"/>
      <c r="O69" s="431"/>
      <c r="P69" s="431"/>
      <c r="Q69" s="431"/>
      <c r="R69" s="431"/>
      <c r="S69" s="431"/>
      <c r="T69" s="431"/>
      <c r="U69" s="431"/>
      <c r="V69" s="431"/>
      <c r="W69" s="431"/>
      <c r="X69" s="431"/>
      <c r="Y69" s="241"/>
      <c r="Z69" s="242">
        <v>20924.09</v>
      </c>
      <c r="AA69" s="242"/>
      <c r="AB69" s="241"/>
      <c r="AC69" s="241"/>
      <c r="AD69" s="241"/>
      <c r="AE69" s="241"/>
      <c r="AF69" s="241"/>
      <c r="AG69" s="241"/>
      <c r="AH69" s="241"/>
      <c r="AI69" s="241"/>
      <c r="AJ69" s="274"/>
      <c r="AK69" s="241"/>
      <c r="AL69" s="241"/>
      <c r="AM69" s="241"/>
      <c r="AN69" s="241"/>
      <c r="AO69" s="241"/>
      <c r="AP69" s="241"/>
      <c r="AQ69" s="241"/>
      <c r="AR69" s="241"/>
      <c r="AS69" s="241"/>
      <c r="AT69" s="241"/>
      <c r="AU69" s="241"/>
      <c r="AV69" s="241"/>
      <c r="AW69" s="241"/>
      <c r="AX69" s="241"/>
      <c r="AY69" s="241"/>
      <c r="AZ69" s="241"/>
      <c r="BA69" s="241"/>
      <c r="BB69" s="241"/>
      <c r="BC69" s="241"/>
      <c r="BD69" s="241"/>
      <c r="BE69" s="241"/>
      <c r="BF69" s="241"/>
      <c r="BG69" s="241"/>
      <c r="BH69" s="241"/>
      <c r="BI69" s="241"/>
      <c r="BJ69" s="241"/>
      <c r="BK69" s="241"/>
      <c r="BL69" s="241"/>
      <c r="BM69" s="241"/>
      <c r="BN69" s="241"/>
      <c r="BO69" s="241"/>
      <c r="BP69" s="241"/>
      <c r="BQ69" s="241"/>
      <c r="BR69" s="241"/>
      <c r="BS69" s="241"/>
      <c r="BT69" s="241"/>
      <c r="BU69" s="241"/>
      <c r="BV69" s="241"/>
      <c r="BW69" s="241"/>
      <c r="BX69" s="241"/>
      <c r="BY69" s="241"/>
      <c r="BZ69" s="241"/>
      <c r="CA69" s="241"/>
      <c r="CB69" s="241"/>
      <c r="CC69" s="241"/>
      <c r="CD69" s="241"/>
      <c r="CE69" s="241"/>
      <c r="CF69" s="241"/>
      <c r="CG69" s="241"/>
      <c r="CH69" s="241"/>
      <c r="CI69" s="241"/>
      <c r="CJ69" s="241"/>
      <c r="CK69" s="241"/>
      <c r="CL69" s="241"/>
      <c r="CM69" s="241"/>
      <c r="CN69" s="241"/>
      <c r="CO69" s="241"/>
      <c r="CP69" s="241"/>
      <c r="CQ69" s="241"/>
      <c r="CR69" s="241"/>
      <c r="CS69" s="241"/>
      <c r="CT69" s="241"/>
      <c r="CU69" s="241"/>
      <c r="CV69" s="241"/>
      <c r="CW69" s="241"/>
      <c r="CX69" s="241"/>
      <c r="CY69" s="241"/>
      <c r="CZ69" s="241"/>
      <c r="DA69" s="241"/>
      <c r="DB69" s="241"/>
      <c r="DC69" s="241"/>
      <c r="DD69" s="241"/>
      <c r="DE69" s="241"/>
      <c r="DF69" s="241"/>
      <c r="DG69" s="241"/>
      <c r="DH69" s="241"/>
      <c r="DT69" s="241"/>
      <c r="FB69" s="241"/>
    </row>
    <row r="70" spans="4:158" ht="14.25" hidden="1" customHeight="1" x14ac:dyDescent="0.25">
      <c r="D70" s="241"/>
      <c r="E70" s="431"/>
      <c r="F70" s="431"/>
      <c r="G70" s="431"/>
      <c r="H70" s="431"/>
      <c r="I70" s="431"/>
      <c r="J70" s="431"/>
      <c r="K70" s="431"/>
      <c r="L70" s="431"/>
      <c r="M70" s="431"/>
      <c r="N70" s="431"/>
      <c r="O70" s="431"/>
      <c r="P70" s="431"/>
      <c r="Q70" s="431"/>
      <c r="R70" s="431"/>
      <c r="S70" s="431"/>
      <c r="T70" s="431"/>
      <c r="U70" s="431"/>
      <c r="V70" s="431"/>
      <c r="W70" s="431"/>
      <c r="X70" s="431"/>
      <c r="Y70" s="241"/>
      <c r="Z70" s="242">
        <v>21000.55</v>
      </c>
      <c r="AA70" s="242"/>
      <c r="AB70" s="241"/>
      <c r="AC70" s="241"/>
      <c r="AD70" s="241"/>
      <c r="AE70" s="241"/>
      <c r="AF70" s="241"/>
      <c r="AG70" s="241"/>
      <c r="AH70" s="241"/>
      <c r="AI70" s="241"/>
      <c r="AJ70" s="274"/>
      <c r="AK70" s="241"/>
      <c r="AL70" s="241"/>
      <c r="AM70" s="241"/>
      <c r="AN70" s="241"/>
      <c r="AO70" s="241"/>
      <c r="AP70" s="241"/>
      <c r="AQ70" s="241"/>
      <c r="AR70" s="241"/>
      <c r="AS70" s="241"/>
      <c r="AT70" s="241"/>
      <c r="AU70" s="241"/>
      <c r="AV70" s="241"/>
      <c r="AW70" s="241"/>
      <c r="AX70" s="241"/>
      <c r="AY70" s="241"/>
      <c r="AZ70" s="241"/>
      <c r="BA70" s="241"/>
      <c r="BB70" s="241"/>
      <c r="BC70" s="241"/>
      <c r="BD70" s="241"/>
      <c r="BE70" s="241"/>
      <c r="BF70" s="241"/>
      <c r="BG70" s="241"/>
      <c r="BH70" s="241"/>
      <c r="BI70" s="241"/>
      <c r="BJ70" s="241"/>
      <c r="BK70" s="241"/>
      <c r="BL70" s="241"/>
      <c r="BM70" s="241"/>
      <c r="BN70" s="241"/>
      <c r="BO70" s="241"/>
      <c r="BP70" s="241"/>
      <c r="BQ70" s="241"/>
      <c r="BR70" s="241"/>
      <c r="BS70" s="241"/>
      <c r="BT70" s="241"/>
      <c r="BU70" s="241"/>
      <c r="BV70" s="241"/>
      <c r="BW70" s="241"/>
      <c r="BX70" s="241"/>
      <c r="BY70" s="241"/>
      <c r="BZ70" s="241"/>
      <c r="CA70" s="241"/>
      <c r="CB70" s="241"/>
      <c r="CC70" s="241"/>
      <c r="CD70" s="241"/>
      <c r="CE70" s="241"/>
      <c r="CF70" s="241"/>
      <c r="CG70" s="241"/>
      <c r="CH70" s="241"/>
      <c r="CI70" s="241"/>
      <c r="CJ70" s="241"/>
      <c r="CK70" s="241"/>
      <c r="CL70" s="241"/>
      <c r="CM70" s="241"/>
      <c r="CN70" s="241"/>
      <c r="CO70" s="241"/>
      <c r="CP70" s="241"/>
      <c r="CQ70" s="241"/>
      <c r="CR70" s="241"/>
      <c r="CS70" s="241"/>
      <c r="CT70" s="241"/>
      <c r="CU70" s="241"/>
      <c r="CV70" s="241"/>
      <c r="CW70" s="241"/>
      <c r="CX70" s="241"/>
      <c r="CY70" s="241"/>
      <c r="CZ70" s="241"/>
      <c r="DA70" s="241"/>
      <c r="DB70" s="241"/>
      <c r="DC70" s="241"/>
      <c r="DD70" s="241"/>
      <c r="DE70" s="241"/>
      <c r="DF70" s="241"/>
      <c r="DG70" s="241"/>
      <c r="DH70" s="241"/>
      <c r="DT70" s="241"/>
      <c r="FB70" s="241"/>
    </row>
    <row r="71" spans="4:158" hidden="1" x14ac:dyDescent="0.25">
      <c r="D71" s="241"/>
      <c r="E71" s="241"/>
      <c r="F71" s="241"/>
      <c r="G71" s="241"/>
      <c r="H71" s="241"/>
      <c r="I71" s="242"/>
      <c r="J71" s="241"/>
      <c r="K71" s="241"/>
      <c r="L71" s="241"/>
      <c r="M71" s="241"/>
      <c r="N71" s="244"/>
      <c r="O71" s="242"/>
      <c r="P71" s="242"/>
      <c r="Q71" s="242"/>
      <c r="R71" s="241"/>
      <c r="S71" s="241"/>
      <c r="T71" s="241"/>
      <c r="U71" s="241"/>
      <c r="V71" s="241"/>
      <c r="W71" s="241"/>
      <c r="X71" s="241"/>
      <c r="Y71" s="241"/>
      <c r="Z71" s="242">
        <v>21032.2</v>
      </c>
      <c r="AA71" s="242"/>
      <c r="AB71" s="241"/>
      <c r="AC71" s="241"/>
      <c r="AD71" s="241"/>
      <c r="AE71" s="241"/>
      <c r="AF71" s="241"/>
      <c r="AG71" s="241"/>
      <c r="AH71" s="241"/>
      <c r="AI71" s="241"/>
      <c r="AJ71" s="274"/>
      <c r="AK71" s="241"/>
      <c r="AL71" s="241"/>
      <c r="AM71" s="241"/>
      <c r="AN71" s="241"/>
      <c r="AO71" s="241"/>
      <c r="AP71" s="241"/>
      <c r="AQ71" s="241"/>
      <c r="AR71" s="241"/>
      <c r="AS71" s="241"/>
      <c r="AT71" s="241"/>
      <c r="AU71" s="241"/>
      <c r="AV71" s="241"/>
      <c r="AW71" s="241"/>
      <c r="AX71" s="241"/>
      <c r="AY71" s="241"/>
      <c r="AZ71" s="241"/>
      <c r="BA71" s="241"/>
      <c r="BB71" s="241"/>
      <c r="BC71" s="241"/>
      <c r="BD71" s="241"/>
      <c r="BE71" s="241"/>
      <c r="BF71" s="241"/>
      <c r="BG71" s="241"/>
      <c r="BH71" s="241"/>
      <c r="BI71" s="241"/>
      <c r="BJ71" s="241"/>
      <c r="BK71" s="241"/>
      <c r="BL71" s="241"/>
      <c r="BM71" s="241"/>
      <c r="BN71" s="241"/>
      <c r="BO71" s="241"/>
      <c r="BP71" s="241"/>
      <c r="BQ71" s="241"/>
      <c r="BR71" s="241"/>
      <c r="BS71" s="241"/>
      <c r="BT71" s="241"/>
      <c r="BU71" s="241"/>
      <c r="BV71" s="241"/>
      <c r="BW71" s="241"/>
      <c r="BX71" s="241"/>
      <c r="BY71" s="241"/>
      <c r="BZ71" s="241"/>
      <c r="CA71" s="241"/>
      <c r="CB71" s="241"/>
      <c r="CC71" s="241"/>
      <c r="CD71" s="241"/>
      <c r="CE71" s="241"/>
      <c r="CF71" s="241"/>
      <c r="CG71" s="241"/>
      <c r="CH71" s="241"/>
      <c r="CI71" s="241"/>
      <c r="CJ71" s="241"/>
      <c r="CK71" s="241"/>
      <c r="CL71" s="241"/>
      <c r="CM71" s="241"/>
      <c r="CN71" s="241"/>
      <c r="CO71" s="241"/>
      <c r="CP71" s="241"/>
      <c r="CQ71" s="241"/>
      <c r="CR71" s="241"/>
      <c r="CS71" s="241"/>
      <c r="CT71" s="241"/>
      <c r="CU71" s="241"/>
      <c r="CV71" s="241"/>
      <c r="CW71" s="241"/>
      <c r="CX71" s="241"/>
      <c r="CY71" s="241"/>
      <c r="CZ71" s="241"/>
      <c r="DA71" s="241"/>
      <c r="DB71" s="241"/>
      <c r="DC71" s="241"/>
      <c r="DD71" s="241"/>
      <c r="DE71" s="241"/>
      <c r="DF71" s="241"/>
      <c r="DG71" s="241"/>
      <c r="DH71" s="241"/>
      <c r="DT71" s="241"/>
      <c r="FB71" s="241"/>
    </row>
    <row r="72" spans="4:158" hidden="1" x14ac:dyDescent="0.25">
      <c r="D72" s="241"/>
      <c r="E72" s="241"/>
      <c r="F72" s="241"/>
      <c r="G72" s="241"/>
      <c r="H72" s="241"/>
      <c r="I72" s="242"/>
      <c r="J72" s="241"/>
      <c r="K72" s="241"/>
      <c r="L72" s="241"/>
      <c r="M72" s="241"/>
      <c r="N72" s="242"/>
      <c r="O72" s="242"/>
      <c r="P72" s="242"/>
      <c r="Q72" s="242"/>
      <c r="R72" s="241"/>
      <c r="S72" s="241"/>
      <c r="T72" s="241"/>
      <c r="U72" s="241"/>
      <c r="V72" s="241"/>
      <c r="W72" s="241"/>
      <c r="X72" s="241"/>
      <c r="Y72" s="241"/>
      <c r="Z72" s="242">
        <v>21115.8</v>
      </c>
      <c r="AA72" s="242"/>
      <c r="AB72" s="241"/>
      <c r="AC72" s="241"/>
      <c r="AD72" s="241"/>
      <c r="AE72" s="241"/>
      <c r="AF72" s="241"/>
      <c r="AG72" s="241"/>
      <c r="AH72" s="241"/>
      <c r="AI72" s="241"/>
      <c r="AJ72" s="274"/>
      <c r="AK72" s="241"/>
      <c r="AL72" s="241"/>
      <c r="AM72" s="241"/>
      <c r="AN72" s="241"/>
      <c r="AO72" s="241"/>
      <c r="AP72" s="241"/>
      <c r="AQ72" s="241"/>
      <c r="AR72" s="241"/>
      <c r="AS72" s="241"/>
      <c r="AT72" s="241"/>
      <c r="AU72" s="241"/>
      <c r="AV72" s="241"/>
      <c r="AW72" s="241"/>
      <c r="AX72" s="241"/>
      <c r="AY72" s="241"/>
      <c r="AZ72" s="241"/>
      <c r="BA72" s="241"/>
      <c r="BB72" s="241"/>
      <c r="BC72" s="241"/>
      <c r="BD72" s="241"/>
      <c r="BE72" s="241"/>
      <c r="BF72" s="241"/>
      <c r="BG72" s="241"/>
      <c r="BH72" s="241"/>
      <c r="BI72" s="241"/>
      <c r="BJ72" s="241"/>
      <c r="BK72" s="241"/>
      <c r="BL72" s="241"/>
      <c r="BM72" s="241"/>
      <c r="BN72" s="241"/>
      <c r="BO72" s="241"/>
      <c r="BP72" s="241"/>
      <c r="BQ72" s="241"/>
      <c r="BR72" s="241"/>
      <c r="BS72" s="241"/>
      <c r="BT72" s="241"/>
      <c r="BU72" s="241"/>
      <c r="BV72" s="241"/>
      <c r="BW72" s="241"/>
      <c r="BX72" s="241"/>
      <c r="BY72" s="241"/>
      <c r="BZ72" s="241"/>
      <c r="CA72" s="241"/>
      <c r="CB72" s="241"/>
      <c r="CC72" s="241"/>
      <c r="CD72" s="241"/>
      <c r="CE72" s="241"/>
      <c r="CF72" s="241"/>
      <c r="CG72" s="241"/>
      <c r="CH72" s="241"/>
      <c r="CI72" s="241"/>
      <c r="CJ72" s="241"/>
      <c r="CK72" s="241"/>
      <c r="CL72" s="241"/>
      <c r="CM72" s="241"/>
      <c r="CN72" s="241"/>
      <c r="CO72" s="241"/>
      <c r="CP72" s="241"/>
      <c r="CQ72" s="241"/>
      <c r="CR72" s="241"/>
      <c r="CS72" s="241"/>
      <c r="CT72" s="241"/>
      <c r="CU72" s="241"/>
      <c r="CV72" s="241"/>
      <c r="CW72" s="241"/>
      <c r="CX72" s="241"/>
      <c r="CY72" s="241"/>
      <c r="CZ72" s="241"/>
      <c r="DA72" s="241"/>
      <c r="DB72" s="241"/>
      <c r="DC72" s="241"/>
      <c r="DD72" s="241"/>
      <c r="DE72" s="241"/>
      <c r="DF72" s="241"/>
      <c r="DG72" s="241"/>
      <c r="DH72" s="241"/>
      <c r="DT72" s="241"/>
      <c r="FB72" s="241"/>
    </row>
    <row r="73" spans="4:158" hidden="1" x14ac:dyDescent="0.25">
      <c r="D73" s="241"/>
      <c r="E73" s="241"/>
      <c r="F73" s="241"/>
      <c r="G73" s="241"/>
      <c r="H73" s="241"/>
      <c r="I73" s="242"/>
      <c r="J73" s="241"/>
      <c r="K73" s="241"/>
      <c r="L73" s="241"/>
      <c r="M73" s="241"/>
      <c r="N73" s="248"/>
      <c r="O73" s="242"/>
      <c r="P73" s="242"/>
      <c r="Q73" s="242"/>
      <c r="R73" s="241"/>
      <c r="S73" s="241"/>
      <c r="T73" s="241"/>
      <c r="U73" s="241"/>
      <c r="V73" s="241"/>
      <c r="W73" s="241"/>
      <c r="X73" s="241"/>
      <c r="Y73" s="241"/>
      <c r="Z73" s="242">
        <v>21204.99</v>
      </c>
      <c r="AA73" s="242"/>
      <c r="AB73" s="241"/>
      <c r="AC73" s="241"/>
      <c r="AD73" s="241"/>
      <c r="AE73" s="241"/>
      <c r="AF73" s="241"/>
      <c r="AG73" s="241"/>
      <c r="AH73" s="241"/>
      <c r="AI73" s="241"/>
      <c r="AJ73" s="274"/>
      <c r="AK73" s="241"/>
      <c r="AL73" s="241"/>
      <c r="AM73" s="241"/>
      <c r="AN73" s="241"/>
      <c r="AO73" s="241"/>
      <c r="AP73" s="241"/>
      <c r="AQ73" s="241"/>
      <c r="AR73" s="241"/>
      <c r="AS73" s="241"/>
      <c r="AT73" s="241"/>
      <c r="AU73" s="241"/>
      <c r="AV73" s="241"/>
      <c r="AW73" s="241"/>
      <c r="AX73" s="241"/>
      <c r="AY73" s="241"/>
      <c r="AZ73" s="241"/>
      <c r="BA73" s="241"/>
      <c r="BB73" s="241"/>
      <c r="BC73" s="241"/>
      <c r="BD73" s="241"/>
      <c r="BE73" s="241"/>
      <c r="BF73" s="241"/>
      <c r="BG73" s="241"/>
      <c r="BH73" s="241"/>
      <c r="BI73" s="241"/>
      <c r="BJ73" s="241"/>
      <c r="BK73" s="241"/>
      <c r="BL73" s="241"/>
      <c r="BM73" s="241"/>
      <c r="BN73" s="241"/>
      <c r="BO73" s="241"/>
      <c r="BP73" s="241"/>
      <c r="BQ73" s="241"/>
      <c r="BR73" s="241"/>
      <c r="BS73" s="241"/>
      <c r="BT73" s="241"/>
      <c r="BU73" s="241"/>
      <c r="BV73" s="241"/>
      <c r="BW73" s="241"/>
      <c r="BX73" s="241"/>
      <c r="BY73" s="241"/>
      <c r="BZ73" s="241"/>
      <c r="CA73" s="241"/>
      <c r="CB73" s="241"/>
      <c r="CC73" s="241"/>
      <c r="CD73" s="241"/>
      <c r="CE73" s="241"/>
      <c r="CF73" s="241"/>
      <c r="CG73" s="241"/>
      <c r="CH73" s="241"/>
      <c r="CI73" s="241"/>
      <c r="CJ73" s="241"/>
      <c r="CK73" s="241"/>
      <c r="CL73" s="241"/>
      <c r="CM73" s="241"/>
      <c r="CN73" s="241"/>
      <c r="CO73" s="241"/>
      <c r="CP73" s="241"/>
      <c r="CQ73" s="241"/>
      <c r="CR73" s="241"/>
      <c r="CS73" s="241"/>
      <c r="CT73" s="241"/>
      <c r="CU73" s="241"/>
      <c r="CV73" s="241"/>
      <c r="CW73" s="241"/>
      <c r="CX73" s="241"/>
      <c r="CY73" s="241"/>
      <c r="CZ73" s="241"/>
      <c r="DA73" s="241"/>
      <c r="DB73" s="241"/>
      <c r="DC73" s="241"/>
      <c r="DD73" s="241"/>
      <c r="DE73" s="241"/>
      <c r="DF73" s="241"/>
      <c r="DG73" s="241"/>
      <c r="DH73" s="241"/>
      <c r="DT73" s="241"/>
      <c r="FB73" s="241"/>
    </row>
    <row r="74" spans="4:158" hidden="1" x14ac:dyDescent="0.25">
      <c r="D74" s="241"/>
      <c r="E74" s="241"/>
      <c r="F74" s="241"/>
      <c r="G74" s="241"/>
      <c r="H74" s="241"/>
      <c r="I74" s="242"/>
      <c r="J74" s="241"/>
      <c r="K74" s="241"/>
      <c r="L74" s="241"/>
      <c r="M74" s="241"/>
      <c r="N74" s="241"/>
      <c r="O74" s="242"/>
      <c r="P74" s="242"/>
      <c r="Q74" s="242"/>
      <c r="R74" s="241"/>
      <c r="S74" s="241"/>
      <c r="T74" s="241"/>
      <c r="U74" s="241"/>
      <c r="V74" s="241"/>
      <c r="W74" s="241"/>
      <c r="X74" s="241"/>
      <c r="Y74" s="241"/>
      <c r="Z74" s="242">
        <v>21227.57</v>
      </c>
      <c r="AA74" s="242"/>
      <c r="AB74" s="241"/>
      <c r="AC74" s="241"/>
      <c r="AD74" s="241"/>
      <c r="AE74" s="241"/>
      <c r="AF74" s="241"/>
      <c r="AG74" s="241"/>
      <c r="AH74" s="241"/>
      <c r="AI74" s="241"/>
      <c r="AJ74" s="274"/>
      <c r="AK74" s="241"/>
      <c r="AL74" s="241"/>
      <c r="AM74" s="241"/>
      <c r="AN74" s="241"/>
      <c r="AO74" s="241"/>
      <c r="AP74" s="241"/>
      <c r="AQ74" s="241"/>
      <c r="AR74" s="241"/>
      <c r="AS74" s="241"/>
      <c r="AT74" s="241"/>
      <c r="AU74" s="241"/>
      <c r="AV74" s="241"/>
      <c r="AW74" s="241"/>
      <c r="AX74" s="241"/>
      <c r="AY74" s="241"/>
      <c r="AZ74" s="241"/>
      <c r="BA74" s="241"/>
      <c r="BB74" s="241"/>
      <c r="BC74" s="241"/>
      <c r="BD74" s="241"/>
      <c r="BE74" s="241"/>
      <c r="BF74" s="241"/>
      <c r="BG74" s="241"/>
      <c r="BH74" s="241"/>
      <c r="BI74" s="241"/>
      <c r="BJ74" s="241"/>
      <c r="BK74" s="241"/>
      <c r="BL74" s="241"/>
      <c r="BM74" s="241"/>
      <c r="BN74" s="241"/>
      <c r="BO74" s="241"/>
      <c r="BP74" s="241"/>
      <c r="BQ74" s="241"/>
      <c r="BR74" s="241"/>
      <c r="BS74" s="241"/>
      <c r="BT74" s="241"/>
      <c r="BU74" s="241"/>
      <c r="BV74" s="241"/>
      <c r="BW74" s="241"/>
      <c r="BX74" s="241"/>
      <c r="BY74" s="241"/>
      <c r="BZ74" s="241"/>
      <c r="CA74" s="241"/>
      <c r="CB74" s="241"/>
      <c r="CC74" s="241"/>
      <c r="CD74" s="241"/>
      <c r="CE74" s="241"/>
      <c r="CF74" s="241"/>
      <c r="CG74" s="241"/>
      <c r="CH74" s="241"/>
      <c r="CI74" s="241"/>
      <c r="CJ74" s="241"/>
      <c r="CK74" s="241"/>
      <c r="CL74" s="241"/>
      <c r="CM74" s="241"/>
      <c r="CN74" s="241"/>
      <c r="CO74" s="241"/>
      <c r="CP74" s="241"/>
      <c r="CQ74" s="241"/>
      <c r="CR74" s="241"/>
      <c r="CS74" s="241"/>
      <c r="CT74" s="241"/>
      <c r="CU74" s="241"/>
      <c r="CV74" s="241"/>
      <c r="CW74" s="241"/>
      <c r="CX74" s="241"/>
      <c r="CY74" s="241"/>
      <c r="CZ74" s="241"/>
      <c r="DA74" s="241"/>
      <c r="DB74" s="241"/>
      <c r="DC74" s="241"/>
      <c r="DD74" s="241"/>
      <c r="DE74" s="241"/>
      <c r="DF74" s="241"/>
      <c r="DG74" s="241"/>
      <c r="DH74" s="241"/>
      <c r="DT74" s="241"/>
      <c r="FB74" s="241"/>
    </row>
    <row r="75" spans="4:158" hidden="1" x14ac:dyDescent="0.25">
      <c r="D75" s="241"/>
      <c r="E75" s="241"/>
      <c r="F75" s="241"/>
      <c r="G75" s="241"/>
      <c r="H75" s="241"/>
      <c r="I75" s="242"/>
      <c r="J75" s="241"/>
      <c r="K75" s="241"/>
      <c r="L75" s="241"/>
      <c r="M75" s="241"/>
      <c r="N75" s="242"/>
      <c r="O75" s="242"/>
      <c r="P75" s="242"/>
      <c r="Q75" s="242"/>
      <c r="R75" s="241"/>
      <c r="S75" s="241"/>
      <c r="T75" s="241"/>
      <c r="U75" s="241"/>
      <c r="V75" s="241"/>
      <c r="W75" s="241"/>
      <c r="X75" s="241"/>
      <c r="Y75" s="241"/>
      <c r="Z75" s="242"/>
      <c r="AA75" s="242"/>
      <c r="AB75" s="241"/>
      <c r="AC75" s="241"/>
      <c r="AD75" s="241"/>
      <c r="AE75" s="241"/>
      <c r="AF75" s="241"/>
      <c r="AG75" s="241"/>
      <c r="AH75" s="241"/>
      <c r="AI75" s="241"/>
      <c r="AJ75" s="274"/>
      <c r="AK75" s="241"/>
      <c r="AL75" s="241"/>
      <c r="AM75" s="241"/>
      <c r="AN75" s="241"/>
      <c r="AO75" s="241"/>
      <c r="AP75" s="241"/>
      <c r="AQ75" s="241"/>
      <c r="AR75" s="241"/>
      <c r="AS75" s="241"/>
      <c r="AT75" s="241"/>
      <c r="AU75" s="241"/>
      <c r="AV75" s="241"/>
      <c r="AW75" s="241"/>
      <c r="AX75" s="241"/>
      <c r="AY75" s="241"/>
      <c r="AZ75" s="241"/>
      <c r="BA75" s="241"/>
      <c r="BB75" s="241"/>
      <c r="BC75" s="241"/>
      <c r="BD75" s="241"/>
      <c r="BE75" s="241"/>
      <c r="BF75" s="241"/>
      <c r="BG75" s="241"/>
      <c r="BH75" s="241"/>
      <c r="BI75" s="241"/>
      <c r="BJ75" s="241"/>
      <c r="BK75" s="241"/>
      <c r="BL75" s="241"/>
      <c r="BM75" s="241"/>
      <c r="BN75" s="241"/>
      <c r="BO75" s="241"/>
      <c r="BP75" s="241"/>
      <c r="BQ75" s="241"/>
      <c r="BR75" s="241"/>
      <c r="BS75" s="241"/>
      <c r="BT75" s="241"/>
      <c r="BU75" s="241"/>
      <c r="BV75" s="241"/>
      <c r="BW75" s="241"/>
      <c r="BX75" s="241"/>
      <c r="BY75" s="241"/>
      <c r="BZ75" s="241"/>
      <c r="CA75" s="241"/>
      <c r="CB75" s="241"/>
      <c r="CC75" s="241"/>
      <c r="CD75" s="241"/>
      <c r="CE75" s="241"/>
      <c r="CF75" s="241"/>
      <c r="CG75" s="241"/>
      <c r="CH75" s="241"/>
      <c r="CI75" s="241"/>
      <c r="CJ75" s="241"/>
      <c r="CK75" s="241"/>
      <c r="CL75" s="241"/>
      <c r="CM75" s="241"/>
      <c r="CN75" s="241"/>
      <c r="CO75" s="241"/>
      <c r="CP75" s="241"/>
      <c r="CQ75" s="241"/>
      <c r="CR75" s="241"/>
      <c r="CS75" s="241"/>
      <c r="CT75" s="241"/>
      <c r="CU75" s="241"/>
      <c r="CV75" s="241"/>
      <c r="CW75" s="241"/>
      <c r="CX75" s="241"/>
      <c r="CY75" s="241"/>
      <c r="CZ75" s="241"/>
      <c r="DA75" s="241"/>
      <c r="DB75" s="241"/>
      <c r="DC75" s="241"/>
      <c r="DD75" s="241"/>
      <c r="DE75" s="241"/>
      <c r="DF75" s="241"/>
      <c r="DG75" s="241"/>
      <c r="DH75" s="241"/>
      <c r="DT75" s="241"/>
      <c r="FB75" s="241"/>
    </row>
    <row r="76" spans="4:158" hidden="1" x14ac:dyDescent="0.25">
      <c r="D76" s="241"/>
      <c r="E76" s="241"/>
      <c r="F76" s="241"/>
      <c r="G76" s="241"/>
      <c r="H76" s="241"/>
      <c r="I76" s="242"/>
      <c r="J76" s="241"/>
      <c r="K76" s="241"/>
      <c r="L76" s="241"/>
      <c r="M76" s="241"/>
      <c r="N76" s="246"/>
      <c r="O76" s="242"/>
      <c r="P76" s="242"/>
      <c r="Q76" s="242"/>
      <c r="R76" s="241"/>
      <c r="S76" s="241"/>
      <c r="T76" s="241"/>
      <c r="U76" s="241"/>
      <c r="V76" s="241"/>
      <c r="W76" s="241"/>
      <c r="X76" s="241"/>
      <c r="Y76" s="241"/>
      <c r="Z76" s="242"/>
      <c r="AA76" s="242"/>
      <c r="AB76" s="241"/>
      <c r="AC76" s="241"/>
      <c r="AD76" s="241"/>
      <c r="AE76" s="241"/>
      <c r="AF76" s="241"/>
      <c r="AG76" s="241"/>
      <c r="AH76" s="241"/>
      <c r="AI76" s="241"/>
      <c r="AJ76" s="274"/>
      <c r="AK76" s="241"/>
      <c r="AL76" s="241"/>
      <c r="AM76" s="241"/>
      <c r="AN76" s="241"/>
      <c r="AO76" s="241"/>
      <c r="AP76" s="241"/>
      <c r="AQ76" s="241"/>
      <c r="AR76" s="241"/>
      <c r="AS76" s="241"/>
      <c r="AT76" s="241"/>
      <c r="AU76" s="241"/>
      <c r="AV76" s="241"/>
      <c r="AW76" s="241"/>
      <c r="AX76" s="241"/>
      <c r="AY76" s="241"/>
      <c r="AZ76" s="241"/>
      <c r="BA76" s="241"/>
      <c r="BB76" s="241"/>
      <c r="BC76" s="241"/>
      <c r="BD76" s="241"/>
      <c r="BE76" s="241"/>
      <c r="BF76" s="241"/>
      <c r="BG76" s="241"/>
      <c r="BH76" s="241"/>
      <c r="BI76" s="241"/>
      <c r="BJ76" s="241"/>
      <c r="BK76" s="241"/>
      <c r="BL76" s="241"/>
      <c r="BM76" s="241"/>
      <c r="BN76" s="241"/>
      <c r="BO76" s="241"/>
      <c r="BP76" s="241"/>
      <c r="BQ76" s="241"/>
      <c r="BR76" s="241"/>
      <c r="BS76" s="241"/>
      <c r="BT76" s="241"/>
      <c r="BU76" s="241"/>
      <c r="BV76" s="241"/>
      <c r="BW76" s="241"/>
      <c r="BX76" s="241"/>
      <c r="BY76" s="241"/>
      <c r="BZ76" s="241"/>
      <c r="CA76" s="241"/>
      <c r="CB76" s="241"/>
      <c r="CC76" s="241"/>
      <c r="CD76" s="241"/>
      <c r="CE76" s="241"/>
      <c r="CF76" s="241"/>
      <c r="CG76" s="241"/>
      <c r="CH76" s="241"/>
      <c r="CI76" s="241"/>
      <c r="CJ76" s="241"/>
      <c r="CK76" s="241"/>
      <c r="CL76" s="241"/>
      <c r="CM76" s="241"/>
      <c r="CN76" s="241"/>
      <c r="CO76" s="241"/>
      <c r="CP76" s="241"/>
      <c r="CQ76" s="241"/>
      <c r="CR76" s="241"/>
      <c r="CS76" s="241"/>
      <c r="CT76" s="241"/>
      <c r="CU76" s="241"/>
      <c r="CV76" s="241"/>
      <c r="CW76" s="241"/>
      <c r="CX76" s="241"/>
      <c r="CY76" s="241"/>
      <c r="CZ76" s="241"/>
      <c r="DA76" s="241"/>
      <c r="DB76" s="241"/>
      <c r="DC76" s="241"/>
      <c r="DD76" s="241"/>
      <c r="DE76" s="241"/>
      <c r="DF76" s="241"/>
      <c r="DG76" s="241"/>
      <c r="DH76" s="241"/>
      <c r="DT76" s="241"/>
      <c r="FB76" s="241"/>
    </row>
    <row r="77" spans="4:158" hidden="1" x14ac:dyDescent="0.25">
      <c r="D77" s="241"/>
      <c r="E77" s="241"/>
      <c r="F77" s="241"/>
      <c r="G77" s="241"/>
      <c r="H77" s="241"/>
      <c r="I77" s="242"/>
      <c r="J77" s="241"/>
      <c r="K77" s="241"/>
      <c r="L77" s="241"/>
      <c r="M77" s="241"/>
      <c r="N77" s="246"/>
      <c r="O77" s="242"/>
      <c r="P77" s="242"/>
      <c r="Q77" s="242"/>
      <c r="R77" s="241"/>
      <c r="S77" s="241"/>
      <c r="T77" s="241"/>
      <c r="U77" s="241"/>
      <c r="V77" s="241"/>
      <c r="W77" s="241"/>
      <c r="X77" s="241"/>
      <c r="Y77" s="241"/>
      <c r="Z77" s="242"/>
      <c r="AA77" s="242"/>
      <c r="AB77" s="241"/>
      <c r="AC77" s="241"/>
      <c r="AD77" s="241"/>
      <c r="AE77" s="241"/>
      <c r="AF77" s="241"/>
      <c r="AG77" s="241"/>
      <c r="AH77" s="241"/>
      <c r="AI77" s="241"/>
      <c r="AJ77" s="274"/>
      <c r="AK77" s="241"/>
      <c r="AL77" s="241"/>
      <c r="AM77" s="241"/>
      <c r="AN77" s="241"/>
      <c r="AO77" s="241"/>
      <c r="AP77" s="241"/>
      <c r="AQ77" s="241"/>
      <c r="AR77" s="241"/>
      <c r="AS77" s="241"/>
      <c r="AT77" s="241"/>
      <c r="AU77" s="241"/>
      <c r="AV77" s="241"/>
      <c r="AW77" s="241"/>
      <c r="AX77" s="241"/>
      <c r="AY77" s="241"/>
      <c r="AZ77" s="241"/>
      <c r="BA77" s="241"/>
      <c r="BB77" s="241"/>
      <c r="BC77" s="241"/>
      <c r="BD77" s="241"/>
      <c r="BE77" s="241"/>
      <c r="BF77" s="241"/>
      <c r="BG77" s="241"/>
      <c r="BH77" s="241"/>
      <c r="BI77" s="241"/>
      <c r="BJ77" s="241"/>
      <c r="BK77" s="241"/>
      <c r="BL77" s="241"/>
      <c r="BM77" s="241"/>
      <c r="BN77" s="241"/>
      <c r="BO77" s="241"/>
      <c r="BP77" s="241"/>
      <c r="BQ77" s="241"/>
      <c r="BR77" s="241"/>
      <c r="BS77" s="241"/>
      <c r="BT77" s="241"/>
      <c r="BU77" s="241"/>
      <c r="BV77" s="241"/>
      <c r="BW77" s="241"/>
      <c r="BX77" s="241"/>
      <c r="BY77" s="241"/>
      <c r="BZ77" s="241"/>
      <c r="CA77" s="241"/>
      <c r="CB77" s="241"/>
      <c r="CC77" s="241"/>
      <c r="CD77" s="241"/>
      <c r="CE77" s="241"/>
      <c r="CF77" s="241"/>
      <c r="CG77" s="241"/>
      <c r="CH77" s="241"/>
      <c r="CI77" s="241"/>
      <c r="CJ77" s="241"/>
      <c r="CK77" s="241"/>
      <c r="CL77" s="241"/>
      <c r="CM77" s="241"/>
      <c r="CN77" s="241"/>
      <c r="CO77" s="241"/>
      <c r="CP77" s="241"/>
      <c r="CQ77" s="241"/>
      <c r="CR77" s="241"/>
      <c r="CS77" s="241"/>
      <c r="CT77" s="241"/>
      <c r="CU77" s="241"/>
      <c r="CV77" s="241"/>
      <c r="CW77" s="241"/>
      <c r="CX77" s="241"/>
      <c r="CY77" s="241"/>
      <c r="CZ77" s="241"/>
      <c r="DA77" s="241"/>
      <c r="DB77" s="241"/>
      <c r="DC77" s="241"/>
      <c r="DD77" s="241"/>
      <c r="DE77" s="241"/>
      <c r="DF77" s="241"/>
      <c r="DG77" s="241"/>
      <c r="DH77" s="241"/>
      <c r="DT77" s="241"/>
      <c r="FB77" s="241"/>
    </row>
    <row r="78" spans="4:158" hidden="1" x14ac:dyDescent="0.25">
      <c r="D78" s="241"/>
      <c r="E78" s="241"/>
      <c r="F78" s="241"/>
      <c r="G78" s="241"/>
      <c r="H78" s="241"/>
      <c r="I78" s="242"/>
      <c r="J78" s="241"/>
      <c r="K78" s="241"/>
      <c r="L78" s="241"/>
      <c r="M78" s="241"/>
      <c r="N78" s="279"/>
      <c r="O78" s="242"/>
      <c r="P78" s="242"/>
      <c r="Q78" s="242"/>
      <c r="R78" s="241"/>
      <c r="S78" s="241"/>
      <c r="T78" s="241"/>
      <c r="U78" s="241"/>
      <c r="V78" s="241"/>
      <c r="W78" s="241"/>
      <c r="X78" s="241"/>
      <c r="Y78" s="241"/>
      <c r="Z78" s="242"/>
      <c r="AA78" s="242"/>
      <c r="AB78" s="241"/>
      <c r="AC78" s="241"/>
      <c r="AD78" s="241"/>
      <c r="AE78" s="241"/>
      <c r="AF78" s="241"/>
      <c r="AG78" s="241"/>
      <c r="AH78" s="241"/>
      <c r="AI78" s="241"/>
      <c r="AJ78" s="274"/>
      <c r="AK78" s="241"/>
      <c r="AL78" s="241"/>
      <c r="AM78" s="241"/>
      <c r="AN78" s="241"/>
      <c r="AO78" s="241"/>
      <c r="AP78" s="241"/>
      <c r="AQ78" s="241"/>
      <c r="AR78" s="241"/>
      <c r="AS78" s="241"/>
      <c r="AT78" s="241"/>
      <c r="AU78" s="241"/>
      <c r="AV78" s="241"/>
      <c r="AW78" s="241"/>
      <c r="AX78" s="241"/>
      <c r="AY78" s="241"/>
      <c r="AZ78" s="241"/>
      <c r="BA78" s="241"/>
      <c r="BB78" s="241"/>
      <c r="BC78" s="241"/>
      <c r="BD78" s="241"/>
      <c r="BE78" s="241"/>
      <c r="BF78" s="241"/>
      <c r="BG78" s="241"/>
      <c r="BH78" s="241"/>
      <c r="BI78" s="241"/>
      <c r="BJ78" s="241"/>
      <c r="BK78" s="241"/>
      <c r="BL78" s="241"/>
      <c r="BM78" s="241"/>
      <c r="BN78" s="241"/>
      <c r="BO78" s="241"/>
      <c r="BP78" s="241"/>
      <c r="BQ78" s="241"/>
      <c r="BR78" s="241"/>
      <c r="BS78" s="241"/>
      <c r="BT78" s="241"/>
      <c r="BU78" s="241"/>
      <c r="BV78" s="241"/>
      <c r="BW78" s="241"/>
      <c r="BX78" s="241"/>
      <c r="BY78" s="241"/>
      <c r="BZ78" s="241"/>
      <c r="CA78" s="241"/>
      <c r="CB78" s="241"/>
      <c r="CC78" s="241"/>
      <c r="CD78" s="241"/>
      <c r="CE78" s="241"/>
      <c r="CF78" s="241"/>
      <c r="CG78" s="241"/>
      <c r="CH78" s="241"/>
      <c r="CI78" s="241"/>
      <c r="CJ78" s="241"/>
      <c r="CK78" s="241"/>
      <c r="CL78" s="241"/>
      <c r="CM78" s="241"/>
      <c r="CN78" s="241"/>
      <c r="CO78" s="241"/>
      <c r="CP78" s="241"/>
      <c r="CQ78" s="241"/>
      <c r="CR78" s="241"/>
      <c r="CS78" s="241"/>
      <c r="CT78" s="241"/>
      <c r="CU78" s="241"/>
      <c r="CV78" s="241"/>
      <c r="CW78" s="241"/>
      <c r="CX78" s="241"/>
      <c r="CY78" s="241"/>
      <c r="CZ78" s="241"/>
      <c r="DA78" s="241"/>
      <c r="DB78" s="241"/>
      <c r="DC78" s="241"/>
      <c r="DD78" s="241"/>
      <c r="DE78" s="241"/>
      <c r="DF78" s="241"/>
      <c r="DG78" s="241"/>
      <c r="DH78" s="241"/>
      <c r="DT78" s="241"/>
      <c r="FB78" s="241"/>
    </row>
    <row r="79" spans="4:158" hidden="1" x14ac:dyDescent="0.25">
      <c r="D79" s="241"/>
      <c r="E79" s="403" t="s">
        <v>112</v>
      </c>
      <c r="F79" s="404"/>
      <c r="G79" s="404"/>
      <c r="H79" s="404"/>
      <c r="I79" s="404"/>
      <c r="J79" s="405"/>
      <c r="K79" s="242"/>
      <c r="L79" s="242"/>
      <c r="M79" s="280" t="e">
        <f>J138-#REF!-J272-J34</f>
        <v>#REF!</v>
      </c>
      <c r="N79" s="242"/>
      <c r="O79" s="242"/>
      <c r="P79" s="242"/>
      <c r="Q79" s="242"/>
      <c r="R79" s="241"/>
      <c r="S79" s="241"/>
      <c r="T79" s="241"/>
      <c r="U79" s="241"/>
      <c r="V79" s="241"/>
      <c r="W79" s="241"/>
      <c r="X79" s="241"/>
      <c r="Y79" s="241"/>
      <c r="Z79" s="242"/>
      <c r="AA79" s="242"/>
      <c r="AB79" s="241"/>
      <c r="AC79" s="241"/>
      <c r="AD79" s="241"/>
      <c r="AE79" s="241"/>
      <c r="AF79" s="241"/>
      <c r="AG79" s="241"/>
      <c r="AH79" s="241"/>
      <c r="AI79" s="241"/>
      <c r="AJ79" s="274"/>
      <c r="AK79" s="241"/>
      <c r="AL79" s="241"/>
      <c r="AM79" s="241"/>
      <c r="AN79" s="241"/>
      <c r="AO79" s="241"/>
      <c r="AP79" s="241"/>
      <c r="AQ79" s="241"/>
      <c r="AR79" s="241"/>
      <c r="AS79" s="241"/>
      <c r="AT79" s="241"/>
      <c r="AU79" s="241"/>
      <c r="AV79" s="241"/>
      <c r="AW79" s="241"/>
      <c r="AX79" s="241"/>
      <c r="AY79" s="241"/>
      <c r="AZ79" s="241"/>
      <c r="BA79" s="241"/>
      <c r="BB79" s="241"/>
      <c r="BC79" s="241"/>
      <c r="BD79" s="241"/>
      <c r="BE79" s="241"/>
      <c r="BF79" s="241"/>
      <c r="BG79" s="241"/>
      <c r="BH79" s="241"/>
      <c r="BI79" s="241"/>
      <c r="BJ79" s="241"/>
      <c r="BK79" s="241"/>
      <c r="BL79" s="241"/>
      <c r="BM79" s="241"/>
      <c r="BN79" s="241"/>
      <c r="BO79" s="241"/>
      <c r="BP79" s="241"/>
      <c r="BQ79" s="241"/>
      <c r="BR79" s="241"/>
      <c r="BS79" s="241"/>
      <c r="BT79" s="241"/>
      <c r="BU79" s="241"/>
      <c r="BV79" s="241"/>
      <c r="BW79" s="241"/>
      <c r="BX79" s="241"/>
      <c r="BY79" s="241"/>
      <c r="BZ79" s="241"/>
      <c r="CA79" s="241"/>
      <c r="CB79" s="241"/>
      <c r="CC79" s="241"/>
      <c r="CD79" s="241"/>
      <c r="CE79" s="241"/>
      <c r="CF79" s="241"/>
      <c r="CG79" s="241"/>
      <c r="CH79" s="241"/>
      <c r="CI79" s="241"/>
      <c r="CJ79" s="241"/>
      <c r="CK79" s="241"/>
      <c r="CL79" s="241"/>
      <c r="CM79" s="241"/>
      <c r="CN79" s="241"/>
      <c r="CO79" s="241"/>
      <c r="CP79" s="241"/>
      <c r="CQ79" s="241"/>
      <c r="CR79" s="241"/>
      <c r="CS79" s="241"/>
      <c r="CT79" s="241"/>
      <c r="CU79" s="241"/>
      <c r="CV79" s="241"/>
      <c r="CW79" s="241"/>
      <c r="CX79" s="241"/>
      <c r="CY79" s="241"/>
      <c r="CZ79" s="241"/>
      <c r="DA79" s="241"/>
      <c r="DB79" s="241"/>
      <c r="DC79" s="241"/>
      <c r="DD79" s="241"/>
      <c r="DE79" s="241"/>
      <c r="DF79" s="241"/>
      <c r="DG79" s="241"/>
      <c r="DH79" s="241"/>
      <c r="DT79" s="241"/>
      <c r="FB79" s="241"/>
    </row>
    <row r="80" spans="4:158" hidden="1" x14ac:dyDescent="0.25">
      <c r="D80" s="241"/>
      <c r="E80" s="403" t="s">
        <v>113</v>
      </c>
      <c r="F80" s="404"/>
      <c r="G80" s="404"/>
      <c r="H80" s="404"/>
      <c r="I80" s="404"/>
      <c r="J80" s="405"/>
      <c r="K80" s="242"/>
      <c r="L80" s="242"/>
      <c r="M80" s="280">
        <f>Hoja15!R78</f>
        <v>0</v>
      </c>
      <c r="N80" s="242"/>
      <c r="O80" s="242"/>
      <c r="P80" s="242"/>
      <c r="Q80" s="242"/>
      <c r="R80" s="241"/>
      <c r="S80" s="241"/>
      <c r="T80" s="241"/>
      <c r="U80" s="241"/>
      <c r="V80" s="241"/>
      <c r="W80" s="241"/>
      <c r="X80" s="241"/>
      <c r="Y80" s="241"/>
      <c r="Z80" s="242"/>
      <c r="AA80" s="242"/>
      <c r="AB80" s="241"/>
      <c r="AC80" s="241"/>
      <c r="AD80" s="241"/>
      <c r="AE80" s="241"/>
      <c r="AF80" s="241"/>
      <c r="AG80" s="241"/>
      <c r="AH80" s="241"/>
      <c r="AI80" s="241"/>
      <c r="AJ80" s="274"/>
      <c r="AK80" s="241"/>
      <c r="AL80" s="241"/>
      <c r="AM80" s="241"/>
      <c r="AN80" s="241"/>
      <c r="AO80" s="241"/>
      <c r="AP80" s="241"/>
      <c r="AQ80" s="241"/>
      <c r="AR80" s="241"/>
      <c r="AS80" s="241"/>
      <c r="AT80" s="241"/>
      <c r="AU80" s="241"/>
      <c r="AV80" s="241"/>
      <c r="AW80" s="241"/>
      <c r="AX80" s="241"/>
      <c r="AY80" s="241"/>
      <c r="AZ80" s="241"/>
      <c r="BA80" s="241"/>
      <c r="BB80" s="241"/>
      <c r="BC80" s="241"/>
      <c r="BD80" s="241"/>
      <c r="BE80" s="241"/>
      <c r="BF80" s="241"/>
      <c r="BG80" s="241"/>
      <c r="BH80" s="241"/>
      <c r="BI80" s="241"/>
      <c r="BJ80" s="241"/>
      <c r="BK80" s="241"/>
      <c r="BL80" s="241"/>
      <c r="BM80" s="241"/>
      <c r="BN80" s="241"/>
      <c r="BO80" s="241"/>
      <c r="BP80" s="241"/>
      <c r="BQ80" s="241"/>
      <c r="BR80" s="241"/>
      <c r="BS80" s="241"/>
      <c r="BT80" s="241"/>
      <c r="BU80" s="241"/>
      <c r="BV80" s="241"/>
      <c r="BW80" s="241"/>
      <c r="BX80" s="241"/>
      <c r="BY80" s="241"/>
      <c r="BZ80" s="241"/>
      <c r="CA80" s="241"/>
      <c r="CB80" s="241"/>
      <c r="CC80" s="241"/>
      <c r="CD80" s="241"/>
      <c r="CE80" s="241"/>
      <c r="CF80" s="241"/>
      <c r="CG80" s="241"/>
      <c r="CH80" s="241"/>
      <c r="CI80" s="241"/>
      <c r="CJ80" s="241"/>
      <c r="CK80" s="241"/>
      <c r="CL80" s="241"/>
      <c r="CM80" s="241"/>
      <c r="CN80" s="241"/>
      <c r="CO80" s="241"/>
      <c r="CP80" s="241"/>
      <c r="CQ80" s="241"/>
      <c r="CR80" s="241"/>
      <c r="CS80" s="241"/>
      <c r="CT80" s="241"/>
      <c r="CU80" s="241"/>
      <c r="CV80" s="241"/>
      <c r="CW80" s="241"/>
      <c r="CX80" s="241"/>
      <c r="CY80" s="241"/>
      <c r="CZ80" s="241"/>
      <c r="DA80" s="241"/>
      <c r="DB80" s="241"/>
      <c r="DC80" s="241"/>
      <c r="DD80" s="241"/>
      <c r="DE80" s="241"/>
      <c r="DF80" s="241"/>
      <c r="DG80" s="241"/>
      <c r="DH80" s="241"/>
      <c r="DT80" s="241"/>
      <c r="FB80" s="241"/>
    </row>
    <row r="81" spans="4:158" hidden="1" x14ac:dyDescent="0.25">
      <c r="D81" s="241"/>
      <c r="E81" s="436" t="s">
        <v>114</v>
      </c>
      <c r="F81" s="432"/>
      <c r="G81" s="432"/>
      <c r="H81" s="432"/>
      <c r="I81" s="432"/>
      <c r="J81" s="432"/>
      <c r="K81" s="242"/>
      <c r="L81" s="290"/>
      <c r="M81" s="291">
        <f>J140-M80+W3</f>
        <v>0</v>
      </c>
      <c r="N81" s="242"/>
      <c r="O81" s="242"/>
      <c r="P81" s="242"/>
      <c r="Q81" s="242"/>
      <c r="R81" s="241"/>
      <c r="S81" s="241"/>
      <c r="T81" s="241"/>
      <c r="U81" s="241"/>
      <c r="V81" s="241"/>
      <c r="W81" s="241"/>
      <c r="X81" s="241"/>
      <c r="Y81" s="241"/>
      <c r="Z81" s="242"/>
      <c r="AA81" s="242"/>
      <c r="AB81" s="241"/>
      <c r="AC81" s="241"/>
      <c r="AD81" s="241"/>
      <c r="AE81" s="241"/>
      <c r="AF81" s="241"/>
      <c r="AG81" s="241"/>
      <c r="AH81" s="241"/>
      <c r="AI81" s="241"/>
      <c r="AJ81" s="274"/>
      <c r="AK81" s="241"/>
      <c r="AL81" s="241"/>
      <c r="AM81" s="241"/>
      <c r="AN81" s="241"/>
      <c r="AO81" s="241"/>
      <c r="AP81" s="241"/>
      <c r="AQ81" s="241"/>
      <c r="AR81" s="241"/>
      <c r="AS81" s="241"/>
      <c r="AT81" s="241"/>
      <c r="AU81" s="241"/>
      <c r="AV81" s="241"/>
      <c r="AW81" s="241"/>
      <c r="AX81" s="241"/>
      <c r="AY81" s="241"/>
      <c r="AZ81" s="241"/>
      <c r="BA81" s="241"/>
      <c r="BB81" s="241"/>
      <c r="BC81" s="241"/>
      <c r="BD81" s="241"/>
      <c r="BE81" s="241"/>
      <c r="BF81" s="241"/>
      <c r="BG81" s="241"/>
      <c r="BH81" s="241"/>
      <c r="BI81" s="241"/>
      <c r="BJ81" s="241"/>
      <c r="BK81" s="241"/>
      <c r="BL81" s="241"/>
      <c r="BM81" s="241"/>
      <c r="BN81" s="241"/>
      <c r="BO81" s="241"/>
      <c r="BP81" s="241"/>
      <c r="BQ81" s="241"/>
      <c r="BR81" s="241"/>
      <c r="BS81" s="241"/>
      <c r="BT81" s="241"/>
      <c r="BU81" s="241"/>
      <c r="BV81" s="241"/>
      <c r="BW81" s="241"/>
      <c r="BX81" s="241"/>
      <c r="BY81" s="241"/>
      <c r="BZ81" s="241"/>
      <c r="CA81" s="241"/>
      <c r="CB81" s="241"/>
      <c r="CC81" s="241"/>
      <c r="CD81" s="241"/>
      <c r="CE81" s="241"/>
      <c r="CF81" s="241"/>
      <c r="CG81" s="241"/>
      <c r="CH81" s="241"/>
      <c r="CI81" s="241"/>
      <c r="CJ81" s="241"/>
      <c r="CK81" s="241"/>
      <c r="CL81" s="241"/>
      <c r="CM81" s="241"/>
      <c r="CN81" s="241"/>
      <c r="CO81" s="241"/>
      <c r="CP81" s="241"/>
      <c r="CQ81" s="241"/>
      <c r="CR81" s="241"/>
      <c r="CS81" s="241"/>
      <c r="CT81" s="241"/>
      <c r="CU81" s="241"/>
      <c r="CV81" s="241"/>
      <c r="CW81" s="241"/>
      <c r="CX81" s="241"/>
      <c r="CY81" s="241"/>
      <c r="CZ81" s="241"/>
      <c r="DA81" s="241"/>
      <c r="DB81" s="241"/>
      <c r="DC81" s="241"/>
      <c r="DD81" s="241"/>
      <c r="DE81" s="241"/>
      <c r="DF81" s="241"/>
      <c r="DG81" s="241"/>
      <c r="DH81" s="241"/>
      <c r="DT81" s="241"/>
      <c r="FB81" s="241"/>
    </row>
    <row r="82" spans="4:158" hidden="1" x14ac:dyDescent="0.25">
      <c r="D82" s="241"/>
      <c r="E82" s="372"/>
      <c r="F82" s="372"/>
      <c r="G82" s="372"/>
      <c r="H82" s="372"/>
      <c r="I82" s="371"/>
      <c r="J82" s="372"/>
      <c r="K82" s="372"/>
      <c r="L82" s="372"/>
      <c r="M82" s="372"/>
      <c r="N82" s="371"/>
      <c r="O82" s="242"/>
      <c r="P82" s="242"/>
      <c r="Q82" s="242"/>
      <c r="R82" s="241"/>
      <c r="S82" s="241"/>
      <c r="T82" s="241"/>
      <c r="U82" s="241"/>
      <c r="V82" s="241"/>
      <c r="W82" s="241"/>
      <c r="X82" s="241"/>
      <c r="Y82" s="241"/>
      <c r="Z82" s="242"/>
      <c r="AA82" s="242"/>
      <c r="AB82" s="241"/>
      <c r="AC82" s="241"/>
      <c r="AD82" s="241"/>
      <c r="AE82" s="241"/>
      <c r="AF82" s="241"/>
      <c r="AG82" s="241"/>
      <c r="AH82" s="241"/>
      <c r="AI82" s="241"/>
      <c r="AJ82" s="274"/>
      <c r="AK82" s="241"/>
      <c r="AL82" s="241"/>
      <c r="AM82" s="241"/>
      <c r="AN82" s="241"/>
      <c r="AO82" s="241"/>
      <c r="AP82" s="241"/>
      <c r="AQ82" s="241"/>
      <c r="AR82" s="241"/>
      <c r="AS82" s="241"/>
      <c r="AT82" s="241"/>
      <c r="AU82" s="241"/>
      <c r="AV82" s="241"/>
      <c r="AW82" s="241"/>
      <c r="AX82" s="241"/>
      <c r="AY82" s="241"/>
      <c r="AZ82" s="241"/>
      <c r="BA82" s="241"/>
      <c r="BB82" s="241"/>
      <c r="BC82" s="241"/>
      <c r="BD82" s="241"/>
      <c r="BE82" s="241"/>
      <c r="BF82" s="241"/>
      <c r="BG82" s="241"/>
      <c r="BH82" s="241"/>
      <c r="BI82" s="241"/>
      <c r="BJ82" s="241"/>
      <c r="BK82" s="241"/>
      <c r="BL82" s="241"/>
      <c r="BM82" s="241"/>
      <c r="BN82" s="241"/>
      <c r="BO82" s="241"/>
      <c r="BP82" s="241"/>
      <c r="BQ82" s="241"/>
      <c r="BR82" s="241"/>
      <c r="BS82" s="241"/>
      <c r="BT82" s="241"/>
      <c r="BU82" s="241"/>
      <c r="BV82" s="241"/>
      <c r="BW82" s="241"/>
      <c r="BX82" s="241"/>
      <c r="BY82" s="241"/>
      <c r="BZ82" s="241"/>
      <c r="CA82" s="241"/>
      <c r="CB82" s="241"/>
      <c r="CC82" s="241"/>
      <c r="CD82" s="241"/>
      <c r="CE82" s="241"/>
      <c r="CF82" s="241"/>
      <c r="CG82" s="241"/>
      <c r="CH82" s="241"/>
      <c r="CI82" s="241"/>
      <c r="CJ82" s="241"/>
      <c r="CK82" s="241"/>
      <c r="CL82" s="241"/>
      <c r="CM82" s="241"/>
      <c r="CN82" s="241"/>
      <c r="CO82" s="241"/>
      <c r="CP82" s="241"/>
      <c r="CQ82" s="241"/>
      <c r="CR82" s="241"/>
      <c r="CS82" s="241"/>
      <c r="CT82" s="241"/>
      <c r="CU82" s="241"/>
      <c r="CV82" s="241"/>
      <c r="CW82" s="241"/>
      <c r="CX82" s="241"/>
      <c r="CY82" s="241"/>
      <c r="CZ82" s="241"/>
      <c r="DA82" s="241"/>
      <c r="DB82" s="241"/>
      <c r="DC82" s="241"/>
      <c r="DD82" s="241"/>
      <c r="DE82" s="241"/>
      <c r="DF82" s="241"/>
      <c r="DG82" s="241"/>
      <c r="DH82" s="241"/>
      <c r="DT82" s="241"/>
      <c r="FB82" s="241"/>
    </row>
    <row r="83" spans="4:158" hidden="1" x14ac:dyDescent="0.25">
      <c r="D83" s="241"/>
      <c r="E83" s="425" t="s">
        <v>115</v>
      </c>
      <c r="F83" s="426"/>
      <c r="G83" s="426"/>
      <c r="H83" s="426"/>
      <c r="I83" s="426"/>
      <c r="J83" s="427"/>
      <c r="K83" s="371"/>
      <c r="L83" s="371"/>
      <c r="M83" s="373">
        <f>N26+R26+V26+Hoja14!R30</f>
        <v>100002956.89761999</v>
      </c>
      <c r="N83" s="371"/>
      <c r="O83" s="242"/>
      <c r="P83" s="242"/>
      <c r="Q83" s="242"/>
      <c r="R83" s="241"/>
      <c r="S83" s="241"/>
      <c r="T83" s="241"/>
      <c r="U83" s="241"/>
      <c r="V83" s="241"/>
      <c r="W83" s="241"/>
      <c r="X83" s="241"/>
      <c r="Y83" s="241"/>
      <c r="Z83" s="242"/>
      <c r="AA83" s="242"/>
      <c r="AB83" s="241"/>
      <c r="AC83" s="241"/>
      <c r="AD83" s="241"/>
      <c r="AE83" s="241"/>
      <c r="AF83" s="241"/>
      <c r="AG83" s="241"/>
      <c r="AH83" s="241"/>
      <c r="AI83" s="241"/>
      <c r="AJ83" s="274"/>
      <c r="AK83" s="241"/>
      <c r="AL83" s="241"/>
      <c r="AM83" s="241"/>
      <c r="AN83" s="241"/>
      <c r="AO83" s="241"/>
      <c r="AP83" s="241"/>
      <c r="AQ83" s="241"/>
      <c r="AR83" s="241"/>
      <c r="AS83" s="241"/>
      <c r="AT83" s="241"/>
      <c r="AU83" s="241"/>
      <c r="AV83" s="241"/>
      <c r="AW83" s="241"/>
      <c r="AX83" s="241"/>
      <c r="AY83" s="241"/>
      <c r="AZ83" s="241"/>
      <c r="BA83" s="241"/>
      <c r="BB83" s="241"/>
      <c r="BC83" s="241"/>
      <c r="BD83" s="241"/>
      <c r="BE83" s="241"/>
      <c r="BF83" s="241"/>
      <c r="BG83" s="241"/>
      <c r="BH83" s="241"/>
      <c r="BI83" s="241"/>
      <c r="BJ83" s="241"/>
      <c r="BK83" s="241"/>
      <c r="BL83" s="241"/>
      <c r="BM83" s="241"/>
      <c r="BN83" s="241"/>
      <c r="BO83" s="241"/>
      <c r="BP83" s="241"/>
      <c r="BQ83" s="241"/>
      <c r="BR83" s="241"/>
      <c r="BS83" s="241"/>
      <c r="BT83" s="241"/>
      <c r="BU83" s="241"/>
      <c r="BV83" s="241"/>
      <c r="BW83" s="241"/>
      <c r="BX83" s="241"/>
      <c r="BY83" s="241"/>
      <c r="BZ83" s="241"/>
      <c r="CA83" s="241"/>
      <c r="CB83" s="241"/>
      <c r="CC83" s="241"/>
      <c r="CD83" s="241"/>
      <c r="CE83" s="241"/>
      <c r="CF83" s="241"/>
      <c r="CG83" s="241"/>
      <c r="CH83" s="241"/>
      <c r="CI83" s="241"/>
      <c r="CJ83" s="241"/>
      <c r="CK83" s="241"/>
      <c r="CL83" s="241"/>
      <c r="CM83" s="241"/>
      <c r="CN83" s="241"/>
      <c r="CO83" s="241"/>
      <c r="CP83" s="241"/>
      <c r="CQ83" s="241"/>
      <c r="CR83" s="241"/>
      <c r="CS83" s="241"/>
      <c r="CT83" s="241"/>
      <c r="CU83" s="241"/>
      <c r="CV83" s="241"/>
      <c r="CW83" s="241"/>
      <c r="CX83" s="241"/>
      <c r="CY83" s="241"/>
      <c r="CZ83" s="241"/>
      <c r="DA83" s="241"/>
      <c r="DB83" s="241"/>
      <c r="DC83" s="241"/>
      <c r="DD83" s="241"/>
      <c r="DE83" s="241"/>
      <c r="DF83" s="241"/>
      <c r="DG83" s="241"/>
      <c r="DH83" s="241"/>
      <c r="DT83" s="241"/>
      <c r="FB83" s="241"/>
    </row>
    <row r="84" spans="4:158" hidden="1" x14ac:dyDescent="0.25">
      <c r="D84" s="241"/>
      <c r="E84" s="425" t="s">
        <v>116</v>
      </c>
      <c r="F84" s="426"/>
      <c r="G84" s="426"/>
      <c r="H84" s="426"/>
      <c r="I84" s="426"/>
      <c r="J84" s="427"/>
      <c r="K84" s="371"/>
      <c r="L84" s="371"/>
      <c r="M84" s="373">
        <f>P26+X26+T26</f>
        <v>13702706.461442402</v>
      </c>
      <c r="N84" s="371"/>
      <c r="O84" s="242"/>
      <c r="P84" s="242"/>
      <c r="Q84" s="242"/>
      <c r="R84" s="241"/>
      <c r="S84" s="241"/>
      <c r="T84" s="241"/>
      <c r="U84" s="241"/>
      <c r="V84" s="241"/>
      <c r="W84" s="241"/>
      <c r="X84" s="241"/>
      <c r="Y84" s="241"/>
      <c r="Z84" s="242"/>
      <c r="AA84" s="242"/>
      <c r="AB84" s="241"/>
      <c r="AC84" s="241"/>
      <c r="AD84" s="241"/>
      <c r="AE84" s="241"/>
      <c r="AF84" s="241"/>
      <c r="AG84" s="241"/>
      <c r="AH84" s="241"/>
      <c r="AI84" s="241"/>
      <c r="AJ84" s="274"/>
      <c r="AK84" s="241"/>
      <c r="AL84" s="241"/>
      <c r="AM84" s="241"/>
      <c r="AN84" s="241"/>
      <c r="AO84" s="241"/>
      <c r="AP84" s="241"/>
      <c r="AQ84" s="241"/>
      <c r="AR84" s="241"/>
      <c r="AS84" s="241"/>
      <c r="AT84" s="241"/>
      <c r="AU84" s="241"/>
      <c r="AV84" s="241"/>
      <c r="AW84" s="241"/>
      <c r="AX84" s="241"/>
      <c r="AY84" s="241"/>
      <c r="AZ84" s="241"/>
      <c r="BA84" s="241"/>
      <c r="BB84" s="241"/>
      <c r="BC84" s="241"/>
      <c r="BD84" s="241"/>
      <c r="BE84" s="241"/>
      <c r="BF84" s="241"/>
      <c r="BG84" s="241"/>
      <c r="BH84" s="241"/>
      <c r="BI84" s="241"/>
      <c r="BJ84" s="241"/>
      <c r="BK84" s="241"/>
      <c r="BL84" s="241"/>
      <c r="BM84" s="241"/>
      <c r="BN84" s="241"/>
      <c r="BO84" s="241"/>
      <c r="BP84" s="241"/>
      <c r="BQ84" s="241"/>
      <c r="BR84" s="241"/>
      <c r="BS84" s="241"/>
      <c r="BT84" s="241"/>
      <c r="BU84" s="241"/>
      <c r="BV84" s="241"/>
      <c r="BW84" s="241"/>
      <c r="BX84" s="241"/>
      <c r="BY84" s="241"/>
      <c r="BZ84" s="241"/>
      <c r="CA84" s="241"/>
      <c r="CB84" s="241"/>
      <c r="CC84" s="241"/>
      <c r="CD84" s="241"/>
      <c r="CE84" s="241"/>
      <c r="CF84" s="241"/>
      <c r="CG84" s="241"/>
      <c r="CH84" s="241"/>
      <c r="CI84" s="241"/>
      <c r="CJ84" s="241"/>
      <c r="CK84" s="241"/>
      <c r="CL84" s="241"/>
      <c r="CM84" s="241"/>
      <c r="CN84" s="241"/>
      <c r="CO84" s="241"/>
      <c r="CP84" s="241"/>
      <c r="CQ84" s="241"/>
      <c r="CR84" s="241"/>
      <c r="CS84" s="241"/>
      <c r="CT84" s="241"/>
      <c r="CU84" s="241"/>
      <c r="CV84" s="241"/>
      <c r="CW84" s="241"/>
      <c r="CX84" s="241"/>
      <c r="CY84" s="241"/>
      <c r="CZ84" s="241"/>
      <c r="DA84" s="241"/>
      <c r="DB84" s="241"/>
      <c r="DC84" s="241"/>
      <c r="DD84" s="241"/>
      <c r="DE84" s="241"/>
      <c r="DF84" s="241"/>
      <c r="DG84" s="241"/>
      <c r="DH84" s="241"/>
      <c r="DT84" s="241"/>
      <c r="FB84" s="241"/>
    </row>
    <row r="85" spans="4:158" hidden="1" x14ac:dyDescent="0.25">
      <c r="D85" s="241"/>
      <c r="E85" s="386"/>
      <c r="F85" s="386"/>
      <c r="G85" s="386"/>
      <c r="H85" s="386"/>
      <c r="I85" s="386"/>
      <c r="J85" s="386"/>
      <c r="K85" s="371"/>
      <c r="L85" s="371"/>
      <c r="M85" s="387"/>
      <c r="N85" s="371"/>
      <c r="O85" s="242"/>
      <c r="P85" s="242"/>
      <c r="Q85" s="242"/>
      <c r="R85" s="241"/>
      <c r="S85" s="241"/>
      <c r="T85" s="241"/>
      <c r="U85" s="241"/>
      <c r="V85" s="241"/>
      <c r="W85" s="241"/>
      <c r="X85" s="241"/>
      <c r="Y85" s="241"/>
      <c r="Z85" s="242"/>
      <c r="AA85" s="242"/>
      <c r="AB85" s="241"/>
      <c r="AC85" s="241"/>
      <c r="AD85" s="241"/>
      <c r="AE85" s="241"/>
      <c r="AF85" s="241"/>
      <c r="AG85" s="241"/>
      <c r="AH85" s="241"/>
      <c r="AI85" s="241"/>
      <c r="AJ85" s="274"/>
      <c r="AK85" s="241"/>
      <c r="AL85" s="241"/>
      <c r="AM85" s="241"/>
      <c r="AN85" s="241"/>
      <c r="AO85" s="241"/>
      <c r="AP85" s="241"/>
      <c r="AQ85" s="241"/>
      <c r="AR85" s="241"/>
      <c r="AS85" s="241"/>
      <c r="AT85" s="241"/>
      <c r="AU85" s="241"/>
      <c r="AV85" s="241"/>
      <c r="AW85" s="241"/>
      <c r="AX85" s="241"/>
      <c r="AY85" s="241"/>
      <c r="AZ85" s="241"/>
      <c r="BA85" s="241"/>
      <c r="BB85" s="241"/>
      <c r="BC85" s="241"/>
      <c r="BD85" s="241"/>
      <c r="BE85" s="241"/>
      <c r="BF85" s="241"/>
      <c r="BG85" s="241"/>
      <c r="BH85" s="241"/>
      <c r="BI85" s="241"/>
      <c r="BJ85" s="241"/>
      <c r="BK85" s="241"/>
      <c r="BL85" s="241"/>
      <c r="BM85" s="241"/>
      <c r="BN85" s="241"/>
      <c r="BO85" s="241"/>
      <c r="BP85" s="241"/>
      <c r="BQ85" s="241"/>
      <c r="BR85" s="241"/>
      <c r="BS85" s="241"/>
      <c r="BT85" s="241"/>
      <c r="BU85" s="241"/>
      <c r="BV85" s="241"/>
      <c r="BW85" s="241"/>
      <c r="BX85" s="241"/>
      <c r="BY85" s="241"/>
      <c r="BZ85" s="241"/>
      <c r="CA85" s="241"/>
      <c r="CB85" s="241"/>
      <c r="CC85" s="241"/>
      <c r="CD85" s="241"/>
      <c r="CE85" s="241"/>
      <c r="CF85" s="241"/>
      <c r="CG85" s="241"/>
      <c r="CH85" s="241"/>
      <c r="CI85" s="241"/>
      <c r="CJ85" s="241"/>
      <c r="CK85" s="241"/>
      <c r="CL85" s="241"/>
      <c r="CM85" s="241"/>
      <c r="CN85" s="241"/>
      <c r="CO85" s="241"/>
      <c r="CP85" s="241"/>
      <c r="CQ85" s="241"/>
      <c r="CR85" s="241"/>
      <c r="CS85" s="241"/>
      <c r="CT85" s="241"/>
      <c r="CU85" s="241"/>
      <c r="CV85" s="241"/>
      <c r="CW85" s="241"/>
      <c r="CX85" s="241"/>
      <c r="CY85" s="241"/>
      <c r="CZ85" s="241"/>
      <c r="DA85" s="241"/>
      <c r="DB85" s="241"/>
      <c r="DC85" s="241"/>
      <c r="DD85" s="241"/>
      <c r="DE85" s="241"/>
      <c r="DF85" s="241"/>
      <c r="DG85" s="241"/>
      <c r="DH85" s="241"/>
      <c r="DT85" s="241"/>
      <c r="FB85" s="241"/>
    </row>
    <row r="86" spans="4:158" hidden="1" x14ac:dyDescent="0.25">
      <c r="D86" s="241"/>
      <c r="E86" s="425" t="s">
        <v>117</v>
      </c>
      <c r="F86" s="426"/>
      <c r="G86" s="426"/>
      <c r="H86" s="426"/>
      <c r="I86" s="426"/>
      <c r="J86" s="427"/>
      <c r="K86" s="371"/>
      <c r="L86" s="372"/>
      <c r="M86" s="373">
        <f>AG26</f>
        <v>0</v>
      </c>
      <c r="N86" s="371"/>
      <c r="O86" s="242"/>
      <c r="P86" s="242"/>
      <c r="Q86" s="242"/>
      <c r="R86" s="241"/>
      <c r="S86" s="241"/>
      <c r="T86" s="241"/>
      <c r="U86" s="241"/>
      <c r="V86" s="241"/>
      <c r="W86" s="241"/>
      <c r="X86" s="241"/>
      <c r="Y86" s="241"/>
      <c r="Z86" s="242"/>
      <c r="AA86" s="242"/>
      <c r="AB86" s="241"/>
      <c r="AC86" s="241"/>
      <c r="AD86" s="241"/>
      <c r="AE86" s="241"/>
      <c r="AF86" s="241"/>
      <c r="AG86" s="241"/>
      <c r="AH86" s="241"/>
      <c r="AI86" s="241"/>
      <c r="AJ86" s="274"/>
      <c r="AK86" s="241"/>
      <c r="AL86" s="241"/>
      <c r="AM86" s="241"/>
      <c r="AN86" s="241"/>
      <c r="AO86" s="241"/>
      <c r="AP86" s="241"/>
      <c r="AQ86" s="241"/>
      <c r="AR86" s="241"/>
      <c r="AS86" s="241"/>
      <c r="AT86" s="241"/>
      <c r="AU86" s="241"/>
      <c r="AV86" s="241"/>
      <c r="AW86" s="241"/>
      <c r="AX86" s="241"/>
      <c r="AY86" s="241"/>
      <c r="AZ86" s="241"/>
      <c r="BA86" s="241"/>
      <c r="BB86" s="241"/>
      <c r="BC86" s="241"/>
      <c r="BD86" s="241"/>
      <c r="BE86" s="241"/>
      <c r="BF86" s="241"/>
      <c r="BG86" s="241"/>
      <c r="BH86" s="241"/>
      <c r="BI86" s="241"/>
      <c r="BJ86" s="241"/>
      <c r="BK86" s="241"/>
      <c r="BL86" s="241"/>
      <c r="BM86" s="241"/>
      <c r="BN86" s="241"/>
      <c r="BO86" s="241"/>
      <c r="BP86" s="241"/>
      <c r="BQ86" s="241"/>
      <c r="BR86" s="241"/>
      <c r="BS86" s="241"/>
      <c r="BT86" s="241"/>
      <c r="BU86" s="241"/>
      <c r="BV86" s="241"/>
      <c r="BW86" s="241"/>
      <c r="BX86" s="241"/>
      <c r="BY86" s="241"/>
      <c r="BZ86" s="241"/>
      <c r="CA86" s="241"/>
      <c r="CB86" s="241"/>
      <c r="CC86" s="241"/>
      <c r="CD86" s="241"/>
      <c r="CE86" s="241"/>
      <c r="CF86" s="241"/>
      <c r="CG86" s="241"/>
      <c r="CH86" s="241"/>
      <c r="CI86" s="241"/>
      <c r="CJ86" s="241"/>
      <c r="CK86" s="241"/>
      <c r="CL86" s="241"/>
      <c r="CM86" s="241"/>
      <c r="CN86" s="241"/>
      <c r="CO86" s="241"/>
      <c r="CP86" s="241"/>
      <c r="CQ86" s="241"/>
      <c r="CR86" s="241"/>
      <c r="CS86" s="241"/>
      <c r="CT86" s="241"/>
      <c r="CU86" s="241"/>
      <c r="CV86" s="241"/>
      <c r="CW86" s="241"/>
      <c r="CX86" s="241"/>
      <c r="CY86" s="241"/>
      <c r="CZ86" s="241"/>
      <c r="DA86" s="241"/>
      <c r="DB86" s="241"/>
      <c r="DC86" s="241"/>
      <c r="DD86" s="241"/>
      <c r="DE86" s="241"/>
      <c r="DF86" s="241"/>
      <c r="DG86" s="241"/>
      <c r="DH86" s="241"/>
      <c r="DT86" s="241"/>
      <c r="FB86" s="241"/>
    </row>
    <row r="87" spans="4:158" hidden="1" x14ac:dyDescent="0.25">
      <c r="D87" s="241"/>
      <c r="E87" s="433" t="s">
        <v>118</v>
      </c>
      <c r="F87" s="434"/>
      <c r="G87" s="434"/>
      <c r="H87" s="434"/>
      <c r="I87" s="434"/>
      <c r="J87" s="435"/>
      <c r="K87" s="371"/>
      <c r="L87" s="372"/>
      <c r="M87" s="373">
        <f>(AK26-(AL26+AM26))*F25</f>
        <v>9514461.5999999996</v>
      </c>
      <c r="N87" s="371"/>
      <c r="O87" s="371"/>
      <c r="P87" s="371"/>
      <c r="Q87" s="371"/>
      <c r="R87" s="372"/>
      <c r="S87" s="372"/>
      <c r="T87" s="372"/>
      <c r="U87" s="372"/>
      <c r="V87" s="372"/>
      <c r="W87" s="372"/>
      <c r="X87" s="241"/>
      <c r="Y87" s="241"/>
      <c r="Z87" s="242"/>
      <c r="AA87" s="242"/>
      <c r="AB87" s="241"/>
      <c r="AC87" s="241"/>
      <c r="AD87" s="241"/>
      <c r="AE87" s="241"/>
      <c r="AF87" s="241"/>
      <c r="AG87" s="241"/>
      <c r="AH87" s="241"/>
      <c r="AI87" s="241"/>
      <c r="AJ87" s="274"/>
      <c r="AK87" s="241"/>
      <c r="AL87" s="241"/>
      <c r="AM87" s="241"/>
      <c r="AN87" s="241"/>
      <c r="AO87" s="241"/>
      <c r="AP87" s="241"/>
      <c r="AQ87" s="241"/>
      <c r="AR87" s="241"/>
      <c r="AS87" s="241"/>
      <c r="AT87" s="241"/>
      <c r="AU87" s="241"/>
      <c r="AV87" s="241"/>
      <c r="AW87" s="241"/>
      <c r="AX87" s="241"/>
      <c r="AY87" s="241"/>
      <c r="AZ87" s="241"/>
      <c r="BA87" s="241"/>
      <c r="BB87" s="241"/>
      <c r="BC87" s="241"/>
      <c r="BD87" s="241"/>
      <c r="BE87" s="241"/>
      <c r="BF87" s="241"/>
      <c r="BG87" s="241"/>
      <c r="BH87" s="241"/>
      <c r="BI87" s="241"/>
      <c r="BJ87" s="241"/>
      <c r="BK87" s="241"/>
      <c r="BL87" s="241"/>
      <c r="BM87" s="241"/>
      <c r="BN87" s="241"/>
      <c r="BO87" s="241"/>
      <c r="BP87" s="241"/>
      <c r="BQ87" s="241"/>
      <c r="BR87" s="241"/>
      <c r="BS87" s="241"/>
      <c r="BT87" s="241"/>
      <c r="BU87" s="241"/>
      <c r="BV87" s="241"/>
      <c r="BW87" s="241"/>
      <c r="BX87" s="241"/>
      <c r="BY87" s="241"/>
      <c r="BZ87" s="241"/>
      <c r="CA87" s="241"/>
      <c r="CB87" s="241"/>
      <c r="CC87" s="241"/>
      <c r="CD87" s="241"/>
      <c r="CE87" s="241"/>
      <c r="CF87" s="241"/>
      <c r="CG87" s="241"/>
      <c r="CH87" s="241"/>
      <c r="CI87" s="241"/>
      <c r="CJ87" s="241"/>
      <c r="CK87" s="241"/>
      <c r="CL87" s="241"/>
      <c r="CM87" s="241"/>
      <c r="CN87" s="241"/>
      <c r="CO87" s="241"/>
      <c r="CP87" s="241"/>
      <c r="CQ87" s="241"/>
      <c r="CR87" s="241"/>
      <c r="CS87" s="241"/>
      <c r="CT87" s="241"/>
      <c r="CU87" s="241"/>
      <c r="CV87" s="241"/>
      <c r="CW87" s="241"/>
      <c r="CX87" s="241"/>
      <c r="CY87" s="241"/>
      <c r="CZ87" s="241"/>
      <c r="DA87" s="241"/>
      <c r="DB87" s="241"/>
      <c r="DC87" s="241"/>
      <c r="DD87" s="241"/>
      <c r="DE87" s="241"/>
      <c r="DF87" s="241"/>
      <c r="DG87" s="241"/>
      <c r="DH87" s="241"/>
      <c r="DT87" s="241"/>
      <c r="FB87" s="241"/>
    </row>
    <row r="88" spans="4:158" hidden="1" x14ac:dyDescent="0.25">
      <c r="D88" s="241"/>
      <c r="E88" s="433" t="s">
        <v>89</v>
      </c>
      <c r="F88" s="434"/>
      <c r="G88" s="434"/>
      <c r="H88" s="434"/>
      <c r="I88" s="434"/>
      <c r="J88" s="435"/>
      <c r="K88" s="371"/>
      <c r="L88" s="374"/>
      <c r="M88" s="375">
        <v>0</v>
      </c>
      <c r="N88" s="371"/>
      <c r="O88" s="371"/>
      <c r="P88" s="371"/>
      <c r="Q88" s="371"/>
      <c r="R88" s="372"/>
      <c r="S88" s="372"/>
      <c r="T88" s="372"/>
      <c r="U88" s="372"/>
      <c r="V88" s="372"/>
      <c r="W88" s="372"/>
      <c r="X88" s="241"/>
      <c r="Y88" s="241"/>
      <c r="Z88" s="242"/>
      <c r="AA88" s="242"/>
      <c r="AB88" s="241"/>
      <c r="AC88" s="241"/>
      <c r="AD88" s="241"/>
      <c r="AE88" s="241"/>
      <c r="AF88" s="241"/>
      <c r="AG88" s="241"/>
      <c r="AH88" s="241"/>
      <c r="AI88" s="241"/>
      <c r="AJ88" s="274"/>
      <c r="AK88" s="241"/>
      <c r="AL88" s="241"/>
      <c r="AM88" s="241"/>
      <c r="AN88" s="241"/>
      <c r="AO88" s="241"/>
      <c r="AP88" s="241"/>
      <c r="AQ88" s="241"/>
      <c r="AR88" s="241"/>
      <c r="AS88" s="241"/>
      <c r="AT88" s="241"/>
      <c r="AU88" s="241"/>
      <c r="AV88" s="241"/>
      <c r="AW88" s="241"/>
      <c r="AX88" s="241"/>
      <c r="AY88" s="241"/>
      <c r="AZ88" s="241"/>
      <c r="BA88" s="241"/>
      <c r="BB88" s="241"/>
      <c r="BC88" s="241"/>
      <c r="BD88" s="241"/>
      <c r="BE88" s="241"/>
      <c r="BF88" s="241"/>
      <c r="BG88" s="241"/>
      <c r="BH88" s="241"/>
      <c r="BI88" s="241"/>
      <c r="BJ88" s="241"/>
      <c r="BK88" s="241"/>
      <c r="BL88" s="241"/>
      <c r="BM88" s="241"/>
      <c r="BN88" s="241"/>
      <c r="BO88" s="241"/>
      <c r="BP88" s="241"/>
      <c r="BQ88" s="241"/>
      <c r="BR88" s="241"/>
      <c r="BS88" s="241"/>
      <c r="BT88" s="241"/>
      <c r="BU88" s="241"/>
      <c r="BV88" s="241"/>
      <c r="BW88" s="241"/>
      <c r="BX88" s="241"/>
      <c r="BY88" s="241"/>
      <c r="BZ88" s="241"/>
      <c r="CA88" s="241"/>
      <c r="CB88" s="241"/>
      <c r="CC88" s="241"/>
      <c r="CD88" s="241"/>
      <c r="CE88" s="241"/>
      <c r="CF88" s="241"/>
      <c r="CG88" s="241"/>
      <c r="CH88" s="241"/>
      <c r="CI88" s="241"/>
      <c r="CJ88" s="241"/>
      <c r="CK88" s="241"/>
      <c r="CL88" s="241"/>
      <c r="CM88" s="241"/>
      <c r="CN88" s="241"/>
      <c r="CO88" s="241"/>
      <c r="CP88" s="241"/>
      <c r="CQ88" s="241"/>
      <c r="CR88" s="241"/>
      <c r="CS88" s="241"/>
      <c r="CT88" s="241"/>
      <c r="CU88" s="241"/>
      <c r="CV88" s="241"/>
      <c r="CW88" s="241"/>
      <c r="CX88" s="241"/>
      <c r="CY88" s="241"/>
      <c r="CZ88" s="241"/>
      <c r="DA88" s="241"/>
      <c r="DB88" s="241"/>
      <c r="DC88" s="241"/>
      <c r="DD88" s="241"/>
      <c r="DE88" s="241"/>
      <c r="DF88" s="241"/>
      <c r="DG88" s="241"/>
      <c r="DH88" s="241"/>
      <c r="DT88" s="241"/>
      <c r="FB88" s="241"/>
    </row>
    <row r="89" spans="4:158" hidden="1" x14ac:dyDescent="0.25">
      <c r="D89" s="241"/>
      <c r="E89" s="425" t="s">
        <v>119</v>
      </c>
      <c r="F89" s="426"/>
      <c r="G89" s="426"/>
      <c r="H89" s="426"/>
      <c r="I89" s="426"/>
      <c r="J89" s="427"/>
      <c r="K89" s="371"/>
      <c r="L89" s="371"/>
      <c r="M89" s="372"/>
      <c r="N89" s="371"/>
      <c r="O89" s="371"/>
      <c r="P89" s="371"/>
      <c r="Q89" s="371"/>
      <c r="R89" s="372"/>
      <c r="S89" s="372"/>
      <c r="T89" s="372"/>
      <c r="U89" s="372"/>
      <c r="V89" s="372"/>
      <c r="W89" s="372"/>
      <c r="X89" s="241"/>
      <c r="Y89" s="241"/>
      <c r="Z89" s="242"/>
      <c r="AA89" s="242"/>
      <c r="AB89" s="241"/>
      <c r="AC89" s="241"/>
      <c r="AD89" s="241"/>
      <c r="AE89" s="241"/>
      <c r="AF89" s="241"/>
      <c r="AG89" s="241"/>
      <c r="AH89" s="241"/>
      <c r="AI89" s="241"/>
      <c r="AJ89" s="274"/>
      <c r="AK89" s="241"/>
      <c r="AL89" s="241"/>
      <c r="AM89" s="241"/>
      <c r="AN89" s="241"/>
      <c r="AO89" s="241"/>
      <c r="AP89" s="241"/>
      <c r="AQ89" s="241"/>
      <c r="AR89" s="241"/>
      <c r="AS89" s="241"/>
      <c r="AT89" s="241"/>
      <c r="AU89" s="241"/>
      <c r="AV89" s="241"/>
      <c r="AW89" s="241"/>
      <c r="AX89" s="241"/>
      <c r="AY89" s="241"/>
      <c r="AZ89" s="241"/>
      <c r="BA89" s="241"/>
      <c r="BB89" s="241"/>
      <c r="BC89" s="241"/>
      <c r="BD89" s="241"/>
      <c r="BE89" s="241"/>
      <c r="BF89" s="241"/>
      <c r="BG89" s="241"/>
      <c r="BH89" s="241"/>
      <c r="BI89" s="241"/>
      <c r="BJ89" s="241"/>
      <c r="BK89" s="241"/>
      <c r="BL89" s="241"/>
      <c r="BM89" s="241"/>
      <c r="BN89" s="241"/>
      <c r="BO89" s="241"/>
      <c r="BP89" s="241"/>
      <c r="BQ89" s="241"/>
      <c r="BR89" s="241"/>
      <c r="BS89" s="241"/>
      <c r="BT89" s="241"/>
      <c r="BU89" s="241"/>
      <c r="BV89" s="241"/>
      <c r="BW89" s="241"/>
      <c r="BX89" s="241"/>
      <c r="BY89" s="241"/>
      <c r="BZ89" s="241"/>
      <c r="CA89" s="241"/>
      <c r="CB89" s="241"/>
      <c r="CC89" s="241"/>
      <c r="CD89" s="241"/>
      <c r="CE89" s="241"/>
      <c r="CF89" s="241"/>
      <c r="CG89" s="241"/>
      <c r="CH89" s="241"/>
      <c r="CI89" s="241"/>
      <c r="CJ89" s="241"/>
      <c r="CK89" s="241"/>
      <c r="CL89" s="241"/>
      <c r="CM89" s="241"/>
      <c r="CN89" s="241"/>
      <c r="CO89" s="241"/>
      <c r="CP89" s="241"/>
      <c r="CQ89" s="241"/>
      <c r="CR89" s="241"/>
      <c r="CS89" s="241"/>
      <c r="CT89" s="241"/>
      <c r="CU89" s="241"/>
      <c r="CV89" s="241"/>
      <c r="CW89" s="241"/>
      <c r="CX89" s="241"/>
      <c r="CY89" s="241"/>
      <c r="CZ89" s="241"/>
      <c r="DA89" s="241"/>
      <c r="DB89" s="241"/>
      <c r="DC89" s="241"/>
      <c r="DD89" s="241"/>
      <c r="DE89" s="241"/>
      <c r="DF89" s="241"/>
      <c r="DG89" s="241"/>
      <c r="DH89" s="241"/>
      <c r="DT89" s="241"/>
      <c r="FB89" s="241"/>
    </row>
    <row r="90" spans="4:158" hidden="1" x14ac:dyDescent="0.25">
      <c r="D90" s="241"/>
      <c r="E90" s="376"/>
      <c r="F90" s="376"/>
      <c r="G90" s="376"/>
      <c r="H90" s="376"/>
      <c r="I90" s="376"/>
      <c r="J90" s="376"/>
      <c r="K90" s="371"/>
      <c r="L90" s="374"/>
      <c r="M90" s="377"/>
      <c r="N90" s="371"/>
      <c r="O90" s="371"/>
      <c r="P90" s="371"/>
      <c r="Q90" s="371"/>
      <c r="R90" s="372"/>
      <c r="S90" s="372"/>
      <c r="T90" s="372"/>
      <c r="U90" s="372"/>
      <c r="V90" s="372"/>
      <c r="W90" s="372"/>
      <c r="X90" s="241"/>
      <c r="Y90" s="241"/>
      <c r="Z90" s="242"/>
      <c r="AA90" s="242"/>
      <c r="AB90" s="241"/>
      <c r="AC90" s="241"/>
      <c r="AD90" s="241"/>
      <c r="AE90" s="241"/>
      <c r="AF90" s="241"/>
      <c r="AG90" s="241"/>
      <c r="AH90" s="241"/>
      <c r="AI90" s="241"/>
      <c r="AJ90" s="274"/>
      <c r="AK90" s="241"/>
      <c r="AL90" s="241"/>
      <c r="AM90" s="241"/>
      <c r="AN90" s="241"/>
      <c r="AO90" s="241"/>
      <c r="AP90" s="241"/>
      <c r="AQ90" s="241"/>
      <c r="AR90" s="241"/>
      <c r="AS90" s="241"/>
      <c r="AT90" s="241"/>
      <c r="AU90" s="241"/>
      <c r="AV90" s="241"/>
      <c r="AW90" s="241"/>
      <c r="AX90" s="241"/>
      <c r="AY90" s="241"/>
      <c r="AZ90" s="241"/>
      <c r="BA90" s="241"/>
      <c r="BB90" s="241"/>
      <c r="BC90" s="241"/>
      <c r="BD90" s="241"/>
      <c r="BE90" s="241"/>
      <c r="BF90" s="241"/>
      <c r="BG90" s="241"/>
      <c r="BH90" s="241"/>
      <c r="BI90" s="241"/>
      <c r="BJ90" s="241"/>
      <c r="BK90" s="241"/>
      <c r="BL90" s="241"/>
      <c r="BM90" s="241"/>
      <c r="BN90" s="241"/>
      <c r="BO90" s="241"/>
      <c r="BP90" s="241"/>
      <c r="BQ90" s="241"/>
      <c r="BR90" s="241"/>
      <c r="BS90" s="241"/>
      <c r="BT90" s="241"/>
      <c r="BU90" s="241"/>
      <c r="BV90" s="241"/>
      <c r="BW90" s="241"/>
      <c r="BX90" s="241"/>
      <c r="BY90" s="241"/>
      <c r="BZ90" s="241"/>
      <c r="CA90" s="241"/>
      <c r="CB90" s="241"/>
      <c r="CC90" s="241"/>
      <c r="CD90" s="241"/>
      <c r="CE90" s="241"/>
      <c r="CF90" s="241"/>
      <c r="CG90" s="241"/>
      <c r="CH90" s="241"/>
      <c r="CI90" s="241"/>
      <c r="CJ90" s="241"/>
      <c r="CK90" s="241"/>
      <c r="CL90" s="241"/>
      <c r="CM90" s="241"/>
      <c r="CN90" s="241"/>
      <c r="CO90" s="241"/>
      <c r="CP90" s="241"/>
      <c r="CQ90" s="241"/>
      <c r="CR90" s="241"/>
      <c r="CS90" s="241"/>
      <c r="CT90" s="241"/>
      <c r="CU90" s="241"/>
      <c r="CV90" s="241"/>
      <c r="CW90" s="241"/>
      <c r="CX90" s="241"/>
      <c r="CY90" s="241"/>
      <c r="CZ90" s="241"/>
      <c r="DA90" s="241"/>
      <c r="DB90" s="241"/>
      <c r="DC90" s="241"/>
      <c r="DD90" s="241"/>
      <c r="DE90" s="241"/>
      <c r="DF90" s="241"/>
      <c r="DG90" s="241"/>
      <c r="DH90" s="241"/>
      <c r="DT90" s="241"/>
      <c r="FB90" s="241"/>
    </row>
    <row r="91" spans="4:158" hidden="1" x14ac:dyDescent="0.25">
      <c r="D91" s="241"/>
      <c r="E91" s="448"/>
      <c r="F91" s="448"/>
      <c r="G91" s="448"/>
      <c r="H91" s="448"/>
      <c r="I91" s="448"/>
      <c r="J91" s="448"/>
      <c r="K91" s="371"/>
      <c r="L91" s="374"/>
      <c r="M91" s="378"/>
      <c r="N91" s="371"/>
      <c r="O91" s="371"/>
      <c r="P91" s="371"/>
      <c r="Q91" s="371"/>
      <c r="R91" s="372"/>
      <c r="S91" s="372"/>
      <c r="T91" s="372"/>
      <c r="U91" s="372"/>
      <c r="V91" s="372"/>
      <c r="W91" s="372"/>
      <c r="X91" s="241"/>
      <c r="Y91" s="241"/>
      <c r="Z91" s="242"/>
      <c r="AA91" s="242"/>
      <c r="AB91" s="241"/>
      <c r="AC91" s="241"/>
      <c r="AD91" s="241"/>
      <c r="AE91" s="241"/>
      <c r="AF91" s="241"/>
      <c r="AG91" s="241"/>
      <c r="AH91" s="241"/>
      <c r="AI91" s="241"/>
      <c r="AJ91" s="274"/>
      <c r="AK91" s="241"/>
      <c r="AL91" s="241"/>
      <c r="AM91" s="241"/>
      <c r="AN91" s="241"/>
      <c r="AO91" s="241"/>
      <c r="AP91" s="241"/>
      <c r="AQ91" s="241"/>
      <c r="AR91" s="241"/>
      <c r="AS91" s="241"/>
      <c r="AT91" s="241"/>
      <c r="AU91" s="241"/>
      <c r="AV91" s="241"/>
      <c r="AW91" s="241"/>
      <c r="AX91" s="241"/>
      <c r="AY91" s="241"/>
      <c r="AZ91" s="241"/>
      <c r="BA91" s="241"/>
      <c r="BB91" s="241"/>
      <c r="BC91" s="241"/>
      <c r="BD91" s="241"/>
      <c r="BE91" s="241"/>
      <c r="BF91" s="241"/>
      <c r="BG91" s="241"/>
      <c r="BH91" s="241"/>
      <c r="BI91" s="241"/>
      <c r="BJ91" s="241"/>
      <c r="BK91" s="241"/>
      <c r="BL91" s="241"/>
      <c r="BM91" s="241"/>
      <c r="BN91" s="241"/>
      <c r="BO91" s="241"/>
      <c r="BP91" s="241"/>
      <c r="BQ91" s="241"/>
      <c r="BR91" s="241"/>
      <c r="BS91" s="241"/>
      <c r="BT91" s="241"/>
      <c r="BU91" s="241"/>
      <c r="BV91" s="241"/>
      <c r="BW91" s="241"/>
      <c r="BX91" s="241"/>
      <c r="BY91" s="241"/>
      <c r="BZ91" s="241"/>
      <c r="CA91" s="241"/>
      <c r="CB91" s="241"/>
      <c r="CC91" s="241"/>
      <c r="CD91" s="241"/>
      <c r="CE91" s="241"/>
      <c r="CF91" s="241"/>
      <c r="CG91" s="241"/>
      <c r="CH91" s="241"/>
      <c r="CI91" s="241"/>
      <c r="CJ91" s="241"/>
      <c r="CK91" s="241"/>
      <c r="CL91" s="241"/>
      <c r="CM91" s="241"/>
      <c r="CN91" s="241"/>
      <c r="CO91" s="241"/>
      <c r="CP91" s="241"/>
      <c r="CQ91" s="241"/>
      <c r="CR91" s="241"/>
      <c r="CS91" s="241"/>
      <c r="CT91" s="241"/>
      <c r="CU91" s="241"/>
      <c r="CV91" s="241"/>
      <c r="CW91" s="241"/>
      <c r="CX91" s="241"/>
      <c r="CY91" s="241"/>
      <c r="CZ91" s="241"/>
      <c r="DA91" s="241"/>
      <c r="DB91" s="241"/>
      <c r="DC91" s="241"/>
      <c r="DD91" s="241"/>
      <c r="DE91" s="241"/>
      <c r="DF91" s="241"/>
      <c r="DG91" s="241"/>
      <c r="DH91" s="241"/>
      <c r="DT91" s="241"/>
      <c r="FB91" s="241"/>
    </row>
    <row r="92" spans="4:158" hidden="1" x14ac:dyDescent="0.25">
      <c r="D92" s="241"/>
      <c r="E92" s="372"/>
      <c r="F92" s="372"/>
      <c r="G92" s="372"/>
      <c r="H92" s="372"/>
      <c r="I92" s="371"/>
      <c r="J92" s="372"/>
      <c r="K92" s="372"/>
      <c r="L92" s="372"/>
      <c r="M92" s="379"/>
      <c r="N92" s="371"/>
      <c r="O92" s="371"/>
      <c r="P92" s="371"/>
      <c r="Q92" s="371"/>
      <c r="R92" s="372"/>
      <c r="S92" s="372"/>
      <c r="T92" s="372"/>
      <c r="U92" s="372"/>
      <c r="V92" s="372"/>
      <c r="W92" s="372"/>
      <c r="X92" s="241"/>
      <c r="Y92" s="241"/>
      <c r="Z92" s="242"/>
      <c r="AA92" s="242"/>
      <c r="AB92" s="241"/>
      <c r="AC92" s="241"/>
      <c r="AD92" s="241"/>
      <c r="AE92" s="241"/>
      <c r="AF92" s="241"/>
      <c r="AG92" s="241"/>
      <c r="AH92" s="241"/>
      <c r="AI92" s="241"/>
      <c r="AJ92" s="274"/>
      <c r="AK92" s="241"/>
      <c r="AL92" s="241"/>
      <c r="AM92" s="241"/>
      <c r="AN92" s="241"/>
      <c r="AO92" s="241"/>
      <c r="AP92" s="241"/>
      <c r="AQ92" s="241"/>
      <c r="AR92" s="241"/>
      <c r="AS92" s="241"/>
      <c r="AT92" s="241"/>
      <c r="AU92" s="241"/>
      <c r="AV92" s="241"/>
      <c r="AW92" s="241"/>
      <c r="AX92" s="241"/>
      <c r="AY92" s="241"/>
      <c r="AZ92" s="241"/>
      <c r="BA92" s="241"/>
      <c r="BB92" s="241"/>
      <c r="BC92" s="241"/>
      <c r="BD92" s="241"/>
      <c r="BE92" s="241"/>
      <c r="BF92" s="241"/>
      <c r="BG92" s="241"/>
      <c r="BH92" s="241"/>
      <c r="BI92" s="241"/>
      <c r="BJ92" s="241"/>
      <c r="BK92" s="241"/>
      <c r="BL92" s="241"/>
      <c r="BM92" s="241"/>
      <c r="BN92" s="241"/>
      <c r="BO92" s="241"/>
      <c r="BP92" s="241"/>
      <c r="BQ92" s="241"/>
      <c r="BR92" s="241"/>
      <c r="BS92" s="241"/>
      <c r="BT92" s="241"/>
      <c r="BU92" s="241"/>
      <c r="BV92" s="241"/>
      <c r="BW92" s="241"/>
      <c r="BX92" s="241"/>
      <c r="BY92" s="241"/>
      <c r="BZ92" s="241"/>
      <c r="CA92" s="241"/>
      <c r="CB92" s="241"/>
      <c r="CC92" s="241"/>
      <c r="CD92" s="241"/>
      <c r="CE92" s="241"/>
      <c r="CF92" s="241"/>
      <c r="CG92" s="241"/>
      <c r="CH92" s="241"/>
      <c r="CI92" s="241"/>
      <c r="CJ92" s="241"/>
      <c r="CK92" s="241"/>
      <c r="CL92" s="241"/>
      <c r="CM92" s="241"/>
      <c r="CN92" s="241"/>
      <c r="CO92" s="241"/>
      <c r="CP92" s="241"/>
      <c r="CQ92" s="241"/>
      <c r="CR92" s="241"/>
      <c r="CS92" s="241"/>
      <c r="CT92" s="241"/>
      <c r="CU92" s="241"/>
      <c r="CV92" s="241"/>
      <c r="CW92" s="241"/>
      <c r="CX92" s="241"/>
      <c r="CY92" s="241"/>
      <c r="CZ92" s="241"/>
      <c r="DA92" s="241"/>
      <c r="DB92" s="241"/>
      <c r="DC92" s="241"/>
      <c r="DD92" s="241"/>
      <c r="DE92" s="241"/>
      <c r="DF92" s="241"/>
      <c r="DG92" s="241"/>
      <c r="DH92" s="241"/>
      <c r="DT92" s="241"/>
      <c r="FB92" s="241"/>
    </row>
    <row r="93" spans="4:158" hidden="1" x14ac:dyDescent="0.25">
      <c r="D93" s="241"/>
      <c r="E93" s="425" t="s">
        <v>112</v>
      </c>
      <c r="F93" s="426"/>
      <c r="G93" s="426"/>
      <c r="H93" s="426"/>
      <c r="I93" s="426"/>
      <c r="J93" s="427"/>
      <c r="K93" s="371"/>
      <c r="L93" s="371"/>
      <c r="M93" s="373">
        <f>M83-R5-M86-M88</f>
        <v>100002956.89761999</v>
      </c>
      <c r="N93" s="371"/>
      <c r="O93" s="371"/>
      <c r="P93" s="371"/>
      <c r="Q93" s="371"/>
      <c r="R93" s="372"/>
      <c r="S93" s="372"/>
      <c r="T93" s="372"/>
      <c r="U93" s="372"/>
      <c r="V93" s="372"/>
      <c r="W93" s="372"/>
      <c r="X93" s="241"/>
      <c r="Y93" s="241"/>
      <c r="Z93" s="242"/>
      <c r="AA93" s="242"/>
      <c r="AB93" s="241"/>
      <c r="AC93" s="241"/>
      <c r="AD93" s="241"/>
      <c r="AE93" s="241"/>
      <c r="AF93" s="241"/>
      <c r="AG93" s="241"/>
      <c r="AH93" s="241"/>
      <c r="AI93" s="241"/>
      <c r="AJ93" s="274"/>
      <c r="AK93" s="241"/>
      <c r="AL93" s="241"/>
      <c r="AM93" s="241"/>
      <c r="AN93" s="241"/>
      <c r="AO93" s="241"/>
      <c r="AP93" s="241"/>
      <c r="AQ93" s="241"/>
      <c r="AR93" s="241"/>
      <c r="AS93" s="241"/>
      <c r="AT93" s="241"/>
      <c r="AU93" s="241"/>
      <c r="AV93" s="241"/>
      <c r="AW93" s="241"/>
      <c r="AX93" s="241"/>
      <c r="AY93" s="241"/>
      <c r="AZ93" s="241"/>
      <c r="BA93" s="241"/>
      <c r="BB93" s="241"/>
      <c r="BC93" s="241"/>
      <c r="BD93" s="241"/>
      <c r="BE93" s="241"/>
      <c r="BF93" s="241"/>
      <c r="BG93" s="241"/>
      <c r="BH93" s="241"/>
      <c r="BI93" s="241"/>
      <c r="BJ93" s="241"/>
      <c r="BK93" s="241"/>
      <c r="BL93" s="241"/>
      <c r="BM93" s="241"/>
      <c r="BN93" s="241"/>
      <c r="BO93" s="241"/>
      <c r="BP93" s="241"/>
      <c r="BQ93" s="241"/>
      <c r="BR93" s="241"/>
      <c r="BS93" s="241"/>
      <c r="BT93" s="241"/>
      <c r="BU93" s="241"/>
      <c r="BV93" s="241"/>
      <c r="BW93" s="241"/>
      <c r="BX93" s="241"/>
      <c r="BY93" s="241"/>
      <c r="BZ93" s="241"/>
      <c r="CA93" s="241"/>
      <c r="CB93" s="241"/>
      <c r="CC93" s="241"/>
      <c r="CD93" s="241"/>
      <c r="CE93" s="241"/>
      <c r="CF93" s="241"/>
      <c r="CG93" s="241"/>
      <c r="CH93" s="241"/>
      <c r="CI93" s="241"/>
      <c r="CJ93" s="241"/>
      <c r="CK93" s="241"/>
      <c r="CL93" s="241"/>
      <c r="CM93" s="241"/>
      <c r="CN93" s="241"/>
      <c r="CO93" s="241"/>
      <c r="CP93" s="241"/>
      <c r="CQ93" s="241"/>
      <c r="CR93" s="241"/>
      <c r="CS93" s="241"/>
      <c r="CT93" s="241"/>
      <c r="CU93" s="241"/>
      <c r="CV93" s="241"/>
      <c r="CW93" s="241"/>
      <c r="CX93" s="241"/>
      <c r="CY93" s="241"/>
      <c r="CZ93" s="241"/>
      <c r="DA93" s="241"/>
      <c r="DB93" s="241"/>
      <c r="DC93" s="241"/>
      <c r="DD93" s="241"/>
      <c r="DE93" s="241"/>
      <c r="DF93" s="241"/>
      <c r="DG93" s="241"/>
      <c r="DH93" s="241"/>
      <c r="DT93" s="241"/>
      <c r="FB93" s="241"/>
    </row>
    <row r="94" spans="4:158" hidden="1" x14ac:dyDescent="0.25">
      <c r="D94" s="241"/>
      <c r="E94" s="425" t="s">
        <v>113</v>
      </c>
      <c r="F94" s="426"/>
      <c r="G94" s="426"/>
      <c r="H94" s="426"/>
      <c r="I94" s="426"/>
      <c r="J94" s="427"/>
      <c r="K94" s="371"/>
      <c r="L94" s="371"/>
      <c r="M94" s="373">
        <f>Hoja15!R113</f>
        <v>15546727.696876477</v>
      </c>
      <c r="N94" s="371"/>
      <c r="O94" s="371"/>
      <c r="P94" s="371"/>
      <c r="Q94" s="371"/>
      <c r="R94" s="372"/>
      <c r="S94" s="372"/>
      <c r="T94" s="372"/>
      <c r="U94" s="372"/>
      <c r="V94" s="372"/>
      <c r="W94" s="372"/>
      <c r="X94" s="241"/>
      <c r="Y94" s="241"/>
      <c r="Z94" s="242"/>
      <c r="AA94" s="242"/>
      <c r="AB94" s="241"/>
      <c r="AC94" s="241"/>
      <c r="AD94" s="241"/>
      <c r="AE94" s="241"/>
      <c r="AF94" s="241"/>
      <c r="AG94" s="241"/>
      <c r="AH94" s="241"/>
      <c r="AI94" s="241"/>
      <c r="AJ94" s="274"/>
      <c r="AK94" s="241"/>
      <c r="AL94" s="241"/>
      <c r="AM94" s="241"/>
      <c r="AN94" s="241"/>
      <c r="AO94" s="241"/>
      <c r="AP94" s="241"/>
      <c r="AQ94" s="241"/>
      <c r="AR94" s="241"/>
      <c r="AS94" s="241"/>
      <c r="AT94" s="241"/>
      <c r="AU94" s="241"/>
      <c r="AV94" s="241"/>
      <c r="AW94" s="241"/>
      <c r="AX94" s="241"/>
      <c r="AY94" s="241"/>
      <c r="AZ94" s="241"/>
      <c r="BA94" s="241"/>
      <c r="BB94" s="241"/>
      <c r="BC94" s="241"/>
      <c r="BD94" s="241"/>
      <c r="BE94" s="241"/>
      <c r="BF94" s="241"/>
      <c r="BG94" s="241"/>
      <c r="BH94" s="241"/>
      <c r="BI94" s="241"/>
      <c r="BJ94" s="241"/>
      <c r="BK94" s="241"/>
      <c r="BL94" s="241"/>
      <c r="BM94" s="241"/>
      <c r="BN94" s="241"/>
      <c r="BO94" s="241"/>
      <c r="BP94" s="241"/>
      <c r="BQ94" s="241"/>
      <c r="BR94" s="241"/>
      <c r="BS94" s="241"/>
      <c r="BT94" s="241"/>
      <c r="BU94" s="241"/>
      <c r="BV94" s="241"/>
      <c r="BW94" s="241"/>
      <c r="BX94" s="241"/>
      <c r="BY94" s="241"/>
      <c r="BZ94" s="241"/>
      <c r="CA94" s="241"/>
      <c r="CB94" s="241"/>
      <c r="CC94" s="241"/>
      <c r="CD94" s="241"/>
      <c r="CE94" s="241"/>
      <c r="CF94" s="241"/>
      <c r="CG94" s="241"/>
      <c r="CH94" s="241"/>
      <c r="CI94" s="241"/>
      <c r="CJ94" s="241"/>
      <c r="CK94" s="241"/>
      <c r="CL94" s="241"/>
      <c r="CM94" s="241"/>
      <c r="CN94" s="241"/>
      <c r="CO94" s="241"/>
      <c r="CP94" s="241"/>
      <c r="CQ94" s="241"/>
      <c r="CR94" s="241"/>
      <c r="CS94" s="241"/>
      <c r="CT94" s="241"/>
      <c r="CU94" s="241"/>
      <c r="CV94" s="241"/>
      <c r="CW94" s="241"/>
      <c r="CX94" s="241"/>
      <c r="CY94" s="241"/>
      <c r="CZ94" s="241"/>
      <c r="DA94" s="241"/>
      <c r="DB94" s="241"/>
      <c r="DC94" s="241"/>
      <c r="DD94" s="241"/>
      <c r="DE94" s="241"/>
      <c r="DF94" s="241"/>
      <c r="DG94" s="241"/>
      <c r="DH94" s="241"/>
      <c r="DT94" s="241"/>
      <c r="FB94" s="241"/>
    </row>
    <row r="95" spans="4:158" hidden="1" x14ac:dyDescent="0.25">
      <c r="D95" s="241"/>
      <c r="E95" s="428" t="s">
        <v>114</v>
      </c>
      <c r="F95" s="429"/>
      <c r="G95" s="429"/>
      <c r="H95" s="429"/>
      <c r="I95" s="429"/>
      <c r="J95" s="429"/>
      <c r="K95" s="371"/>
      <c r="L95" s="380"/>
      <c r="M95" s="381">
        <f>M84-M94+AF59</f>
        <v>-1844021.2354340758</v>
      </c>
      <c r="N95" s="371"/>
      <c r="O95" s="371"/>
      <c r="P95" s="371"/>
      <c r="Q95" s="371"/>
      <c r="R95" s="372"/>
      <c r="S95" s="372"/>
      <c r="T95" s="372"/>
      <c r="U95" s="372"/>
      <c r="V95" s="372"/>
      <c r="W95" s="372"/>
      <c r="X95" s="241"/>
      <c r="Y95" s="241"/>
      <c r="Z95" s="242"/>
      <c r="AA95" s="242"/>
      <c r="AB95" s="241"/>
      <c r="AC95" s="241"/>
      <c r="AD95" s="241"/>
      <c r="AE95" s="241"/>
      <c r="AF95" s="241"/>
      <c r="AG95" s="241"/>
      <c r="AH95" s="241"/>
      <c r="AI95" s="241"/>
      <c r="AJ95" s="274"/>
      <c r="AK95" s="241"/>
      <c r="AL95" s="241"/>
      <c r="AM95" s="241"/>
      <c r="AN95" s="241"/>
      <c r="AO95" s="241"/>
      <c r="AP95" s="241"/>
      <c r="AQ95" s="241"/>
      <c r="AR95" s="241"/>
      <c r="AS95" s="241"/>
      <c r="AT95" s="241"/>
      <c r="AU95" s="241"/>
      <c r="AV95" s="241"/>
      <c r="AW95" s="241"/>
      <c r="AX95" s="241"/>
      <c r="AY95" s="241"/>
      <c r="AZ95" s="241"/>
      <c r="BA95" s="241"/>
      <c r="BB95" s="241"/>
      <c r="BC95" s="241"/>
      <c r="BD95" s="241"/>
      <c r="BE95" s="241"/>
      <c r="BF95" s="241"/>
      <c r="BG95" s="241"/>
      <c r="BH95" s="241"/>
      <c r="BI95" s="241"/>
      <c r="BJ95" s="241"/>
      <c r="BK95" s="241"/>
      <c r="BL95" s="241"/>
      <c r="BM95" s="241"/>
      <c r="BN95" s="241"/>
      <c r="BO95" s="241"/>
      <c r="BP95" s="241"/>
      <c r="BQ95" s="241"/>
      <c r="BR95" s="241"/>
      <c r="BS95" s="241"/>
      <c r="BT95" s="241"/>
      <c r="BU95" s="241"/>
      <c r="BV95" s="241"/>
      <c r="BW95" s="241"/>
      <c r="BX95" s="241"/>
      <c r="BY95" s="241"/>
      <c r="BZ95" s="241"/>
      <c r="CA95" s="241"/>
      <c r="CB95" s="241"/>
      <c r="CC95" s="241"/>
      <c r="CD95" s="241"/>
      <c r="CE95" s="241"/>
      <c r="CF95" s="241"/>
      <c r="CG95" s="241"/>
      <c r="CH95" s="241"/>
      <c r="CI95" s="241"/>
      <c r="CJ95" s="241"/>
      <c r="CK95" s="241"/>
      <c r="CL95" s="241"/>
      <c r="CM95" s="241"/>
      <c r="CN95" s="241"/>
      <c r="CO95" s="241"/>
      <c r="CP95" s="241"/>
      <c r="CQ95" s="241"/>
      <c r="CR95" s="241"/>
      <c r="CS95" s="241"/>
      <c r="CT95" s="241"/>
      <c r="CU95" s="241"/>
      <c r="CV95" s="241"/>
      <c r="CW95" s="241"/>
      <c r="CX95" s="241"/>
      <c r="CY95" s="241"/>
      <c r="CZ95" s="241"/>
      <c r="DA95" s="241"/>
      <c r="DB95" s="241"/>
      <c r="DC95" s="241"/>
      <c r="DD95" s="241"/>
      <c r="DE95" s="241"/>
      <c r="DF95" s="241"/>
      <c r="DG95" s="241"/>
      <c r="DH95" s="241"/>
      <c r="DT95" s="241"/>
      <c r="FB95" s="241"/>
    </row>
    <row r="96" spans="4:158" hidden="1" x14ac:dyDescent="0.25">
      <c r="D96" s="241"/>
      <c r="E96" s="372"/>
      <c r="F96" s="372"/>
      <c r="G96" s="372"/>
      <c r="H96" s="372"/>
      <c r="I96" s="371"/>
      <c r="J96" s="372"/>
      <c r="K96" s="372"/>
      <c r="L96" s="372"/>
      <c r="M96" s="372"/>
      <c r="N96" s="371"/>
      <c r="O96" s="371"/>
      <c r="P96" s="371"/>
      <c r="Q96" s="371"/>
      <c r="R96" s="372"/>
      <c r="S96" s="372"/>
      <c r="T96" s="372"/>
      <c r="U96" s="372"/>
      <c r="V96" s="372"/>
      <c r="W96" s="372"/>
      <c r="X96" s="241"/>
      <c r="Y96" s="241"/>
      <c r="Z96" s="242"/>
      <c r="AA96" s="242"/>
      <c r="AB96" s="241"/>
      <c r="AC96" s="241"/>
      <c r="AD96" s="241"/>
      <c r="AE96" s="241"/>
      <c r="AF96" s="241"/>
      <c r="AG96" s="241"/>
      <c r="AH96" s="241"/>
      <c r="AI96" s="241"/>
      <c r="AJ96" s="274"/>
      <c r="AK96" s="241"/>
      <c r="AL96" s="241"/>
      <c r="AM96" s="241"/>
      <c r="AN96" s="241"/>
      <c r="AO96" s="241"/>
      <c r="AP96" s="241"/>
      <c r="AQ96" s="241"/>
      <c r="AR96" s="241"/>
      <c r="AS96" s="241"/>
      <c r="AT96" s="241"/>
      <c r="AU96" s="241"/>
      <c r="AV96" s="241"/>
      <c r="AW96" s="241"/>
      <c r="AX96" s="241"/>
      <c r="AY96" s="241"/>
      <c r="AZ96" s="241"/>
      <c r="BA96" s="241"/>
      <c r="BB96" s="241"/>
      <c r="BC96" s="241"/>
      <c r="BD96" s="241"/>
      <c r="BE96" s="241"/>
      <c r="BF96" s="241"/>
      <c r="BG96" s="241"/>
      <c r="BH96" s="241"/>
      <c r="BI96" s="241"/>
      <c r="BJ96" s="241"/>
      <c r="BK96" s="241"/>
      <c r="BL96" s="241"/>
      <c r="BM96" s="241"/>
      <c r="BN96" s="241"/>
      <c r="BO96" s="241"/>
      <c r="BP96" s="241"/>
      <c r="BQ96" s="241"/>
      <c r="BR96" s="241"/>
      <c r="BS96" s="241"/>
      <c r="BT96" s="241"/>
      <c r="BU96" s="241"/>
      <c r="BV96" s="241"/>
      <c r="BW96" s="241"/>
      <c r="BX96" s="241"/>
      <c r="BY96" s="241"/>
      <c r="BZ96" s="241"/>
      <c r="CA96" s="241"/>
      <c r="CB96" s="241"/>
      <c r="CC96" s="241"/>
      <c r="CD96" s="241"/>
      <c r="CE96" s="241"/>
      <c r="CF96" s="241"/>
      <c r="CG96" s="241"/>
      <c r="CH96" s="241"/>
      <c r="CI96" s="241"/>
      <c r="CJ96" s="241"/>
      <c r="CK96" s="241"/>
      <c r="CL96" s="241"/>
      <c r="CM96" s="241"/>
      <c r="CN96" s="241"/>
      <c r="CO96" s="241"/>
      <c r="CP96" s="241"/>
      <c r="CQ96" s="241"/>
      <c r="CR96" s="241"/>
      <c r="CS96" s="241"/>
      <c r="CT96" s="241"/>
      <c r="CU96" s="241"/>
      <c r="CV96" s="241"/>
      <c r="CW96" s="241"/>
      <c r="CX96" s="241"/>
      <c r="CY96" s="241"/>
      <c r="CZ96" s="241"/>
      <c r="DA96" s="241"/>
      <c r="DB96" s="241"/>
      <c r="DC96" s="241"/>
      <c r="DD96" s="241"/>
      <c r="DE96" s="241"/>
      <c r="DF96" s="241"/>
      <c r="DG96" s="241"/>
      <c r="DH96" s="241"/>
      <c r="DT96" s="241"/>
      <c r="FB96" s="241"/>
    </row>
    <row r="97" spans="4:158" hidden="1" x14ac:dyDescent="0.25">
      <c r="D97" s="241"/>
      <c r="E97" s="372"/>
      <c r="F97" s="372"/>
      <c r="G97" s="372"/>
      <c r="H97" s="372"/>
      <c r="I97" s="371"/>
      <c r="J97" s="372"/>
      <c r="K97" s="372"/>
      <c r="L97" s="372"/>
      <c r="M97" s="372"/>
      <c r="N97" s="371"/>
      <c r="O97" s="371"/>
      <c r="P97" s="371"/>
      <c r="Q97" s="371"/>
      <c r="R97" s="372"/>
      <c r="S97" s="372"/>
      <c r="T97" s="372"/>
      <c r="U97" s="372"/>
      <c r="V97" s="372"/>
      <c r="W97" s="372"/>
      <c r="X97" s="241"/>
      <c r="Y97" s="241"/>
      <c r="Z97" s="242"/>
      <c r="AA97" s="242"/>
      <c r="AB97" s="241"/>
      <c r="AC97" s="241"/>
      <c r="AD97" s="241"/>
      <c r="AE97" s="241"/>
      <c r="AF97" s="241"/>
      <c r="AG97" s="241"/>
      <c r="AH97" s="241"/>
      <c r="AI97" s="241"/>
      <c r="AJ97" s="274"/>
      <c r="AK97" s="241"/>
      <c r="AL97" s="241"/>
      <c r="AM97" s="241"/>
      <c r="AN97" s="241"/>
      <c r="AO97" s="241"/>
      <c r="AP97" s="241"/>
      <c r="AQ97" s="241"/>
      <c r="AR97" s="241"/>
      <c r="AS97" s="241"/>
      <c r="AT97" s="241"/>
      <c r="AU97" s="241"/>
      <c r="AV97" s="241"/>
      <c r="AW97" s="241"/>
      <c r="AX97" s="241"/>
      <c r="AY97" s="241"/>
      <c r="AZ97" s="241"/>
      <c r="BA97" s="241"/>
      <c r="BB97" s="241"/>
      <c r="BC97" s="241"/>
      <c r="BD97" s="241"/>
      <c r="BE97" s="241"/>
      <c r="BF97" s="241"/>
      <c r="BG97" s="241"/>
      <c r="BH97" s="241"/>
      <c r="BI97" s="241"/>
      <c r="BJ97" s="241"/>
      <c r="BK97" s="241"/>
      <c r="BL97" s="241"/>
      <c r="BM97" s="241"/>
      <c r="BN97" s="241"/>
      <c r="BO97" s="241"/>
      <c r="BP97" s="241"/>
      <c r="BQ97" s="241"/>
      <c r="BR97" s="241"/>
      <c r="BS97" s="241"/>
      <c r="BT97" s="241"/>
      <c r="BU97" s="241"/>
      <c r="BV97" s="241"/>
      <c r="BW97" s="241"/>
      <c r="BX97" s="241"/>
      <c r="BY97" s="241"/>
      <c r="BZ97" s="241"/>
      <c r="CA97" s="241"/>
      <c r="CB97" s="241"/>
      <c r="CC97" s="241"/>
      <c r="CD97" s="241"/>
      <c r="CE97" s="241"/>
      <c r="CF97" s="241"/>
      <c r="CG97" s="241"/>
      <c r="CH97" s="241"/>
      <c r="CI97" s="241"/>
      <c r="CJ97" s="241"/>
      <c r="CK97" s="241"/>
      <c r="CL97" s="241"/>
      <c r="CM97" s="241"/>
      <c r="CN97" s="241"/>
      <c r="CO97" s="241"/>
      <c r="CP97" s="241"/>
      <c r="CQ97" s="241"/>
      <c r="CR97" s="241"/>
      <c r="CS97" s="241"/>
      <c r="CT97" s="241"/>
      <c r="CU97" s="241"/>
      <c r="CV97" s="241"/>
      <c r="CW97" s="241"/>
      <c r="CX97" s="241"/>
      <c r="CY97" s="241"/>
      <c r="CZ97" s="241"/>
      <c r="DA97" s="241"/>
      <c r="DB97" s="241"/>
      <c r="DC97" s="241"/>
      <c r="DD97" s="241"/>
      <c r="DE97" s="241"/>
      <c r="DF97" s="241"/>
      <c r="DG97" s="241"/>
      <c r="DH97" s="241"/>
      <c r="DT97" s="241"/>
      <c r="FB97" s="241"/>
    </row>
    <row r="98" spans="4:158" hidden="1" x14ac:dyDescent="0.25">
      <c r="D98" s="241"/>
      <c r="E98" s="372"/>
      <c r="F98" s="372"/>
      <c r="G98" s="372"/>
      <c r="H98" s="372"/>
      <c r="I98" s="371"/>
      <c r="J98" s="372"/>
      <c r="K98" s="372"/>
      <c r="L98" s="372"/>
      <c r="M98" s="372"/>
      <c r="N98" s="371"/>
      <c r="O98" s="371"/>
      <c r="P98" s="371"/>
      <c r="Q98" s="371"/>
      <c r="R98" s="372"/>
      <c r="S98" s="372"/>
      <c r="T98" s="372"/>
      <c r="U98" s="372"/>
      <c r="V98" s="372"/>
      <c r="W98" s="372"/>
      <c r="X98" s="241"/>
      <c r="Y98" s="241"/>
      <c r="Z98" s="242"/>
      <c r="AA98" s="242"/>
      <c r="AB98" s="241"/>
      <c r="AC98" s="241"/>
      <c r="AD98" s="241"/>
      <c r="AE98" s="241"/>
      <c r="AF98" s="241"/>
      <c r="AG98" s="241"/>
      <c r="AH98" s="241"/>
      <c r="AI98" s="241"/>
      <c r="AJ98" s="274"/>
      <c r="AK98" s="241"/>
      <c r="AL98" s="241"/>
      <c r="AM98" s="241"/>
      <c r="AN98" s="241"/>
      <c r="AO98" s="241"/>
      <c r="AP98" s="241"/>
      <c r="AQ98" s="241"/>
      <c r="AR98" s="241"/>
      <c r="AS98" s="241"/>
      <c r="AT98" s="241"/>
      <c r="AU98" s="241"/>
      <c r="AV98" s="241"/>
      <c r="AW98" s="241"/>
      <c r="AX98" s="241"/>
      <c r="AY98" s="241"/>
      <c r="AZ98" s="241"/>
      <c r="BA98" s="241"/>
      <c r="BB98" s="241"/>
      <c r="BC98" s="241"/>
      <c r="BD98" s="241"/>
      <c r="BE98" s="241"/>
      <c r="BF98" s="241"/>
      <c r="BG98" s="241"/>
      <c r="BH98" s="241"/>
      <c r="BI98" s="241"/>
      <c r="BJ98" s="241"/>
      <c r="BK98" s="241"/>
      <c r="BL98" s="241"/>
      <c r="BM98" s="241"/>
      <c r="BN98" s="241"/>
      <c r="BO98" s="241"/>
      <c r="BP98" s="241"/>
      <c r="BQ98" s="241"/>
      <c r="BR98" s="241"/>
      <c r="BS98" s="241"/>
      <c r="BT98" s="241"/>
      <c r="BU98" s="241"/>
      <c r="BV98" s="241"/>
      <c r="BW98" s="241"/>
      <c r="BX98" s="241"/>
      <c r="BY98" s="241"/>
      <c r="BZ98" s="241"/>
      <c r="CA98" s="241"/>
      <c r="CB98" s="241"/>
      <c r="CC98" s="241"/>
      <c r="CD98" s="241"/>
      <c r="CE98" s="241"/>
      <c r="CF98" s="241"/>
      <c r="CG98" s="241"/>
      <c r="CH98" s="241"/>
      <c r="CI98" s="241"/>
      <c r="CJ98" s="241"/>
      <c r="CK98" s="241"/>
      <c r="CL98" s="241"/>
      <c r="CM98" s="241"/>
      <c r="CN98" s="241"/>
      <c r="CO98" s="241"/>
      <c r="CP98" s="241"/>
      <c r="CQ98" s="241"/>
      <c r="CR98" s="241"/>
      <c r="CS98" s="241"/>
      <c r="CT98" s="241"/>
      <c r="CU98" s="241"/>
      <c r="CV98" s="241"/>
      <c r="CW98" s="241"/>
      <c r="CX98" s="241"/>
      <c r="CY98" s="241"/>
      <c r="CZ98" s="241"/>
      <c r="DA98" s="241"/>
      <c r="DB98" s="241"/>
      <c r="DC98" s="241"/>
      <c r="DD98" s="241"/>
      <c r="DE98" s="241"/>
      <c r="DF98" s="241"/>
      <c r="DG98" s="241"/>
      <c r="DH98" s="241"/>
      <c r="DT98" s="241"/>
      <c r="FB98" s="241"/>
    </row>
    <row r="99" spans="4:158" hidden="1" x14ac:dyDescent="0.25">
      <c r="D99" s="241"/>
      <c r="E99" s="372"/>
      <c r="F99" s="372"/>
      <c r="G99" s="372"/>
      <c r="H99" s="372"/>
      <c r="I99" s="371"/>
      <c r="J99" s="372"/>
      <c r="K99" s="372"/>
      <c r="L99" s="372"/>
      <c r="M99" s="372"/>
      <c r="N99" s="371"/>
      <c r="O99" s="371"/>
      <c r="P99" s="371"/>
      <c r="Q99" s="371"/>
      <c r="R99" s="372"/>
      <c r="S99" s="372"/>
      <c r="T99" s="372"/>
      <c r="U99" s="372"/>
      <c r="V99" s="372"/>
      <c r="W99" s="372"/>
      <c r="X99" s="241"/>
      <c r="Y99" s="241"/>
      <c r="Z99" s="242"/>
      <c r="AA99" s="242"/>
      <c r="AB99" s="241"/>
      <c r="AC99" s="241"/>
      <c r="AD99" s="241"/>
      <c r="AE99" s="241"/>
      <c r="AF99" s="241"/>
      <c r="AG99" s="241"/>
      <c r="AH99" s="241"/>
      <c r="AI99" s="241"/>
      <c r="AJ99" s="274"/>
      <c r="AK99" s="241"/>
      <c r="AL99" s="241"/>
      <c r="AM99" s="241"/>
      <c r="AN99" s="241"/>
      <c r="AO99" s="241"/>
      <c r="AP99" s="241"/>
      <c r="AQ99" s="241"/>
      <c r="AR99" s="241"/>
      <c r="AS99" s="241"/>
      <c r="AT99" s="241"/>
      <c r="AU99" s="241"/>
      <c r="AV99" s="241"/>
      <c r="AW99" s="241"/>
      <c r="AX99" s="241"/>
      <c r="AY99" s="241"/>
      <c r="AZ99" s="241"/>
      <c r="BA99" s="241"/>
      <c r="BB99" s="241"/>
      <c r="BC99" s="241"/>
      <c r="BD99" s="241"/>
      <c r="BE99" s="241"/>
      <c r="BF99" s="241"/>
      <c r="BG99" s="241"/>
      <c r="BH99" s="241"/>
      <c r="BI99" s="241"/>
      <c r="BJ99" s="241"/>
      <c r="BK99" s="241"/>
      <c r="BL99" s="241"/>
      <c r="BM99" s="241"/>
      <c r="BN99" s="241"/>
      <c r="BO99" s="241"/>
      <c r="BP99" s="241"/>
      <c r="BQ99" s="241"/>
      <c r="BR99" s="241"/>
      <c r="BS99" s="241"/>
      <c r="BT99" s="241"/>
      <c r="BU99" s="241"/>
      <c r="BV99" s="241"/>
      <c r="BW99" s="241"/>
      <c r="BX99" s="241"/>
      <c r="BY99" s="241"/>
      <c r="BZ99" s="241"/>
      <c r="CA99" s="241"/>
      <c r="CB99" s="241"/>
      <c r="CC99" s="241"/>
      <c r="CD99" s="241"/>
      <c r="CE99" s="241"/>
      <c r="CF99" s="241"/>
      <c r="CG99" s="241"/>
      <c r="CH99" s="241"/>
      <c r="CI99" s="241"/>
      <c r="CJ99" s="241"/>
      <c r="CK99" s="241"/>
      <c r="CL99" s="241"/>
      <c r="CM99" s="241"/>
      <c r="CN99" s="241"/>
      <c r="CO99" s="241"/>
      <c r="CP99" s="241"/>
      <c r="CQ99" s="241"/>
      <c r="CR99" s="241"/>
      <c r="CS99" s="241"/>
      <c r="CT99" s="241"/>
      <c r="CU99" s="241"/>
      <c r="CV99" s="241"/>
      <c r="CW99" s="241"/>
      <c r="CX99" s="241"/>
      <c r="CY99" s="241"/>
      <c r="CZ99" s="241"/>
      <c r="DA99" s="241"/>
      <c r="DB99" s="241"/>
      <c r="DC99" s="241"/>
      <c r="DD99" s="241"/>
      <c r="DE99" s="241"/>
      <c r="DF99" s="241"/>
      <c r="DG99" s="241"/>
      <c r="DH99" s="241"/>
      <c r="DT99" s="241"/>
      <c r="FB99" s="241"/>
    </row>
    <row r="100" spans="4:158" hidden="1" x14ac:dyDescent="0.25">
      <c r="D100" s="241"/>
      <c r="E100" s="372"/>
      <c r="F100" s="372"/>
      <c r="G100" s="372"/>
      <c r="H100" s="372"/>
      <c r="I100" s="371"/>
      <c r="J100" s="372"/>
      <c r="K100" s="372"/>
      <c r="L100" s="372"/>
      <c r="M100" s="372"/>
      <c r="N100" s="371"/>
      <c r="O100" s="371"/>
      <c r="P100" s="371"/>
      <c r="Q100" s="371"/>
      <c r="R100" s="372"/>
      <c r="S100" s="372"/>
      <c r="T100" s="372"/>
      <c r="U100" s="372"/>
      <c r="V100" s="372"/>
      <c r="W100" s="372"/>
      <c r="X100" s="241"/>
      <c r="Y100" s="241"/>
      <c r="Z100" s="242"/>
      <c r="AA100" s="242"/>
      <c r="AB100" s="241"/>
      <c r="AC100" s="241"/>
      <c r="AD100" s="241"/>
      <c r="AE100" s="241"/>
      <c r="AF100" s="241"/>
      <c r="AG100" s="241"/>
      <c r="AH100" s="241"/>
      <c r="AI100" s="241"/>
      <c r="AJ100" s="274"/>
      <c r="AK100" s="241"/>
      <c r="AL100" s="241"/>
      <c r="AM100" s="241"/>
      <c r="AN100" s="241"/>
      <c r="AO100" s="241"/>
      <c r="AP100" s="241"/>
      <c r="AQ100" s="241"/>
      <c r="AR100" s="241"/>
      <c r="AS100" s="241"/>
      <c r="AT100" s="241"/>
      <c r="AU100" s="241"/>
      <c r="AV100" s="241"/>
      <c r="AW100" s="241"/>
      <c r="AX100" s="241"/>
      <c r="AY100" s="241"/>
      <c r="AZ100" s="241"/>
      <c r="BA100" s="241"/>
      <c r="BB100" s="241"/>
      <c r="BC100" s="241"/>
      <c r="BD100" s="241"/>
      <c r="BE100" s="241"/>
      <c r="BF100" s="241"/>
      <c r="BG100" s="241"/>
      <c r="BH100" s="241"/>
      <c r="BI100" s="241"/>
      <c r="BJ100" s="241"/>
      <c r="BK100" s="241"/>
      <c r="BL100" s="241"/>
      <c r="BM100" s="241"/>
      <c r="BN100" s="241"/>
      <c r="BO100" s="241"/>
      <c r="BP100" s="241"/>
      <c r="BQ100" s="241"/>
      <c r="BR100" s="241"/>
      <c r="BS100" s="241"/>
      <c r="BT100" s="241"/>
      <c r="BU100" s="241"/>
      <c r="BV100" s="241"/>
      <c r="BW100" s="241"/>
      <c r="BX100" s="241"/>
      <c r="BY100" s="241"/>
      <c r="BZ100" s="241"/>
      <c r="CA100" s="241"/>
      <c r="CB100" s="241"/>
      <c r="CC100" s="241"/>
      <c r="CD100" s="241"/>
      <c r="CE100" s="241"/>
      <c r="CF100" s="241"/>
      <c r="CG100" s="241"/>
      <c r="CH100" s="241"/>
      <c r="CI100" s="241"/>
      <c r="CJ100" s="241"/>
      <c r="CK100" s="241"/>
      <c r="CL100" s="241"/>
      <c r="CM100" s="241"/>
      <c r="CN100" s="241"/>
      <c r="CO100" s="241"/>
      <c r="CP100" s="241"/>
      <c r="CQ100" s="241"/>
      <c r="CR100" s="241"/>
      <c r="CS100" s="241"/>
      <c r="CT100" s="241"/>
      <c r="CU100" s="241"/>
      <c r="CV100" s="241"/>
      <c r="CW100" s="241"/>
      <c r="CX100" s="241"/>
      <c r="CY100" s="241"/>
      <c r="CZ100" s="241"/>
      <c r="DA100" s="241"/>
      <c r="DB100" s="241"/>
      <c r="DC100" s="241"/>
      <c r="DD100" s="241"/>
      <c r="DE100" s="241"/>
      <c r="DF100" s="241"/>
      <c r="DG100" s="241"/>
      <c r="DH100" s="241"/>
      <c r="DT100" s="241"/>
      <c r="FB100" s="241"/>
    </row>
    <row r="101" spans="4:158" hidden="1" x14ac:dyDescent="0.25">
      <c r="D101" s="241"/>
      <c r="E101" s="372"/>
      <c r="F101" s="372"/>
      <c r="G101" s="372"/>
      <c r="H101" s="372"/>
      <c r="I101" s="371"/>
      <c r="J101" s="372"/>
      <c r="K101" s="372"/>
      <c r="L101" s="372"/>
      <c r="M101" s="372"/>
      <c r="N101" s="371"/>
      <c r="O101" s="371"/>
      <c r="P101" s="371"/>
      <c r="Q101" s="371"/>
      <c r="R101" s="372"/>
      <c r="S101" s="372"/>
      <c r="T101" s="372"/>
      <c r="U101" s="372"/>
      <c r="V101" s="372"/>
      <c r="W101" s="372"/>
      <c r="X101" s="241"/>
      <c r="Y101" s="241"/>
      <c r="Z101" s="242"/>
      <c r="AA101" s="242"/>
      <c r="AB101" s="241"/>
      <c r="AC101" s="241"/>
      <c r="AD101" s="241"/>
      <c r="AE101" s="241"/>
      <c r="AF101" s="241"/>
      <c r="AG101" s="241"/>
      <c r="AH101" s="241"/>
      <c r="AI101" s="241"/>
      <c r="AJ101" s="274"/>
      <c r="AK101" s="241"/>
      <c r="AL101" s="241"/>
      <c r="AM101" s="241"/>
      <c r="AN101" s="241"/>
      <c r="AO101" s="241"/>
      <c r="AP101" s="241"/>
      <c r="AQ101" s="241"/>
      <c r="AR101" s="241"/>
      <c r="AS101" s="241"/>
      <c r="AT101" s="241"/>
      <c r="AU101" s="241"/>
      <c r="AV101" s="241"/>
      <c r="AW101" s="241"/>
      <c r="AX101" s="241"/>
      <c r="AY101" s="241"/>
      <c r="AZ101" s="241"/>
      <c r="BA101" s="241"/>
      <c r="BB101" s="241"/>
      <c r="BC101" s="241"/>
      <c r="BD101" s="241"/>
      <c r="BE101" s="241"/>
      <c r="BF101" s="241"/>
      <c r="BG101" s="241"/>
      <c r="BH101" s="241"/>
      <c r="BI101" s="241"/>
      <c r="BJ101" s="241"/>
      <c r="BK101" s="241"/>
      <c r="BL101" s="241"/>
      <c r="BM101" s="241"/>
      <c r="BN101" s="241"/>
      <c r="BO101" s="241"/>
      <c r="BP101" s="241"/>
      <c r="BQ101" s="241"/>
      <c r="BR101" s="241"/>
      <c r="BS101" s="241"/>
      <c r="BT101" s="241"/>
      <c r="BU101" s="241"/>
      <c r="BV101" s="241"/>
      <c r="BW101" s="241"/>
      <c r="BX101" s="241"/>
      <c r="BY101" s="241"/>
      <c r="BZ101" s="241"/>
      <c r="CA101" s="241"/>
      <c r="CB101" s="241"/>
      <c r="CC101" s="241"/>
      <c r="CD101" s="241"/>
      <c r="CE101" s="241"/>
      <c r="CF101" s="241"/>
      <c r="CG101" s="241"/>
      <c r="CH101" s="241"/>
      <c r="CI101" s="241"/>
      <c r="CJ101" s="241"/>
      <c r="CK101" s="241"/>
      <c r="CL101" s="241"/>
      <c r="CM101" s="241"/>
      <c r="CN101" s="241"/>
      <c r="CO101" s="241"/>
      <c r="CP101" s="241"/>
      <c r="CQ101" s="241"/>
      <c r="CR101" s="241"/>
      <c r="CS101" s="241"/>
      <c r="CT101" s="241"/>
      <c r="CU101" s="241"/>
      <c r="CV101" s="241"/>
      <c r="CW101" s="241"/>
      <c r="CX101" s="241"/>
      <c r="CY101" s="241"/>
      <c r="CZ101" s="241"/>
      <c r="DA101" s="241"/>
      <c r="DB101" s="241"/>
      <c r="DC101" s="241"/>
      <c r="DD101" s="241"/>
      <c r="DE101" s="241"/>
      <c r="DF101" s="241"/>
      <c r="DG101" s="241"/>
      <c r="DH101" s="241"/>
      <c r="DT101" s="241"/>
      <c r="FB101" s="241"/>
    </row>
    <row r="102" spans="4:158" hidden="1" x14ac:dyDescent="0.25">
      <c r="D102" s="241"/>
      <c r="E102" s="372"/>
      <c r="F102" s="372"/>
      <c r="G102" s="372"/>
      <c r="H102" s="372"/>
      <c r="I102" s="371"/>
      <c r="J102" s="372"/>
      <c r="K102" s="372"/>
      <c r="L102" s="372"/>
      <c r="M102" s="372"/>
      <c r="N102" s="371"/>
      <c r="O102" s="371"/>
      <c r="P102" s="371"/>
      <c r="Q102" s="371"/>
      <c r="R102" s="372"/>
      <c r="S102" s="372"/>
      <c r="T102" s="372"/>
      <c r="U102" s="372"/>
      <c r="V102" s="372"/>
      <c r="W102" s="372"/>
      <c r="X102" s="241"/>
      <c r="Y102" s="241"/>
      <c r="Z102" s="242"/>
      <c r="AA102" s="242"/>
      <c r="AB102" s="241"/>
      <c r="AC102" s="241"/>
      <c r="AD102" s="241"/>
      <c r="AE102" s="241"/>
      <c r="AF102" s="241"/>
      <c r="AG102" s="241"/>
      <c r="AH102" s="241"/>
      <c r="AI102" s="241"/>
      <c r="AJ102" s="274"/>
      <c r="AK102" s="241"/>
      <c r="AL102" s="241"/>
      <c r="AM102" s="241"/>
      <c r="AN102" s="241"/>
      <c r="AO102" s="241"/>
      <c r="AP102" s="241"/>
      <c r="AQ102" s="241"/>
      <c r="AR102" s="241"/>
      <c r="AS102" s="241"/>
      <c r="AT102" s="241"/>
      <c r="AU102" s="241"/>
      <c r="AV102" s="241"/>
      <c r="AW102" s="241"/>
      <c r="AX102" s="241"/>
      <c r="AY102" s="241"/>
      <c r="AZ102" s="241"/>
      <c r="BA102" s="241"/>
      <c r="BB102" s="241"/>
      <c r="BC102" s="241"/>
      <c r="BD102" s="241"/>
      <c r="BE102" s="241"/>
      <c r="BF102" s="241"/>
      <c r="BG102" s="241"/>
      <c r="BH102" s="241"/>
      <c r="BI102" s="241"/>
      <c r="BJ102" s="241"/>
      <c r="BK102" s="241"/>
      <c r="BL102" s="241"/>
      <c r="BM102" s="241"/>
      <c r="BN102" s="241"/>
      <c r="BO102" s="241"/>
      <c r="BP102" s="241"/>
      <c r="BQ102" s="241"/>
      <c r="BR102" s="241"/>
      <c r="BS102" s="241"/>
      <c r="BT102" s="241"/>
      <c r="BU102" s="241"/>
      <c r="BV102" s="241"/>
      <c r="BW102" s="241"/>
      <c r="BX102" s="241"/>
      <c r="BY102" s="241"/>
      <c r="BZ102" s="241"/>
      <c r="CA102" s="241"/>
      <c r="CB102" s="241"/>
      <c r="CC102" s="241"/>
      <c r="CD102" s="241"/>
      <c r="CE102" s="241"/>
      <c r="CF102" s="241"/>
      <c r="CG102" s="241"/>
      <c r="CH102" s="241"/>
      <c r="CI102" s="241"/>
      <c r="CJ102" s="241"/>
      <c r="CK102" s="241"/>
      <c r="CL102" s="241"/>
      <c r="CM102" s="241"/>
      <c r="CN102" s="241"/>
      <c r="CO102" s="241"/>
      <c r="CP102" s="241"/>
      <c r="CQ102" s="241"/>
      <c r="CR102" s="241"/>
      <c r="CS102" s="241"/>
      <c r="CT102" s="241"/>
      <c r="CU102" s="241"/>
      <c r="CV102" s="241"/>
      <c r="CW102" s="241"/>
      <c r="CX102" s="241"/>
      <c r="CY102" s="241"/>
      <c r="CZ102" s="241"/>
      <c r="DA102" s="241"/>
      <c r="DB102" s="241"/>
      <c r="DC102" s="241"/>
      <c r="DD102" s="241"/>
      <c r="DE102" s="241"/>
      <c r="DF102" s="241"/>
      <c r="DG102" s="241"/>
      <c r="DH102" s="241"/>
      <c r="DT102" s="241"/>
      <c r="FB102" s="241"/>
    </row>
    <row r="103" spans="4:158" hidden="1" x14ac:dyDescent="0.25">
      <c r="D103" s="241"/>
      <c r="E103" s="372"/>
      <c r="F103" s="382" t="s">
        <v>120</v>
      </c>
      <c r="G103" s="372"/>
      <c r="H103" s="372"/>
      <c r="I103" s="371"/>
      <c r="J103" s="372"/>
      <c r="K103" s="372"/>
      <c r="L103" s="372"/>
      <c r="M103" s="372"/>
      <c r="N103" s="371"/>
      <c r="O103" s="371"/>
      <c r="P103" s="371"/>
      <c r="Q103" s="371"/>
      <c r="R103" s="372"/>
      <c r="S103" s="372"/>
      <c r="T103" s="372"/>
      <c r="U103" s="372"/>
      <c r="V103" s="372"/>
      <c r="W103" s="372"/>
      <c r="X103" s="241"/>
      <c r="Y103" s="241"/>
      <c r="Z103" s="242"/>
      <c r="AA103" s="242"/>
      <c r="AB103" s="241"/>
      <c r="AC103" s="241"/>
      <c r="AD103" s="241"/>
      <c r="AE103" s="241"/>
      <c r="AF103" s="241"/>
      <c r="AG103" s="241"/>
      <c r="AH103" s="241"/>
      <c r="AI103" s="241"/>
      <c r="AJ103" s="274"/>
      <c r="AK103" s="241"/>
      <c r="AL103" s="241"/>
      <c r="AM103" s="241"/>
      <c r="AN103" s="241"/>
      <c r="AO103" s="241"/>
      <c r="AP103" s="241"/>
      <c r="AQ103" s="241"/>
      <c r="AR103" s="241"/>
      <c r="AS103" s="241"/>
      <c r="AT103" s="241"/>
      <c r="AU103" s="241"/>
      <c r="AV103" s="241"/>
      <c r="AW103" s="241"/>
      <c r="AX103" s="241"/>
      <c r="AY103" s="241"/>
      <c r="AZ103" s="241"/>
      <c r="BA103" s="241"/>
      <c r="BB103" s="241"/>
      <c r="BC103" s="241"/>
      <c r="BD103" s="241"/>
      <c r="BE103" s="241"/>
      <c r="BF103" s="241"/>
      <c r="BG103" s="241"/>
      <c r="BH103" s="241"/>
      <c r="BI103" s="241"/>
      <c r="BJ103" s="241"/>
      <c r="BK103" s="241"/>
      <c r="BL103" s="241"/>
      <c r="BM103" s="241"/>
      <c r="BN103" s="241"/>
      <c r="BO103" s="241"/>
      <c r="BP103" s="241"/>
      <c r="BQ103" s="241"/>
      <c r="BR103" s="241"/>
      <c r="BS103" s="241"/>
      <c r="BT103" s="241"/>
      <c r="BU103" s="241"/>
      <c r="BV103" s="241"/>
      <c r="BW103" s="241"/>
      <c r="BX103" s="241"/>
      <c r="BY103" s="241"/>
      <c r="BZ103" s="241"/>
      <c r="CA103" s="241"/>
      <c r="CB103" s="241"/>
      <c r="CC103" s="241"/>
      <c r="CD103" s="241"/>
      <c r="CE103" s="241"/>
      <c r="CF103" s="241"/>
      <c r="CG103" s="241"/>
      <c r="CH103" s="241"/>
      <c r="CI103" s="241"/>
      <c r="CJ103" s="241"/>
      <c r="CK103" s="241"/>
      <c r="CL103" s="241"/>
      <c r="CM103" s="241"/>
      <c r="CN103" s="241"/>
      <c r="CO103" s="241"/>
      <c r="CP103" s="241"/>
      <c r="CQ103" s="241"/>
      <c r="CR103" s="241"/>
      <c r="CS103" s="241"/>
      <c r="CT103" s="241"/>
      <c r="CU103" s="241"/>
      <c r="CV103" s="241"/>
      <c r="CW103" s="241"/>
      <c r="CX103" s="241"/>
      <c r="CY103" s="241"/>
      <c r="CZ103" s="241"/>
      <c r="DA103" s="241"/>
      <c r="DB103" s="241"/>
      <c r="DC103" s="241"/>
      <c r="DD103" s="241"/>
      <c r="DE103" s="241"/>
      <c r="DF103" s="241"/>
      <c r="DG103" s="241"/>
      <c r="DH103" s="241"/>
      <c r="DT103" s="241"/>
      <c r="FB103" s="241"/>
    </row>
    <row r="104" spans="4:158" hidden="1" x14ac:dyDescent="0.25">
      <c r="D104" s="241"/>
      <c r="E104" s="372"/>
      <c r="F104" s="382" t="s">
        <v>121</v>
      </c>
      <c r="G104" s="372"/>
      <c r="H104" s="372"/>
      <c r="I104" s="371"/>
      <c r="J104" s="382"/>
      <c r="K104" s="372"/>
      <c r="L104" s="372"/>
      <c r="M104" s="372"/>
      <c r="N104" s="371"/>
      <c r="O104" s="371"/>
      <c r="P104" s="371"/>
      <c r="Q104" s="371"/>
      <c r="R104" s="372"/>
      <c r="S104" s="372"/>
      <c r="T104" s="372"/>
      <c r="U104" s="372"/>
      <c r="V104" s="372"/>
      <c r="W104" s="372"/>
      <c r="X104" s="241"/>
      <c r="Y104" s="241"/>
      <c r="Z104" s="242"/>
      <c r="AA104" s="242"/>
      <c r="AB104" s="241"/>
      <c r="AC104" s="241"/>
      <c r="AD104" s="241"/>
      <c r="AE104" s="241"/>
      <c r="AF104" s="241"/>
      <c r="AG104" s="241"/>
      <c r="AH104" s="241"/>
      <c r="AI104" s="241"/>
      <c r="AJ104" s="274"/>
      <c r="AK104" s="241"/>
      <c r="AL104" s="241"/>
      <c r="AM104" s="241"/>
      <c r="AN104" s="241"/>
      <c r="AO104" s="241"/>
      <c r="AP104" s="241"/>
      <c r="AQ104" s="241"/>
      <c r="AR104" s="241"/>
      <c r="AS104" s="241"/>
      <c r="AT104" s="241"/>
      <c r="AU104" s="241"/>
      <c r="AV104" s="241"/>
      <c r="AW104" s="241"/>
      <c r="AX104" s="241"/>
      <c r="AY104" s="241"/>
      <c r="AZ104" s="241"/>
      <c r="BA104" s="241"/>
      <c r="BB104" s="241"/>
      <c r="BC104" s="241"/>
      <c r="BD104" s="241"/>
      <c r="BE104" s="241"/>
      <c r="BF104" s="241"/>
      <c r="BG104" s="241"/>
      <c r="BH104" s="241"/>
      <c r="BI104" s="241"/>
      <c r="BJ104" s="241"/>
      <c r="BK104" s="241"/>
      <c r="BL104" s="241"/>
      <c r="BM104" s="241"/>
      <c r="BN104" s="241"/>
      <c r="BO104" s="241"/>
      <c r="BP104" s="241"/>
      <c r="BQ104" s="241"/>
      <c r="BR104" s="241"/>
      <c r="BS104" s="241"/>
      <c r="BT104" s="241"/>
      <c r="BU104" s="241"/>
      <c r="BV104" s="241"/>
      <c r="BW104" s="241"/>
      <c r="BX104" s="241"/>
      <c r="BY104" s="241"/>
      <c r="BZ104" s="241"/>
      <c r="CA104" s="241"/>
      <c r="CB104" s="241"/>
      <c r="CC104" s="241"/>
      <c r="CD104" s="241"/>
      <c r="CE104" s="241"/>
      <c r="CF104" s="241"/>
      <c r="CG104" s="241"/>
      <c r="CH104" s="241"/>
      <c r="CI104" s="241"/>
      <c r="CJ104" s="241"/>
      <c r="CK104" s="241"/>
      <c r="CL104" s="241"/>
      <c r="CM104" s="241"/>
      <c r="CN104" s="241"/>
      <c r="CO104" s="241"/>
      <c r="CP104" s="241"/>
      <c r="CQ104" s="241"/>
      <c r="CR104" s="241"/>
      <c r="CS104" s="241"/>
      <c r="CT104" s="241"/>
      <c r="CU104" s="241"/>
      <c r="CV104" s="241"/>
      <c r="CW104" s="241"/>
      <c r="CX104" s="241"/>
      <c r="CY104" s="241"/>
      <c r="CZ104" s="241"/>
      <c r="DA104" s="241"/>
      <c r="DB104" s="241"/>
      <c r="DC104" s="241"/>
      <c r="DD104" s="241"/>
      <c r="DE104" s="241"/>
      <c r="DF104" s="241"/>
      <c r="DG104" s="241"/>
      <c r="DH104" s="241"/>
      <c r="DT104" s="241"/>
      <c r="FB104" s="241"/>
    </row>
    <row r="105" spans="4:158" hidden="1" x14ac:dyDescent="0.25">
      <c r="D105" s="241"/>
      <c r="E105" s="372"/>
      <c r="F105" s="383"/>
      <c r="G105" s="372"/>
      <c r="H105" s="372"/>
      <c r="I105" s="371"/>
      <c r="J105" s="382"/>
      <c r="K105" s="372"/>
      <c r="L105" s="372"/>
      <c r="M105" s="372"/>
      <c r="N105" s="371"/>
      <c r="O105" s="371"/>
      <c r="P105" s="371"/>
      <c r="Q105" s="371"/>
      <c r="R105" s="372"/>
      <c r="S105" s="372"/>
      <c r="T105" s="372"/>
      <c r="U105" s="372"/>
      <c r="V105" s="372"/>
      <c r="W105" s="372"/>
      <c r="X105" s="241"/>
      <c r="Y105" s="241"/>
      <c r="Z105" s="242"/>
      <c r="AA105" s="242"/>
      <c r="AB105" s="241"/>
      <c r="AC105" s="241"/>
      <c r="AD105" s="241"/>
      <c r="AE105" s="241"/>
      <c r="AF105" s="241"/>
      <c r="AG105" s="241"/>
      <c r="AH105" s="241"/>
      <c r="AI105" s="241"/>
      <c r="AJ105" s="274"/>
      <c r="AK105" s="241"/>
      <c r="AL105" s="241"/>
      <c r="AM105" s="241"/>
      <c r="AN105" s="241"/>
      <c r="AO105" s="241"/>
      <c r="AP105" s="241"/>
      <c r="AQ105" s="241"/>
      <c r="AR105" s="241"/>
      <c r="AS105" s="241"/>
      <c r="AT105" s="241"/>
      <c r="AU105" s="241"/>
      <c r="AV105" s="241"/>
      <c r="AW105" s="241"/>
      <c r="AX105" s="241"/>
      <c r="AY105" s="241"/>
      <c r="AZ105" s="241"/>
      <c r="BA105" s="241"/>
      <c r="BB105" s="241"/>
      <c r="BC105" s="241"/>
      <c r="BD105" s="241"/>
      <c r="BE105" s="241"/>
      <c r="BF105" s="241"/>
      <c r="BG105" s="241"/>
      <c r="BH105" s="241"/>
      <c r="BI105" s="241"/>
      <c r="BJ105" s="241"/>
      <c r="BK105" s="241"/>
      <c r="BL105" s="241"/>
      <c r="BM105" s="241"/>
      <c r="BN105" s="241"/>
      <c r="BO105" s="241"/>
      <c r="BP105" s="241"/>
      <c r="BQ105" s="241"/>
      <c r="BR105" s="241"/>
      <c r="BS105" s="241"/>
      <c r="BT105" s="241"/>
      <c r="BU105" s="241"/>
      <c r="BV105" s="241"/>
      <c r="BW105" s="241"/>
      <c r="BX105" s="241"/>
      <c r="BY105" s="241"/>
      <c r="BZ105" s="241"/>
      <c r="CA105" s="241"/>
      <c r="CB105" s="241"/>
      <c r="CC105" s="241"/>
      <c r="CD105" s="241"/>
      <c r="CE105" s="241"/>
      <c r="CF105" s="241"/>
      <c r="CG105" s="241"/>
      <c r="CH105" s="241"/>
      <c r="CI105" s="241"/>
      <c r="CJ105" s="241"/>
      <c r="CK105" s="241"/>
      <c r="CL105" s="241"/>
      <c r="CM105" s="241"/>
      <c r="CN105" s="241"/>
      <c r="CO105" s="241"/>
      <c r="CP105" s="241"/>
      <c r="CQ105" s="241"/>
      <c r="CR105" s="241"/>
      <c r="CS105" s="241"/>
      <c r="CT105" s="241"/>
      <c r="CU105" s="241"/>
      <c r="CV105" s="241"/>
      <c r="CW105" s="241"/>
      <c r="CX105" s="241"/>
      <c r="CY105" s="241"/>
      <c r="CZ105" s="241"/>
      <c r="DA105" s="241"/>
      <c r="DB105" s="241"/>
      <c r="DC105" s="241"/>
      <c r="DD105" s="241"/>
      <c r="DE105" s="241"/>
      <c r="DF105" s="241"/>
      <c r="DG105" s="241"/>
      <c r="DH105" s="241"/>
      <c r="DT105" s="241"/>
      <c r="FB105" s="241"/>
    </row>
    <row r="106" spans="4:158" hidden="1" x14ac:dyDescent="0.25">
      <c r="D106" s="241"/>
      <c r="E106" s="372"/>
      <c r="F106" s="382"/>
      <c r="G106" s="383"/>
      <c r="H106" s="383"/>
      <c r="I106" s="383"/>
      <c r="J106" s="383"/>
      <c r="K106" s="383"/>
      <c r="L106" s="383"/>
      <c r="M106" s="383"/>
      <c r="N106" s="383"/>
      <c r="O106" s="371"/>
      <c r="P106" s="371"/>
      <c r="Q106" s="371"/>
      <c r="R106" s="372"/>
      <c r="S106" s="372"/>
      <c r="T106" s="372"/>
      <c r="U106" s="372"/>
      <c r="V106" s="372"/>
      <c r="W106" s="372"/>
      <c r="X106" s="241"/>
      <c r="Y106" s="241"/>
      <c r="Z106" s="242"/>
      <c r="AA106" s="242"/>
      <c r="AB106" s="241"/>
      <c r="AC106" s="241"/>
      <c r="AD106" s="241"/>
      <c r="AE106" s="241"/>
      <c r="AF106" s="241"/>
      <c r="AG106" s="241"/>
      <c r="AH106" s="241"/>
      <c r="AI106" s="241"/>
      <c r="AJ106" s="274"/>
      <c r="AK106" s="241"/>
      <c r="AL106" s="241"/>
      <c r="AM106" s="241"/>
      <c r="AN106" s="241"/>
      <c r="AO106" s="241"/>
      <c r="AP106" s="241"/>
      <c r="AQ106" s="241"/>
      <c r="AR106" s="241"/>
      <c r="AS106" s="241"/>
      <c r="AT106" s="241"/>
      <c r="AU106" s="241"/>
      <c r="AV106" s="241"/>
      <c r="AW106" s="241"/>
      <c r="AX106" s="241"/>
      <c r="AY106" s="241"/>
      <c r="AZ106" s="241"/>
      <c r="BA106" s="241"/>
      <c r="BB106" s="241"/>
      <c r="BC106" s="241"/>
      <c r="BD106" s="241"/>
      <c r="BE106" s="241"/>
      <c r="BF106" s="241"/>
      <c r="BG106" s="241"/>
      <c r="BH106" s="241"/>
      <c r="BI106" s="241"/>
      <c r="BJ106" s="241"/>
      <c r="BK106" s="241"/>
      <c r="BL106" s="241"/>
      <c r="BM106" s="241"/>
      <c r="BN106" s="241"/>
      <c r="BO106" s="241"/>
      <c r="BP106" s="241"/>
      <c r="BQ106" s="241"/>
      <c r="BR106" s="241"/>
      <c r="BS106" s="241"/>
      <c r="BT106" s="241"/>
      <c r="BU106" s="241"/>
      <c r="BV106" s="241"/>
      <c r="BW106" s="241"/>
      <c r="BX106" s="241"/>
      <c r="BY106" s="241"/>
      <c r="BZ106" s="241"/>
      <c r="CA106" s="241"/>
      <c r="CB106" s="241"/>
      <c r="CC106" s="241"/>
      <c r="CD106" s="241"/>
      <c r="CE106" s="241"/>
      <c r="CF106" s="241"/>
      <c r="CG106" s="241"/>
      <c r="CH106" s="241"/>
      <c r="CI106" s="241"/>
      <c r="CJ106" s="241"/>
      <c r="CK106" s="241"/>
      <c r="CL106" s="241"/>
      <c r="CM106" s="241"/>
      <c r="CN106" s="241"/>
      <c r="CO106" s="241"/>
      <c r="CP106" s="241"/>
      <c r="CQ106" s="241"/>
      <c r="CR106" s="241"/>
      <c r="CS106" s="241"/>
      <c r="CT106" s="241"/>
      <c r="CU106" s="241"/>
      <c r="CV106" s="241"/>
      <c r="CW106" s="241"/>
      <c r="CX106" s="241"/>
      <c r="CY106" s="241"/>
      <c r="CZ106" s="241"/>
      <c r="DA106" s="241"/>
      <c r="DB106" s="241"/>
      <c r="DC106" s="241"/>
      <c r="DD106" s="241"/>
      <c r="DE106" s="241"/>
      <c r="DF106" s="241"/>
      <c r="DG106" s="241"/>
      <c r="DH106" s="241"/>
      <c r="DT106" s="241"/>
      <c r="FB106" s="241"/>
    </row>
    <row r="107" spans="4:158" hidden="1" x14ac:dyDescent="0.25">
      <c r="D107" s="241"/>
      <c r="E107" s="372"/>
      <c r="F107" s="372"/>
      <c r="G107" s="372"/>
      <c r="H107" s="372"/>
      <c r="I107" s="371"/>
      <c r="J107" s="382"/>
      <c r="K107" s="372"/>
      <c r="L107" s="372"/>
      <c r="M107" s="372"/>
      <c r="N107" s="371"/>
      <c r="O107" s="371"/>
      <c r="P107" s="371"/>
      <c r="Q107" s="371"/>
      <c r="R107" s="372"/>
      <c r="S107" s="372"/>
      <c r="T107" s="372"/>
      <c r="U107" s="372"/>
      <c r="V107" s="372"/>
      <c r="W107" s="372"/>
      <c r="X107" s="241"/>
      <c r="Y107" s="241"/>
      <c r="Z107" s="242"/>
      <c r="AA107" s="242"/>
      <c r="AB107" s="241"/>
      <c r="AC107" s="241"/>
      <c r="AD107" s="241"/>
      <c r="AE107" s="241"/>
      <c r="AF107" s="241"/>
      <c r="AG107" s="241"/>
      <c r="AH107" s="241"/>
      <c r="AI107" s="241"/>
      <c r="AJ107" s="274"/>
      <c r="AK107" s="241"/>
      <c r="AL107" s="241"/>
      <c r="AM107" s="241"/>
      <c r="AN107" s="241"/>
      <c r="AO107" s="241"/>
      <c r="AP107" s="241"/>
      <c r="AQ107" s="241"/>
      <c r="AR107" s="241"/>
      <c r="AS107" s="241"/>
      <c r="AT107" s="241"/>
      <c r="AU107" s="241"/>
      <c r="AV107" s="241"/>
      <c r="AW107" s="241"/>
      <c r="AX107" s="241"/>
      <c r="AY107" s="241"/>
      <c r="AZ107" s="241"/>
      <c r="BA107" s="241"/>
      <c r="BB107" s="241"/>
      <c r="BC107" s="241"/>
      <c r="BD107" s="241"/>
      <c r="BE107" s="241"/>
      <c r="BF107" s="241"/>
      <c r="BG107" s="241"/>
      <c r="BH107" s="241"/>
      <c r="BI107" s="241"/>
      <c r="BJ107" s="241"/>
      <c r="BK107" s="241"/>
      <c r="BL107" s="241"/>
      <c r="BM107" s="241"/>
      <c r="BN107" s="241"/>
      <c r="BO107" s="241"/>
      <c r="BP107" s="241"/>
      <c r="BQ107" s="241"/>
      <c r="BR107" s="241"/>
      <c r="BS107" s="241"/>
      <c r="BT107" s="241"/>
      <c r="BU107" s="241"/>
      <c r="BV107" s="241"/>
      <c r="BW107" s="241"/>
      <c r="BX107" s="241"/>
      <c r="BY107" s="241"/>
      <c r="BZ107" s="241"/>
      <c r="CA107" s="241"/>
      <c r="CB107" s="241"/>
      <c r="CC107" s="241"/>
      <c r="CD107" s="241"/>
      <c r="CE107" s="241"/>
      <c r="CF107" s="241"/>
      <c r="CG107" s="241"/>
      <c r="CH107" s="241"/>
      <c r="CI107" s="241"/>
      <c r="CJ107" s="241"/>
      <c r="CK107" s="241"/>
      <c r="CL107" s="241"/>
      <c r="CM107" s="241"/>
      <c r="CN107" s="241"/>
      <c r="CO107" s="241"/>
      <c r="CP107" s="241"/>
      <c r="CQ107" s="241"/>
      <c r="CR107" s="241"/>
      <c r="CS107" s="241"/>
      <c r="CT107" s="241"/>
      <c r="CU107" s="241"/>
      <c r="CV107" s="241"/>
      <c r="CW107" s="241"/>
      <c r="CX107" s="241"/>
      <c r="CY107" s="241"/>
      <c r="CZ107" s="241"/>
      <c r="DA107" s="241"/>
      <c r="DB107" s="241"/>
      <c r="DC107" s="241"/>
      <c r="DD107" s="241"/>
      <c r="DE107" s="241"/>
      <c r="DF107" s="241"/>
      <c r="DG107" s="241"/>
      <c r="DH107" s="241"/>
      <c r="DT107" s="241"/>
      <c r="FB107" s="241"/>
    </row>
    <row r="108" spans="4:158" hidden="1" x14ac:dyDescent="0.25">
      <c r="D108" s="241"/>
      <c r="E108" s="372"/>
      <c r="F108" s="384">
        <f>STDEV(G14:G25)</f>
        <v>6062177.8264910709</v>
      </c>
      <c r="G108" s="372"/>
      <c r="H108" s="372"/>
      <c r="I108" s="372"/>
      <c r="J108" s="382"/>
      <c r="K108" s="372"/>
      <c r="L108" s="382">
        <f>M84-M94</f>
        <v>-1844021.2354340758</v>
      </c>
      <c r="M108" s="372"/>
      <c r="N108" s="371"/>
      <c r="O108" s="371"/>
      <c r="P108" s="371"/>
      <c r="Q108" s="371"/>
      <c r="R108" s="372"/>
      <c r="S108" s="372"/>
      <c r="T108" s="372"/>
      <c r="U108" s="372"/>
      <c r="V108" s="372"/>
      <c r="W108" s="372"/>
      <c r="X108" s="241"/>
      <c r="Y108" s="241"/>
      <c r="Z108" s="242"/>
      <c r="AA108" s="242"/>
      <c r="AB108" s="241"/>
      <c r="AC108" s="241"/>
      <c r="AD108" s="241"/>
      <c r="AE108" s="241"/>
      <c r="AF108" s="241"/>
      <c r="AG108" s="241"/>
      <c r="AH108" s="241"/>
      <c r="AI108" s="241"/>
      <c r="AJ108" s="274"/>
      <c r="AK108" s="241"/>
      <c r="AL108" s="241"/>
      <c r="AM108" s="241"/>
      <c r="AN108" s="241"/>
      <c r="AO108" s="241"/>
      <c r="AP108" s="241"/>
      <c r="AQ108" s="241"/>
      <c r="AR108" s="241"/>
      <c r="AS108" s="241"/>
      <c r="AT108" s="241"/>
      <c r="AU108" s="241"/>
      <c r="AV108" s="241"/>
      <c r="AW108" s="241"/>
      <c r="AX108" s="241"/>
      <c r="AY108" s="241"/>
      <c r="AZ108" s="241"/>
      <c r="BA108" s="241"/>
      <c r="BB108" s="241"/>
      <c r="BC108" s="241"/>
      <c r="BD108" s="241"/>
      <c r="BE108" s="241"/>
      <c r="BF108" s="241"/>
      <c r="BG108" s="241"/>
      <c r="BH108" s="241"/>
      <c r="BI108" s="241"/>
      <c r="BJ108" s="241"/>
      <c r="BK108" s="241"/>
      <c r="BL108" s="241"/>
      <c r="BM108" s="241"/>
      <c r="BN108" s="241"/>
      <c r="BO108" s="241"/>
      <c r="BP108" s="241"/>
      <c r="BQ108" s="241"/>
      <c r="BR108" s="241"/>
      <c r="BS108" s="241"/>
      <c r="BT108" s="241"/>
      <c r="BU108" s="241"/>
      <c r="BV108" s="241"/>
      <c r="BW108" s="241"/>
      <c r="BX108" s="241"/>
      <c r="BY108" s="241"/>
      <c r="BZ108" s="241"/>
      <c r="CA108" s="241"/>
      <c r="CB108" s="241"/>
      <c r="CC108" s="241"/>
      <c r="CD108" s="241"/>
      <c r="CE108" s="241"/>
      <c r="CF108" s="241"/>
      <c r="CG108" s="241"/>
      <c r="CH108" s="241"/>
      <c r="CI108" s="241"/>
      <c r="CJ108" s="241"/>
      <c r="CK108" s="241"/>
      <c r="CL108" s="241"/>
      <c r="CM108" s="241"/>
      <c r="CN108" s="241"/>
      <c r="CO108" s="241"/>
      <c r="CP108" s="241"/>
      <c r="CQ108" s="241"/>
      <c r="CR108" s="241"/>
      <c r="CS108" s="241"/>
      <c r="CT108" s="241"/>
      <c r="CU108" s="241"/>
      <c r="CV108" s="241"/>
      <c r="CW108" s="241"/>
      <c r="CX108" s="241"/>
      <c r="CY108" s="241"/>
      <c r="CZ108" s="241"/>
      <c r="DA108" s="241"/>
      <c r="DB108" s="241"/>
      <c r="DC108" s="241"/>
      <c r="DD108" s="241"/>
      <c r="DE108" s="241"/>
      <c r="DF108" s="241"/>
      <c r="DG108" s="241"/>
      <c r="DH108" s="241"/>
      <c r="DT108" s="241"/>
      <c r="FB108" s="241"/>
    </row>
    <row r="109" spans="4:158" hidden="1" x14ac:dyDescent="0.25">
      <c r="D109" s="241"/>
      <c r="E109" s="372"/>
      <c r="F109" s="372"/>
      <c r="G109" s="372"/>
      <c r="H109" s="372"/>
      <c r="I109" s="371"/>
      <c r="J109" s="385">
        <f>IF((M86+M88)=0,M84,(M93*Hoja15!J114-Hoja15!K114))</f>
        <v>13702706.461442402</v>
      </c>
      <c r="K109" s="372"/>
      <c r="L109" s="382">
        <f>IF((M86+M88)&gt;0,M84-M94,0)</f>
        <v>0</v>
      </c>
      <c r="M109" s="372"/>
      <c r="N109" s="371"/>
      <c r="O109" s="371"/>
      <c r="P109" s="371"/>
      <c r="Q109" s="371"/>
      <c r="R109" s="372"/>
      <c r="S109" s="372"/>
      <c r="T109" s="372"/>
      <c r="U109" s="372"/>
      <c r="V109" s="372"/>
      <c r="W109" s="372"/>
      <c r="X109" s="241"/>
      <c r="Y109" s="241"/>
      <c r="Z109" s="242"/>
      <c r="AA109" s="242"/>
      <c r="AB109" s="241"/>
      <c r="AC109" s="241"/>
      <c r="AD109" s="241"/>
      <c r="AE109" s="241"/>
      <c r="AF109" s="241"/>
      <c r="AG109" s="241"/>
      <c r="AH109" s="241"/>
      <c r="AI109" s="241"/>
      <c r="AJ109" s="274"/>
      <c r="AK109" s="241"/>
      <c r="AL109" s="241"/>
      <c r="AM109" s="241"/>
      <c r="AN109" s="241"/>
      <c r="AO109" s="241"/>
      <c r="AP109" s="241"/>
      <c r="AQ109" s="241"/>
      <c r="AR109" s="241"/>
      <c r="AS109" s="241"/>
      <c r="AT109" s="241"/>
      <c r="AU109" s="241"/>
      <c r="AV109" s="241"/>
      <c r="AW109" s="241"/>
      <c r="AX109" s="241"/>
      <c r="AY109" s="241"/>
      <c r="AZ109" s="241"/>
      <c r="BA109" s="241"/>
      <c r="BB109" s="241"/>
      <c r="BC109" s="241"/>
      <c r="BD109" s="241"/>
      <c r="BE109" s="241"/>
      <c r="BF109" s="241"/>
      <c r="BG109" s="241"/>
      <c r="BH109" s="241"/>
      <c r="BI109" s="241"/>
      <c r="BJ109" s="241"/>
      <c r="BK109" s="241"/>
      <c r="BL109" s="241"/>
      <c r="BM109" s="241"/>
      <c r="BN109" s="241"/>
      <c r="BO109" s="241"/>
      <c r="BP109" s="241"/>
      <c r="BQ109" s="241"/>
      <c r="BR109" s="241"/>
      <c r="BS109" s="241"/>
      <c r="BT109" s="241"/>
      <c r="BU109" s="241"/>
      <c r="BV109" s="241"/>
      <c r="BW109" s="241"/>
      <c r="BX109" s="241"/>
      <c r="BY109" s="241"/>
      <c r="BZ109" s="241"/>
      <c r="CA109" s="241"/>
      <c r="CB109" s="241"/>
      <c r="CC109" s="241"/>
      <c r="CD109" s="241"/>
      <c r="CE109" s="241"/>
      <c r="CF109" s="241"/>
      <c r="CG109" s="241"/>
      <c r="CH109" s="241"/>
      <c r="CI109" s="241"/>
      <c r="CJ109" s="241"/>
      <c r="CK109" s="241"/>
      <c r="CL109" s="241"/>
      <c r="CM109" s="241"/>
      <c r="CN109" s="241"/>
      <c r="CO109" s="241"/>
      <c r="CP109" s="241"/>
      <c r="CQ109" s="241"/>
      <c r="CR109" s="241"/>
      <c r="CS109" s="241"/>
      <c r="CT109" s="241"/>
      <c r="CU109" s="241"/>
      <c r="CV109" s="241"/>
      <c r="CW109" s="241"/>
      <c r="CX109" s="241"/>
      <c r="CY109" s="241"/>
      <c r="CZ109" s="241"/>
      <c r="DA109" s="241"/>
      <c r="DB109" s="241"/>
      <c r="DC109" s="241"/>
      <c r="DD109" s="241"/>
      <c r="DE109" s="241"/>
      <c r="DF109" s="241"/>
      <c r="DG109" s="241"/>
      <c r="DH109" s="241"/>
      <c r="DT109" s="241"/>
      <c r="FB109" s="241"/>
    </row>
    <row r="110" spans="4:158" hidden="1" x14ac:dyDescent="0.25">
      <c r="D110" s="241"/>
      <c r="E110" s="241"/>
      <c r="F110" s="241"/>
      <c r="G110" s="241"/>
      <c r="H110" s="245"/>
      <c r="I110" s="242"/>
      <c r="J110" s="249">
        <f>M93*Hoja15!J114-Hoja15!K114</f>
        <v>15546727.696876477</v>
      </c>
      <c r="K110" s="241"/>
      <c r="L110" s="241">
        <f>IF(F108&gt;0,1,0)</f>
        <v>1</v>
      </c>
      <c r="M110" s="241" t="str">
        <f>IF(L110=0,"FIJO","VARIABLE")</f>
        <v>VARIABLE</v>
      </c>
      <c r="N110" s="242"/>
      <c r="O110" s="242"/>
      <c r="P110" s="242"/>
      <c r="Q110" s="242"/>
      <c r="R110" s="241"/>
      <c r="S110" s="241"/>
      <c r="T110" s="241"/>
      <c r="U110" s="241"/>
      <c r="V110" s="241"/>
      <c r="W110" s="241"/>
      <c r="X110" s="241"/>
      <c r="Y110" s="241"/>
      <c r="Z110" s="242"/>
      <c r="AA110" s="242"/>
      <c r="AB110" s="241"/>
      <c r="AC110" s="241"/>
      <c r="AD110" s="241"/>
      <c r="AE110" s="241"/>
      <c r="AF110" s="241"/>
      <c r="AG110" s="241"/>
      <c r="AH110" s="241"/>
      <c r="AI110" s="241"/>
      <c r="AJ110" s="274"/>
      <c r="AK110" s="241"/>
      <c r="AL110" s="241"/>
      <c r="AM110" s="241"/>
      <c r="AN110" s="241"/>
      <c r="AO110" s="241"/>
      <c r="AP110" s="241"/>
      <c r="AQ110" s="241"/>
      <c r="AR110" s="241"/>
      <c r="AS110" s="241"/>
      <c r="AT110" s="241"/>
      <c r="AU110" s="241"/>
      <c r="AV110" s="241"/>
      <c r="AW110" s="241"/>
      <c r="AX110" s="241"/>
      <c r="AY110" s="241"/>
      <c r="AZ110" s="241"/>
      <c r="BA110" s="241"/>
      <c r="BB110" s="241"/>
      <c r="BC110" s="241"/>
      <c r="BD110" s="241"/>
      <c r="BE110" s="241"/>
      <c r="BF110" s="241"/>
      <c r="BG110" s="241"/>
      <c r="BH110" s="241"/>
      <c r="BI110" s="241"/>
      <c r="BJ110" s="241"/>
      <c r="BK110" s="241"/>
      <c r="BL110" s="241"/>
      <c r="BM110" s="241"/>
      <c r="BN110" s="241"/>
      <c r="BO110" s="241"/>
      <c r="BP110" s="241"/>
      <c r="BQ110" s="241"/>
      <c r="BR110" s="241"/>
      <c r="BS110" s="241"/>
      <c r="BT110" s="241"/>
      <c r="BU110" s="241"/>
      <c r="BV110" s="241"/>
      <c r="BW110" s="241"/>
      <c r="BX110" s="241"/>
      <c r="BY110" s="241"/>
      <c r="BZ110" s="241"/>
      <c r="CA110" s="241"/>
      <c r="CB110" s="241"/>
      <c r="CC110" s="241"/>
      <c r="CD110" s="241"/>
      <c r="CE110" s="241"/>
      <c r="CF110" s="241"/>
      <c r="CG110" s="241"/>
      <c r="CH110" s="241"/>
      <c r="CI110" s="241"/>
      <c r="CJ110" s="241"/>
      <c r="CK110" s="241"/>
      <c r="CL110" s="241"/>
      <c r="CM110" s="241"/>
      <c r="CN110" s="241"/>
      <c r="CO110" s="241"/>
      <c r="CP110" s="241"/>
      <c r="CQ110" s="241"/>
      <c r="CR110" s="241"/>
      <c r="CS110" s="241"/>
      <c r="CT110" s="241"/>
      <c r="CU110" s="241"/>
      <c r="CV110" s="241"/>
      <c r="CW110" s="241"/>
      <c r="CX110" s="241"/>
      <c r="CY110" s="241"/>
      <c r="CZ110" s="241"/>
      <c r="DA110" s="241"/>
      <c r="DB110" s="241"/>
      <c r="DC110" s="241"/>
      <c r="DD110" s="241"/>
      <c r="DE110" s="241"/>
      <c r="DF110" s="241"/>
      <c r="DG110" s="241"/>
      <c r="DH110" s="241"/>
      <c r="DT110" s="241"/>
      <c r="FB110" s="241"/>
    </row>
    <row r="111" spans="4:158" ht="30.6" hidden="1" x14ac:dyDescent="0.25">
      <c r="D111" s="241"/>
      <c r="E111" s="241"/>
      <c r="F111" s="294" t="s">
        <v>122</v>
      </c>
      <c r="G111" s="241"/>
      <c r="H111" s="241"/>
      <c r="I111" s="242"/>
      <c r="J111" s="241"/>
      <c r="K111" s="241"/>
      <c r="L111" s="241">
        <f>IF((M86+M88)&gt;0,1,0)</f>
        <v>0</v>
      </c>
      <c r="M111" s="241" t="str">
        <f>IF(L111=0,"NO HAY","SI HAY")</f>
        <v>NO HAY</v>
      </c>
      <c r="N111" s="242"/>
      <c r="O111" s="242"/>
      <c r="P111" s="242"/>
      <c r="Q111" s="242"/>
      <c r="R111" s="241"/>
      <c r="S111" s="241"/>
      <c r="T111" s="241"/>
      <c r="U111" s="241"/>
      <c r="V111" s="241"/>
      <c r="W111" s="241"/>
      <c r="X111" s="241"/>
      <c r="Y111" s="241"/>
      <c r="Z111" s="242"/>
      <c r="AA111" s="242"/>
      <c r="AB111" s="241"/>
      <c r="AC111" s="241"/>
      <c r="AD111" s="241"/>
      <c r="AE111" s="241"/>
      <c r="AF111" s="241"/>
      <c r="AG111" s="241"/>
      <c r="AH111" s="241"/>
      <c r="AI111" s="241"/>
      <c r="AJ111" s="274"/>
      <c r="AK111" s="241"/>
      <c r="AL111" s="241"/>
      <c r="AM111" s="241"/>
      <c r="AN111" s="241"/>
      <c r="AO111" s="241"/>
      <c r="AP111" s="241"/>
      <c r="AQ111" s="241"/>
      <c r="AR111" s="241"/>
      <c r="AS111" s="241"/>
      <c r="AT111" s="241"/>
      <c r="AU111" s="241"/>
      <c r="AV111" s="241"/>
      <c r="AW111" s="241"/>
      <c r="AX111" s="241"/>
      <c r="AY111" s="241"/>
      <c r="AZ111" s="241"/>
      <c r="BA111" s="241"/>
      <c r="BB111" s="241"/>
      <c r="BC111" s="241"/>
      <c r="BD111" s="241"/>
      <c r="BE111" s="241"/>
      <c r="BF111" s="241"/>
      <c r="BG111" s="241"/>
      <c r="BH111" s="241"/>
      <c r="BI111" s="241"/>
      <c r="BJ111" s="241"/>
      <c r="BK111" s="241"/>
      <c r="BL111" s="241"/>
      <c r="BM111" s="241"/>
      <c r="BN111" s="241"/>
      <c r="BO111" s="241"/>
      <c r="BP111" s="241"/>
      <c r="BQ111" s="241"/>
      <c r="BR111" s="241"/>
      <c r="BS111" s="241"/>
      <c r="BT111" s="241"/>
      <c r="BU111" s="241"/>
      <c r="BV111" s="241"/>
      <c r="BW111" s="241"/>
      <c r="BX111" s="241"/>
      <c r="BY111" s="241"/>
      <c r="BZ111" s="241"/>
      <c r="CA111" s="241"/>
      <c r="CB111" s="241"/>
      <c r="CC111" s="241"/>
      <c r="CD111" s="241"/>
      <c r="CE111" s="241"/>
      <c r="CF111" s="241"/>
      <c r="CG111" s="241"/>
      <c r="CH111" s="241"/>
      <c r="CI111" s="241"/>
      <c r="CJ111" s="241"/>
      <c r="CK111" s="241"/>
      <c r="CL111" s="241"/>
      <c r="CM111" s="241"/>
      <c r="CN111" s="241"/>
      <c r="CO111" s="241"/>
      <c r="CP111" s="241"/>
      <c r="CQ111" s="241"/>
      <c r="CR111" s="241"/>
      <c r="CS111" s="241"/>
      <c r="CT111" s="241"/>
      <c r="CU111" s="241"/>
      <c r="CV111" s="241"/>
      <c r="CW111" s="241"/>
      <c r="CX111" s="241"/>
      <c r="CY111" s="241"/>
      <c r="CZ111" s="241"/>
      <c r="DA111" s="241"/>
      <c r="DB111" s="241"/>
      <c r="DC111" s="241"/>
      <c r="DD111" s="241"/>
      <c r="DE111" s="241"/>
      <c r="DF111" s="241"/>
      <c r="DG111" s="241"/>
      <c r="DH111" s="241"/>
      <c r="DT111" s="241"/>
      <c r="FB111" s="241"/>
    </row>
    <row r="112" spans="4:158" ht="20.399999999999999" hidden="1" x14ac:dyDescent="0.25">
      <c r="D112" s="241"/>
      <c r="E112" s="241"/>
      <c r="F112" s="294" t="s">
        <v>123</v>
      </c>
      <c r="G112" s="294"/>
      <c r="H112" s="294"/>
      <c r="I112" s="294"/>
      <c r="J112" s="293">
        <f>P26</f>
        <v>13702706.461442402</v>
      </c>
      <c r="K112" s="241"/>
      <c r="L112" s="241"/>
      <c r="M112" s="241"/>
      <c r="N112" s="242"/>
      <c r="O112" s="242"/>
      <c r="P112" s="242"/>
      <c r="Q112" s="242"/>
      <c r="R112" s="241"/>
      <c r="S112" s="241"/>
      <c r="T112" s="241"/>
      <c r="U112" s="241"/>
      <c r="V112" s="241"/>
      <c r="W112" s="241"/>
      <c r="X112" s="241"/>
      <c r="Y112" s="241"/>
      <c r="Z112" s="242"/>
      <c r="AA112" s="242"/>
      <c r="AB112" s="241"/>
      <c r="AC112" s="241"/>
      <c r="AD112" s="241"/>
      <c r="AE112" s="241"/>
      <c r="AF112" s="241"/>
      <c r="AG112" s="241"/>
      <c r="AH112" s="241"/>
      <c r="AI112" s="241"/>
      <c r="AJ112" s="274"/>
      <c r="AK112" s="241"/>
      <c r="AL112" s="241"/>
      <c r="AM112" s="241"/>
      <c r="AN112" s="241"/>
      <c r="AO112" s="241"/>
      <c r="AP112" s="241"/>
      <c r="AQ112" s="241"/>
      <c r="AR112" s="241"/>
      <c r="AS112" s="241"/>
      <c r="AT112" s="241"/>
      <c r="AU112" s="241"/>
      <c r="AV112" s="241"/>
      <c r="AW112" s="241"/>
      <c r="AX112" s="241"/>
      <c r="AY112" s="241"/>
      <c r="AZ112" s="241"/>
      <c r="BA112" s="241"/>
      <c r="BB112" s="241"/>
      <c r="BC112" s="241"/>
      <c r="BD112" s="241"/>
      <c r="BE112" s="241"/>
      <c r="BF112" s="241"/>
      <c r="BG112" s="241"/>
      <c r="BH112" s="241"/>
      <c r="BI112" s="241"/>
      <c r="BJ112" s="241"/>
      <c r="BK112" s="241"/>
      <c r="BL112" s="241"/>
      <c r="BM112" s="241"/>
      <c r="BN112" s="241"/>
      <c r="BO112" s="241"/>
      <c r="BP112" s="241"/>
      <c r="BQ112" s="241"/>
      <c r="BR112" s="241"/>
      <c r="BS112" s="241"/>
      <c r="BT112" s="241"/>
      <c r="BU112" s="241"/>
      <c r="BV112" s="241"/>
      <c r="BW112" s="241"/>
      <c r="BX112" s="241"/>
      <c r="BY112" s="241"/>
      <c r="BZ112" s="241"/>
      <c r="CA112" s="241"/>
      <c r="CB112" s="241"/>
      <c r="CC112" s="241"/>
      <c r="CD112" s="241"/>
      <c r="CE112" s="241"/>
      <c r="CF112" s="241"/>
      <c r="CG112" s="241"/>
      <c r="CH112" s="241"/>
      <c r="CI112" s="241"/>
      <c r="CJ112" s="241"/>
      <c r="CK112" s="241"/>
      <c r="CL112" s="241"/>
      <c r="CM112" s="241"/>
      <c r="CN112" s="241"/>
      <c r="CO112" s="241"/>
      <c r="CP112" s="241"/>
      <c r="CQ112" s="241"/>
      <c r="CR112" s="241"/>
      <c r="CS112" s="241"/>
      <c r="CT112" s="241"/>
      <c r="CU112" s="241"/>
      <c r="CV112" s="241"/>
      <c r="CW112" s="241"/>
      <c r="CX112" s="241"/>
      <c r="CY112" s="241"/>
      <c r="CZ112" s="241"/>
      <c r="DA112" s="241"/>
      <c r="DB112" s="241"/>
      <c r="DC112" s="241"/>
      <c r="DD112" s="241"/>
      <c r="DE112" s="241"/>
      <c r="DF112" s="241"/>
      <c r="DG112" s="241"/>
      <c r="DH112" s="241"/>
      <c r="DT112" s="241"/>
      <c r="FB112" s="241"/>
    </row>
    <row r="113" spans="4:158" ht="30.6" hidden="1" x14ac:dyDescent="0.25">
      <c r="D113" s="241"/>
      <c r="E113" s="241"/>
      <c r="F113" s="294" t="s">
        <v>117</v>
      </c>
      <c r="G113" s="294"/>
      <c r="H113" s="294"/>
      <c r="I113" s="294"/>
      <c r="J113" s="293">
        <f>N26</f>
        <v>88002956.897619992</v>
      </c>
      <c r="K113" s="241"/>
      <c r="L113" s="249">
        <f>IF((L110+L111)=0,0,IF(L111=0,0,M84-M94))</f>
        <v>0</v>
      </c>
      <c r="M113" s="241"/>
      <c r="N113" s="242"/>
      <c r="O113" s="242"/>
      <c r="P113" s="242"/>
      <c r="Q113" s="242"/>
      <c r="R113" s="241"/>
      <c r="S113" s="241"/>
      <c r="T113" s="241"/>
      <c r="U113" s="241"/>
      <c r="V113" s="241"/>
      <c r="W113" s="241"/>
      <c r="X113" s="241"/>
      <c r="Y113" s="241"/>
      <c r="Z113" s="242"/>
      <c r="AA113" s="242"/>
      <c r="AB113" s="241"/>
      <c r="AC113" s="241"/>
      <c r="AD113" s="241"/>
      <c r="AE113" s="241"/>
      <c r="AF113" s="241"/>
      <c r="AG113" s="241"/>
      <c r="AH113" s="241"/>
      <c r="AI113" s="241"/>
      <c r="AJ113" s="274"/>
      <c r="AK113" s="241"/>
      <c r="AL113" s="241"/>
      <c r="AM113" s="241"/>
      <c r="AN113" s="241"/>
      <c r="AO113" s="241"/>
      <c r="AP113" s="241"/>
      <c r="AQ113" s="241"/>
      <c r="AR113" s="241"/>
      <c r="AS113" s="241"/>
      <c r="AT113" s="241"/>
      <c r="AU113" s="241"/>
      <c r="AV113" s="241"/>
      <c r="AW113" s="241"/>
      <c r="AX113" s="241"/>
      <c r="AY113" s="241"/>
      <c r="AZ113" s="241"/>
      <c r="BA113" s="241"/>
      <c r="BB113" s="241"/>
      <c r="BC113" s="241"/>
      <c r="BD113" s="241"/>
      <c r="BE113" s="241"/>
      <c r="BF113" s="241"/>
      <c r="BG113" s="241"/>
      <c r="BH113" s="241"/>
      <c r="BI113" s="241"/>
      <c r="BJ113" s="241"/>
      <c r="BK113" s="241"/>
      <c r="BL113" s="241"/>
      <c r="BM113" s="241"/>
      <c r="BN113" s="241"/>
      <c r="BO113" s="241"/>
      <c r="BP113" s="241"/>
      <c r="BQ113" s="241"/>
      <c r="BR113" s="241"/>
      <c r="BS113" s="241"/>
      <c r="BT113" s="241"/>
      <c r="BU113" s="241"/>
      <c r="BV113" s="241"/>
      <c r="BW113" s="241"/>
      <c r="BX113" s="241"/>
      <c r="BY113" s="241"/>
      <c r="BZ113" s="241"/>
      <c r="CA113" s="241"/>
      <c r="CB113" s="241"/>
      <c r="CC113" s="241"/>
      <c r="CD113" s="241"/>
      <c r="CE113" s="241"/>
      <c r="CF113" s="241"/>
      <c r="CG113" s="241"/>
      <c r="CH113" s="241"/>
      <c r="CI113" s="241"/>
      <c r="CJ113" s="241"/>
      <c r="CK113" s="241"/>
      <c r="CL113" s="241"/>
      <c r="CM113" s="241"/>
      <c r="CN113" s="241"/>
      <c r="CO113" s="241"/>
      <c r="CP113" s="241"/>
      <c r="CQ113" s="241"/>
      <c r="CR113" s="241"/>
      <c r="CS113" s="241"/>
      <c r="CT113" s="241"/>
      <c r="CU113" s="241"/>
      <c r="CV113" s="241"/>
      <c r="CW113" s="241"/>
      <c r="CX113" s="241"/>
      <c r="CY113" s="241"/>
      <c r="CZ113" s="241"/>
      <c r="DA113" s="241"/>
      <c r="DB113" s="241"/>
      <c r="DC113" s="241"/>
      <c r="DD113" s="241"/>
      <c r="DE113" s="241"/>
      <c r="DF113" s="241"/>
      <c r="DG113" s="241"/>
      <c r="DH113" s="241"/>
      <c r="DT113" s="241"/>
      <c r="FB113" s="241"/>
    </row>
    <row r="114" spans="4:158" ht="30.6" hidden="1" x14ac:dyDescent="0.25">
      <c r="D114" s="241"/>
      <c r="E114" s="241"/>
      <c r="F114" s="295" t="s">
        <v>89</v>
      </c>
      <c r="G114" s="296"/>
      <c r="H114" s="296"/>
      <c r="I114" s="296"/>
      <c r="J114" s="297">
        <v>0</v>
      </c>
      <c r="K114" s="241"/>
      <c r="L114" s="241"/>
      <c r="M114" s="241"/>
      <c r="N114" s="242"/>
      <c r="O114" s="242"/>
      <c r="P114" s="242"/>
      <c r="Q114" s="242"/>
      <c r="R114" s="241"/>
      <c r="S114" s="241"/>
      <c r="T114" s="241"/>
      <c r="U114" s="241"/>
      <c r="V114" s="241"/>
      <c r="W114" s="241"/>
      <c r="X114" s="241"/>
      <c r="Y114" s="241"/>
      <c r="Z114" s="242"/>
      <c r="AA114" s="242"/>
      <c r="AB114" s="241"/>
      <c r="AC114" s="241"/>
      <c r="AD114" s="241"/>
      <c r="AE114" s="241"/>
      <c r="AF114" s="241"/>
      <c r="AG114" s="241"/>
      <c r="AH114" s="241"/>
      <c r="AI114" s="241"/>
      <c r="AJ114" s="274"/>
      <c r="AK114" s="241"/>
      <c r="AL114" s="241"/>
      <c r="AM114" s="241"/>
      <c r="AN114" s="241"/>
      <c r="AO114" s="241"/>
      <c r="AP114" s="241"/>
      <c r="AQ114" s="241"/>
      <c r="AR114" s="241"/>
      <c r="AS114" s="241"/>
      <c r="AT114" s="241"/>
      <c r="AU114" s="241"/>
      <c r="AV114" s="241"/>
      <c r="AW114" s="241"/>
      <c r="AX114" s="241"/>
      <c r="AY114" s="241"/>
      <c r="AZ114" s="241"/>
      <c r="BA114" s="241"/>
      <c r="BB114" s="241"/>
      <c r="BC114" s="241"/>
      <c r="BD114" s="241"/>
      <c r="BE114" s="241"/>
      <c r="BF114" s="241"/>
      <c r="BG114" s="241"/>
      <c r="BH114" s="241"/>
      <c r="BI114" s="241"/>
      <c r="BJ114" s="241"/>
      <c r="BK114" s="241"/>
      <c r="BL114" s="241"/>
      <c r="BM114" s="241"/>
      <c r="BN114" s="241"/>
      <c r="BO114" s="241"/>
      <c r="BP114" s="241"/>
      <c r="BQ114" s="241"/>
      <c r="BR114" s="241"/>
      <c r="BS114" s="241"/>
      <c r="BT114" s="241"/>
      <c r="BU114" s="241"/>
      <c r="BV114" s="241"/>
      <c r="BW114" s="241"/>
      <c r="BX114" s="241"/>
      <c r="BY114" s="241"/>
      <c r="BZ114" s="241"/>
      <c r="CA114" s="241"/>
      <c r="CB114" s="241"/>
      <c r="CC114" s="241"/>
      <c r="CD114" s="241"/>
      <c r="CE114" s="241"/>
      <c r="CF114" s="241"/>
      <c r="CG114" s="241"/>
      <c r="CH114" s="241"/>
      <c r="CI114" s="241"/>
      <c r="CJ114" s="241"/>
      <c r="CK114" s="241"/>
      <c r="CL114" s="241"/>
      <c r="CM114" s="241"/>
      <c r="CN114" s="241"/>
      <c r="CO114" s="241"/>
      <c r="CP114" s="241"/>
      <c r="CQ114" s="241"/>
      <c r="CR114" s="241"/>
      <c r="CS114" s="241"/>
      <c r="CT114" s="241"/>
      <c r="CU114" s="241"/>
      <c r="CV114" s="241"/>
      <c r="CW114" s="241"/>
      <c r="CX114" s="241"/>
      <c r="CY114" s="241"/>
      <c r="CZ114" s="241"/>
      <c r="DA114" s="241"/>
      <c r="DB114" s="241"/>
      <c r="DC114" s="241"/>
      <c r="DD114" s="241"/>
      <c r="DE114" s="241"/>
      <c r="DF114" s="241"/>
      <c r="DG114" s="241"/>
      <c r="DH114" s="241"/>
      <c r="DT114" s="241"/>
      <c r="FB114" s="241"/>
    </row>
    <row r="115" spans="4:158" hidden="1" x14ac:dyDescent="0.25">
      <c r="D115" s="241"/>
      <c r="E115" s="241"/>
      <c r="F115" s="243"/>
      <c r="G115" s="247"/>
      <c r="H115" s="247"/>
      <c r="I115" s="247"/>
      <c r="J115" s="275"/>
      <c r="K115" s="241"/>
      <c r="L115" s="241"/>
      <c r="M115" s="241"/>
      <c r="N115" s="242"/>
      <c r="O115" s="242"/>
      <c r="P115" s="242"/>
      <c r="Q115" s="242"/>
      <c r="R115" s="241"/>
      <c r="S115" s="241"/>
      <c r="T115" s="241"/>
      <c r="U115" s="241"/>
      <c r="V115" s="241"/>
      <c r="W115" s="241"/>
      <c r="X115" s="241"/>
      <c r="Y115" s="241"/>
      <c r="Z115" s="242"/>
      <c r="AA115" s="242"/>
      <c r="AB115" s="241"/>
      <c r="AC115" s="241"/>
      <c r="AD115" s="241"/>
      <c r="AE115" s="241"/>
      <c r="AF115" s="241"/>
      <c r="AG115" s="241"/>
      <c r="AH115" s="241"/>
      <c r="AI115" s="241"/>
      <c r="AJ115" s="274"/>
      <c r="AK115" s="241"/>
      <c r="AL115" s="241"/>
      <c r="AM115" s="241"/>
      <c r="AN115" s="241"/>
      <c r="AO115" s="241"/>
      <c r="AP115" s="241"/>
      <c r="AQ115" s="241"/>
      <c r="AR115" s="241"/>
      <c r="AS115" s="241"/>
      <c r="AT115" s="241"/>
      <c r="AU115" s="241"/>
      <c r="AV115" s="241"/>
      <c r="AW115" s="241"/>
      <c r="AX115" s="241"/>
      <c r="AY115" s="241"/>
      <c r="AZ115" s="241"/>
      <c r="BA115" s="241"/>
      <c r="BB115" s="241"/>
      <c r="BC115" s="241"/>
      <c r="BD115" s="241"/>
      <c r="BE115" s="241"/>
      <c r="BF115" s="241"/>
      <c r="BG115" s="241"/>
      <c r="BH115" s="241"/>
      <c r="BI115" s="241"/>
      <c r="BJ115" s="241"/>
      <c r="BK115" s="241"/>
      <c r="BL115" s="241"/>
      <c r="BM115" s="241"/>
      <c r="BN115" s="241"/>
      <c r="BO115" s="241"/>
      <c r="BP115" s="241"/>
      <c r="BQ115" s="241"/>
      <c r="BR115" s="241"/>
      <c r="BS115" s="241"/>
      <c r="BT115" s="241"/>
      <c r="BU115" s="241"/>
      <c r="BV115" s="241"/>
      <c r="BW115" s="241"/>
      <c r="BX115" s="241"/>
      <c r="BY115" s="241"/>
      <c r="BZ115" s="241"/>
      <c r="CA115" s="241"/>
      <c r="CB115" s="241"/>
      <c r="CC115" s="241"/>
      <c r="CD115" s="241"/>
      <c r="CE115" s="241"/>
      <c r="CF115" s="241"/>
      <c r="CG115" s="241"/>
      <c r="CH115" s="241"/>
      <c r="CI115" s="241"/>
      <c r="CJ115" s="241"/>
      <c r="CK115" s="241"/>
      <c r="CL115" s="241"/>
      <c r="CM115" s="241"/>
      <c r="CN115" s="241"/>
      <c r="CO115" s="241"/>
      <c r="CP115" s="241"/>
      <c r="CQ115" s="241"/>
      <c r="CR115" s="241"/>
      <c r="CS115" s="241"/>
      <c r="CT115" s="241"/>
      <c r="CU115" s="241"/>
      <c r="CV115" s="241"/>
      <c r="CW115" s="241"/>
      <c r="CX115" s="241"/>
      <c r="CY115" s="241"/>
      <c r="CZ115" s="241"/>
      <c r="DA115" s="241"/>
      <c r="DB115" s="241"/>
      <c r="DC115" s="241"/>
      <c r="DD115" s="241"/>
      <c r="DE115" s="241"/>
      <c r="DF115" s="241"/>
      <c r="DG115" s="241"/>
      <c r="DH115" s="241"/>
      <c r="DT115" s="241"/>
      <c r="FB115" s="241"/>
    </row>
    <row r="116" spans="4:158" hidden="1" x14ac:dyDescent="0.25">
      <c r="D116" s="241"/>
      <c r="E116" s="241"/>
      <c r="F116" s="241"/>
      <c r="G116" s="241"/>
      <c r="H116" s="241"/>
      <c r="I116" s="242"/>
      <c r="J116" s="241"/>
      <c r="K116" s="241"/>
      <c r="L116" s="241"/>
      <c r="M116" s="241"/>
      <c r="N116" s="242"/>
      <c r="O116" s="242"/>
      <c r="P116" s="242"/>
      <c r="Q116" s="242"/>
      <c r="R116" s="241"/>
      <c r="S116" s="241"/>
      <c r="T116" s="241"/>
      <c r="U116" s="241"/>
      <c r="V116" s="241"/>
      <c r="W116" s="241"/>
      <c r="X116" s="241"/>
      <c r="Y116" s="241"/>
      <c r="Z116" s="242"/>
      <c r="AA116" s="242"/>
      <c r="AB116" s="241"/>
      <c r="AC116" s="241"/>
      <c r="AD116" s="241"/>
      <c r="AE116" s="241"/>
      <c r="AF116" s="241"/>
      <c r="AG116" s="241"/>
      <c r="AH116" s="241"/>
      <c r="AI116" s="241"/>
      <c r="AJ116" s="274"/>
      <c r="AK116" s="241"/>
      <c r="AL116" s="241"/>
      <c r="AM116" s="241"/>
      <c r="AN116" s="241"/>
      <c r="AO116" s="241"/>
      <c r="AP116" s="241"/>
      <c r="AQ116" s="241"/>
      <c r="AR116" s="241"/>
      <c r="AS116" s="241"/>
      <c r="AT116" s="241"/>
      <c r="AU116" s="241"/>
      <c r="AV116" s="241"/>
      <c r="AW116" s="241"/>
      <c r="AX116" s="241"/>
      <c r="AY116" s="241"/>
      <c r="AZ116" s="241"/>
      <c r="BA116" s="241"/>
      <c r="BB116" s="241"/>
      <c r="BC116" s="241"/>
      <c r="BD116" s="241"/>
      <c r="BE116" s="241"/>
      <c r="BF116" s="241"/>
      <c r="BG116" s="241"/>
      <c r="BH116" s="241"/>
      <c r="BI116" s="241"/>
      <c r="BJ116" s="241"/>
      <c r="BK116" s="241"/>
      <c r="BL116" s="241"/>
      <c r="BM116" s="241"/>
      <c r="BN116" s="241"/>
      <c r="BO116" s="241"/>
      <c r="BP116" s="241"/>
      <c r="BQ116" s="241"/>
      <c r="BR116" s="241"/>
      <c r="BS116" s="241"/>
      <c r="BT116" s="241"/>
      <c r="BU116" s="241"/>
      <c r="BV116" s="241"/>
      <c r="BW116" s="241"/>
      <c r="BX116" s="241"/>
      <c r="BY116" s="241"/>
      <c r="BZ116" s="241"/>
      <c r="CA116" s="241"/>
      <c r="CB116" s="241"/>
      <c r="CC116" s="241"/>
      <c r="CD116" s="241"/>
      <c r="CE116" s="241"/>
      <c r="CF116" s="241"/>
      <c r="CG116" s="241"/>
      <c r="CH116" s="241"/>
      <c r="CI116" s="241"/>
      <c r="CJ116" s="241"/>
      <c r="CK116" s="241"/>
      <c r="CL116" s="241"/>
      <c r="CM116" s="241"/>
      <c r="CN116" s="241"/>
      <c r="CO116" s="241"/>
      <c r="CP116" s="241"/>
      <c r="CQ116" s="241"/>
      <c r="CR116" s="241"/>
      <c r="CS116" s="241"/>
      <c r="CT116" s="241"/>
      <c r="CU116" s="241"/>
      <c r="CV116" s="241"/>
      <c r="CW116" s="241"/>
      <c r="CX116" s="241"/>
      <c r="CY116" s="241"/>
      <c r="CZ116" s="241"/>
      <c r="DA116" s="241"/>
      <c r="DB116" s="241"/>
      <c r="DC116" s="241"/>
      <c r="DD116" s="241"/>
      <c r="DE116" s="241"/>
      <c r="DF116" s="241"/>
      <c r="DG116" s="241"/>
      <c r="DH116" s="241"/>
      <c r="DT116" s="241"/>
      <c r="FB116" s="241"/>
    </row>
    <row r="117" spans="4:158" hidden="1" x14ac:dyDescent="0.25">
      <c r="D117" s="241"/>
      <c r="E117" s="241"/>
      <c r="F117" s="241"/>
      <c r="G117" s="241"/>
      <c r="H117" s="241"/>
      <c r="I117" s="242"/>
      <c r="J117" s="241"/>
      <c r="K117" s="241"/>
      <c r="L117" s="241"/>
      <c r="M117" s="241"/>
      <c r="N117" s="242"/>
      <c r="O117" s="242"/>
      <c r="P117" s="242"/>
      <c r="Q117" s="242"/>
      <c r="R117" s="241"/>
      <c r="S117" s="241"/>
      <c r="T117" s="241"/>
      <c r="U117" s="241"/>
      <c r="V117" s="241"/>
      <c r="W117" s="241"/>
      <c r="X117" s="241"/>
      <c r="Y117" s="241"/>
      <c r="Z117" s="242"/>
      <c r="AA117" s="242"/>
      <c r="AB117" s="241"/>
      <c r="AC117" s="241"/>
      <c r="AD117" s="241"/>
      <c r="AE117" s="241"/>
      <c r="AF117" s="241"/>
      <c r="AG117" s="241"/>
      <c r="AH117" s="241"/>
      <c r="AI117" s="241"/>
      <c r="AJ117" s="274"/>
      <c r="AK117" s="241"/>
      <c r="AL117" s="241"/>
      <c r="AM117" s="241"/>
      <c r="AN117" s="241"/>
      <c r="AO117" s="241"/>
      <c r="AP117" s="241"/>
      <c r="AQ117" s="241"/>
      <c r="AR117" s="241"/>
      <c r="AS117" s="241"/>
      <c r="AT117" s="241"/>
      <c r="AU117" s="241"/>
      <c r="AV117" s="241"/>
      <c r="AW117" s="241"/>
      <c r="AX117" s="241"/>
      <c r="AY117" s="241"/>
      <c r="AZ117" s="241"/>
      <c r="BA117" s="241"/>
      <c r="BB117" s="241"/>
      <c r="BC117" s="241"/>
      <c r="BD117" s="241"/>
      <c r="BE117" s="241"/>
      <c r="BF117" s="241"/>
      <c r="BG117" s="241"/>
      <c r="BH117" s="241"/>
      <c r="BI117" s="241"/>
      <c r="BJ117" s="241"/>
      <c r="BK117" s="241"/>
      <c r="BL117" s="241"/>
      <c r="BM117" s="241"/>
      <c r="BN117" s="241"/>
      <c r="BO117" s="241"/>
      <c r="BP117" s="241"/>
      <c r="BQ117" s="241"/>
      <c r="BR117" s="241"/>
      <c r="BS117" s="241"/>
      <c r="BT117" s="241"/>
      <c r="BU117" s="241"/>
      <c r="BV117" s="241"/>
      <c r="BW117" s="241"/>
      <c r="BX117" s="241"/>
      <c r="BY117" s="241"/>
      <c r="BZ117" s="241"/>
      <c r="CA117" s="241"/>
      <c r="CB117" s="241"/>
      <c r="CC117" s="241"/>
      <c r="CD117" s="241"/>
      <c r="CE117" s="241"/>
      <c r="CF117" s="241"/>
      <c r="CG117" s="241"/>
      <c r="CH117" s="241"/>
      <c r="CI117" s="241"/>
      <c r="CJ117" s="241"/>
      <c r="CK117" s="241"/>
      <c r="CL117" s="241"/>
      <c r="CM117" s="241"/>
      <c r="CN117" s="241"/>
      <c r="CO117" s="241"/>
      <c r="CP117" s="241"/>
      <c r="CQ117" s="241"/>
      <c r="CR117" s="241"/>
      <c r="CS117" s="241"/>
      <c r="CT117" s="241"/>
      <c r="CU117" s="241"/>
      <c r="CV117" s="241"/>
      <c r="CW117" s="241"/>
      <c r="CX117" s="241"/>
      <c r="CY117" s="241"/>
      <c r="CZ117" s="241"/>
      <c r="DA117" s="241"/>
      <c r="DB117" s="241"/>
      <c r="DC117" s="241"/>
      <c r="DD117" s="241"/>
      <c r="DE117" s="241"/>
      <c r="DF117" s="241"/>
      <c r="DG117" s="241"/>
      <c r="DH117" s="241"/>
      <c r="DT117" s="241"/>
      <c r="FB117" s="241"/>
    </row>
    <row r="118" spans="4:158" hidden="1" x14ac:dyDescent="0.25">
      <c r="D118" s="241"/>
      <c r="E118" s="241"/>
      <c r="F118" s="241"/>
      <c r="G118" s="241"/>
      <c r="H118" s="241"/>
      <c r="I118" s="242"/>
      <c r="J118" s="241"/>
      <c r="K118" s="241"/>
      <c r="L118" s="241"/>
      <c r="M118" s="241"/>
      <c r="N118" s="242"/>
      <c r="O118" s="242"/>
      <c r="P118" s="242"/>
      <c r="Q118" s="242"/>
      <c r="R118" s="241"/>
      <c r="S118" s="241"/>
      <c r="T118" s="241"/>
      <c r="U118" s="241"/>
      <c r="V118" s="241"/>
      <c r="W118" s="241"/>
      <c r="X118" s="241"/>
      <c r="Y118" s="241"/>
      <c r="Z118" s="242"/>
      <c r="AA118" s="242"/>
      <c r="AB118" s="241"/>
      <c r="AC118" s="241"/>
      <c r="AD118" s="241"/>
      <c r="AE118" s="241"/>
      <c r="AF118" s="241"/>
      <c r="AG118" s="241"/>
      <c r="AH118" s="241"/>
      <c r="AI118" s="241"/>
      <c r="AJ118" s="274"/>
      <c r="AK118" s="241"/>
      <c r="AL118" s="241"/>
      <c r="AM118" s="241"/>
      <c r="AN118" s="241"/>
      <c r="AO118" s="241"/>
      <c r="AP118" s="241"/>
      <c r="AQ118" s="241"/>
      <c r="AR118" s="241"/>
      <c r="AS118" s="241"/>
      <c r="AT118" s="241"/>
      <c r="AU118" s="241"/>
      <c r="AV118" s="241"/>
      <c r="AW118" s="241"/>
      <c r="AX118" s="241"/>
      <c r="AY118" s="241"/>
      <c r="AZ118" s="241"/>
      <c r="BA118" s="241"/>
      <c r="BB118" s="241"/>
      <c r="BC118" s="241"/>
      <c r="BD118" s="241"/>
      <c r="BE118" s="241"/>
      <c r="BF118" s="241"/>
      <c r="BG118" s="241"/>
      <c r="BH118" s="241"/>
      <c r="BI118" s="241"/>
      <c r="BJ118" s="241"/>
      <c r="BK118" s="241"/>
      <c r="BL118" s="241"/>
      <c r="BM118" s="241"/>
      <c r="BN118" s="241"/>
      <c r="BO118" s="241"/>
      <c r="BP118" s="241"/>
      <c r="BQ118" s="241"/>
      <c r="BR118" s="241"/>
      <c r="BS118" s="241"/>
      <c r="BT118" s="241"/>
      <c r="BU118" s="241"/>
      <c r="BV118" s="241"/>
      <c r="BW118" s="241"/>
      <c r="BX118" s="241"/>
      <c r="BY118" s="241"/>
      <c r="BZ118" s="241"/>
      <c r="CA118" s="241"/>
      <c r="CB118" s="241"/>
      <c r="CC118" s="241"/>
      <c r="CD118" s="241"/>
      <c r="CE118" s="241"/>
      <c r="CF118" s="241"/>
      <c r="CG118" s="241"/>
      <c r="CH118" s="241"/>
      <c r="CI118" s="241"/>
      <c r="CJ118" s="241"/>
      <c r="CK118" s="241"/>
      <c r="CL118" s="241"/>
      <c r="CM118" s="241"/>
      <c r="CN118" s="241"/>
      <c r="CO118" s="241"/>
      <c r="CP118" s="241"/>
      <c r="CQ118" s="241"/>
      <c r="CR118" s="241"/>
      <c r="CS118" s="241"/>
      <c r="CT118" s="241"/>
      <c r="CU118" s="241"/>
      <c r="CV118" s="241"/>
      <c r="CW118" s="241"/>
      <c r="CX118" s="241"/>
      <c r="CY118" s="241"/>
      <c r="CZ118" s="241"/>
      <c r="DA118" s="241"/>
      <c r="DB118" s="241"/>
      <c r="DC118" s="241"/>
      <c r="DD118" s="241"/>
      <c r="DE118" s="241"/>
      <c r="DF118" s="241"/>
      <c r="DG118" s="241"/>
      <c r="DH118" s="241"/>
      <c r="DT118" s="241"/>
      <c r="FB118" s="241"/>
    </row>
    <row r="119" spans="4:158" hidden="1" x14ac:dyDescent="0.25">
      <c r="D119" s="241"/>
      <c r="E119" s="241"/>
      <c r="F119" s="241"/>
      <c r="G119" s="241"/>
      <c r="H119" s="241"/>
      <c r="I119" s="242"/>
      <c r="J119" s="241"/>
      <c r="K119" s="241"/>
      <c r="L119" s="241"/>
      <c r="M119" s="241"/>
      <c r="N119" s="242"/>
      <c r="O119" s="242"/>
      <c r="P119" s="242"/>
      <c r="Q119" s="242"/>
      <c r="R119" s="241"/>
      <c r="S119" s="241"/>
      <c r="T119" s="241"/>
      <c r="U119" s="241"/>
      <c r="V119" s="241"/>
      <c r="W119" s="241"/>
      <c r="X119" s="241"/>
      <c r="Y119" s="241"/>
      <c r="Z119" s="242"/>
      <c r="AA119" s="242"/>
      <c r="AB119" s="241"/>
      <c r="AC119" s="241"/>
      <c r="AD119" s="241"/>
      <c r="AE119" s="241"/>
      <c r="AF119" s="241"/>
      <c r="AG119" s="241"/>
      <c r="AH119" s="241"/>
      <c r="AI119" s="241"/>
      <c r="AJ119" s="274"/>
      <c r="AK119" s="241"/>
      <c r="AL119" s="241"/>
      <c r="AM119" s="241"/>
      <c r="AN119" s="241"/>
      <c r="AO119" s="241"/>
      <c r="AP119" s="241"/>
      <c r="AQ119" s="241"/>
      <c r="AR119" s="241"/>
      <c r="AS119" s="241"/>
      <c r="AT119" s="241"/>
      <c r="AU119" s="241"/>
      <c r="AV119" s="241"/>
      <c r="AW119" s="241"/>
      <c r="AX119" s="241"/>
      <c r="AY119" s="241"/>
      <c r="AZ119" s="241"/>
      <c r="BA119" s="241"/>
      <c r="BB119" s="241"/>
      <c r="BC119" s="241"/>
      <c r="BD119" s="241"/>
      <c r="BE119" s="241"/>
      <c r="BF119" s="241"/>
      <c r="BG119" s="241"/>
      <c r="BH119" s="241"/>
      <c r="BI119" s="241"/>
      <c r="BJ119" s="241"/>
      <c r="BK119" s="241"/>
      <c r="BL119" s="241"/>
      <c r="BM119" s="241"/>
      <c r="BN119" s="241"/>
      <c r="BO119" s="241"/>
      <c r="BP119" s="241"/>
      <c r="BQ119" s="241"/>
      <c r="BR119" s="241"/>
      <c r="BS119" s="241"/>
      <c r="BT119" s="241"/>
      <c r="BU119" s="241"/>
      <c r="BV119" s="241"/>
      <c r="BW119" s="241"/>
      <c r="BX119" s="241"/>
      <c r="BY119" s="241"/>
      <c r="BZ119" s="241"/>
      <c r="CA119" s="241"/>
      <c r="CB119" s="241"/>
      <c r="CC119" s="241"/>
      <c r="CD119" s="241"/>
      <c r="CE119" s="241"/>
      <c r="CF119" s="241"/>
      <c r="CG119" s="241"/>
      <c r="CH119" s="241"/>
      <c r="CI119" s="241"/>
      <c r="CJ119" s="241"/>
      <c r="CK119" s="241"/>
      <c r="CL119" s="241"/>
      <c r="CM119" s="241"/>
      <c r="CN119" s="241"/>
      <c r="CO119" s="241"/>
      <c r="CP119" s="241"/>
      <c r="CQ119" s="241"/>
      <c r="CR119" s="241"/>
      <c r="CS119" s="241"/>
      <c r="CT119" s="241"/>
      <c r="CU119" s="241"/>
      <c r="CV119" s="241"/>
      <c r="CW119" s="241"/>
      <c r="CX119" s="241"/>
      <c r="CY119" s="241"/>
      <c r="CZ119" s="241"/>
      <c r="DA119" s="241"/>
      <c r="DB119" s="241"/>
      <c r="DC119" s="241"/>
      <c r="DD119" s="241"/>
      <c r="DE119" s="241"/>
      <c r="DF119" s="241"/>
      <c r="DG119" s="241"/>
      <c r="DH119" s="241"/>
      <c r="DT119" s="241"/>
      <c r="FB119" s="241"/>
    </row>
    <row r="120" spans="4:158" hidden="1" x14ac:dyDescent="0.25">
      <c r="D120" s="241"/>
      <c r="E120" s="241"/>
      <c r="F120" s="241"/>
      <c r="G120" s="241"/>
      <c r="H120" s="241"/>
      <c r="I120" s="242"/>
      <c r="J120" s="241"/>
      <c r="K120" s="241"/>
      <c r="L120" s="241"/>
      <c r="M120" s="241"/>
      <c r="N120" s="242"/>
      <c r="O120" s="242"/>
      <c r="P120" s="242"/>
      <c r="Q120" s="242"/>
      <c r="R120" s="241"/>
      <c r="S120" s="241"/>
      <c r="T120" s="241"/>
      <c r="U120" s="241"/>
      <c r="V120" s="241"/>
      <c r="W120" s="241"/>
      <c r="X120" s="241"/>
      <c r="Y120" s="241"/>
      <c r="Z120" s="242"/>
      <c r="AA120" s="242"/>
      <c r="AB120" s="241"/>
      <c r="AC120" s="241"/>
      <c r="AD120" s="241"/>
      <c r="AE120" s="241"/>
      <c r="AF120" s="241"/>
      <c r="AG120" s="241"/>
      <c r="AH120" s="241"/>
      <c r="AI120" s="241"/>
      <c r="AJ120" s="274"/>
      <c r="AK120" s="241"/>
      <c r="AL120" s="241"/>
      <c r="AM120" s="241"/>
      <c r="AN120" s="241"/>
      <c r="AO120" s="241"/>
      <c r="AP120" s="241"/>
      <c r="AQ120" s="241"/>
      <c r="AR120" s="241"/>
      <c r="AS120" s="241"/>
      <c r="AT120" s="241"/>
      <c r="AU120" s="241"/>
      <c r="AV120" s="241"/>
      <c r="AW120" s="241"/>
      <c r="AX120" s="241"/>
      <c r="AY120" s="241"/>
      <c r="AZ120" s="241"/>
      <c r="BA120" s="241"/>
      <c r="BB120" s="241"/>
      <c r="BC120" s="241"/>
      <c r="BD120" s="241"/>
      <c r="BE120" s="241"/>
      <c r="BF120" s="241"/>
      <c r="BG120" s="241"/>
      <c r="BH120" s="241"/>
      <c r="BI120" s="241"/>
      <c r="BJ120" s="241"/>
      <c r="BK120" s="241"/>
      <c r="BL120" s="241"/>
      <c r="BM120" s="241"/>
      <c r="BN120" s="241"/>
      <c r="BO120" s="241"/>
      <c r="BP120" s="241"/>
      <c r="BQ120" s="241"/>
      <c r="BR120" s="241"/>
      <c r="BS120" s="241"/>
      <c r="BT120" s="241"/>
      <c r="BU120" s="241"/>
      <c r="BV120" s="241"/>
      <c r="BW120" s="241"/>
      <c r="BX120" s="241"/>
      <c r="BY120" s="241"/>
      <c r="BZ120" s="241"/>
      <c r="CA120" s="241"/>
      <c r="CB120" s="241"/>
      <c r="CC120" s="241"/>
      <c r="CD120" s="241"/>
      <c r="CE120" s="241"/>
      <c r="CF120" s="241"/>
      <c r="CG120" s="241"/>
      <c r="CH120" s="241"/>
      <c r="CI120" s="241"/>
      <c r="CJ120" s="241"/>
      <c r="CK120" s="241"/>
      <c r="CL120" s="241"/>
      <c r="CM120" s="241"/>
      <c r="CN120" s="241"/>
      <c r="CO120" s="241"/>
      <c r="CP120" s="241"/>
      <c r="CQ120" s="241"/>
      <c r="CR120" s="241"/>
      <c r="CS120" s="241"/>
      <c r="CT120" s="241"/>
      <c r="CU120" s="241"/>
      <c r="CV120" s="241"/>
      <c r="CW120" s="241"/>
      <c r="CX120" s="241"/>
      <c r="CY120" s="241"/>
      <c r="CZ120" s="241"/>
      <c r="DA120" s="241"/>
      <c r="DB120" s="241"/>
      <c r="DC120" s="241"/>
      <c r="DD120" s="241"/>
      <c r="DE120" s="241"/>
      <c r="DF120" s="241"/>
      <c r="DG120" s="241"/>
      <c r="DH120" s="241"/>
      <c r="DT120" s="241"/>
      <c r="FB120" s="241"/>
    </row>
    <row r="121" spans="4:158" hidden="1" x14ac:dyDescent="0.25">
      <c r="D121" s="241"/>
      <c r="E121" s="241"/>
      <c r="F121" s="241"/>
      <c r="G121" s="241"/>
      <c r="H121" s="241"/>
      <c r="I121" s="242"/>
      <c r="J121" s="241"/>
      <c r="K121" s="241"/>
      <c r="L121" s="241"/>
      <c r="M121" s="241"/>
      <c r="N121" s="242"/>
      <c r="O121" s="242"/>
      <c r="P121" s="242"/>
      <c r="Q121" s="242"/>
      <c r="R121" s="241"/>
      <c r="S121" s="241"/>
      <c r="T121" s="241"/>
      <c r="U121" s="241"/>
      <c r="V121" s="241"/>
      <c r="W121" s="241"/>
      <c r="X121" s="241"/>
      <c r="Y121" s="241"/>
      <c r="Z121" s="242"/>
      <c r="AA121" s="242"/>
      <c r="AB121" s="241"/>
      <c r="AC121" s="241"/>
      <c r="AD121" s="241"/>
      <c r="AE121" s="241"/>
      <c r="AF121" s="241"/>
      <c r="AG121" s="241"/>
      <c r="AH121" s="241"/>
      <c r="AI121" s="241"/>
      <c r="AJ121" s="274"/>
      <c r="AK121" s="241"/>
      <c r="AL121" s="241"/>
      <c r="AM121" s="241"/>
      <c r="AN121" s="241"/>
      <c r="AO121" s="241"/>
      <c r="AP121" s="241"/>
      <c r="AQ121" s="241"/>
      <c r="AR121" s="241"/>
      <c r="AS121" s="241"/>
      <c r="AT121" s="241"/>
      <c r="AU121" s="241"/>
      <c r="AV121" s="241"/>
      <c r="AW121" s="241"/>
      <c r="AX121" s="241"/>
      <c r="AY121" s="241"/>
      <c r="AZ121" s="241"/>
      <c r="BA121" s="241"/>
      <c r="BB121" s="241"/>
      <c r="BC121" s="241"/>
      <c r="BD121" s="241"/>
      <c r="BE121" s="241"/>
      <c r="BF121" s="241"/>
      <c r="BG121" s="241"/>
      <c r="BH121" s="241"/>
      <c r="BI121" s="241"/>
      <c r="BJ121" s="241"/>
      <c r="BK121" s="241"/>
      <c r="BL121" s="241"/>
      <c r="BM121" s="241"/>
      <c r="BN121" s="241"/>
      <c r="BO121" s="241"/>
      <c r="BP121" s="241"/>
      <c r="BQ121" s="241"/>
      <c r="BR121" s="241"/>
      <c r="BS121" s="241"/>
      <c r="BT121" s="241"/>
      <c r="BU121" s="241"/>
      <c r="BV121" s="241"/>
      <c r="BW121" s="241"/>
      <c r="BX121" s="241"/>
      <c r="BY121" s="241"/>
      <c r="BZ121" s="241"/>
      <c r="CA121" s="241"/>
      <c r="CB121" s="241"/>
      <c r="CC121" s="241"/>
      <c r="CD121" s="241"/>
      <c r="CE121" s="241"/>
      <c r="CF121" s="241"/>
      <c r="CG121" s="241"/>
      <c r="CH121" s="241"/>
      <c r="CI121" s="241"/>
      <c r="CJ121" s="241"/>
      <c r="CK121" s="241"/>
      <c r="CL121" s="241"/>
      <c r="CM121" s="241"/>
      <c r="CN121" s="241"/>
      <c r="CO121" s="241"/>
      <c r="CP121" s="241"/>
      <c r="CQ121" s="241"/>
      <c r="CR121" s="241"/>
      <c r="CS121" s="241"/>
      <c r="CT121" s="241"/>
      <c r="CU121" s="241"/>
      <c r="CV121" s="241"/>
      <c r="CW121" s="241"/>
      <c r="CX121" s="241"/>
      <c r="CY121" s="241"/>
      <c r="CZ121" s="241"/>
      <c r="DA121" s="241"/>
      <c r="DB121" s="241"/>
      <c r="DC121" s="241"/>
      <c r="DD121" s="241"/>
      <c r="DE121" s="241"/>
      <c r="DF121" s="241"/>
      <c r="DG121" s="241"/>
      <c r="DH121" s="241"/>
      <c r="DT121" s="241"/>
      <c r="FB121" s="241"/>
    </row>
    <row r="122" spans="4:158" hidden="1" x14ac:dyDescent="0.25">
      <c r="D122" s="241"/>
      <c r="E122" s="241"/>
      <c r="F122" s="241"/>
      <c r="G122" s="241"/>
      <c r="H122" s="241"/>
      <c r="I122" s="242"/>
      <c r="J122" s="241"/>
      <c r="K122" s="241"/>
      <c r="L122" s="241"/>
      <c r="M122" s="241"/>
      <c r="N122" s="242"/>
      <c r="O122" s="242"/>
      <c r="P122" s="242"/>
      <c r="Q122" s="242"/>
      <c r="R122" s="241"/>
      <c r="S122" s="241"/>
      <c r="T122" s="241"/>
      <c r="U122" s="241"/>
      <c r="V122" s="241"/>
      <c r="W122" s="241"/>
      <c r="X122" s="241"/>
      <c r="Y122" s="241"/>
      <c r="Z122" s="242"/>
      <c r="AA122" s="242"/>
      <c r="AB122" s="241"/>
      <c r="AC122" s="241"/>
      <c r="AD122" s="241"/>
      <c r="AE122" s="241"/>
      <c r="AF122" s="241"/>
      <c r="AG122" s="241"/>
      <c r="AH122" s="241"/>
      <c r="AI122" s="241"/>
      <c r="AJ122" s="274"/>
      <c r="AK122" s="241"/>
      <c r="AL122" s="241"/>
      <c r="AM122" s="241"/>
      <c r="AN122" s="241"/>
      <c r="AO122" s="241"/>
      <c r="AP122" s="241"/>
      <c r="AQ122" s="241"/>
      <c r="AR122" s="241"/>
      <c r="AS122" s="241"/>
      <c r="AT122" s="241"/>
      <c r="AU122" s="241"/>
      <c r="AV122" s="241"/>
      <c r="AW122" s="241"/>
      <c r="AX122" s="241"/>
      <c r="AY122" s="241"/>
      <c r="AZ122" s="241"/>
      <c r="BA122" s="241"/>
      <c r="BB122" s="241"/>
      <c r="BC122" s="241"/>
      <c r="BD122" s="241"/>
      <c r="BE122" s="241"/>
      <c r="BF122" s="241"/>
      <c r="BG122" s="241"/>
      <c r="BH122" s="241"/>
      <c r="BI122" s="241"/>
      <c r="BJ122" s="241"/>
      <c r="BK122" s="241"/>
      <c r="BL122" s="241"/>
      <c r="BM122" s="241"/>
      <c r="BN122" s="241"/>
      <c r="BO122" s="241"/>
      <c r="BP122" s="241"/>
      <c r="BQ122" s="241"/>
      <c r="BR122" s="241"/>
      <c r="BS122" s="241"/>
      <c r="BT122" s="241"/>
      <c r="BU122" s="241"/>
      <c r="BV122" s="241"/>
      <c r="BW122" s="241"/>
      <c r="BX122" s="241"/>
      <c r="BY122" s="241"/>
      <c r="BZ122" s="241"/>
      <c r="CA122" s="241"/>
      <c r="CB122" s="241"/>
      <c r="CC122" s="241"/>
      <c r="CD122" s="241"/>
      <c r="CE122" s="241"/>
      <c r="CF122" s="241"/>
      <c r="CG122" s="241"/>
      <c r="CH122" s="241"/>
      <c r="CI122" s="241"/>
      <c r="CJ122" s="241"/>
      <c r="CK122" s="241"/>
      <c r="CL122" s="241"/>
      <c r="CM122" s="241"/>
      <c r="CN122" s="241"/>
      <c r="CO122" s="241"/>
      <c r="CP122" s="241"/>
      <c r="CQ122" s="241"/>
      <c r="CR122" s="241"/>
      <c r="CS122" s="241"/>
      <c r="CT122" s="241"/>
      <c r="CU122" s="241"/>
      <c r="CV122" s="241"/>
      <c r="CW122" s="241"/>
      <c r="CX122" s="241"/>
      <c r="CY122" s="241"/>
      <c r="CZ122" s="241"/>
      <c r="DA122" s="241"/>
      <c r="DB122" s="241"/>
      <c r="DC122" s="241"/>
      <c r="DD122" s="241"/>
      <c r="DE122" s="241"/>
      <c r="DF122" s="241"/>
      <c r="DG122" s="241"/>
      <c r="DH122" s="241"/>
      <c r="DT122" s="241"/>
      <c r="FB122" s="241"/>
    </row>
    <row r="123" spans="4:158" hidden="1" x14ac:dyDescent="0.25">
      <c r="D123" s="241"/>
      <c r="E123" s="241"/>
      <c r="F123" s="241"/>
      <c r="G123" s="241"/>
      <c r="H123" s="241"/>
      <c r="I123" s="242"/>
      <c r="J123" s="241"/>
      <c r="K123" s="241"/>
      <c r="L123" s="241"/>
      <c r="M123" s="241"/>
      <c r="N123" s="242"/>
      <c r="O123" s="242"/>
      <c r="P123" s="242"/>
      <c r="Q123" s="242"/>
      <c r="R123" s="241"/>
      <c r="S123" s="241"/>
      <c r="T123" s="241"/>
      <c r="U123" s="241"/>
      <c r="V123" s="241"/>
      <c r="W123" s="241"/>
      <c r="X123" s="241"/>
      <c r="Y123" s="241"/>
      <c r="Z123" s="242"/>
      <c r="AA123" s="242"/>
      <c r="AB123" s="241"/>
      <c r="AC123" s="241"/>
      <c r="AD123" s="241"/>
      <c r="AE123" s="241"/>
      <c r="AF123" s="241"/>
      <c r="AG123" s="241"/>
      <c r="AH123" s="241"/>
      <c r="AI123" s="241"/>
      <c r="AJ123" s="274"/>
      <c r="AK123" s="241"/>
      <c r="AL123" s="241"/>
      <c r="AM123" s="241"/>
      <c r="AN123" s="241"/>
      <c r="AO123" s="241"/>
      <c r="AP123" s="241"/>
      <c r="AQ123" s="241"/>
      <c r="AR123" s="241"/>
      <c r="AS123" s="241"/>
      <c r="AT123" s="241"/>
      <c r="AU123" s="241"/>
      <c r="AV123" s="241"/>
      <c r="AW123" s="241"/>
      <c r="AX123" s="241"/>
      <c r="AY123" s="241"/>
      <c r="AZ123" s="241"/>
      <c r="BA123" s="241"/>
      <c r="BB123" s="241"/>
      <c r="BC123" s="241"/>
      <c r="BD123" s="241"/>
      <c r="BE123" s="241"/>
      <c r="BF123" s="241"/>
      <c r="BG123" s="241"/>
      <c r="BH123" s="241"/>
      <c r="BI123" s="241"/>
      <c r="BJ123" s="241"/>
      <c r="BK123" s="241"/>
      <c r="BL123" s="241"/>
      <c r="BM123" s="241"/>
      <c r="BN123" s="241"/>
      <c r="BO123" s="241"/>
      <c r="BP123" s="241"/>
      <c r="BQ123" s="241"/>
      <c r="BR123" s="241"/>
      <c r="BS123" s="241"/>
      <c r="BT123" s="241"/>
      <c r="BU123" s="241"/>
      <c r="BV123" s="241"/>
      <c r="BW123" s="241"/>
      <c r="BX123" s="241"/>
      <c r="BY123" s="241"/>
      <c r="BZ123" s="241"/>
      <c r="CA123" s="241"/>
      <c r="CB123" s="241"/>
      <c r="CC123" s="241"/>
      <c r="CD123" s="241"/>
      <c r="CE123" s="241"/>
      <c r="CF123" s="241"/>
      <c r="CG123" s="241"/>
      <c r="CH123" s="241"/>
      <c r="CI123" s="241"/>
      <c r="CJ123" s="241"/>
      <c r="CK123" s="241"/>
      <c r="CL123" s="241"/>
      <c r="CM123" s="241"/>
      <c r="CN123" s="241"/>
      <c r="CO123" s="241"/>
      <c r="CP123" s="241"/>
      <c r="CQ123" s="241"/>
      <c r="CR123" s="241"/>
      <c r="CS123" s="241"/>
      <c r="CT123" s="241"/>
      <c r="CU123" s="241"/>
      <c r="CV123" s="241"/>
      <c r="CW123" s="241"/>
      <c r="CX123" s="241"/>
      <c r="CY123" s="241"/>
      <c r="CZ123" s="241"/>
      <c r="DA123" s="241"/>
      <c r="DB123" s="241"/>
      <c r="DC123" s="241"/>
      <c r="DD123" s="241"/>
      <c r="DE123" s="241"/>
      <c r="DF123" s="241"/>
      <c r="DG123" s="241"/>
      <c r="DH123" s="241"/>
      <c r="DT123" s="241"/>
      <c r="FB123" s="241"/>
    </row>
    <row r="124" spans="4:158" hidden="1" x14ac:dyDescent="0.25">
      <c r="D124" s="241"/>
      <c r="E124" s="241"/>
      <c r="F124" s="241"/>
      <c r="G124" s="241"/>
      <c r="H124" s="241"/>
      <c r="I124" s="242"/>
      <c r="J124" s="241"/>
      <c r="K124" s="241"/>
      <c r="L124" s="241"/>
      <c r="M124" s="241"/>
      <c r="N124" s="242"/>
      <c r="O124" s="242"/>
      <c r="P124" s="242"/>
      <c r="Q124" s="242"/>
      <c r="R124" s="241"/>
      <c r="S124" s="241"/>
      <c r="T124" s="241"/>
      <c r="U124" s="241"/>
      <c r="V124" s="241"/>
      <c r="W124" s="241"/>
      <c r="X124" s="241"/>
      <c r="Y124" s="241"/>
      <c r="Z124" s="242"/>
      <c r="AA124" s="242"/>
      <c r="AB124" s="241"/>
      <c r="AC124" s="241"/>
      <c r="AD124" s="241"/>
      <c r="AE124" s="241"/>
      <c r="AF124" s="241"/>
      <c r="AG124" s="241"/>
      <c r="AH124" s="241"/>
      <c r="AI124" s="241"/>
      <c r="AJ124" s="274"/>
      <c r="AK124" s="241"/>
      <c r="AL124" s="241"/>
      <c r="AM124" s="241"/>
      <c r="AN124" s="241"/>
      <c r="AO124" s="241"/>
      <c r="AP124" s="241"/>
      <c r="AQ124" s="241"/>
      <c r="AR124" s="241"/>
      <c r="AS124" s="241"/>
      <c r="AT124" s="241"/>
      <c r="AU124" s="241"/>
      <c r="AV124" s="241"/>
      <c r="AW124" s="241"/>
      <c r="AX124" s="241"/>
      <c r="AY124" s="241"/>
      <c r="AZ124" s="241"/>
      <c r="BA124" s="241"/>
      <c r="BB124" s="241"/>
      <c r="BC124" s="241"/>
      <c r="BD124" s="241"/>
      <c r="BE124" s="241"/>
      <c r="BF124" s="241"/>
      <c r="BG124" s="241"/>
      <c r="BH124" s="241"/>
      <c r="BI124" s="241"/>
      <c r="BJ124" s="241"/>
      <c r="BK124" s="241"/>
      <c r="BL124" s="241"/>
      <c r="BM124" s="241"/>
      <c r="BN124" s="241"/>
      <c r="BO124" s="241"/>
      <c r="BP124" s="241"/>
      <c r="BQ124" s="241"/>
      <c r="BR124" s="241"/>
      <c r="BS124" s="241"/>
      <c r="BT124" s="241"/>
      <c r="BU124" s="241"/>
      <c r="BV124" s="241"/>
      <c r="BW124" s="241"/>
      <c r="BX124" s="241"/>
      <c r="BY124" s="241"/>
      <c r="BZ124" s="241"/>
      <c r="CA124" s="241"/>
      <c r="CB124" s="241"/>
      <c r="CC124" s="241"/>
      <c r="CD124" s="241"/>
      <c r="CE124" s="241"/>
      <c r="CF124" s="241"/>
      <c r="CG124" s="241"/>
      <c r="CH124" s="241"/>
      <c r="CI124" s="241"/>
      <c r="CJ124" s="241"/>
      <c r="CK124" s="241"/>
      <c r="CL124" s="241"/>
      <c r="CM124" s="241"/>
      <c r="CN124" s="241"/>
      <c r="CO124" s="241"/>
      <c r="CP124" s="241"/>
      <c r="CQ124" s="241"/>
      <c r="CR124" s="241"/>
      <c r="CS124" s="241"/>
      <c r="CT124" s="241"/>
      <c r="CU124" s="241"/>
      <c r="CV124" s="241"/>
      <c r="CW124" s="241"/>
      <c r="CX124" s="241"/>
      <c r="CY124" s="241"/>
      <c r="CZ124" s="241"/>
      <c r="DA124" s="241"/>
      <c r="DB124" s="241"/>
      <c r="DC124" s="241"/>
      <c r="DD124" s="241"/>
      <c r="DE124" s="241"/>
      <c r="DF124" s="241"/>
      <c r="DG124" s="241"/>
      <c r="DH124" s="241"/>
      <c r="DT124" s="241"/>
      <c r="FB124" s="241"/>
    </row>
    <row r="125" spans="4:158" hidden="1" x14ac:dyDescent="0.25">
      <c r="D125" s="241"/>
      <c r="E125" s="241"/>
      <c r="F125" s="241"/>
      <c r="G125" s="241"/>
      <c r="H125" s="241"/>
      <c r="I125" s="242"/>
      <c r="J125" s="241"/>
      <c r="K125" s="241"/>
      <c r="L125" s="241"/>
      <c r="M125" s="241"/>
      <c r="N125" s="242"/>
      <c r="O125" s="242"/>
      <c r="P125" s="242"/>
      <c r="Q125" s="242"/>
      <c r="R125" s="241"/>
      <c r="S125" s="241"/>
      <c r="T125" s="241"/>
      <c r="U125" s="241"/>
      <c r="V125" s="241"/>
      <c r="W125" s="241"/>
      <c r="X125" s="241"/>
      <c r="Y125" s="241"/>
      <c r="Z125" s="242"/>
      <c r="AA125" s="242"/>
      <c r="AB125" s="241"/>
      <c r="AC125" s="241"/>
      <c r="AD125" s="241"/>
      <c r="AE125" s="241"/>
      <c r="AF125" s="241"/>
      <c r="AG125" s="241"/>
      <c r="AH125" s="241"/>
      <c r="AI125" s="241"/>
      <c r="AJ125" s="274"/>
      <c r="AK125" s="241"/>
      <c r="AL125" s="241"/>
      <c r="AM125" s="241"/>
      <c r="AN125" s="241"/>
      <c r="AO125" s="241"/>
      <c r="AP125" s="241"/>
      <c r="AQ125" s="241"/>
      <c r="AR125" s="241"/>
      <c r="AS125" s="241"/>
      <c r="AT125" s="241"/>
      <c r="AU125" s="241"/>
      <c r="AV125" s="241"/>
      <c r="AW125" s="241"/>
      <c r="AX125" s="241"/>
      <c r="AY125" s="241"/>
      <c r="AZ125" s="241"/>
      <c r="BA125" s="241"/>
      <c r="BB125" s="241"/>
      <c r="BC125" s="241"/>
      <c r="BD125" s="241"/>
      <c r="BE125" s="241"/>
      <c r="BF125" s="241"/>
      <c r="BG125" s="241"/>
      <c r="BH125" s="241"/>
      <c r="BI125" s="241"/>
      <c r="BJ125" s="241"/>
      <c r="BK125" s="241"/>
      <c r="BL125" s="241"/>
      <c r="BM125" s="241"/>
      <c r="BN125" s="241"/>
      <c r="BO125" s="241"/>
      <c r="BP125" s="241"/>
      <c r="BQ125" s="241"/>
      <c r="BR125" s="241"/>
      <c r="BS125" s="241"/>
      <c r="BT125" s="241"/>
      <c r="BU125" s="241"/>
      <c r="BV125" s="241"/>
      <c r="BW125" s="241"/>
      <c r="BX125" s="241"/>
      <c r="BY125" s="241"/>
      <c r="BZ125" s="241"/>
      <c r="CA125" s="241"/>
      <c r="CB125" s="241"/>
      <c r="CC125" s="241"/>
      <c r="CD125" s="241"/>
      <c r="CE125" s="241"/>
      <c r="CF125" s="241"/>
      <c r="CG125" s="241"/>
      <c r="CH125" s="241"/>
      <c r="CI125" s="241"/>
      <c r="CJ125" s="241"/>
      <c r="CK125" s="241"/>
      <c r="CL125" s="241"/>
      <c r="CM125" s="241"/>
      <c r="CN125" s="241"/>
      <c r="CO125" s="241"/>
      <c r="CP125" s="241"/>
      <c r="CQ125" s="241"/>
      <c r="CR125" s="241"/>
      <c r="CS125" s="241"/>
      <c r="CT125" s="241"/>
      <c r="CU125" s="241"/>
      <c r="CV125" s="241"/>
      <c r="CW125" s="241"/>
      <c r="CX125" s="241"/>
      <c r="CY125" s="241"/>
      <c r="CZ125" s="241"/>
      <c r="DA125" s="241"/>
      <c r="DB125" s="241"/>
      <c r="DC125" s="241"/>
      <c r="DD125" s="241"/>
      <c r="DE125" s="241"/>
      <c r="DF125" s="241"/>
      <c r="DG125" s="241"/>
      <c r="DH125" s="241"/>
      <c r="DT125" s="241"/>
      <c r="FB125" s="241"/>
    </row>
    <row r="126" spans="4:158" hidden="1" x14ac:dyDescent="0.25">
      <c r="D126" s="241"/>
      <c r="E126" s="241"/>
      <c r="F126" s="241"/>
      <c r="G126" s="241"/>
      <c r="H126" s="241"/>
      <c r="I126" s="242"/>
      <c r="J126" s="241"/>
      <c r="K126" s="241"/>
      <c r="L126" s="241"/>
      <c r="M126" s="241"/>
      <c r="N126" s="242"/>
      <c r="O126" s="242"/>
      <c r="P126" s="242"/>
      <c r="Q126" s="242"/>
      <c r="R126" s="241"/>
      <c r="S126" s="241"/>
      <c r="T126" s="241"/>
      <c r="U126" s="241"/>
      <c r="V126" s="241"/>
      <c r="W126" s="241"/>
      <c r="X126" s="241"/>
      <c r="Y126" s="241"/>
      <c r="Z126" s="242"/>
      <c r="AA126" s="242"/>
      <c r="AB126" s="241"/>
      <c r="AC126" s="241"/>
      <c r="AD126" s="241"/>
      <c r="AE126" s="241"/>
      <c r="AF126" s="241"/>
      <c r="AG126" s="241"/>
      <c r="AH126" s="241"/>
      <c r="AI126" s="241"/>
      <c r="AJ126" s="274"/>
      <c r="AK126" s="241"/>
      <c r="AL126" s="241"/>
      <c r="AM126" s="241"/>
      <c r="AN126" s="241"/>
      <c r="AO126" s="241"/>
      <c r="AP126" s="241"/>
      <c r="AQ126" s="241"/>
      <c r="AR126" s="241"/>
      <c r="AS126" s="241"/>
      <c r="AT126" s="241"/>
      <c r="AU126" s="241"/>
      <c r="AV126" s="241"/>
      <c r="AW126" s="241"/>
      <c r="AX126" s="241"/>
      <c r="AY126" s="241"/>
      <c r="AZ126" s="241"/>
      <c r="BA126" s="241"/>
      <c r="BB126" s="241"/>
      <c r="BC126" s="241"/>
      <c r="BD126" s="241"/>
      <c r="BE126" s="241"/>
      <c r="BF126" s="241"/>
      <c r="BG126" s="241"/>
      <c r="BH126" s="241"/>
      <c r="BI126" s="241"/>
      <c r="BJ126" s="241"/>
      <c r="BK126" s="241"/>
      <c r="BL126" s="241"/>
      <c r="BM126" s="241"/>
      <c r="BN126" s="241"/>
      <c r="BO126" s="241"/>
      <c r="BP126" s="241"/>
      <c r="BQ126" s="241"/>
      <c r="BR126" s="241"/>
      <c r="BS126" s="241"/>
      <c r="BT126" s="241"/>
      <c r="BU126" s="241"/>
      <c r="BV126" s="241"/>
      <c r="BW126" s="241"/>
      <c r="BX126" s="241"/>
      <c r="BY126" s="241"/>
      <c r="BZ126" s="241"/>
      <c r="CA126" s="241"/>
      <c r="CB126" s="241"/>
      <c r="CC126" s="241"/>
      <c r="CD126" s="241"/>
      <c r="CE126" s="241"/>
      <c r="CF126" s="241"/>
      <c r="CG126" s="241"/>
      <c r="CH126" s="241"/>
      <c r="CI126" s="241"/>
      <c r="CJ126" s="241"/>
      <c r="CK126" s="241"/>
      <c r="CL126" s="241"/>
      <c r="CM126" s="241"/>
      <c r="CN126" s="241"/>
      <c r="CO126" s="241"/>
      <c r="CP126" s="241"/>
      <c r="CQ126" s="241"/>
      <c r="CR126" s="241"/>
      <c r="CS126" s="241"/>
      <c r="CT126" s="241"/>
      <c r="CU126" s="241"/>
      <c r="CV126" s="241"/>
      <c r="CW126" s="241"/>
      <c r="CX126" s="241"/>
      <c r="CY126" s="241"/>
      <c r="CZ126" s="241"/>
      <c r="DA126" s="241"/>
      <c r="DB126" s="241"/>
      <c r="DC126" s="241"/>
      <c r="DD126" s="241"/>
      <c r="DE126" s="241"/>
      <c r="DF126" s="241"/>
      <c r="DG126" s="241"/>
      <c r="DH126" s="241"/>
      <c r="DT126" s="241"/>
      <c r="FB126" s="241"/>
    </row>
    <row r="127" spans="4:158" hidden="1" x14ac:dyDescent="0.25">
      <c r="D127" s="241"/>
      <c r="E127" s="241"/>
      <c r="F127" s="241"/>
      <c r="G127" s="241"/>
      <c r="H127" s="241"/>
      <c r="I127" s="242"/>
      <c r="J127" s="241"/>
      <c r="K127" s="241"/>
      <c r="L127" s="241"/>
      <c r="M127" s="241"/>
      <c r="N127" s="242"/>
      <c r="O127" s="242"/>
      <c r="P127" s="242"/>
      <c r="Q127" s="242"/>
      <c r="R127" s="241"/>
      <c r="S127" s="241"/>
      <c r="T127" s="241"/>
      <c r="U127" s="241"/>
      <c r="V127" s="241"/>
      <c r="W127" s="241"/>
      <c r="X127" s="241"/>
      <c r="Y127" s="241"/>
      <c r="Z127" s="242"/>
      <c r="AA127" s="242"/>
      <c r="AB127" s="241"/>
      <c r="AC127" s="241"/>
      <c r="AD127" s="241"/>
      <c r="AE127" s="241"/>
      <c r="AF127" s="241"/>
      <c r="AG127" s="241"/>
      <c r="AH127" s="241"/>
      <c r="AI127" s="241"/>
      <c r="AJ127" s="274"/>
      <c r="AK127" s="241"/>
      <c r="AL127" s="241"/>
      <c r="AM127" s="241"/>
      <c r="AN127" s="241"/>
      <c r="AO127" s="241"/>
      <c r="AP127" s="241"/>
      <c r="AQ127" s="241"/>
      <c r="AR127" s="241"/>
      <c r="AS127" s="241"/>
      <c r="AT127" s="241"/>
      <c r="AU127" s="241"/>
      <c r="AV127" s="241"/>
      <c r="AW127" s="241"/>
      <c r="AX127" s="241"/>
      <c r="AY127" s="241"/>
      <c r="AZ127" s="241"/>
      <c r="BA127" s="241"/>
      <c r="BB127" s="241"/>
      <c r="BC127" s="241"/>
      <c r="BD127" s="241"/>
      <c r="BE127" s="241"/>
      <c r="BF127" s="241"/>
      <c r="BG127" s="241"/>
      <c r="BH127" s="241"/>
      <c r="BI127" s="241"/>
      <c r="BJ127" s="241"/>
      <c r="BK127" s="241"/>
      <c r="BL127" s="241"/>
      <c r="BM127" s="241"/>
      <c r="BN127" s="241"/>
      <c r="BO127" s="241"/>
      <c r="BP127" s="241"/>
      <c r="BQ127" s="241"/>
      <c r="BR127" s="241"/>
      <c r="BS127" s="241"/>
      <c r="BT127" s="241"/>
      <c r="BU127" s="241"/>
      <c r="BV127" s="241"/>
      <c r="BW127" s="241"/>
      <c r="BX127" s="241"/>
      <c r="BY127" s="241"/>
      <c r="BZ127" s="241"/>
      <c r="CA127" s="241"/>
      <c r="CB127" s="241"/>
      <c r="CC127" s="241"/>
      <c r="CD127" s="241"/>
      <c r="CE127" s="241"/>
      <c r="CF127" s="241"/>
      <c r="CG127" s="241"/>
      <c r="CH127" s="241"/>
      <c r="CI127" s="241"/>
      <c r="CJ127" s="241"/>
      <c r="CK127" s="241"/>
      <c r="CL127" s="241"/>
      <c r="CM127" s="241"/>
      <c r="CN127" s="241"/>
      <c r="CO127" s="241"/>
      <c r="CP127" s="241"/>
      <c r="CQ127" s="241"/>
      <c r="CR127" s="241"/>
      <c r="CS127" s="241"/>
      <c r="CT127" s="241"/>
      <c r="CU127" s="241"/>
      <c r="CV127" s="241"/>
      <c r="CW127" s="241"/>
      <c r="CX127" s="241"/>
      <c r="CY127" s="241"/>
      <c r="CZ127" s="241"/>
      <c r="DA127" s="241"/>
      <c r="DB127" s="241"/>
      <c r="DC127" s="241"/>
      <c r="DD127" s="241"/>
      <c r="DE127" s="241"/>
      <c r="DF127" s="241"/>
      <c r="DG127" s="241"/>
      <c r="DH127" s="241"/>
      <c r="DT127" s="241"/>
      <c r="FB127" s="241"/>
    </row>
    <row r="128" spans="4:158" ht="6.75" hidden="1" customHeight="1" x14ac:dyDescent="0.25">
      <c r="D128" s="241"/>
      <c r="E128" s="241"/>
      <c r="F128" s="241"/>
      <c r="G128" s="241"/>
      <c r="H128" s="241"/>
      <c r="I128" s="242"/>
      <c r="J128" s="241"/>
      <c r="K128" s="241"/>
      <c r="L128" s="241"/>
      <c r="M128" s="241"/>
      <c r="N128" s="242"/>
      <c r="O128" s="242"/>
      <c r="P128" s="242"/>
      <c r="Q128" s="242"/>
      <c r="R128" s="241"/>
      <c r="S128" s="241"/>
      <c r="T128" s="241"/>
      <c r="U128" s="241"/>
      <c r="V128" s="241"/>
      <c r="W128" s="241"/>
      <c r="X128" s="241"/>
      <c r="Y128" s="241"/>
      <c r="Z128" s="242"/>
      <c r="AA128" s="242"/>
      <c r="AB128" s="241"/>
      <c r="AC128" s="241"/>
      <c r="AD128" s="241"/>
      <c r="AE128" s="241"/>
      <c r="AF128" s="241"/>
      <c r="AG128" s="241"/>
      <c r="AH128" s="241"/>
      <c r="AI128" s="241"/>
      <c r="AJ128" s="274"/>
      <c r="AK128" s="241"/>
      <c r="AL128" s="241"/>
      <c r="AM128" s="241"/>
      <c r="AN128" s="241"/>
      <c r="AO128" s="241"/>
      <c r="AP128" s="241"/>
      <c r="AQ128" s="241"/>
      <c r="AR128" s="241"/>
      <c r="AS128" s="241"/>
      <c r="AT128" s="241"/>
      <c r="AU128" s="241"/>
      <c r="AV128" s="241"/>
      <c r="AW128" s="241"/>
      <c r="AX128" s="241"/>
      <c r="AY128" s="241"/>
      <c r="AZ128" s="241"/>
      <c r="BA128" s="241"/>
      <c r="BB128" s="241"/>
      <c r="BC128" s="241"/>
      <c r="BD128" s="241"/>
      <c r="BE128" s="241"/>
      <c r="BF128" s="241"/>
      <c r="BG128" s="241"/>
      <c r="BH128" s="241"/>
      <c r="BI128" s="241"/>
      <c r="BJ128" s="241"/>
      <c r="BK128" s="241"/>
      <c r="BL128" s="241"/>
      <c r="BM128" s="241"/>
      <c r="BN128" s="241"/>
      <c r="BO128" s="241"/>
      <c r="BP128" s="241"/>
      <c r="BQ128" s="241"/>
      <c r="BR128" s="241"/>
      <c r="BS128" s="241"/>
      <c r="BT128" s="241"/>
      <c r="BU128" s="241"/>
      <c r="BV128" s="241"/>
      <c r="BW128" s="241"/>
      <c r="BX128" s="241"/>
      <c r="BY128" s="241"/>
      <c r="BZ128" s="241"/>
      <c r="CA128" s="241"/>
      <c r="CB128" s="241"/>
      <c r="CC128" s="241"/>
      <c r="CD128" s="241"/>
      <c r="CE128" s="241"/>
      <c r="CF128" s="241"/>
      <c r="CG128" s="241"/>
      <c r="CH128" s="241"/>
      <c r="CI128" s="241"/>
      <c r="CJ128" s="241"/>
      <c r="CK128" s="241"/>
      <c r="CL128" s="241"/>
      <c r="CM128" s="241"/>
      <c r="CN128" s="241"/>
      <c r="CO128" s="241"/>
      <c r="CP128" s="241"/>
      <c r="CQ128" s="241"/>
      <c r="CR128" s="241"/>
      <c r="CS128" s="241"/>
      <c r="CT128" s="241"/>
      <c r="CU128" s="241"/>
      <c r="CV128" s="241"/>
      <c r="CW128" s="241"/>
      <c r="CX128" s="241"/>
      <c r="CY128" s="241"/>
      <c r="CZ128" s="241"/>
      <c r="DA128" s="241"/>
      <c r="DB128" s="241"/>
      <c r="DC128" s="241"/>
      <c r="DD128" s="241"/>
      <c r="DE128" s="241"/>
      <c r="DF128" s="241"/>
      <c r="DG128" s="241"/>
      <c r="DH128" s="241"/>
      <c r="DT128" s="241"/>
      <c r="FB128" s="241"/>
    </row>
    <row r="129" spans="4:158" hidden="1" x14ac:dyDescent="0.25">
      <c r="D129" s="241"/>
      <c r="E129" s="241"/>
      <c r="F129" s="241"/>
      <c r="G129" s="241"/>
      <c r="H129" s="241"/>
      <c r="I129" s="242"/>
      <c r="J129" s="241"/>
      <c r="K129" s="241"/>
      <c r="L129" s="241"/>
      <c r="M129" s="241"/>
      <c r="N129" s="242"/>
      <c r="O129" s="242"/>
      <c r="P129" s="242"/>
      <c r="Q129" s="242"/>
      <c r="R129" s="241"/>
      <c r="S129" s="241"/>
      <c r="T129" s="241"/>
      <c r="U129" s="241"/>
      <c r="V129" s="241"/>
      <c r="W129" s="241"/>
      <c r="X129" s="241"/>
      <c r="Y129" s="241"/>
      <c r="Z129" s="242"/>
      <c r="AA129" s="242"/>
      <c r="AB129" s="241"/>
      <c r="AC129" s="241"/>
      <c r="AD129" s="241"/>
      <c r="AE129" s="241"/>
      <c r="AF129" s="241"/>
      <c r="AG129" s="241"/>
      <c r="AH129" s="241"/>
      <c r="AI129" s="241"/>
      <c r="AJ129" s="274"/>
      <c r="AK129" s="241"/>
      <c r="AL129" s="241"/>
      <c r="AM129" s="241"/>
      <c r="AN129" s="241"/>
      <c r="AO129" s="241"/>
      <c r="AP129" s="241"/>
      <c r="AQ129" s="241"/>
      <c r="AR129" s="241"/>
      <c r="AS129" s="241"/>
      <c r="AT129" s="241"/>
      <c r="AU129" s="241"/>
      <c r="AV129" s="241"/>
      <c r="AW129" s="241"/>
      <c r="AX129" s="241"/>
      <c r="AY129" s="241"/>
      <c r="AZ129" s="241"/>
      <c r="BA129" s="241"/>
      <c r="BB129" s="241"/>
      <c r="BC129" s="241"/>
      <c r="BD129" s="241"/>
      <c r="BE129" s="241"/>
      <c r="BF129" s="241"/>
      <c r="BG129" s="241"/>
      <c r="BH129" s="241"/>
      <c r="BI129" s="241"/>
      <c r="BJ129" s="241"/>
      <c r="BK129" s="241"/>
      <c r="BL129" s="241"/>
      <c r="BM129" s="241"/>
      <c r="BN129" s="241"/>
      <c r="BO129" s="241"/>
      <c r="BP129" s="241"/>
      <c r="BQ129" s="241"/>
      <c r="BR129" s="241"/>
      <c r="BS129" s="241"/>
      <c r="BT129" s="241"/>
      <c r="BU129" s="241"/>
      <c r="BV129" s="241"/>
      <c r="BW129" s="241"/>
      <c r="BX129" s="241"/>
      <c r="BY129" s="241"/>
      <c r="BZ129" s="241"/>
      <c r="CA129" s="241"/>
      <c r="CB129" s="241"/>
      <c r="CC129" s="241"/>
      <c r="CD129" s="241"/>
      <c r="CE129" s="241"/>
      <c r="CF129" s="241"/>
      <c r="CG129" s="241"/>
      <c r="CH129" s="241"/>
      <c r="CI129" s="241"/>
      <c r="CJ129" s="241"/>
      <c r="CK129" s="241"/>
      <c r="CL129" s="241"/>
      <c r="CM129" s="241"/>
      <c r="CN129" s="241"/>
      <c r="CO129" s="241"/>
      <c r="CP129" s="241"/>
      <c r="CQ129" s="241"/>
      <c r="CR129" s="241"/>
      <c r="CS129" s="241"/>
      <c r="CT129" s="241"/>
      <c r="CU129" s="241"/>
      <c r="CV129" s="241"/>
      <c r="CW129" s="241"/>
      <c r="CX129" s="241"/>
      <c r="CY129" s="241"/>
      <c r="CZ129" s="241"/>
      <c r="DA129" s="241"/>
      <c r="DB129" s="241"/>
      <c r="DC129" s="241"/>
      <c r="DD129" s="241"/>
      <c r="DE129" s="241"/>
      <c r="DF129" s="241"/>
      <c r="DG129" s="241"/>
      <c r="DH129" s="241"/>
      <c r="DT129" s="241"/>
      <c r="FB129" s="241"/>
    </row>
    <row r="130" spans="4:158" hidden="1" x14ac:dyDescent="0.25">
      <c r="D130" s="241"/>
      <c r="E130" s="241"/>
      <c r="F130" s="241"/>
      <c r="G130" s="241"/>
      <c r="H130" s="241"/>
      <c r="I130" s="242"/>
      <c r="J130" s="241"/>
      <c r="K130" s="241"/>
      <c r="L130" s="241"/>
      <c r="M130" s="241"/>
      <c r="N130" s="242"/>
      <c r="O130" s="242"/>
      <c r="P130" s="242"/>
      <c r="Q130" s="242"/>
      <c r="R130" s="241"/>
      <c r="S130" s="241"/>
      <c r="T130" s="241"/>
      <c r="U130" s="241"/>
      <c r="V130" s="241"/>
      <c r="W130" s="241"/>
      <c r="X130" s="241"/>
      <c r="Y130" s="241"/>
      <c r="Z130" s="288">
        <f>Hoja1!G17</f>
        <v>13952287.701993067</v>
      </c>
      <c r="AA130" s="242"/>
      <c r="AB130" s="241"/>
      <c r="AC130" s="241"/>
      <c r="AD130" s="241"/>
      <c r="AE130" s="241"/>
      <c r="AF130" s="241"/>
      <c r="AG130" s="241"/>
      <c r="AH130" s="241"/>
      <c r="AI130" s="241"/>
      <c r="AJ130" s="274"/>
      <c r="AK130" s="241"/>
      <c r="AL130" s="241"/>
      <c r="AM130" s="241"/>
      <c r="AN130" s="241"/>
      <c r="AO130" s="241"/>
      <c r="AP130" s="241"/>
      <c r="AQ130" s="241"/>
      <c r="AR130" s="241"/>
      <c r="AS130" s="241"/>
      <c r="AT130" s="241"/>
      <c r="AU130" s="241"/>
      <c r="AV130" s="241"/>
      <c r="AW130" s="241"/>
      <c r="AX130" s="241"/>
      <c r="AY130" s="241"/>
      <c r="AZ130" s="241"/>
      <c r="BA130" s="241"/>
      <c r="BB130" s="241"/>
      <c r="BC130" s="241"/>
      <c r="BD130" s="241"/>
      <c r="BE130" s="241"/>
      <c r="BF130" s="241"/>
      <c r="BG130" s="241"/>
      <c r="BH130" s="241"/>
      <c r="BI130" s="241"/>
      <c r="BJ130" s="241"/>
      <c r="BK130" s="241"/>
      <c r="BL130" s="241"/>
      <c r="BM130" s="241"/>
      <c r="BN130" s="241"/>
      <c r="BO130" s="241"/>
      <c r="BP130" s="241"/>
      <c r="BQ130" s="241"/>
      <c r="BR130" s="241"/>
      <c r="BS130" s="241"/>
      <c r="BT130" s="241"/>
      <c r="BU130" s="241"/>
      <c r="BV130" s="241"/>
      <c r="BW130" s="241"/>
      <c r="BX130" s="241"/>
      <c r="BY130" s="241"/>
      <c r="BZ130" s="241"/>
      <c r="CA130" s="241"/>
      <c r="CB130" s="241"/>
      <c r="CC130" s="241"/>
      <c r="CD130" s="241"/>
      <c r="CE130" s="241"/>
      <c r="CF130" s="241"/>
      <c r="CG130" s="241"/>
      <c r="CH130" s="241"/>
      <c r="CI130" s="241"/>
      <c r="CJ130" s="241"/>
      <c r="CK130" s="241"/>
      <c r="CL130" s="241"/>
      <c r="CM130" s="241"/>
      <c r="CN130" s="241"/>
      <c r="CO130" s="241"/>
      <c r="CP130" s="241"/>
      <c r="CQ130" s="241"/>
      <c r="CR130" s="241"/>
      <c r="CS130" s="241"/>
      <c r="CT130" s="241"/>
      <c r="CU130" s="241"/>
      <c r="CV130" s="241"/>
      <c r="CW130" s="241"/>
      <c r="CX130" s="241"/>
      <c r="CY130" s="241"/>
      <c r="CZ130" s="241"/>
      <c r="DA130" s="241"/>
      <c r="DB130" s="241"/>
      <c r="DC130" s="241"/>
      <c r="DD130" s="241"/>
      <c r="DE130" s="241"/>
      <c r="DF130" s="241"/>
      <c r="DG130" s="241"/>
      <c r="DH130" s="241"/>
      <c r="DT130" s="241"/>
      <c r="FB130" s="241"/>
    </row>
    <row r="131" spans="4:158" hidden="1" x14ac:dyDescent="0.25">
      <c r="D131" s="241"/>
      <c r="E131" s="241"/>
      <c r="F131" s="241"/>
      <c r="G131" s="241"/>
      <c r="H131" s="241"/>
      <c r="I131" s="242"/>
      <c r="J131" s="249">
        <f>J135-J136</f>
        <v>-1641584.1455856822</v>
      </c>
      <c r="K131" s="241"/>
      <c r="L131" s="241"/>
      <c r="M131" s="241"/>
      <c r="N131" s="242"/>
      <c r="O131" s="242"/>
      <c r="P131" s="242"/>
      <c r="Q131" s="242"/>
      <c r="R131" s="241"/>
      <c r="S131" s="241"/>
      <c r="T131" s="241"/>
      <c r="U131" s="241"/>
      <c r="V131" s="241"/>
      <c r="W131" s="241"/>
      <c r="X131" s="241"/>
      <c r="Y131" s="241"/>
      <c r="Z131" s="242"/>
      <c r="AA131" s="242"/>
      <c r="AB131" s="241"/>
      <c r="AC131" s="241"/>
      <c r="AD131" s="241"/>
      <c r="AE131" s="241"/>
      <c r="AF131" s="241"/>
      <c r="AG131" s="241"/>
      <c r="AH131" s="241"/>
      <c r="AI131" s="241"/>
      <c r="AJ131" s="274"/>
      <c r="AK131" s="241"/>
      <c r="AL131" s="241"/>
      <c r="AM131" s="241"/>
      <c r="AN131" s="241"/>
      <c r="AO131" s="241"/>
      <c r="AP131" s="241"/>
      <c r="AQ131" s="241"/>
      <c r="AR131" s="241"/>
      <c r="AS131" s="241"/>
      <c r="AT131" s="241"/>
      <c r="AU131" s="241"/>
      <c r="AV131" s="241"/>
      <c r="AW131" s="241"/>
      <c r="AX131" s="241"/>
      <c r="AY131" s="241"/>
      <c r="AZ131" s="241"/>
      <c r="BA131" s="241"/>
      <c r="BB131" s="241"/>
      <c r="BC131" s="241"/>
      <c r="BD131" s="241"/>
      <c r="BE131" s="241"/>
      <c r="BF131" s="241"/>
      <c r="BG131" s="241"/>
      <c r="BH131" s="241"/>
      <c r="BI131" s="241"/>
      <c r="BJ131" s="241"/>
      <c r="BK131" s="241"/>
      <c r="BL131" s="241"/>
      <c r="BM131" s="241"/>
      <c r="BN131" s="241"/>
      <c r="BO131" s="241"/>
      <c r="BP131" s="241"/>
      <c r="BQ131" s="241"/>
      <c r="BR131" s="241"/>
      <c r="BS131" s="241"/>
      <c r="BT131" s="241"/>
      <c r="BU131" s="241"/>
      <c r="BV131" s="241"/>
      <c r="BW131" s="241"/>
      <c r="BX131" s="241"/>
      <c r="BY131" s="241"/>
      <c r="BZ131" s="241"/>
      <c r="CA131" s="241"/>
      <c r="CB131" s="241"/>
      <c r="CC131" s="241"/>
      <c r="CD131" s="241"/>
      <c r="CE131" s="241"/>
      <c r="CF131" s="241"/>
      <c r="CG131" s="241"/>
      <c r="CH131" s="241"/>
      <c r="CI131" s="241"/>
      <c r="CJ131" s="241"/>
      <c r="CK131" s="241"/>
      <c r="CL131" s="241"/>
      <c r="CM131" s="241"/>
      <c r="CN131" s="241"/>
      <c r="CO131" s="241"/>
      <c r="CP131" s="241"/>
      <c r="CQ131" s="241"/>
      <c r="CR131" s="241"/>
      <c r="CS131" s="241"/>
      <c r="CT131" s="241"/>
      <c r="CU131" s="241"/>
      <c r="CV131" s="241"/>
      <c r="CW131" s="241"/>
      <c r="CX131" s="241"/>
      <c r="CY131" s="241"/>
      <c r="CZ131" s="241"/>
      <c r="DA131" s="241"/>
      <c r="DB131" s="241"/>
      <c r="DC131" s="241"/>
      <c r="DD131" s="241"/>
      <c r="DE131" s="241"/>
      <c r="DF131" s="241"/>
      <c r="DG131" s="241"/>
      <c r="DH131" s="241"/>
      <c r="DT131" s="241"/>
      <c r="FB131" s="241"/>
    </row>
    <row r="132" spans="4:158" hidden="1" x14ac:dyDescent="0.25">
      <c r="D132" s="241"/>
      <c r="E132" s="241"/>
      <c r="F132" s="241"/>
      <c r="G132" s="241"/>
      <c r="H132" s="241"/>
      <c r="I132" s="242"/>
      <c r="J132" s="241"/>
      <c r="K132" s="241"/>
      <c r="L132" s="241"/>
      <c r="M132" s="241"/>
      <c r="N132" s="242"/>
      <c r="O132" s="242"/>
      <c r="P132" s="403" t="s">
        <v>124</v>
      </c>
      <c r="Q132" s="404"/>
      <c r="R132" s="404"/>
      <c r="S132" s="404"/>
      <c r="T132" s="404"/>
      <c r="U132" s="404"/>
      <c r="V132" s="404"/>
      <c r="W132" s="404"/>
      <c r="X132" s="405"/>
      <c r="Y132" s="292">
        <f>AF56</f>
        <v>0</v>
      </c>
      <c r="Z132" s="242"/>
      <c r="AA132" s="242"/>
      <c r="AB132" s="241"/>
      <c r="AC132" s="241"/>
      <c r="AD132" s="241"/>
      <c r="AE132" s="241"/>
      <c r="AF132" s="241"/>
      <c r="AG132" s="241"/>
      <c r="AH132" s="241"/>
      <c r="AI132" s="241"/>
      <c r="AJ132" s="274"/>
      <c r="AK132" s="241"/>
      <c r="AL132" s="241"/>
      <c r="AM132" s="241"/>
      <c r="AN132" s="241"/>
      <c r="AO132" s="241"/>
      <c r="AP132" s="241"/>
      <c r="AQ132" s="241"/>
      <c r="AR132" s="241"/>
      <c r="AS132" s="241"/>
      <c r="AT132" s="241"/>
      <c r="AU132" s="241"/>
      <c r="AV132" s="241"/>
      <c r="AW132" s="241"/>
      <c r="AX132" s="241"/>
      <c r="AY132" s="241"/>
      <c r="AZ132" s="241"/>
      <c r="BA132" s="241"/>
      <c r="BB132" s="241"/>
      <c r="BC132" s="241"/>
      <c r="BD132" s="241"/>
      <c r="BE132" s="241"/>
      <c r="BF132" s="241"/>
      <c r="BG132" s="241"/>
      <c r="BH132" s="241"/>
      <c r="BI132" s="241"/>
      <c r="BJ132" s="241"/>
      <c r="BK132" s="241"/>
      <c r="BL132" s="241"/>
      <c r="BM132" s="241"/>
      <c r="BN132" s="241"/>
      <c r="BO132" s="241"/>
      <c r="BP132" s="241"/>
      <c r="BQ132" s="241"/>
      <c r="BR132" s="241"/>
      <c r="BS132" s="241"/>
      <c r="BT132" s="241"/>
      <c r="BU132" s="241"/>
      <c r="BV132" s="241"/>
      <c r="BW132" s="241"/>
      <c r="BX132" s="241"/>
      <c r="BY132" s="241"/>
      <c r="BZ132" s="241"/>
      <c r="CA132" s="241"/>
      <c r="CB132" s="241"/>
      <c r="CC132" s="241"/>
      <c r="CD132" s="241"/>
      <c r="CE132" s="241"/>
      <c r="CF132" s="241"/>
      <c r="CG132" s="241"/>
      <c r="CH132" s="241"/>
      <c r="CI132" s="241"/>
      <c r="CJ132" s="241"/>
      <c r="CK132" s="241"/>
      <c r="CL132" s="241"/>
      <c r="CM132" s="241"/>
      <c r="CN132" s="241"/>
      <c r="CO132" s="241"/>
      <c r="CP132" s="241"/>
      <c r="CQ132" s="241"/>
      <c r="CR132" s="241"/>
      <c r="CS132" s="241"/>
      <c r="CT132" s="241"/>
      <c r="CU132" s="241"/>
      <c r="CV132" s="241"/>
      <c r="CW132" s="241"/>
      <c r="CX132" s="241"/>
      <c r="CY132" s="241"/>
      <c r="CZ132" s="241"/>
      <c r="DA132" s="241"/>
      <c r="DB132" s="241"/>
      <c r="DC132" s="241"/>
      <c r="DD132" s="241"/>
      <c r="DE132" s="241"/>
      <c r="DF132" s="241"/>
      <c r="DG132" s="241"/>
      <c r="DH132" s="241"/>
      <c r="DT132" s="241"/>
      <c r="FB132" s="241"/>
    </row>
    <row r="133" spans="4:158" hidden="1" x14ac:dyDescent="0.25">
      <c r="D133" s="241"/>
      <c r="E133" s="241"/>
      <c r="F133" s="241"/>
      <c r="G133" s="241"/>
      <c r="H133" s="241"/>
      <c r="I133" s="242"/>
      <c r="J133" s="241"/>
      <c r="K133" s="241"/>
      <c r="L133" s="241"/>
      <c r="M133" s="241"/>
      <c r="N133" s="242"/>
      <c r="O133" s="242"/>
      <c r="P133" s="242"/>
      <c r="Q133" s="242"/>
      <c r="R133" s="241"/>
      <c r="S133" s="241"/>
      <c r="T133" s="241"/>
      <c r="U133" s="241"/>
      <c r="V133" s="241"/>
      <c r="W133" s="241"/>
      <c r="X133" s="241"/>
      <c r="Y133" s="241"/>
      <c r="Z133" s="242"/>
      <c r="AA133" s="242"/>
      <c r="AB133" s="241"/>
      <c r="AC133" s="241"/>
      <c r="AD133" s="241"/>
      <c r="AE133" s="241"/>
      <c r="AF133" s="241"/>
      <c r="AG133" s="241"/>
      <c r="AH133" s="241"/>
      <c r="AI133" s="241"/>
      <c r="AJ133" s="274"/>
      <c r="AK133" s="241"/>
      <c r="AL133" s="241"/>
      <c r="AM133" s="241"/>
      <c r="AN133" s="241"/>
      <c r="AO133" s="241"/>
      <c r="AP133" s="241"/>
      <c r="AQ133" s="241"/>
      <c r="AR133" s="241"/>
      <c r="AS133" s="241"/>
      <c r="AT133" s="241"/>
      <c r="AU133" s="241"/>
      <c r="AV133" s="241"/>
      <c r="AW133" s="241"/>
      <c r="AX133" s="241"/>
      <c r="AY133" s="241"/>
      <c r="AZ133" s="241"/>
      <c r="BA133" s="241"/>
      <c r="BB133" s="241"/>
      <c r="BC133" s="241"/>
      <c r="BD133" s="241"/>
      <c r="BE133" s="241"/>
      <c r="BF133" s="241"/>
      <c r="BG133" s="241"/>
      <c r="BH133" s="241"/>
      <c r="BI133" s="241"/>
      <c r="BJ133" s="241"/>
      <c r="BK133" s="241"/>
      <c r="BL133" s="241"/>
      <c r="BM133" s="241"/>
      <c r="BN133" s="241"/>
      <c r="BO133" s="241"/>
      <c r="BP133" s="241"/>
      <c r="BQ133" s="241"/>
      <c r="BR133" s="241"/>
      <c r="BS133" s="241"/>
      <c r="BT133" s="241"/>
      <c r="BU133" s="241"/>
      <c r="BV133" s="241"/>
      <c r="BW133" s="241"/>
      <c r="BX133" s="241"/>
      <c r="BY133" s="241"/>
      <c r="BZ133" s="241"/>
      <c r="CA133" s="241"/>
      <c r="CB133" s="241"/>
      <c r="CC133" s="241"/>
      <c r="CD133" s="241"/>
      <c r="CE133" s="241"/>
      <c r="CF133" s="241"/>
      <c r="CG133" s="241"/>
      <c r="CH133" s="241"/>
      <c r="CI133" s="241"/>
      <c r="CJ133" s="241"/>
      <c r="CK133" s="241"/>
      <c r="CL133" s="241"/>
      <c r="CM133" s="241"/>
      <c r="CN133" s="241"/>
      <c r="CO133" s="241"/>
      <c r="CP133" s="241"/>
      <c r="CQ133" s="241"/>
      <c r="CR133" s="241"/>
      <c r="CS133" s="241"/>
      <c r="CT133" s="241"/>
      <c r="CU133" s="241"/>
      <c r="CV133" s="241"/>
      <c r="CW133" s="241"/>
      <c r="CX133" s="241"/>
      <c r="CY133" s="241"/>
      <c r="CZ133" s="241"/>
      <c r="DA133" s="241"/>
      <c r="DB133" s="241"/>
      <c r="DC133" s="241"/>
      <c r="DD133" s="241"/>
      <c r="DE133" s="241"/>
      <c r="DF133" s="241"/>
      <c r="DG133" s="241"/>
      <c r="DH133" s="241"/>
      <c r="DT133" s="241"/>
      <c r="FB133" s="241"/>
    </row>
    <row r="134" spans="4:158" hidden="1" x14ac:dyDescent="0.25">
      <c r="D134" s="241"/>
      <c r="E134" s="298" t="s">
        <v>125</v>
      </c>
      <c r="F134" s="299"/>
      <c r="G134" s="299"/>
      <c r="H134" s="299"/>
      <c r="I134" s="299"/>
      <c r="J134" s="288">
        <f>SUM(J138:J140)</f>
        <v>89358140.646076918</v>
      </c>
      <c r="K134" s="241"/>
      <c r="L134" s="241"/>
      <c r="M134" s="241"/>
      <c r="N134" s="242"/>
      <c r="O134" s="242"/>
      <c r="P134" s="242"/>
      <c r="Q134" s="242"/>
      <c r="R134" s="241"/>
      <c r="S134" s="241"/>
      <c r="T134" s="241"/>
      <c r="U134" s="241"/>
      <c r="V134" s="241"/>
      <c r="W134" s="241"/>
      <c r="X134" s="241"/>
      <c r="Y134" s="241"/>
      <c r="Z134" s="242"/>
      <c r="AA134" s="288">
        <f>J138+J140-J272-J34-R5</f>
        <v>89358140.646076918</v>
      </c>
      <c r="AB134" s="241"/>
      <c r="AC134" s="241"/>
      <c r="AD134" s="241"/>
      <c r="AE134" s="241"/>
      <c r="AF134" s="241"/>
      <c r="AG134" s="241"/>
      <c r="AH134" s="241"/>
      <c r="AI134" s="241"/>
      <c r="AJ134" s="274"/>
      <c r="AK134" s="241"/>
      <c r="AL134" s="241"/>
      <c r="AM134" s="241"/>
      <c r="AN134" s="241"/>
      <c r="AO134" s="241"/>
      <c r="AP134" s="241"/>
      <c r="AQ134" s="241"/>
      <c r="AR134" s="241"/>
      <c r="AS134" s="241"/>
      <c r="AT134" s="241"/>
      <c r="AU134" s="241"/>
      <c r="AV134" s="241"/>
      <c r="AW134" s="241"/>
      <c r="AX134" s="241"/>
      <c r="AY134" s="241"/>
      <c r="AZ134" s="241"/>
      <c r="BA134" s="241"/>
      <c r="BB134" s="241"/>
      <c r="BC134" s="241"/>
      <c r="BD134" s="241"/>
      <c r="BE134" s="241"/>
      <c r="BF134" s="241"/>
      <c r="BG134" s="241"/>
      <c r="BH134" s="241"/>
      <c r="BI134" s="241"/>
      <c r="BJ134" s="241"/>
      <c r="BK134" s="241"/>
      <c r="BL134" s="241"/>
      <c r="BM134" s="241"/>
      <c r="BN134" s="241"/>
      <c r="BO134" s="241"/>
      <c r="BP134" s="241"/>
      <c r="BQ134" s="241"/>
      <c r="BR134" s="241"/>
      <c r="BS134" s="241"/>
      <c r="BT134" s="241"/>
      <c r="BU134" s="241"/>
      <c r="BV134" s="241"/>
      <c r="BW134" s="241"/>
      <c r="BX134" s="241"/>
      <c r="BY134" s="241"/>
      <c r="BZ134" s="241"/>
      <c r="CA134" s="241"/>
      <c r="CB134" s="241"/>
      <c r="CC134" s="241"/>
      <c r="CD134" s="241"/>
      <c r="CE134" s="241"/>
      <c r="CF134" s="241"/>
      <c r="CG134" s="241"/>
      <c r="CH134" s="241"/>
      <c r="CI134" s="241"/>
      <c r="CJ134" s="241"/>
      <c r="CK134" s="241"/>
      <c r="CL134" s="241"/>
      <c r="CM134" s="241"/>
      <c r="CN134" s="241"/>
      <c r="CO134" s="241"/>
      <c r="CP134" s="241"/>
      <c r="CQ134" s="241"/>
      <c r="CR134" s="241"/>
      <c r="CS134" s="241"/>
      <c r="CT134" s="241"/>
      <c r="CU134" s="241"/>
      <c r="CV134" s="241"/>
      <c r="CW134" s="241"/>
      <c r="CX134" s="241"/>
      <c r="CY134" s="241"/>
      <c r="CZ134" s="241"/>
      <c r="DA134" s="241"/>
      <c r="DB134" s="241"/>
      <c r="DC134" s="241"/>
      <c r="DD134" s="241"/>
      <c r="DE134" s="241"/>
      <c r="DF134" s="241"/>
      <c r="DG134" s="241"/>
      <c r="DH134" s="241"/>
      <c r="DT134" s="241"/>
      <c r="FB134" s="241"/>
    </row>
    <row r="135" spans="4:158" hidden="1" x14ac:dyDescent="0.25">
      <c r="D135" s="241"/>
      <c r="E135" s="300" t="s">
        <v>126</v>
      </c>
      <c r="F135" s="301"/>
      <c r="G135" s="301"/>
      <c r="H135" s="301"/>
      <c r="I135" s="301"/>
      <c r="J135" s="288">
        <f>IF(I26&gt;0,AA140,AA136)</f>
        <v>12310703.556407385</v>
      </c>
      <c r="K135" s="241"/>
      <c r="L135" s="241"/>
      <c r="M135" s="241"/>
      <c r="N135" s="242"/>
      <c r="O135" s="242"/>
      <c r="P135" s="242"/>
      <c r="Q135" s="242"/>
      <c r="R135" s="241"/>
      <c r="S135" s="241"/>
      <c r="T135" s="241"/>
      <c r="U135" s="241"/>
      <c r="V135" s="241"/>
      <c r="W135" s="241"/>
      <c r="X135" s="241"/>
      <c r="Y135" s="241"/>
      <c r="Z135" s="242"/>
      <c r="AA135" s="242"/>
      <c r="AB135" s="241"/>
      <c r="AC135" s="241"/>
      <c r="AD135" s="241"/>
      <c r="AE135" s="241"/>
      <c r="AF135" s="241"/>
      <c r="AG135" s="241"/>
      <c r="AH135" s="241"/>
      <c r="AI135" s="241"/>
      <c r="AJ135" s="274"/>
      <c r="AK135" s="241"/>
      <c r="AL135" s="241"/>
      <c r="AM135" s="241"/>
      <c r="AN135" s="241"/>
      <c r="AO135" s="241"/>
      <c r="AP135" s="241"/>
      <c r="AQ135" s="241"/>
      <c r="AR135" s="241"/>
      <c r="AS135" s="241"/>
      <c r="AT135" s="241"/>
      <c r="AU135" s="241"/>
      <c r="AV135" s="241"/>
      <c r="AW135" s="241"/>
      <c r="AX135" s="241"/>
      <c r="AY135" s="241"/>
      <c r="AZ135" s="241"/>
      <c r="BA135" s="241"/>
      <c r="BB135" s="241"/>
      <c r="BC135" s="241"/>
      <c r="BD135" s="241"/>
      <c r="BE135" s="241"/>
      <c r="BF135" s="241"/>
      <c r="BG135" s="241"/>
      <c r="BH135" s="241"/>
      <c r="BI135" s="241"/>
      <c r="BJ135" s="241"/>
      <c r="BK135" s="241"/>
      <c r="BL135" s="241"/>
      <c r="BM135" s="241"/>
      <c r="BN135" s="241"/>
      <c r="BO135" s="241"/>
      <c r="BP135" s="241"/>
      <c r="BQ135" s="241"/>
      <c r="BR135" s="241"/>
      <c r="BS135" s="241"/>
      <c r="BT135" s="241"/>
      <c r="BU135" s="241"/>
      <c r="BV135" s="241"/>
      <c r="BW135" s="241"/>
      <c r="BX135" s="241"/>
      <c r="BY135" s="241"/>
      <c r="BZ135" s="241"/>
      <c r="CA135" s="241"/>
      <c r="CB135" s="241"/>
      <c r="CC135" s="241"/>
      <c r="CD135" s="241"/>
      <c r="CE135" s="241"/>
      <c r="CF135" s="241"/>
      <c r="CG135" s="241"/>
      <c r="CH135" s="241"/>
      <c r="CI135" s="241"/>
      <c r="CJ135" s="241"/>
      <c r="CK135" s="241"/>
      <c r="CL135" s="241"/>
      <c r="CM135" s="241"/>
      <c r="CN135" s="241"/>
      <c r="CO135" s="241"/>
      <c r="CP135" s="241"/>
      <c r="CQ135" s="241"/>
      <c r="CR135" s="241"/>
      <c r="CS135" s="241"/>
      <c r="CT135" s="241"/>
      <c r="CU135" s="241"/>
      <c r="CV135" s="241"/>
      <c r="CW135" s="241"/>
      <c r="CX135" s="241"/>
      <c r="CY135" s="241"/>
      <c r="CZ135" s="241"/>
      <c r="DA135" s="241"/>
      <c r="DB135" s="241"/>
      <c r="DC135" s="241"/>
      <c r="DD135" s="241"/>
      <c r="DE135" s="241"/>
      <c r="DF135" s="241"/>
      <c r="DG135" s="241"/>
      <c r="DH135" s="241"/>
      <c r="DT135" s="241"/>
      <c r="FB135" s="241"/>
    </row>
    <row r="136" spans="4:158" hidden="1" x14ac:dyDescent="0.25">
      <c r="D136" s="241"/>
      <c r="E136" s="300" t="s">
        <v>127</v>
      </c>
      <c r="F136" s="301"/>
      <c r="G136" s="301"/>
      <c r="H136" s="301"/>
      <c r="I136" s="301"/>
      <c r="J136" s="288">
        <f>Z130+Hoja1!O17</f>
        <v>13952287.701993067</v>
      </c>
      <c r="K136" s="241"/>
      <c r="L136" s="241"/>
      <c r="M136" s="241" t="s">
        <v>128</v>
      </c>
      <c r="N136" s="242"/>
      <c r="O136" s="242"/>
      <c r="P136" s="242"/>
      <c r="Q136" s="242"/>
      <c r="R136" s="241"/>
      <c r="S136" s="241"/>
      <c r="T136" s="241"/>
      <c r="U136" s="241"/>
      <c r="V136" s="241"/>
      <c r="W136" s="241"/>
      <c r="X136" s="241"/>
      <c r="Y136" s="241"/>
      <c r="Z136" s="242"/>
      <c r="AA136" s="288">
        <f>(AA134*VLOOKUP(AA134,Hoja15!$J$105:$M$112,3))-(VLOOKUP(AA134,Hoja15!$J$105:$M$112,4))</f>
        <v>12310703.556407385</v>
      </c>
      <c r="AB136" s="241"/>
      <c r="AC136" s="241"/>
      <c r="AD136" s="241"/>
      <c r="AE136" s="241"/>
      <c r="AF136" s="241"/>
      <c r="AG136" s="241"/>
      <c r="AH136" s="241"/>
      <c r="AI136" s="241"/>
      <c r="AJ136" s="274"/>
      <c r="AK136" s="241"/>
      <c r="AL136" s="241"/>
      <c r="AM136" s="241"/>
      <c r="AN136" s="241"/>
      <c r="AO136" s="241"/>
      <c r="AP136" s="241"/>
      <c r="AQ136" s="241"/>
      <c r="AR136" s="241"/>
      <c r="AS136" s="241"/>
      <c r="AT136" s="241"/>
      <c r="AU136" s="241"/>
      <c r="AV136" s="241"/>
      <c r="AW136" s="241"/>
      <c r="AX136" s="241"/>
      <c r="AY136" s="241"/>
      <c r="AZ136" s="241"/>
      <c r="BA136" s="241"/>
      <c r="BB136" s="241"/>
      <c r="BC136" s="241"/>
      <c r="BD136" s="241"/>
      <c r="BE136" s="241"/>
      <c r="BF136" s="241"/>
      <c r="BG136" s="241"/>
      <c r="BH136" s="241"/>
      <c r="BI136" s="241"/>
      <c r="BJ136" s="241"/>
      <c r="BK136" s="241"/>
      <c r="BL136" s="241"/>
      <c r="BM136" s="241"/>
      <c r="BN136" s="241"/>
      <c r="BO136" s="241"/>
      <c r="BP136" s="241"/>
      <c r="BQ136" s="241"/>
      <c r="BR136" s="241"/>
      <c r="BS136" s="241"/>
      <c r="BT136" s="241"/>
      <c r="BU136" s="241"/>
      <c r="BV136" s="241"/>
      <c r="BW136" s="241"/>
      <c r="BX136" s="241"/>
      <c r="BY136" s="241"/>
      <c r="BZ136" s="241"/>
      <c r="CA136" s="241"/>
      <c r="CB136" s="241"/>
      <c r="CC136" s="241"/>
      <c r="CD136" s="241"/>
      <c r="CE136" s="241"/>
      <c r="CF136" s="241"/>
      <c r="CG136" s="241"/>
      <c r="CH136" s="241"/>
      <c r="CI136" s="241"/>
      <c r="CJ136" s="241"/>
      <c r="CK136" s="241"/>
      <c r="CL136" s="241"/>
      <c r="CM136" s="241"/>
      <c r="CN136" s="241"/>
      <c r="CO136" s="241"/>
      <c r="CP136" s="241"/>
      <c r="CQ136" s="241"/>
      <c r="CR136" s="241"/>
      <c r="CS136" s="241"/>
      <c r="CT136" s="241"/>
      <c r="CU136" s="241"/>
      <c r="CV136" s="241"/>
      <c r="CW136" s="241"/>
      <c r="CX136" s="241"/>
      <c r="CY136" s="241"/>
      <c r="CZ136" s="241"/>
      <c r="DA136" s="241"/>
      <c r="DB136" s="241"/>
      <c r="DC136" s="241"/>
      <c r="DD136" s="241"/>
      <c r="DE136" s="241"/>
      <c r="DF136" s="241"/>
      <c r="DG136" s="241"/>
      <c r="DH136" s="241"/>
      <c r="DT136" s="241"/>
      <c r="FB136" s="241"/>
    </row>
    <row r="137" spans="4:158" hidden="1" x14ac:dyDescent="0.25">
      <c r="D137" s="241"/>
      <c r="E137" s="241"/>
      <c r="F137" s="241"/>
      <c r="G137" s="241"/>
      <c r="H137" s="241"/>
      <c r="I137" s="242"/>
      <c r="J137" s="241"/>
      <c r="K137" s="241"/>
      <c r="L137" s="241"/>
      <c r="M137" s="241"/>
      <c r="N137" s="242"/>
      <c r="O137" s="242"/>
      <c r="P137" s="242"/>
      <c r="Q137" s="242"/>
      <c r="R137" s="241"/>
      <c r="S137" s="241"/>
      <c r="T137" s="241"/>
      <c r="U137" s="241"/>
      <c r="V137" s="241"/>
      <c r="W137" s="241"/>
      <c r="X137" s="241"/>
      <c r="Y137" s="241"/>
      <c r="Z137" s="242"/>
      <c r="AA137" s="242"/>
      <c r="AB137" s="241"/>
      <c r="AC137" s="241"/>
      <c r="AD137" s="241"/>
      <c r="AE137" s="241"/>
      <c r="AF137" s="241"/>
      <c r="AG137" s="241"/>
      <c r="AH137" s="241"/>
      <c r="AI137" s="241"/>
      <c r="AJ137" s="274"/>
      <c r="AK137" s="241"/>
      <c r="AL137" s="241"/>
      <c r="AM137" s="241"/>
      <c r="AN137" s="241"/>
      <c r="AO137" s="241"/>
      <c r="AP137" s="241"/>
      <c r="AQ137" s="241"/>
      <c r="AR137" s="241"/>
      <c r="AS137" s="241"/>
      <c r="AT137" s="241"/>
      <c r="AU137" s="241"/>
      <c r="AV137" s="241"/>
      <c r="AW137" s="241"/>
      <c r="AX137" s="241"/>
      <c r="AY137" s="241"/>
      <c r="AZ137" s="241"/>
      <c r="BA137" s="241"/>
      <c r="BB137" s="241"/>
      <c r="BC137" s="241"/>
      <c r="BD137" s="241"/>
      <c r="BE137" s="241"/>
      <c r="BF137" s="241"/>
      <c r="BG137" s="241"/>
      <c r="BH137" s="241"/>
      <c r="BI137" s="241"/>
      <c r="BJ137" s="241"/>
      <c r="BK137" s="241"/>
      <c r="BL137" s="241"/>
      <c r="BM137" s="241"/>
      <c r="BN137" s="241"/>
      <c r="BO137" s="241"/>
      <c r="BP137" s="241"/>
      <c r="BQ137" s="241"/>
      <c r="BR137" s="241"/>
      <c r="BS137" s="241"/>
      <c r="BT137" s="241"/>
      <c r="BU137" s="241"/>
      <c r="BV137" s="241"/>
      <c r="BW137" s="241"/>
      <c r="BX137" s="241"/>
      <c r="BY137" s="241"/>
      <c r="BZ137" s="241"/>
      <c r="CA137" s="241"/>
      <c r="CB137" s="241"/>
      <c r="CC137" s="241"/>
      <c r="CD137" s="241"/>
      <c r="CE137" s="241"/>
      <c r="CF137" s="241"/>
      <c r="CG137" s="241"/>
      <c r="CH137" s="241"/>
      <c r="CI137" s="241"/>
      <c r="CJ137" s="241"/>
      <c r="CK137" s="241"/>
      <c r="CL137" s="241"/>
      <c r="CM137" s="241"/>
      <c r="CN137" s="241"/>
      <c r="CO137" s="241"/>
      <c r="CP137" s="241"/>
      <c r="CQ137" s="241"/>
      <c r="CR137" s="241"/>
      <c r="CS137" s="241"/>
      <c r="CT137" s="241"/>
      <c r="CU137" s="241"/>
      <c r="CV137" s="241"/>
      <c r="CW137" s="241"/>
      <c r="CX137" s="241"/>
      <c r="CY137" s="241"/>
      <c r="CZ137" s="241"/>
      <c r="DA137" s="241"/>
      <c r="DB137" s="241"/>
      <c r="DC137" s="241"/>
      <c r="DD137" s="241"/>
      <c r="DE137" s="241"/>
      <c r="DF137" s="241"/>
      <c r="DG137" s="241"/>
      <c r="DH137" s="241"/>
      <c r="DT137" s="241"/>
      <c r="FB137" s="241"/>
    </row>
    <row r="138" spans="4:158" hidden="1" x14ac:dyDescent="0.25">
      <c r="D138" s="241"/>
      <c r="E138" s="403" t="s">
        <v>129</v>
      </c>
      <c r="F138" s="404"/>
      <c r="G138" s="404"/>
      <c r="H138" s="404"/>
      <c r="I138" s="405"/>
      <c r="J138" s="280">
        <f>Hoja1!F17</f>
        <v>89358140.646076918</v>
      </c>
      <c r="K138" s="241"/>
      <c r="L138" s="241"/>
      <c r="M138" s="241" t="s">
        <v>128</v>
      </c>
      <c r="N138" s="242"/>
      <c r="O138" s="242"/>
      <c r="P138" s="242"/>
      <c r="Q138" s="242"/>
      <c r="R138" s="241"/>
      <c r="S138" s="241"/>
      <c r="T138" s="241"/>
      <c r="U138" s="241"/>
      <c r="V138" s="241"/>
      <c r="W138" s="241"/>
      <c r="X138" s="241"/>
      <c r="Y138" s="241"/>
      <c r="Z138" s="242"/>
      <c r="AA138" s="246">
        <f>AA134+J139</f>
        <v>89358140.646076918</v>
      </c>
      <c r="AB138" s="241"/>
      <c r="AC138" s="241"/>
      <c r="AD138" s="241"/>
      <c r="AE138" s="241"/>
      <c r="AF138" s="241"/>
      <c r="AG138" s="241"/>
      <c r="AH138" s="241"/>
      <c r="AI138" s="241"/>
      <c r="AJ138" s="274"/>
      <c r="AK138" s="241"/>
      <c r="AL138" s="241"/>
      <c r="AM138" s="241"/>
      <c r="AN138" s="241"/>
      <c r="AO138" s="241"/>
      <c r="AP138" s="241"/>
      <c r="AQ138" s="241"/>
      <c r="AR138" s="241"/>
      <c r="AS138" s="241"/>
      <c r="AT138" s="241"/>
      <c r="AU138" s="241"/>
      <c r="AV138" s="241"/>
      <c r="AW138" s="241"/>
      <c r="AX138" s="241"/>
      <c r="AY138" s="241"/>
      <c r="AZ138" s="241"/>
      <c r="BA138" s="241"/>
      <c r="BB138" s="241"/>
      <c r="BC138" s="241"/>
      <c r="BD138" s="241"/>
      <c r="BE138" s="241"/>
      <c r="BF138" s="241"/>
      <c r="BG138" s="241"/>
      <c r="BH138" s="241"/>
      <c r="BI138" s="241"/>
      <c r="BJ138" s="241"/>
      <c r="BK138" s="241"/>
      <c r="BL138" s="241"/>
      <c r="BM138" s="241"/>
      <c r="BN138" s="241"/>
      <c r="BO138" s="241"/>
      <c r="BP138" s="241"/>
      <c r="BQ138" s="241"/>
      <c r="BR138" s="241"/>
      <c r="BS138" s="241"/>
      <c r="BT138" s="241"/>
      <c r="BU138" s="241"/>
      <c r="BV138" s="241"/>
      <c r="BW138" s="241"/>
      <c r="BX138" s="241"/>
      <c r="BY138" s="241"/>
      <c r="BZ138" s="241"/>
      <c r="CA138" s="241"/>
      <c r="CB138" s="241"/>
      <c r="CC138" s="241"/>
      <c r="CD138" s="241"/>
      <c r="CE138" s="241"/>
      <c r="CF138" s="241"/>
      <c r="CG138" s="241"/>
      <c r="CH138" s="241"/>
      <c r="CI138" s="241"/>
      <c r="CJ138" s="241"/>
      <c r="CK138" s="241"/>
      <c r="CL138" s="241"/>
      <c r="CM138" s="241"/>
      <c r="CN138" s="241"/>
      <c r="CO138" s="241"/>
      <c r="CP138" s="241"/>
      <c r="CQ138" s="241"/>
      <c r="CR138" s="241"/>
      <c r="CS138" s="241"/>
      <c r="CT138" s="241"/>
      <c r="CU138" s="241"/>
      <c r="CV138" s="241"/>
      <c r="CW138" s="241"/>
      <c r="CX138" s="241"/>
      <c r="CY138" s="241"/>
      <c r="CZ138" s="241"/>
      <c r="DA138" s="241"/>
      <c r="DB138" s="241"/>
      <c r="DC138" s="241"/>
      <c r="DD138" s="241"/>
      <c r="DE138" s="241"/>
      <c r="DF138" s="241"/>
      <c r="DG138" s="241"/>
      <c r="DH138" s="241"/>
      <c r="DT138" s="241"/>
      <c r="FB138" s="241"/>
    </row>
    <row r="139" spans="4:158" hidden="1" x14ac:dyDescent="0.25">
      <c r="D139" s="241"/>
      <c r="E139" s="403" t="s">
        <v>130</v>
      </c>
      <c r="F139" s="404"/>
      <c r="G139" s="404"/>
      <c r="H139" s="404"/>
      <c r="I139" s="405"/>
      <c r="J139" s="280">
        <f>R26</f>
        <v>0</v>
      </c>
      <c r="K139" s="242"/>
      <c r="L139" s="242"/>
      <c r="M139" s="241"/>
      <c r="N139" s="242"/>
      <c r="O139" s="242"/>
      <c r="P139" s="242"/>
      <c r="Q139" s="242"/>
      <c r="R139" s="241"/>
      <c r="S139" s="241"/>
      <c r="T139" s="241"/>
      <c r="U139" s="241"/>
      <c r="V139" s="241"/>
      <c r="W139" s="241"/>
      <c r="X139" s="241"/>
      <c r="Y139" s="241"/>
      <c r="Z139" s="242"/>
      <c r="AA139" s="242"/>
      <c r="AB139" s="241"/>
      <c r="AC139" s="241"/>
      <c r="AD139" s="241"/>
      <c r="AE139" s="241"/>
      <c r="AF139" s="241"/>
      <c r="AG139" s="241"/>
      <c r="AH139" s="241"/>
      <c r="AI139" s="241"/>
      <c r="AJ139" s="274"/>
      <c r="AK139" s="241"/>
      <c r="AL139" s="241"/>
      <c r="AM139" s="241"/>
      <c r="AN139" s="241"/>
      <c r="AO139" s="241"/>
      <c r="AP139" s="241"/>
      <c r="AQ139" s="241"/>
      <c r="AR139" s="241"/>
      <c r="AS139" s="241"/>
      <c r="AT139" s="241"/>
      <c r="AU139" s="241"/>
      <c r="AV139" s="241"/>
      <c r="AW139" s="241"/>
      <c r="AX139" s="241"/>
      <c r="AY139" s="241"/>
      <c r="AZ139" s="241"/>
      <c r="BA139" s="241"/>
      <c r="BB139" s="241"/>
      <c r="BC139" s="241"/>
      <c r="BD139" s="241"/>
      <c r="BE139" s="241"/>
      <c r="BF139" s="241"/>
      <c r="BG139" s="241"/>
      <c r="BH139" s="241"/>
      <c r="BI139" s="241"/>
      <c r="BJ139" s="241"/>
      <c r="BK139" s="241"/>
      <c r="BL139" s="241"/>
      <c r="BM139" s="241"/>
      <c r="BN139" s="241"/>
      <c r="BO139" s="241"/>
      <c r="BP139" s="241"/>
      <c r="BQ139" s="241"/>
      <c r="BR139" s="241"/>
      <c r="BS139" s="241"/>
      <c r="BT139" s="241"/>
      <c r="BU139" s="241"/>
      <c r="BV139" s="241"/>
      <c r="BW139" s="241"/>
      <c r="BX139" s="241"/>
      <c r="BY139" s="241"/>
      <c r="BZ139" s="241"/>
      <c r="CA139" s="241"/>
      <c r="CB139" s="241"/>
      <c r="CC139" s="241"/>
      <c r="CD139" s="241"/>
      <c r="CE139" s="241"/>
      <c r="CF139" s="241"/>
      <c r="CG139" s="241"/>
      <c r="CH139" s="241"/>
      <c r="CI139" s="241"/>
      <c r="CJ139" s="241"/>
      <c r="CK139" s="241"/>
      <c r="CL139" s="241"/>
      <c r="CM139" s="241"/>
      <c r="CN139" s="241"/>
      <c r="CO139" s="241"/>
      <c r="CP139" s="241"/>
      <c r="CQ139" s="241"/>
      <c r="CR139" s="241"/>
      <c r="CS139" s="241"/>
      <c r="CT139" s="241"/>
      <c r="CU139" s="241"/>
      <c r="CV139" s="241"/>
      <c r="CW139" s="241"/>
      <c r="CX139" s="241"/>
      <c r="CY139" s="241"/>
      <c r="CZ139" s="241"/>
      <c r="DA139" s="241"/>
      <c r="DB139" s="241"/>
      <c r="DC139" s="241"/>
      <c r="DD139" s="241"/>
      <c r="DE139" s="241"/>
      <c r="DF139" s="241"/>
      <c r="DG139" s="241"/>
      <c r="DH139" s="241"/>
      <c r="DT139" s="241"/>
      <c r="FB139" s="241"/>
    </row>
    <row r="140" spans="4:158" hidden="1" x14ac:dyDescent="0.25">
      <c r="D140" s="241"/>
      <c r="E140" s="403" t="s">
        <v>131</v>
      </c>
      <c r="F140" s="404"/>
      <c r="G140" s="404"/>
      <c r="H140" s="404"/>
      <c r="I140" s="405"/>
      <c r="J140" s="280">
        <f>AB41</f>
        <v>0</v>
      </c>
      <c r="K140" s="242"/>
      <c r="L140" s="242"/>
      <c r="M140" s="241"/>
      <c r="N140" s="242"/>
      <c r="O140" s="242"/>
      <c r="P140" s="242"/>
      <c r="Q140" s="242"/>
      <c r="R140" s="241"/>
      <c r="S140" s="241"/>
      <c r="T140" s="241"/>
      <c r="U140" s="241"/>
      <c r="V140" s="241"/>
      <c r="W140" s="241"/>
      <c r="X140" s="241"/>
      <c r="Y140" s="241"/>
      <c r="Z140" s="242"/>
      <c r="AA140" s="246">
        <f>(AA138*VLOOKUP(AA138,Hoja15!$J$105:$M$112,3))-(VLOOKUP(AA138,Hoja15!$J$105:$M$112,4))</f>
        <v>12310703.556407385</v>
      </c>
      <c r="AB140" s="241"/>
      <c r="AC140" s="241"/>
      <c r="AD140" s="241"/>
      <c r="AE140" s="241"/>
      <c r="AF140" s="241"/>
      <c r="AG140" s="241"/>
      <c r="AH140" s="241"/>
      <c r="AI140" s="241"/>
      <c r="AJ140" s="274"/>
      <c r="AK140" s="241"/>
      <c r="AL140" s="241"/>
      <c r="AM140" s="241"/>
      <c r="AN140" s="241"/>
      <c r="AO140" s="241"/>
      <c r="AP140" s="241"/>
      <c r="AQ140" s="241"/>
      <c r="AR140" s="241"/>
      <c r="AS140" s="241"/>
      <c r="AT140" s="241"/>
      <c r="AU140" s="241"/>
      <c r="AV140" s="241"/>
      <c r="AW140" s="241"/>
      <c r="AX140" s="241"/>
      <c r="AY140" s="241"/>
      <c r="AZ140" s="241"/>
      <c r="BA140" s="241"/>
      <c r="BB140" s="241"/>
      <c r="BC140" s="241"/>
      <c r="BD140" s="241"/>
      <c r="BE140" s="241"/>
      <c r="BF140" s="241"/>
      <c r="BG140" s="241"/>
      <c r="BH140" s="241"/>
      <c r="BI140" s="241"/>
      <c r="BJ140" s="241"/>
      <c r="BK140" s="241"/>
      <c r="BL140" s="241"/>
      <c r="BM140" s="241"/>
      <c r="BN140" s="241"/>
      <c r="BO140" s="241"/>
      <c r="BP140" s="241"/>
      <c r="BQ140" s="241"/>
      <c r="BR140" s="241"/>
      <c r="BS140" s="241"/>
      <c r="BT140" s="241"/>
      <c r="BU140" s="241"/>
      <c r="BV140" s="241"/>
      <c r="BW140" s="241"/>
      <c r="BX140" s="241"/>
      <c r="BY140" s="241"/>
      <c r="BZ140" s="241"/>
      <c r="CA140" s="241"/>
      <c r="CB140" s="241"/>
      <c r="CC140" s="241"/>
      <c r="CD140" s="241"/>
      <c r="CE140" s="241"/>
      <c r="CF140" s="241"/>
      <c r="CG140" s="241"/>
      <c r="CH140" s="241"/>
      <c r="CI140" s="241"/>
      <c r="CJ140" s="241"/>
      <c r="CK140" s="241"/>
      <c r="CL140" s="241"/>
      <c r="CM140" s="241"/>
      <c r="CN140" s="241"/>
      <c r="CO140" s="241"/>
      <c r="CP140" s="241"/>
      <c r="CQ140" s="241"/>
      <c r="CR140" s="241"/>
      <c r="CS140" s="241"/>
      <c r="CT140" s="241"/>
      <c r="CU140" s="241"/>
      <c r="CV140" s="241"/>
      <c r="CW140" s="241"/>
      <c r="CX140" s="241"/>
      <c r="CY140" s="241"/>
      <c r="CZ140" s="241"/>
      <c r="DA140" s="241"/>
      <c r="DB140" s="241"/>
      <c r="DC140" s="241"/>
      <c r="DD140" s="241"/>
      <c r="DE140" s="241"/>
      <c r="DF140" s="241"/>
      <c r="DG140" s="241"/>
      <c r="DH140" s="241"/>
      <c r="DT140" s="241"/>
      <c r="FB140" s="241"/>
    </row>
    <row r="141" spans="4:158" hidden="1" x14ac:dyDescent="0.25">
      <c r="D141" s="241"/>
      <c r="E141" s="241"/>
      <c r="F141" s="241"/>
      <c r="G141" s="241"/>
      <c r="H141" s="241"/>
      <c r="I141" s="242"/>
      <c r="J141" s="241"/>
      <c r="K141" s="241"/>
      <c r="L141" s="241"/>
      <c r="M141" s="241"/>
      <c r="N141" s="242"/>
      <c r="O141" s="242"/>
      <c r="P141" s="242"/>
      <c r="Q141" s="242"/>
      <c r="R141" s="241"/>
      <c r="S141" s="241"/>
      <c r="T141" s="241"/>
      <c r="U141" s="241"/>
      <c r="V141" s="241"/>
      <c r="W141" s="241"/>
      <c r="X141" s="241"/>
      <c r="Y141" s="241"/>
      <c r="Z141" s="242"/>
      <c r="AA141" s="242"/>
      <c r="AB141" s="241"/>
      <c r="AC141" s="241"/>
      <c r="AD141" s="241"/>
      <c r="AE141" s="241"/>
      <c r="AF141" s="241"/>
      <c r="AG141" s="241"/>
      <c r="AH141" s="241"/>
      <c r="AI141" s="241"/>
      <c r="AJ141" s="274"/>
      <c r="AK141" s="241"/>
      <c r="AL141" s="241"/>
      <c r="AM141" s="241"/>
      <c r="AN141" s="241"/>
      <c r="AO141" s="241"/>
      <c r="AP141" s="241"/>
      <c r="AQ141" s="241"/>
      <c r="AR141" s="241"/>
      <c r="AS141" s="241"/>
      <c r="AT141" s="241"/>
      <c r="AU141" s="241"/>
      <c r="AV141" s="241"/>
      <c r="AW141" s="241"/>
      <c r="AX141" s="241"/>
      <c r="AY141" s="241"/>
      <c r="AZ141" s="241"/>
      <c r="BA141" s="241"/>
      <c r="BB141" s="241"/>
      <c r="BC141" s="241"/>
      <c r="BD141" s="241"/>
      <c r="BE141" s="241"/>
      <c r="BF141" s="241"/>
      <c r="BG141" s="241"/>
      <c r="BH141" s="241"/>
      <c r="BI141" s="241"/>
      <c r="BJ141" s="241"/>
      <c r="BK141" s="241"/>
      <c r="BL141" s="241"/>
      <c r="BM141" s="241"/>
      <c r="BN141" s="241"/>
      <c r="BO141" s="241"/>
      <c r="BP141" s="241"/>
      <c r="BQ141" s="241"/>
      <c r="BR141" s="241"/>
      <c r="BS141" s="241"/>
      <c r="BT141" s="241"/>
      <c r="BU141" s="241"/>
      <c r="BV141" s="241"/>
      <c r="BW141" s="241"/>
      <c r="BX141" s="241"/>
      <c r="BY141" s="241"/>
      <c r="BZ141" s="241"/>
      <c r="CA141" s="241"/>
      <c r="CB141" s="241"/>
      <c r="CC141" s="241"/>
      <c r="CD141" s="241"/>
      <c r="CE141" s="241"/>
      <c r="CF141" s="241"/>
      <c r="CG141" s="241"/>
      <c r="CH141" s="241"/>
      <c r="CI141" s="241"/>
      <c r="CJ141" s="241"/>
      <c r="CK141" s="241"/>
      <c r="CL141" s="241"/>
      <c r="CM141" s="241"/>
      <c r="CN141" s="241"/>
      <c r="CO141" s="241"/>
      <c r="CP141" s="241"/>
      <c r="CQ141" s="241"/>
      <c r="CR141" s="241"/>
      <c r="CS141" s="241"/>
      <c r="CT141" s="241"/>
      <c r="CU141" s="241"/>
      <c r="CV141" s="241"/>
      <c r="CW141" s="241"/>
      <c r="CX141" s="241"/>
      <c r="CY141" s="241"/>
      <c r="CZ141" s="241"/>
      <c r="DA141" s="241"/>
      <c r="DB141" s="241"/>
      <c r="DC141" s="241"/>
      <c r="DD141" s="241"/>
      <c r="DE141" s="241"/>
      <c r="DF141" s="241"/>
      <c r="DG141" s="241"/>
      <c r="DH141" s="241"/>
      <c r="DT141" s="241"/>
      <c r="FB141" s="241"/>
    </row>
    <row r="142" spans="4:158" hidden="1" x14ac:dyDescent="0.25">
      <c r="D142" s="241"/>
      <c r="E142" s="241"/>
      <c r="F142" s="241"/>
      <c r="G142" s="241"/>
      <c r="H142" s="241"/>
      <c r="I142" s="242"/>
      <c r="J142" s="241"/>
      <c r="K142" s="241"/>
      <c r="L142" s="241"/>
      <c r="M142" s="241"/>
      <c r="N142" s="242"/>
      <c r="O142" s="242"/>
      <c r="P142" s="242"/>
      <c r="Q142" s="242"/>
      <c r="R142" s="241"/>
      <c r="S142" s="241"/>
      <c r="T142" s="241"/>
      <c r="U142" s="241"/>
      <c r="V142" s="241"/>
      <c r="W142" s="241"/>
      <c r="X142" s="241"/>
      <c r="Y142" s="241"/>
      <c r="Z142" s="242"/>
      <c r="AA142" s="242"/>
      <c r="AB142" s="241"/>
      <c r="AC142" s="241"/>
      <c r="AD142" s="241"/>
      <c r="AE142" s="241"/>
      <c r="AF142" s="241"/>
      <c r="AG142" s="241"/>
      <c r="AH142" s="241"/>
      <c r="AI142" s="241"/>
      <c r="AJ142" s="274"/>
      <c r="AK142" s="241"/>
      <c r="AL142" s="241"/>
      <c r="AM142" s="241"/>
      <c r="AN142" s="241"/>
      <c r="AO142" s="241"/>
      <c r="AP142" s="241"/>
      <c r="AQ142" s="241"/>
      <c r="AR142" s="241"/>
      <c r="AS142" s="241"/>
      <c r="AT142" s="241"/>
      <c r="AU142" s="241"/>
      <c r="AV142" s="241"/>
      <c r="AW142" s="241"/>
      <c r="AX142" s="241"/>
      <c r="AY142" s="241"/>
      <c r="AZ142" s="241"/>
      <c r="BA142" s="241"/>
      <c r="BB142" s="241"/>
      <c r="BC142" s="241"/>
      <c r="BD142" s="241"/>
      <c r="BE142" s="241"/>
      <c r="BF142" s="241"/>
      <c r="BG142" s="241"/>
      <c r="BH142" s="241"/>
      <c r="BI142" s="241"/>
      <c r="BJ142" s="241"/>
      <c r="BK142" s="241"/>
      <c r="BL142" s="241"/>
      <c r="BM142" s="241"/>
      <c r="BN142" s="241"/>
      <c r="BO142" s="241"/>
      <c r="BP142" s="241"/>
      <c r="BQ142" s="241"/>
      <c r="BR142" s="241"/>
      <c r="BS142" s="241"/>
      <c r="BT142" s="241"/>
      <c r="BU142" s="241"/>
      <c r="BV142" s="241"/>
      <c r="BW142" s="241"/>
      <c r="BX142" s="241"/>
      <c r="BY142" s="241"/>
      <c r="BZ142" s="241"/>
      <c r="CA142" s="241"/>
      <c r="CB142" s="241"/>
      <c r="CC142" s="241"/>
      <c r="CD142" s="241"/>
      <c r="CE142" s="241"/>
      <c r="CF142" s="241"/>
      <c r="CG142" s="241"/>
      <c r="CH142" s="241"/>
      <c r="CI142" s="241"/>
      <c r="CJ142" s="241"/>
      <c r="CK142" s="241"/>
      <c r="CL142" s="241"/>
      <c r="CM142" s="241"/>
      <c r="CN142" s="241"/>
      <c r="CO142" s="241"/>
      <c r="CP142" s="241"/>
      <c r="CQ142" s="241"/>
      <c r="CR142" s="241"/>
      <c r="CS142" s="241"/>
      <c r="CT142" s="241"/>
      <c r="CU142" s="241"/>
      <c r="CV142" s="241"/>
      <c r="CW142" s="241"/>
      <c r="CX142" s="241"/>
      <c r="CY142" s="241"/>
      <c r="CZ142" s="241"/>
      <c r="DA142" s="241"/>
      <c r="DB142" s="241"/>
      <c r="DC142" s="241"/>
      <c r="DD142" s="241"/>
      <c r="DE142" s="241"/>
      <c r="DF142" s="241"/>
      <c r="DG142" s="241"/>
      <c r="DH142" s="241"/>
      <c r="DT142" s="241"/>
      <c r="FB142" s="241"/>
    </row>
    <row r="143" spans="4:158" hidden="1" x14ac:dyDescent="0.25">
      <c r="D143" s="241"/>
      <c r="E143" s="241"/>
      <c r="F143" s="241"/>
      <c r="G143" s="241"/>
      <c r="H143" s="241"/>
      <c r="I143" s="242"/>
      <c r="J143" s="241"/>
      <c r="K143" s="241"/>
      <c r="L143" s="241"/>
      <c r="M143" s="241"/>
      <c r="N143" s="242"/>
      <c r="O143" s="242"/>
      <c r="P143" s="242"/>
      <c r="Q143" s="242"/>
      <c r="R143" s="241"/>
      <c r="S143" s="241"/>
      <c r="T143" s="241"/>
      <c r="U143" s="241"/>
      <c r="V143" s="241"/>
      <c r="W143" s="241"/>
      <c r="X143" s="241"/>
      <c r="Y143" s="241"/>
      <c r="Z143" s="242"/>
      <c r="AA143" s="242"/>
      <c r="AB143" s="241"/>
      <c r="AC143" s="241"/>
      <c r="AD143" s="241"/>
      <c r="AE143" s="241"/>
      <c r="AF143" s="241"/>
      <c r="AG143" s="241"/>
      <c r="AH143" s="241"/>
      <c r="AI143" s="241"/>
      <c r="AJ143" s="274"/>
      <c r="AK143" s="241"/>
      <c r="AL143" s="241"/>
      <c r="AM143" s="241"/>
      <c r="AN143" s="241"/>
      <c r="AO143" s="241"/>
      <c r="AP143" s="241"/>
      <c r="AQ143" s="241"/>
      <c r="AR143" s="241"/>
      <c r="AS143" s="241"/>
      <c r="AT143" s="241"/>
      <c r="AU143" s="241"/>
      <c r="AV143" s="241"/>
      <c r="AW143" s="241"/>
      <c r="AX143" s="241"/>
      <c r="AY143" s="241"/>
      <c r="AZ143" s="241"/>
      <c r="BA143" s="241"/>
      <c r="BB143" s="241"/>
      <c r="BC143" s="241"/>
      <c r="BD143" s="241"/>
      <c r="BE143" s="241"/>
      <c r="BF143" s="241"/>
      <c r="BG143" s="241"/>
      <c r="BH143" s="241"/>
      <c r="BI143" s="241"/>
      <c r="BJ143" s="241"/>
      <c r="BK143" s="241"/>
      <c r="BL143" s="241"/>
      <c r="BM143" s="241"/>
      <c r="BN143" s="241"/>
      <c r="BO143" s="241"/>
      <c r="BP143" s="241"/>
      <c r="BQ143" s="241"/>
      <c r="BR143" s="241"/>
      <c r="BS143" s="241"/>
      <c r="BT143" s="241"/>
      <c r="BU143" s="241"/>
      <c r="BV143" s="241"/>
      <c r="BW143" s="241"/>
      <c r="BX143" s="241"/>
      <c r="BY143" s="241"/>
      <c r="BZ143" s="241"/>
      <c r="CA143" s="241"/>
      <c r="CB143" s="241"/>
      <c r="CC143" s="241"/>
      <c r="CD143" s="241"/>
      <c r="CE143" s="241"/>
      <c r="CF143" s="241"/>
      <c r="CG143" s="241"/>
      <c r="CH143" s="241"/>
      <c r="CI143" s="241"/>
      <c r="CJ143" s="241"/>
      <c r="CK143" s="241"/>
      <c r="CL143" s="241"/>
      <c r="CM143" s="241"/>
      <c r="CN143" s="241"/>
      <c r="CO143" s="241"/>
      <c r="CP143" s="241"/>
      <c r="CQ143" s="241"/>
      <c r="CR143" s="241"/>
      <c r="CS143" s="241"/>
      <c r="CT143" s="241"/>
      <c r="CU143" s="241"/>
      <c r="CV143" s="241"/>
      <c r="CW143" s="241"/>
      <c r="CX143" s="241"/>
      <c r="CY143" s="241"/>
      <c r="CZ143" s="241"/>
      <c r="DA143" s="241"/>
      <c r="DB143" s="241"/>
      <c r="DC143" s="241"/>
      <c r="DD143" s="241"/>
      <c r="DE143" s="241"/>
      <c r="DF143" s="241"/>
      <c r="DG143" s="241"/>
      <c r="DH143" s="241"/>
      <c r="DT143" s="241"/>
      <c r="FB143" s="241"/>
    </row>
    <row r="144" spans="4:158" hidden="1" x14ac:dyDescent="0.25">
      <c r="D144" s="241"/>
      <c r="E144" s="241"/>
      <c r="F144" s="241"/>
      <c r="G144" s="241"/>
      <c r="H144" s="241"/>
      <c r="I144" s="242"/>
      <c r="J144" s="241"/>
      <c r="K144" s="241"/>
      <c r="L144" s="241"/>
      <c r="M144" s="241"/>
      <c r="N144" s="242"/>
      <c r="O144" s="242"/>
      <c r="P144" s="242"/>
      <c r="Q144" s="242"/>
      <c r="R144" s="241"/>
      <c r="S144" s="241"/>
      <c r="T144" s="241"/>
      <c r="U144" s="241"/>
      <c r="V144" s="241"/>
      <c r="W144" s="241"/>
      <c r="X144" s="418">
        <f>Hoja4!C44</f>
        <v>0</v>
      </c>
      <c r="Y144" s="241"/>
      <c r="Z144" s="242"/>
      <c r="AA144" s="242"/>
      <c r="AB144" s="241"/>
      <c r="AC144" s="241"/>
      <c r="AD144" s="241"/>
      <c r="AE144" s="241"/>
      <c r="AF144" s="241"/>
      <c r="AG144" s="241"/>
      <c r="AH144" s="241"/>
      <c r="AI144" s="241"/>
      <c r="AJ144" s="274"/>
      <c r="AK144" s="241"/>
      <c r="AL144" s="241"/>
      <c r="AM144" s="241"/>
      <c r="AN144" s="241"/>
      <c r="AO144" s="241"/>
      <c r="AP144" s="241"/>
      <c r="AQ144" s="241"/>
      <c r="AR144" s="241"/>
      <c r="AS144" s="241"/>
      <c r="AT144" s="241"/>
      <c r="AU144" s="241"/>
      <c r="AV144" s="241"/>
      <c r="AW144" s="241"/>
      <c r="AX144" s="241"/>
      <c r="AY144" s="241"/>
      <c r="AZ144" s="241"/>
      <c r="BA144" s="241"/>
      <c r="BB144" s="241"/>
      <c r="BC144" s="241"/>
      <c r="BD144" s="241"/>
      <c r="BE144" s="241"/>
      <c r="BF144" s="241"/>
      <c r="BG144" s="241"/>
      <c r="BH144" s="241"/>
      <c r="BI144" s="241"/>
      <c r="BJ144" s="241"/>
      <c r="BK144" s="241"/>
      <c r="BL144" s="241"/>
      <c r="BM144" s="241"/>
      <c r="BN144" s="241"/>
      <c r="BO144" s="241"/>
      <c r="BP144" s="241"/>
      <c r="BQ144" s="241"/>
      <c r="BR144" s="241"/>
      <c r="BS144" s="241"/>
      <c r="BT144" s="241"/>
      <c r="BU144" s="241"/>
      <c r="BV144" s="241"/>
      <c r="BW144" s="241"/>
      <c r="BX144" s="241"/>
      <c r="BY144" s="241"/>
      <c r="BZ144" s="241"/>
      <c r="CA144" s="241"/>
      <c r="CB144" s="241"/>
      <c r="CC144" s="241"/>
      <c r="CD144" s="241"/>
      <c r="CE144" s="241"/>
      <c r="CF144" s="241"/>
      <c r="CG144" s="241"/>
      <c r="CH144" s="241"/>
      <c r="CI144" s="241"/>
      <c r="CJ144" s="241"/>
      <c r="CK144" s="241"/>
      <c r="CL144" s="241"/>
      <c r="CM144" s="241"/>
      <c r="CN144" s="241"/>
      <c r="CO144" s="241"/>
      <c r="CP144" s="241"/>
      <c r="CQ144" s="241"/>
      <c r="CR144" s="241"/>
      <c r="CS144" s="241"/>
      <c r="CT144" s="241"/>
      <c r="CU144" s="241"/>
      <c r="CV144" s="241"/>
      <c r="CW144" s="241"/>
      <c r="CX144" s="241"/>
      <c r="CY144" s="241"/>
      <c r="CZ144" s="241"/>
      <c r="DA144" s="241"/>
      <c r="DB144" s="241"/>
      <c r="DC144" s="241"/>
      <c r="DD144" s="241"/>
      <c r="DE144" s="241"/>
      <c r="DF144" s="241"/>
      <c r="DG144" s="241"/>
      <c r="DH144" s="241"/>
      <c r="DT144" s="241"/>
      <c r="FB144" s="241"/>
    </row>
    <row r="145" spans="4:158" hidden="1" x14ac:dyDescent="0.25">
      <c r="D145" s="241"/>
      <c r="E145" s="241"/>
      <c r="F145" s="241"/>
      <c r="G145" s="241"/>
      <c r="H145" s="241"/>
      <c r="I145" s="242"/>
      <c r="J145" s="241"/>
      <c r="K145" s="241"/>
      <c r="L145" s="241"/>
      <c r="M145" s="241"/>
      <c r="N145" s="242"/>
      <c r="O145" s="242"/>
      <c r="P145" s="242"/>
      <c r="Q145" s="242"/>
      <c r="R145" s="241"/>
      <c r="S145" s="241"/>
      <c r="T145" s="241"/>
      <c r="U145" s="241"/>
      <c r="V145" s="241"/>
      <c r="W145" s="241"/>
      <c r="X145" s="419"/>
      <c r="Y145" s="241"/>
      <c r="Z145" s="242"/>
      <c r="AA145" s="242"/>
      <c r="AB145" s="241"/>
      <c r="AC145" s="241"/>
      <c r="AD145" s="241"/>
      <c r="AE145" s="241"/>
      <c r="AF145" s="241"/>
      <c r="AG145" s="241"/>
      <c r="AH145" s="241"/>
      <c r="AI145" s="241"/>
      <c r="AJ145" s="274"/>
      <c r="AK145" s="241"/>
      <c r="AL145" s="241"/>
      <c r="AM145" s="241"/>
      <c r="AN145" s="241"/>
      <c r="AO145" s="241"/>
      <c r="AP145" s="241"/>
      <c r="AQ145" s="241"/>
      <c r="AR145" s="241"/>
      <c r="AS145" s="241"/>
      <c r="AT145" s="241"/>
      <c r="AU145" s="241"/>
      <c r="AV145" s="241"/>
      <c r="AW145" s="241"/>
      <c r="AX145" s="241"/>
      <c r="AY145" s="241"/>
      <c r="AZ145" s="241"/>
      <c r="BA145" s="241"/>
      <c r="BB145" s="241"/>
      <c r="BC145" s="241"/>
      <c r="BD145" s="241"/>
      <c r="BE145" s="241"/>
      <c r="BF145" s="241"/>
      <c r="BG145" s="241"/>
      <c r="BH145" s="241"/>
      <c r="BI145" s="241"/>
      <c r="BJ145" s="241"/>
      <c r="BK145" s="241"/>
      <c r="BL145" s="241"/>
      <c r="BM145" s="241"/>
      <c r="BN145" s="241"/>
      <c r="BO145" s="241"/>
      <c r="BP145" s="241"/>
      <c r="BQ145" s="241"/>
      <c r="BR145" s="241"/>
      <c r="BS145" s="241"/>
      <c r="BT145" s="241"/>
      <c r="BU145" s="241"/>
      <c r="BV145" s="241"/>
      <c r="BW145" s="241"/>
      <c r="BX145" s="241"/>
      <c r="BY145" s="241"/>
      <c r="BZ145" s="241"/>
      <c r="CA145" s="241"/>
      <c r="CB145" s="241"/>
      <c r="CC145" s="241"/>
      <c r="CD145" s="241"/>
      <c r="CE145" s="241"/>
      <c r="CF145" s="241"/>
      <c r="CG145" s="241"/>
      <c r="CH145" s="241"/>
      <c r="CI145" s="241"/>
      <c r="CJ145" s="241"/>
      <c r="CK145" s="241"/>
      <c r="CL145" s="241"/>
      <c r="CM145" s="241"/>
      <c r="CN145" s="241"/>
      <c r="CO145" s="241"/>
      <c r="CP145" s="241"/>
      <c r="CQ145" s="241"/>
      <c r="CR145" s="241"/>
      <c r="CS145" s="241"/>
      <c r="CT145" s="241"/>
      <c r="CU145" s="241"/>
      <c r="CV145" s="241"/>
      <c r="CW145" s="241"/>
      <c r="CX145" s="241"/>
      <c r="CY145" s="241"/>
      <c r="CZ145" s="241"/>
      <c r="DA145" s="241"/>
      <c r="DB145" s="241"/>
      <c r="DC145" s="241"/>
      <c r="DD145" s="241"/>
      <c r="DE145" s="241"/>
      <c r="DF145" s="241"/>
      <c r="DG145" s="241"/>
      <c r="DH145" s="241"/>
      <c r="DT145" s="241"/>
      <c r="FB145" s="241"/>
    </row>
    <row r="146" spans="4:158" hidden="1" x14ac:dyDescent="0.25">
      <c r="D146" s="241"/>
      <c r="E146" s="241"/>
      <c r="F146" s="241"/>
      <c r="G146" s="241"/>
      <c r="H146" s="241"/>
      <c r="I146" s="242"/>
      <c r="J146" s="241"/>
      <c r="K146" s="241"/>
      <c r="L146" s="241"/>
      <c r="M146" s="241"/>
      <c r="N146" s="242"/>
      <c r="O146" s="242"/>
      <c r="P146" s="242"/>
      <c r="Q146" s="242"/>
      <c r="R146" s="241"/>
      <c r="S146" s="241"/>
      <c r="T146" s="241"/>
      <c r="U146" s="241"/>
      <c r="V146" s="241"/>
      <c r="W146" s="241"/>
      <c r="X146" s="420"/>
      <c r="Y146" s="241"/>
      <c r="Z146" s="242"/>
      <c r="AA146" s="242"/>
      <c r="AB146" s="241"/>
      <c r="AC146" s="241"/>
      <c r="AD146" s="241"/>
      <c r="AE146" s="241"/>
      <c r="AF146" s="241"/>
      <c r="AG146" s="241"/>
      <c r="AH146" s="241"/>
      <c r="AI146" s="241"/>
      <c r="AJ146" s="274"/>
      <c r="AK146" s="241"/>
      <c r="AL146" s="241"/>
      <c r="AM146" s="241"/>
      <c r="AN146" s="241"/>
      <c r="AO146" s="241"/>
      <c r="AP146" s="241"/>
      <c r="AQ146" s="241"/>
      <c r="AR146" s="241"/>
      <c r="AS146" s="241"/>
      <c r="AT146" s="241"/>
      <c r="AU146" s="241"/>
      <c r="AV146" s="241"/>
      <c r="AW146" s="241"/>
      <c r="AX146" s="241"/>
      <c r="AY146" s="241"/>
      <c r="AZ146" s="241"/>
      <c r="BA146" s="241"/>
      <c r="BB146" s="241"/>
      <c r="BC146" s="241"/>
      <c r="BD146" s="241"/>
      <c r="BE146" s="241"/>
      <c r="BF146" s="241"/>
      <c r="BG146" s="241"/>
      <c r="BH146" s="241"/>
      <c r="BI146" s="241"/>
      <c r="BJ146" s="241"/>
      <c r="BK146" s="241"/>
      <c r="BL146" s="241"/>
      <c r="BM146" s="241"/>
      <c r="BN146" s="241"/>
      <c r="BO146" s="241"/>
      <c r="BP146" s="241"/>
      <c r="BQ146" s="241"/>
      <c r="BR146" s="241"/>
      <c r="BS146" s="241"/>
      <c r="BT146" s="241"/>
      <c r="BU146" s="241"/>
      <c r="BV146" s="241"/>
      <c r="BW146" s="241"/>
      <c r="BX146" s="241"/>
      <c r="BY146" s="241"/>
      <c r="BZ146" s="241"/>
      <c r="CA146" s="241"/>
      <c r="CB146" s="241"/>
      <c r="CC146" s="241"/>
      <c r="CD146" s="241"/>
      <c r="CE146" s="241"/>
      <c r="CF146" s="241"/>
      <c r="CG146" s="241"/>
      <c r="CH146" s="241"/>
      <c r="CI146" s="241"/>
      <c r="CJ146" s="241"/>
      <c r="CK146" s="241"/>
      <c r="CL146" s="241"/>
      <c r="CM146" s="241"/>
      <c r="CN146" s="241"/>
      <c r="CO146" s="241"/>
      <c r="CP146" s="241"/>
      <c r="CQ146" s="241"/>
      <c r="CR146" s="241"/>
      <c r="CS146" s="241"/>
      <c r="CT146" s="241"/>
      <c r="CU146" s="241"/>
      <c r="CV146" s="241"/>
      <c r="CW146" s="241"/>
      <c r="CX146" s="241"/>
      <c r="CY146" s="241"/>
      <c r="CZ146" s="241"/>
      <c r="DA146" s="241"/>
      <c r="DB146" s="241"/>
      <c r="DC146" s="241"/>
      <c r="DD146" s="241"/>
      <c r="DE146" s="241"/>
      <c r="DF146" s="241"/>
      <c r="DG146" s="241"/>
      <c r="DH146" s="241"/>
      <c r="DT146" s="241"/>
      <c r="FB146" s="241"/>
    </row>
    <row r="147" spans="4:158" hidden="1" x14ac:dyDescent="0.25">
      <c r="D147" s="241"/>
      <c r="E147" s="241"/>
      <c r="F147" s="241"/>
      <c r="G147" s="241"/>
      <c r="H147" s="241"/>
      <c r="I147" s="242"/>
      <c r="J147" s="241"/>
      <c r="K147" s="241"/>
      <c r="L147" s="241"/>
      <c r="M147" s="241"/>
      <c r="N147" s="242"/>
      <c r="O147" s="242"/>
      <c r="P147" s="242"/>
      <c r="Q147" s="242"/>
      <c r="R147" s="241"/>
      <c r="S147" s="241"/>
      <c r="T147" s="241"/>
      <c r="U147" s="241"/>
      <c r="V147" s="241"/>
      <c r="W147" s="241"/>
      <c r="X147" s="241"/>
      <c r="Y147" s="241"/>
      <c r="Z147" s="242"/>
      <c r="AA147" s="242"/>
      <c r="AB147" s="241"/>
      <c r="AC147" s="241"/>
      <c r="AD147" s="241"/>
      <c r="AE147" s="241"/>
      <c r="AF147" s="241"/>
      <c r="AG147" s="241"/>
      <c r="AH147" s="241"/>
      <c r="AI147" s="241"/>
      <c r="AJ147" s="274"/>
      <c r="AK147" s="241"/>
      <c r="AL147" s="241"/>
      <c r="AM147" s="241"/>
      <c r="AN147" s="241"/>
      <c r="AO147" s="241"/>
      <c r="AP147" s="241"/>
      <c r="AQ147" s="241"/>
      <c r="AR147" s="241"/>
      <c r="AS147" s="241"/>
      <c r="AT147" s="241"/>
      <c r="AU147" s="241"/>
      <c r="AV147" s="241"/>
      <c r="AW147" s="241"/>
      <c r="AX147" s="241"/>
      <c r="AY147" s="241"/>
      <c r="AZ147" s="241"/>
      <c r="BA147" s="241"/>
      <c r="BB147" s="241"/>
      <c r="BC147" s="241"/>
      <c r="BD147" s="241"/>
      <c r="BE147" s="241"/>
      <c r="BF147" s="241"/>
      <c r="BG147" s="241"/>
      <c r="BH147" s="241"/>
      <c r="BI147" s="241"/>
      <c r="BJ147" s="241"/>
      <c r="BK147" s="241"/>
      <c r="BL147" s="241"/>
      <c r="BM147" s="241"/>
      <c r="BN147" s="241"/>
      <c r="BO147" s="241"/>
      <c r="BP147" s="241"/>
      <c r="BQ147" s="241"/>
      <c r="BR147" s="241"/>
      <c r="BS147" s="241"/>
      <c r="BT147" s="241"/>
      <c r="BU147" s="241"/>
      <c r="BV147" s="241"/>
      <c r="BW147" s="241"/>
      <c r="BX147" s="241"/>
      <c r="BY147" s="241"/>
      <c r="BZ147" s="241"/>
      <c r="CA147" s="241"/>
      <c r="CB147" s="241"/>
      <c r="CC147" s="241"/>
      <c r="CD147" s="241"/>
      <c r="CE147" s="241"/>
      <c r="CF147" s="241"/>
      <c r="CG147" s="241"/>
      <c r="CH147" s="241"/>
      <c r="CI147" s="241"/>
      <c r="CJ147" s="241"/>
      <c r="CK147" s="241"/>
      <c r="CL147" s="241"/>
      <c r="CM147" s="241"/>
      <c r="CN147" s="241"/>
      <c r="CO147" s="241"/>
      <c r="CP147" s="241"/>
      <c r="CQ147" s="241"/>
      <c r="CR147" s="241"/>
      <c r="CS147" s="241"/>
      <c r="CT147" s="241"/>
      <c r="CU147" s="241"/>
      <c r="CV147" s="241"/>
      <c r="CW147" s="241"/>
      <c r="CX147" s="241"/>
      <c r="CY147" s="241"/>
      <c r="CZ147" s="241"/>
      <c r="DA147" s="241"/>
      <c r="DB147" s="241"/>
      <c r="DC147" s="241"/>
      <c r="DD147" s="241"/>
      <c r="DE147" s="241"/>
      <c r="DF147" s="241"/>
      <c r="DG147" s="241"/>
      <c r="DH147" s="241"/>
      <c r="DT147" s="241"/>
      <c r="FB147" s="241"/>
    </row>
    <row r="148" spans="4:158" hidden="1" x14ac:dyDescent="0.25">
      <c r="D148" s="241"/>
      <c r="E148" s="241"/>
      <c r="F148" s="241"/>
      <c r="G148" s="241"/>
      <c r="H148" s="241"/>
      <c r="I148" s="242"/>
      <c r="J148" s="241"/>
      <c r="K148" s="241"/>
      <c r="L148" s="241"/>
      <c r="M148" s="241"/>
      <c r="N148" s="242"/>
      <c r="O148" s="242"/>
      <c r="P148" s="242"/>
      <c r="Q148" s="242"/>
      <c r="R148" s="241"/>
      <c r="S148" s="241"/>
      <c r="T148" s="241"/>
      <c r="U148" s="241"/>
      <c r="V148" s="241"/>
      <c r="W148" s="241"/>
      <c r="X148" s="241"/>
      <c r="Y148" s="241"/>
      <c r="Z148" s="242"/>
      <c r="AA148" s="242"/>
      <c r="AB148" s="241"/>
      <c r="AC148" s="241"/>
      <c r="AD148" s="241"/>
      <c r="AE148" s="241"/>
      <c r="AF148" s="241"/>
      <c r="AG148" s="241"/>
      <c r="AH148" s="241"/>
      <c r="AI148" s="241"/>
      <c r="AJ148" s="274"/>
      <c r="AK148" s="241"/>
      <c r="AL148" s="241"/>
      <c r="AM148" s="241"/>
      <c r="AN148" s="241"/>
      <c r="AO148" s="241"/>
      <c r="AP148" s="241"/>
      <c r="AQ148" s="241"/>
      <c r="AR148" s="241"/>
      <c r="AS148" s="241"/>
      <c r="AT148" s="241"/>
      <c r="AU148" s="241"/>
      <c r="AV148" s="241"/>
      <c r="AW148" s="241"/>
      <c r="AX148" s="241"/>
      <c r="AY148" s="241"/>
      <c r="AZ148" s="241"/>
      <c r="BA148" s="241"/>
      <c r="BB148" s="241"/>
      <c r="BC148" s="241"/>
      <c r="BD148" s="241"/>
      <c r="BE148" s="241"/>
      <c r="BF148" s="241"/>
      <c r="BG148" s="241"/>
      <c r="BH148" s="241"/>
      <c r="BI148" s="241"/>
      <c r="BJ148" s="241"/>
      <c r="BK148" s="241"/>
      <c r="BL148" s="241"/>
      <c r="BM148" s="241"/>
      <c r="BN148" s="241"/>
      <c r="BO148" s="241"/>
      <c r="BP148" s="241"/>
      <c r="BQ148" s="241"/>
      <c r="BR148" s="241"/>
      <c r="BS148" s="241"/>
      <c r="BT148" s="241"/>
      <c r="BU148" s="241"/>
      <c r="BV148" s="241"/>
      <c r="BW148" s="241"/>
      <c r="BX148" s="241"/>
      <c r="BY148" s="241"/>
      <c r="BZ148" s="241"/>
      <c r="CA148" s="241"/>
      <c r="CB148" s="241"/>
      <c r="CC148" s="241"/>
      <c r="CD148" s="241"/>
      <c r="CE148" s="241"/>
      <c r="CF148" s="241"/>
      <c r="CG148" s="241"/>
      <c r="CH148" s="241"/>
      <c r="CI148" s="241"/>
      <c r="CJ148" s="241"/>
      <c r="CK148" s="241"/>
      <c r="CL148" s="241"/>
      <c r="CM148" s="241"/>
      <c r="CN148" s="241"/>
      <c r="CO148" s="241"/>
      <c r="CP148" s="241"/>
      <c r="CQ148" s="241"/>
      <c r="CR148" s="241"/>
      <c r="CS148" s="241"/>
      <c r="CT148" s="241"/>
      <c r="CU148" s="241"/>
      <c r="CV148" s="241"/>
      <c r="CW148" s="241"/>
      <c r="CX148" s="241"/>
      <c r="CY148" s="241"/>
      <c r="CZ148" s="241"/>
      <c r="DA148" s="241"/>
      <c r="DB148" s="241"/>
      <c r="DC148" s="241"/>
      <c r="DD148" s="241"/>
      <c r="DE148" s="241"/>
      <c r="DF148" s="241"/>
      <c r="DG148" s="241"/>
      <c r="DH148" s="241"/>
      <c r="DT148" s="241"/>
      <c r="FB148" s="241"/>
    </row>
    <row r="149" spans="4:158" hidden="1" x14ac:dyDescent="0.25">
      <c r="D149" s="241"/>
      <c r="E149" s="241"/>
      <c r="F149" s="241"/>
      <c r="G149" s="241"/>
      <c r="H149" s="241"/>
      <c r="I149" s="242"/>
      <c r="J149" s="241"/>
      <c r="K149" s="241"/>
      <c r="L149" s="241"/>
      <c r="M149" s="241"/>
      <c r="N149" s="242"/>
      <c r="O149" s="242"/>
      <c r="P149" s="242"/>
      <c r="Q149" s="242"/>
      <c r="R149" s="241"/>
      <c r="S149" s="241"/>
      <c r="T149" s="241"/>
      <c r="U149" s="241"/>
      <c r="V149" s="241"/>
      <c r="W149" s="241"/>
      <c r="X149" s="241"/>
      <c r="Y149" s="241"/>
      <c r="Z149" s="242"/>
      <c r="AA149" s="242"/>
      <c r="AB149" s="241"/>
      <c r="AC149" s="241"/>
      <c r="AD149" s="241"/>
      <c r="AE149" s="241"/>
      <c r="AF149" s="241"/>
      <c r="AG149" s="241"/>
      <c r="AH149" s="241"/>
      <c r="AI149" s="241"/>
      <c r="AJ149" s="274"/>
      <c r="AK149" s="241"/>
      <c r="AL149" s="241"/>
      <c r="AM149" s="241"/>
      <c r="AN149" s="241"/>
      <c r="AO149" s="241"/>
      <c r="AP149" s="241"/>
      <c r="AQ149" s="241"/>
      <c r="AR149" s="241"/>
      <c r="AS149" s="241"/>
      <c r="AT149" s="241"/>
      <c r="AU149" s="241"/>
      <c r="AV149" s="241"/>
      <c r="AW149" s="241"/>
      <c r="AX149" s="241"/>
      <c r="AY149" s="241"/>
      <c r="AZ149" s="241"/>
      <c r="BA149" s="241"/>
      <c r="BB149" s="241"/>
      <c r="BC149" s="241"/>
      <c r="BD149" s="241"/>
      <c r="BE149" s="241"/>
      <c r="BF149" s="241"/>
      <c r="BG149" s="241"/>
      <c r="BH149" s="241"/>
      <c r="BI149" s="241"/>
      <c r="BJ149" s="241"/>
      <c r="BK149" s="241"/>
      <c r="BL149" s="241"/>
      <c r="BM149" s="241"/>
      <c r="BN149" s="241"/>
      <c r="BO149" s="241"/>
      <c r="BP149" s="241"/>
      <c r="BQ149" s="241"/>
      <c r="BR149" s="241"/>
      <c r="BS149" s="241"/>
      <c r="BT149" s="241"/>
      <c r="BU149" s="241"/>
      <c r="BV149" s="241"/>
      <c r="BW149" s="241"/>
      <c r="BX149" s="241"/>
      <c r="BY149" s="241"/>
      <c r="BZ149" s="241"/>
      <c r="CA149" s="241"/>
      <c r="CB149" s="241"/>
      <c r="CC149" s="241"/>
      <c r="CD149" s="241"/>
      <c r="CE149" s="241"/>
      <c r="CF149" s="241"/>
      <c r="CG149" s="241"/>
      <c r="CH149" s="241"/>
      <c r="CI149" s="241"/>
      <c r="CJ149" s="241"/>
      <c r="CK149" s="241"/>
      <c r="CL149" s="241"/>
      <c r="CM149" s="241"/>
      <c r="CN149" s="241"/>
      <c r="CO149" s="241"/>
      <c r="CP149" s="241"/>
      <c r="CQ149" s="241"/>
      <c r="CR149" s="241"/>
      <c r="CS149" s="241"/>
      <c r="CT149" s="241"/>
      <c r="CU149" s="241"/>
      <c r="CV149" s="241"/>
      <c r="CW149" s="241"/>
      <c r="CX149" s="241"/>
      <c r="CY149" s="241"/>
      <c r="CZ149" s="241"/>
      <c r="DA149" s="241"/>
      <c r="DB149" s="241"/>
      <c r="DC149" s="241"/>
      <c r="DD149" s="241"/>
      <c r="DE149" s="241"/>
      <c r="DF149" s="241"/>
      <c r="DG149" s="241"/>
      <c r="DH149" s="241"/>
      <c r="DT149" s="241"/>
      <c r="FB149" s="241"/>
    </row>
    <row r="150" spans="4:158" hidden="1" x14ac:dyDescent="0.25">
      <c r="D150" s="241"/>
      <c r="E150" s="241"/>
      <c r="F150" s="241"/>
      <c r="G150" s="241"/>
      <c r="H150" s="241"/>
      <c r="I150" s="242"/>
      <c r="J150" s="241"/>
      <c r="K150" s="241"/>
      <c r="L150" s="241"/>
      <c r="M150" s="241"/>
      <c r="N150" s="242"/>
      <c r="O150" s="242"/>
      <c r="P150" s="242"/>
      <c r="Q150" s="242"/>
      <c r="R150" s="241"/>
      <c r="S150" s="241"/>
      <c r="T150" s="241"/>
      <c r="U150" s="241"/>
      <c r="V150" s="241"/>
      <c r="W150" s="241"/>
      <c r="X150" s="241"/>
      <c r="Y150" s="241"/>
      <c r="Z150" s="242"/>
      <c r="AA150" s="242"/>
      <c r="AB150" s="241"/>
      <c r="AC150" s="241"/>
      <c r="AD150" s="241"/>
      <c r="AE150" s="241"/>
      <c r="AF150" s="241"/>
      <c r="AG150" s="241"/>
      <c r="AH150" s="241"/>
      <c r="AI150" s="241"/>
      <c r="AJ150" s="274"/>
      <c r="AK150" s="241"/>
      <c r="AL150" s="241"/>
      <c r="AM150" s="241"/>
      <c r="AN150" s="241"/>
      <c r="AO150" s="241"/>
      <c r="AP150" s="241"/>
      <c r="AQ150" s="241"/>
      <c r="AR150" s="241"/>
      <c r="AS150" s="241"/>
      <c r="AT150" s="241"/>
      <c r="AU150" s="241"/>
      <c r="AV150" s="241"/>
      <c r="AW150" s="241"/>
      <c r="AX150" s="241"/>
      <c r="AY150" s="241"/>
      <c r="AZ150" s="241"/>
      <c r="BA150" s="241"/>
      <c r="BB150" s="241"/>
      <c r="BC150" s="241"/>
      <c r="BD150" s="241"/>
      <c r="BE150" s="241"/>
      <c r="BF150" s="241"/>
      <c r="BG150" s="241"/>
      <c r="BH150" s="241"/>
      <c r="BI150" s="241"/>
      <c r="BJ150" s="241"/>
      <c r="BK150" s="241"/>
      <c r="BL150" s="241"/>
      <c r="BM150" s="241"/>
      <c r="BN150" s="241"/>
      <c r="BO150" s="241"/>
      <c r="BP150" s="241"/>
      <c r="BQ150" s="241"/>
      <c r="BR150" s="241"/>
      <c r="BS150" s="241"/>
      <c r="BT150" s="241"/>
      <c r="BU150" s="241"/>
      <c r="BV150" s="241"/>
      <c r="BW150" s="241"/>
      <c r="BX150" s="241"/>
      <c r="BY150" s="241"/>
      <c r="BZ150" s="241"/>
      <c r="CA150" s="241"/>
      <c r="CB150" s="241"/>
      <c r="CC150" s="241"/>
      <c r="CD150" s="241"/>
      <c r="CE150" s="241"/>
      <c r="CF150" s="241"/>
      <c r="CG150" s="241"/>
      <c r="CH150" s="241"/>
      <c r="CI150" s="241"/>
      <c r="CJ150" s="241"/>
      <c r="CK150" s="241"/>
      <c r="CL150" s="241"/>
      <c r="CM150" s="241"/>
      <c r="CN150" s="241"/>
      <c r="CO150" s="241"/>
      <c r="CP150" s="241"/>
      <c r="CQ150" s="241"/>
      <c r="CR150" s="241"/>
      <c r="CS150" s="241"/>
      <c r="CT150" s="241"/>
      <c r="CU150" s="241"/>
      <c r="CV150" s="241"/>
      <c r="CW150" s="241"/>
      <c r="CX150" s="241"/>
      <c r="CY150" s="241"/>
      <c r="CZ150" s="241"/>
      <c r="DA150" s="241"/>
      <c r="DB150" s="241"/>
      <c r="DC150" s="241"/>
      <c r="DD150" s="241"/>
      <c r="DE150" s="241"/>
      <c r="DF150" s="241"/>
      <c r="DG150" s="241"/>
      <c r="DH150" s="241"/>
      <c r="DT150" s="241"/>
      <c r="FB150" s="241"/>
    </row>
    <row r="151" spans="4:158" hidden="1" x14ac:dyDescent="0.25">
      <c r="D151" s="241"/>
      <c r="E151" s="241"/>
      <c r="F151" s="241"/>
      <c r="G151" s="241"/>
      <c r="H151" s="241"/>
      <c r="I151" s="242"/>
      <c r="J151" s="241"/>
      <c r="K151" s="241"/>
      <c r="L151" s="241"/>
      <c r="M151" s="241"/>
      <c r="N151" s="242"/>
      <c r="O151" s="242"/>
      <c r="P151" s="242"/>
      <c r="Q151" s="242"/>
      <c r="R151" s="241"/>
      <c r="S151" s="241"/>
      <c r="T151" s="241"/>
      <c r="U151" s="241"/>
      <c r="V151" s="241"/>
      <c r="W151" s="241"/>
      <c r="X151" s="241"/>
      <c r="Y151" s="241"/>
      <c r="Z151" s="242"/>
      <c r="AA151" s="242"/>
      <c r="AB151" s="241"/>
      <c r="AC151" s="241"/>
      <c r="AD151" s="241"/>
      <c r="AE151" s="241"/>
      <c r="AF151" s="241"/>
      <c r="AG151" s="241"/>
      <c r="AH151" s="241"/>
      <c r="AI151" s="241"/>
      <c r="AJ151" s="274"/>
      <c r="AK151" s="241"/>
      <c r="AL151" s="241"/>
      <c r="AM151" s="241"/>
      <c r="AN151" s="241"/>
      <c r="AO151" s="241"/>
      <c r="AP151" s="241"/>
      <c r="AQ151" s="241"/>
      <c r="AR151" s="241"/>
      <c r="AS151" s="241"/>
      <c r="AT151" s="241"/>
      <c r="AU151" s="241"/>
      <c r="AV151" s="241"/>
      <c r="AW151" s="241"/>
      <c r="AX151" s="241"/>
      <c r="AY151" s="241"/>
      <c r="AZ151" s="241"/>
      <c r="BA151" s="241"/>
      <c r="BB151" s="241"/>
      <c r="BC151" s="241"/>
      <c r="BD151" s="241"/>
      <c r="BE151" s="241"/>
      <c r="BF151" s="241"/>
      <c r="BG151" s="241"/>
      <c r="BH151" s="241"/>
      <c r="BI151" s="241"/>
      <c r="BJ151" s="241"/>
      <c r="BK151" s="241"/>
      <c r="BL151" s="241"/>
      <c r="BM151" s="241"/>
      <c r="BN151" s="241"/>
      <c r="BO151" s="241"/>
      <c r="BP151" s="241"/>
      <c r="BQ151" s="241"/>
      <c r="BR151" s="241"/>
      <c r="BS151" s="241"/>
      <c r="BT151" s="241"/>
      <c r="BU151" s="241"/>
      <c r="BV151" s="241"/>
      <c r="BW151" s="241"/>
      <c r="BX151" s="241"/>
      <c r="BY151" s="241"/>
      <c r="BZ151" s="241"/>
      <c r="CA151" s="241"/>
      <c r="CB151" s="241"/>
      <c r="CC151" s="241"/>
      <c r="CD151" s="241"/>
      <c r="CE151" s="241"/>
      <c r="CF151" s="241"/>
      <c r="CG151" s="241"/>
      <c r="CH151" s="241"/>
      <c r="CI151" s="241"/>
      <c r="CJ151" s="241"/>
      <c r="CK151" s="241"/>
      <c r="CL151" s="241"/>
      <c r="CM151" s="241"/>
      <c r="CN151" s="241"/>
      <c r="CO151" s="241"/>
      <c r="CP151" s="241"/>
      <c r="CQ151" s="241"/>
      <c r="CR151" s="241"/>
      <c r="CS151" s="241"/>
      <c r="CT151" s="241"/>
      <c r="CU151" s="241"/>
      <c r="CV151" s="241"/>
      <c r="CW151" s="241"/>
      <c r="CX151" s="241"/>
      <c r="CY151" s="241"/>
      <c r="CZ151" s="241"/>
      <c r="DA151" s="241"/>
      <c r="DB151" s="241"/>
      <c r="DC151" s="241"/>
      <c r="DD151" s="241"/>
      <c r="DE151" s="241"/>
      <c r="DF151" s="241"/>
      <c r="DG151" s="241"/>
      <c r="DH151" s="241"/>
      <c r="DT151" s="241"/>
      <c r="FB151" s="241"/>
    </row>
    <row r="152" spans="4:158" hidden="1" x14ac:dyDescent="0.25">
      <c r="D152" s="241"/>
      <c r="E152" s="241"/>
      <c r="F152" s="241"/>
      <c r="G152" s="241"/>
      <c r="H152" s="241"/>
      <c r="I152" s="242"/>
      <c r="J152" s="241"/>
      <c r="K152" s="241"/>
      <c r="L152" s="241"/>
      <c r="M152" s="241"/>
      <c r="N152" s="242"/>
      <c r="O152" s="242"/>
      <c r="P152" s="242"/>
      <c r="Q152" s="242"/>
      <c r="R152" s="241"/>
      <c r="S152" s="241"/>
      <c r="T152" s="241"/>
      <c r="U152" s="241"/>
      <c r="V152" s="241"/>
      <c r="W152" s="241"/>
      <c r="X152" s="241"/>
      <c r="Y152" s="241"/>
      <c r="Z152" s="242"/>
      <c r="AA152" s="242"/>
      <c r="AB152" s="241"/>
      <c r="AC152" s="241"/>
      <c r="AD152" s="241"/>
      <c r="AE152" s="241"/>
      <c r="AF152" s="241"/>
      <c r="AG152" s="241"/>
      <c r="AH152" s="241"/>
      <c r="AI152" s="241"/>
      <c r="AJ152" s="274"/>
      <c r="AK152" s="241"/>
      <c r="AL152" s="241"/>
      <c r="AM152" s="241"/>
      <c r="AN152" s="241"/>
      <c r="AO152" s="241"/>
      <c r="AP152" s="241"/>
      <c r="AQ152" s="241"/>
      <c r="AR152" s="241"/>
      <c r="AS152" s="241"/>
      <c r="AT152" s="241"/>
      <c r="AU152" s="241"/>
      <c r="AV152" s="241"/>
      <c r="AW152" s="241"/>
      <c r="AX152" s="241"/>
      <c r="AY152" s="241"/>
      <c r="AZ152" s="241"/>
      <c r="BA152" s="241"/>
      <c r="BB152" s="241"/>
      <c r="BC152" s="241"/>
      <c r="BD152" s="241"/>
      <c r="BE152" s="241"/>
      <c r="BF152" s="241"/>
      <c r="BG152" s="241"/>
      <c r="BH152" s="241"/>
      <c r="BI152" s="241"/>
      <c r="BJ152" s="241"/>
      <c r="BK152" s="241"/>
      <c r="BL152" s="241"/>
      <c r="BM152" s="241"/>
      <c r="BN152" s="241"/>
      <c r="BO152" s="241"/>
      <c r="BP152" s="241"/>
      <c r="BQ152" s="241"/>
      <c r="BR152" s="241"/>
      <c r="BS152" s="241"/>
      <c r="BT152" s="241"/>
      <c r="BU152" s="241"/>
      <c r="BV152" s="241"/>
      <c r="BW152" s="241"/>
      <c r="BX152" s="241"/>
      <c r="BY152" s="241"/>
      <c r="BZ152" s="241"/>
      <c r="CA152" s="241"/>
      <c r="CB152" s="241"/>
      <c r="CC152" s="241"/>
      <c r="CD152" s="241"/>
      <c r="CE152" s="241"/>
      <c r="CF152" s="241"/>
      <c r="CG152" s="241"/>
      <c r="CH152" s="241"/>
      <c r="CI152" s="241"/>
      <c r="CJ152" s="241"/>
      <c r="CK152" s="241"/>
      <c r="CL152" s="241"/>
      <c r="CM152" s="241"/>
      <c r="CN152" s="241"/>
      <c r="CO152" s="241"/>
      <c r="CP152" s="241"/>
      <c r="CQ152" s="241"/>
      <c r="CR152" s="241"/>
      <c r="CS152" s="241"/>
      <c r="CT152" s="241"/>
      <c r="CU152" s="241"/>
      <c r="CV152" s="241"/>
      <c r="CW152" s="241"/>
      <c r="CX152" s="241"/>
      <c r="CY152" s="241"/>
      <c r="CZ152" s="241"/>
      <c r="DA152" s="241"/>
      <c r="DB152" s="241"/>
      <c r="DC152" s="241"/>
      <c r="DD152" s="241"/>
      <c r="DE152" s="241"/>
      <c r="DF152" s="241"/>
      <c r="DG152" s="241"/>
      <c r="DH152" s="241"/>
      <c r="DT152" s="241"/>
      <c r="FB152" s="241"/>
    </row>
    <row r="153" spans="4:158" hidden="1" x14ac:dyDescent="0.25">
      <c r="D153" s="241"/>
      <c r="E153" s="241"/>
      <c r="F153" s="241"/>
      <c r="G153" s="241"/>
      <c r="H153" s="241"/>
      <c r="I153" s="242"/>
      <c r="J153" s="241"/>
      <c r="K153" s="241"/>
      <c r="L153" s="241"/>
      <c r="M153" s="241"/>
      <c r="N153" s="242"/>
      <c r="O153" s="242"/>
      <c r="P153" s="242"/>
      <c r="Q153" s="242"/>
      <c r="R153" s="241"/>
      <c r="S153" s="241"/>
      <c r="T153" s="241"/>
      <c r="U153" s="241"/>
      <c r="V153" s="241"/>
      <c r="W153" s="241"/>
      <c r="X153" s="241"/>
      <c r="Y153" s="241"/>
      <c r="Z153" s="242"/>
      <c r="AA153" s="242"/>
      <c r="AB153" s="241"/>
      <c r="AC153" s="241"/>
      <c r="AD153" s="241"/>
      <c r="AE153" s="241"/>
      <c r="AF153" s="241"/>
      <c r="AG153" s="241"/>
      <c r="AH153" s="241"/>
      <c r="AI153" s="241"/>
      <c r="AJ153" s="274"/>
      <c r="AK153" s="241"/>
      <c r="AL153" s="241"/>
      <c r="AM153" s="241"/>
      <c r="AN153" s="241"/>
      <c r="AO153" s="241"/>
      <c r="AP153" s="241"/>
      <c r="AQ153" s="241"/>
      <c r="AR153" s="241"/>
      <c r="AS153" s="241"/>
      <c r="AT153" s="241"/>
      <c r="AU153" s="241"/>
      <c r="AV153" s="241"/>
      <c r="AW153" s="241"/>
      <c r="AX153" s="241"/>
      <c r="AY153" s="241"/>
      <c r="AZ153" s="241"/>
      <c r="BA153" s="241"/>
      <c r="BB153" s="241"/>
      <c r="BC153" s="241"/>
      <c r="BD153" s="241"/>
      <c r="BE153" s="241"/>
      <c r="BF153" s="241"/>
      <c r="BG153" s="241"/>
      <c r="BH153" s="241"/>
      <c r="BI153" s="241"/>
      <c r="BJ153" s="241"/>
      <c r="BK153" s="241"/>
      <c r="BL153" s="241"/>
      <c r="BM153" s="241"/>
      <c r="BN153" s="241"/>
      <c r="BO153" s="241"/>
      <c r="BP153" s="241"/>
      <c r="BQ153" s="241"/>
      <c r="BR153" s="241"/>
      <c r="BS153" s="241"/>
      <c r="BT153" s="241"/>
      <c r="BU153" s="241"/>
      <c r="BV153" s="241"/>
      <c r="BW153" s="241"/>
      <c r="BX153" s="241"/>
      <c r="BY153" s="241"/>
      <c r="BZ153" s="241"/>
      <c r="CA153" s="241"/>
      <c r="CB153" s="241"/>
      <c r="CC153" s="241"/>
      <c r="CD153" s="241"/>
      <c r="CE153" s="241"/>
      <c r="CF153" s="241"/>
      <c r="CG153" s="241"/>
      <c r="CH153" s="241"/>
      <c r="CI153" s="241"/>
      <c r="CJ153" s="241"/>
      <c r="CK153" s="241"/>
      <c r="CL153" s="241"/>
      <c r="CM153" s="241"/>
      <c r="CN153" s="241"/>
      <c r="CO153" s="241"/>
      <c r="CP153" s="241"/>
      <c r="CQ153" s="241"/>
      <c r="CR153" s="241"/>
      <c r="CS153" s="241"/>
      <c r="CT153" s="241"/>
      <c r="CU153" s="241"/>
      <c r="CV153" s="241"/>
      <c r="CW153" s="241"/>
      <c r="CX153" s="241"/>
      <c r="CY153" s="241"/>
      <c r="CZ153" s="241"/>
      <c r="DA153" s="241"/>
      <c r="DB153" s="241"/>
      <c r="DC153" s="241"/>
      <c r="DD153" s="241"/>
      <c r="DE153" s="241"/>
      <c r="DF153" s="241"/>
      <c r="DG153" s="241"/>
      <c r="DH153" s="241"/>
      <c r="DT153" s="241"/>
      <c r="FB153" s="241"/>
    </row>
    <row r="154" spans="4:158" hidden="1" x14ac:dyDescent="0.25">
      <c r="D154" s="241"/>
      <c r="E154" s="241"/>
      <c r="F154" s="241"/>
      <c r="G154" s="241"/>
      <c r="H154" s="241"/>
      <c r="I154" s="242"/>
      <c r="J154" s="241"/>
      <c r="K154" s="241"/>
      <c r="L154" s="241"/>
      <c r="M154" s="241"/>
      <c r="N154" s="242"/>
      <c r="O154" s="242"/>
      <c r="P154" s="242"/>
      <c r="Q154" s="242"/>
      <c r="R154" s="241"/>
      <c r="S154" s="241"/>
      <c r="T154" s="241"/>
      <c r="U154" s="241"/>
      <c r="V154" s="241"/>
      <c r="W154" s="241"/>
      <c r="X154" s="241"/>
      <c r="Y154" s="241"/>
      <c r="Z154" s="242"/>
      <c r="AA154" s="242"/>
      <c r="AB154" s="241"/>
      <c r="AC154" s="241"/>
      <c r="AD154" s="241"/>
      <c r="AE154" s="241"/>
      <c r="AF154" s="241"/>
      <c r="AG154" s="241"/>
      <c r="AH154" s="241"/>
      <c r="AI154" s="241"/>
      <c r="AJ154" s="274"/>
      <c r="AK154" s="241"/>
      <c r="AL154" s="241"/>
      <c r="AM154" s="241"/>
      <c r="AN154" s="241"/>
      <c r="AO154" s="241"/>
      <c r="AP154" s="241"/>
      <c r="AQ154" s="241"/>
      <c r="AR154" s="241"/>
      <c r="AS154" s="241"/>
      <c r="AT154" s="241"/>
      <c r="AU154" s="241"/>
      <c r="AV154" s="241"/>
      <c r="AW154" s="241"/>
      <c r="AX154" s="241"/>
      <c r="AY154" s="241"/>
      <c r="AZ154" s="241"/>
      <c r="BA154" s="241"/>
      <c r="BB154" s="241"/>
      <c r="BC154" s="241"/>
      <c r="BD154" s="241"/>
      <c r="BE154" s="241"/>
      <c r="BF154" s="241"/>
      <c r="BG154" s="241"/>
      <c r="BH154" s="241"/>
      <c r="BI154" s="241"/>
      <c r="BJ154" s="241"/>
      <c r="BK154" s="241"/>
      <c r="BL154" s="241"/>
      <c r="BM154" s="241"/>
      <c r="BN154" s="241"/>
      <c r="BO154" s="241"/>
      <c r="BP154" s="241"/>
      <c r="BQ154" s="241"/>
      <c r="BR154" s="241"/>
      <c r="BS154" s="241"/>
      <c r="BT154" s="241"/>
      <c r="BU154" s="241"/>
      <c r="BV154" s="241"/>
      <c r="BW154" s="241"/>
      <c r="BX154" s="241"/>
      <c r="BY154" s="241"/>
      <c r="BZ154" s="241"/>
      <c r="CA154" s="241"/>
      <c r="CB154" s="241"/>
      <c r="CC154" s="241"/>
      <c r="CD154" s="241"/>
      <c r="CE154" s="241"/>
      <c r="CF154" s="241"/>
      <c r="CG154" s="241"/>
      <c r="CH154" s="241"/>
      <c r="CI154" s="241"/>
      <c r="CJ154" s="241"/>
      <c r="CK154" s="241"/>
      <c r="CL154" s="241"/>
      <c r="CM154" s="241"/>
      <c r="CN154" s="241"/>
      <c r="CO154" s="241"/>
      <c r="CP154" s="241"/>
      <c r="CQ154" s="241"/>
      <c r="CR154" s="241"/>
      <c r="CS154" s="241"/>
      <c r="CT154" s="241"/>
      <c r="CU154" s="241"/>
      <c r="CV154" s="241"/>
      <c r="CW154" s="241"/>
      <c r="CX154" s="241"/>
      <c r="CY154" s="241"/>
      <c r="CZ154" s="241"/>
      <c r="DA154" s="241"/>
      <c r="DB154" s="241"/>
      <c r="DC154" s="241"/>
      <c r="DD154" s="241"/>
      <c r="DE154" s="241"/>
      <c r="DF154" s="241"/>
      <c r="DG154" s="241"/>
      <c r="DH154" s="241"/>
      <c r="DT154" s="241"/>
      <c r="FB154" s="241"/>
    </row>
    <row r="155" spans="4:158" hidden="1" x14ac:dyDescent="0.25">
      <c r="D155" s="241"/>
      <c r="E155" s="241"/>
      <c r="F155" s="241"/>
      <c r="G155" s="241"/>
      <c r="H155" s="241"/>
      <c r="I155" s="242"/>
      <c r="J155" s="241"/>
      <c r="K155" s="241"/>
      <c r="L155" s="241"/>
      <c r="M155" s="241"/>
      <c r="N155" s="242"/>
      <c r="O155" s="242"/>
      <c r="P155" s="242"/>
      <c r="Q155" s="242"/>
      <c r="R155" s="241"/>
      <c r="S155" s="241"/>
      <c r="T155" s="241"/>
      <c r="U155" s="241"/>
      <c r="V155" s="241"/>
      <c r="W155" s="241"/>
      <c r="X155" s="241"/>
      <c r="Y155" s="241"/>
      <c r="Z155" s="242"/>
      <c r="AA155" s="242"/>
      <c r="AB155" s="241"/>
      <c r="AC155" s="241"/>
      <c r="AD155" s="241"/>
      <c r="AE155" s="241"/>
      <c r="AF155" s="241"/>
      <c r="AG155" s="241"/>
      <c r="AH155" s="241"/>
      <c r="AI155" s="241"/>
      <c r="AJ155" s="274"/>
      <c r="AK155" s="241"/>
      <c r="AL155" s="241"/>
      <c r="AM155" s="241"/>
      <c r="AN155" s="241"/>
      <c r="AO155" s="241"/>
      <c r="AP155" s="241"/>
      <c r="AQ155" s="241"/>
      <c r="AR155" s="241"/>
      <c r="AS155" s="241"/>
      <c r="AT155" s="241"/>
      <c r="AU155" s="241"/>
      <c r="AV155" s="241"/>
      <c r="AW155" s="241"/>
      <c r="AX155" s="241"/>
      <c r="AY155" s="241"/>
      <c r="AZ155" s="241"/>
      <c r="BA155" s="241"/>
      <c r="BB155" s="241"/>
      <c r="BC155" s="241"/>
      <c r="BD155" s="241"/>
      <c r="BE155" s="241"/>
      <c r="BF155" s="241"/>
      <c r="BG155" s="241"/>
      <c r="BH155" s="241"/>
      <c r="BI155" s="241"/>
      <c r="BJ155" s="241"/>
      <c r="BK155" s="241"/>
      <c r="BL155" s="241"/>
      <c r="BM155" s="241"/>
      <c r="BN155" s="241"/>
      <c r="BO155" s="241"/>
      <c r="BP155" s="241"/>
      <c r="BQ155" s="241"/>
      <c r="BR155" s="241"/>
      <c r="BS155" s="241"/>
      <c r="BT155" s="241"/>
      <c r="BU155" s="241"/>
      <c r="BV155" s="241"/>
      <c r="BW155" s="241"/>
      <c r="BX155" s="241"/>
      <c r="BY155" s="241"/>
      <c r="BZ155" s="241"/>
      <c r="CA155" s="241"/>
      <c r="CB155" s="241"/>
      <c r="CC155" s="241"/>
      <c r="CD155" s="241"/>
      <c r="CE155" s="241"/>
      <c r="CF155" s="241"/>
      <c r="CG155" s="241"/>
      <c r="CH155" s="241"/>
      <c r="CI155" s="241"/>
      <c r="CJ155" s="241"/>
      <c r="CK155" s="241"/>
      <c r="CL155" s="241"/>
      <c r="CM155" s="241"/>
      <c r="CN155" s="241"/>
      <c r="CO155" s="241"/>
      <c r="CP155" s="241"/>
      <c r="CQ155" s="241"/>
      <c r="CR155" s="241"/>
      <c r="CS155" s="241"/>
      <c r="CT155" s="241"/>
      <c r="CU155" s="241"/>
      <c r="CV155" s="241"/>
      <c r="CW155" s="241"/>
      <c r="CX155" s="241"/>
      <c r="CY155" s="241"/>
      <c r="CZ155" s="241"/>
      <c r="DA155" s="241"/>
      <c r="DB155" s="241"/>
      <c r="DC155" s="241"/>
      <c r="DD155" s="241"/>
      <c r="DE155" s="241"/>
      <c r="DF155" s="241"/>
      <c r="DG155" s="241"/>
      <c r="DH155" s="241"/>
      <c r="DT155" s="241"/>
      <c r="FB155" s="241"/>
    </row>
    <row r="156" spans="4:158" hidden="1" x14ac:dyDescent="0.25">
      <c r="D156" s="241"/>
      <c r="E156" s="241"/>
      <c r="F156" s="241"/>
      <c r="G156" s="241"/>
      <c r="H156" s="241"/>
      <c r="I156" s="242"/>
      <c r="J156" s="241"/>
      <c r="K156" s="241"/>
      <c r="L156" s="241"/>
      <c r="M156" s="241"/>
      <c r="N156" s="242"/>
      <c r="O156" s="242"/>
      <c r="P156" s="242"/>
      <c r="Q156" s="242"/>
      <c r="R156" s="241"/>
      <c r="S156" s="241"/>
      <c r="T156" s="241"/>
      <c r="U156" s="241"/>
      <c r="V156" s="241"/>
      <c r="W156" s="241"/>
      <c r="X156" s="241"/>
      <c r="Y156" s="241"/>
      <c r="Z156" s="242"/>
      <c r="AA156" s="242"/>
      <c r="AB156" s="241"/>
      <c r="AC156" s="241"/>
      <c r="AD156" s="241"/>
      <c r="AE156" s="241"/>
      <c r="AF156" s="241"/>
      <c r="AG156" s="241"/>
      <c r="AH156" s="241"/>
      <c r="AI156" s="241"/>
      <c r="AJ156" s="274"/>
      <c r="AK156" s="241"/>
      <c r="AL156" s="241"/>
      <c r="AM156" s="241"/>
      <c r="AN156" s="241"/>
      <c r="AO156" s="241"/>
      <c r="AP156" s="241"/>
      <c r="AQ156" s="241"/>
      <c r="AR156" s="241"/>
      <c r="AS156" s="241"/>
      <c r="AT156" s="241"/>
      <c r="AU156" s="241"/>
      <c r="AV156" s="241"/>
      <c r="AW156" s="241"/>
      <c r="AX156" s="241"/>
      <c r="AY156" s="241"/>
      <c r="AZ156" s="241"/>
      <c r="BA156" s="241"/>
      <c r="BB156" s="241"/>
      <c r="BC156" s="241"/>
      <c r="BD156" s="241"/>
      <c r="BE156" s="241"/>
      <c r="BF156" s="241"/>
      <c r="BG156" s="241"/>
      <c r="BH156" s="241"/>
      <c r="BI156" s="241"/>
      <c r="BJ156" s="241"/>
      <c r="BK156" s="241"/>
      <c r="BL156" s="241"/>
      <c r="BM156" s="241"/>
      <c r="BN156" s="241"/>
      <c r="BO156" s="241"/>
      <c r="BP156" s="241"/>
      <c r="BQ156" s="241"/>
      <c r="BR156" s="241"/>
      <c r="BS156" s="241"/>
      <c r="BT156" s="241"/>
      <c r="BU156" s="241"/>
      <c r="BV156" s="241"/>
      <c r="BW156" s="241"/>
      <c r="BX156" s="241"/>
      <c r="BY156" s="241"/>
      <c r="BZ156" s="241"/>
      <c r="CA156" s="241"/>
      <c r="CB156" s="241"/>
      <c r="CC156" s="241"/>
      <c r="CD156" s="241"/>
      <c r="CE156" s="241"/>
      <c r="CF156" s="241"/>
      <c r="CG156" s="241"/>
      <c r="CH156" s="241"/>
      <c r="CI156" s="241"/>
      <c r="CJ156" s="241"/>
      <c r="CK156" s="241"/>
      <c r="CL156" s="241"/>
      <c r="CM156" s="241"/>
      <c r="CN156" s="241"/>
      <c r="CO156" s="241"/>
      <c r="CP156" s="241"/>
      <c r="CQ156" s="241"/>
      <c r="CR156" s="241"/>
      <c r="CS156" s="241"/>
      <c r="CT156" s="241"/>
      <c r="CU156" s="241"/>
      <c r="CV156" s="241"/>
      <c r="CW156" s="241"/>
      <c r="CX156" s="241"/>
      <c r="CY156" s="241"/>
      <c r="CZ156" s="241"/>
      <c r="DA156" s="241"/>
      <c r="DB156" s="241"/>
      <c r="DC156" s="241"/>
      <c r="DD156" s="241"/>
      <c r="DE156" s="241"/>
      <c r="DF156" s="241"/>
      <c r="DG156" s="241"/>
      <c r="DH156" s="241"/>
      <c r="DT156" s="241"/>
      <c r="FB156" s="241"/>
    </row>
    <row r="157" spans="4:158" hidden="1" x14ac:dyDescent="0.25">
      <c r="D157" s="241"/>
      <c r="E157" s="241"/>
      <c r="F157" s="241"/>
      <c r="G157" s="241"/>
      <c r="H157" s="241"/>
      <c r="I157" s="242"/>
      <c r="J157" s="241"/>
      <c r="K157" s="241"/>
      <c r="L157" s="241"/>
      <c r="M157" s="241"/>
      <c r="N157" s="242"/>
      <c r="O157" s="242"/>
      <c r="P157" s="242"/>
      <c r="Q157" s="242"/>
      <c r="R157" s="241"/>
      <c r="S157" s="241"/>
      <c r="T157" s="241"/>
      <c r="U157" s="241"/>
      <c r="V157" s="241"/>
      <c r="W157" s="241"/>
      <c r="X157" s="241"/>
      <c r="Y157" s="241"/>
      <c r="Z157" s="242"/>
      <c r="AA157" s="242"/>
      <c r="AB157" s="241"/>
      <c r="AC157" s="241"/>
      <c r="AD157" s="241"/>
      <c r="AE157" s="241"/>
      <c r="AF157" s="241"/>
      <c r="AG157" s="241"/>
      <c r="AH157" s="241"/>
      <c r="AI157" s="241"/>
      <c r="AJ157" s="274"/>
      <c r="AK157" s="241"/>
      <c r="AL157" s="241"/>
      <c r="AM157" s="241"/>
      <c r="AN157" s="241"/>
      <c r="AO157" s="241"/>
      <c r="AP157" s="241"/>
      <c r="AQ157" s="241"/>
      <c r="AR157" s="241"/>
      <c r="AS157" s="241"/>
      <c r="AT157" s="241"/>
      <c r="AU157" s="241"/>
      <c r="AV157" s="241"/>
      <c r="AW157" s="241"/>
      <c r="AX157" s="241"/>
      <c r="AY157" s="241"/>
      <c r="AZ157" s="241"/>
      <c r="BA157" s="241"/>
      <c r="BB157" s="241"/>
      <c r="BC157" s="241"/>
      <c r="BD157" s="241"/>
      <c r="BE157" s="241"/>
      <c r="BF157" s="241"/>
      <c r="BG157" s="241"/>
      <c r="BH157" s="241"/>
      <c r="BI157" s="241"/>
      <c r="BJ157" s="241"/>
      <c r="BK157" s="241"/>
      <c r="BL157" s="241"/>
      <c r="BM157" s="241"/>
      <c r="BN157" s="241"/>
      <c r="BO157" s="241"/>
      <c r="BP157" s="241"/>
      <c r="BQ157" s="241"/>
      <c r="BR157" s="241"/>
      <c r="BS157" s="241"/>
      <c r="BT157" s="241"/>
      <c r="BU157" s="241"/>
      <c r="BV157" s="241"/>
      <c r="BW157" s="241"/>
      <c r="BX157" s="241"/>
      <c r="BY157" s="241"/>
      <c r="BZ157" s="241"/>
      <c r="CA157" s="241"/>
      <c r="CB157" s="241"/>
      <c r="CC157" s="241"/>
      <c r="CD157" s="241"/>
      <c r="CE157" s="241"/>
      <c r="CF157" s="241"/>
      <c r="CG157" s="241"/>
      <c r="CH157" s="241"/>
      <c r="CI157" s="241"/>
      <c r="CJ157" s="241"/>
      <c r="CK157" s="241"/>
      <c r="CL157" s="241"/>
      <c r="CM157" s="241"/>
      <c r="CN157" s="241"/>
      <c r="CO157" s="241"/>
      <c r="CP157" s="241"/>
      <c r="CQ157" s="241"/>
      <c r="CR157" s="241"/>
      <c r="CS157" s="241"/>
      <c r="CT157" s="241"/>
      <c r="CU157" s="241"/>
      <c r="CV157" s="241"/>
      <c r="CW157" s="241"/>
      <c r="CX157" s="241"/>
      <c r="CY157" s="241"/>
      <c r="CZ157" s="241"/>
      <c r="DA157" s="241"/>
      <c r="DB157" s="241"/>
      <c r="DC157" s="241"/>
      <c r="DD157" s="241"/>
      <c r="DE157" s="241"/>
      <c r="DF157" s="241"/>
      <c r="DG157" s="241"/>
      <c r="DH157" s="241"/>
      <c r="DT157" s="241"/>
      <c r="FB157" s="241"/>
    </row>
    <row r="158" spans="4:158" hidden="1" x14ac:dyDescent="0.25">
      <c r="D158" s="241"/>
      <c r="E158" s="241"/>
      <c r="F158" s="241"/>
      <c r="G158" s="241"/>
      <c r="H158" s="241"/>
      <c r="I158" s="242"/>
      <c r="J158" s="241"/>
      <c r="K158" s="241"/>
      <c r="L158" s="241"/>
      <c r="M158" s="241"/>
      <c r="N158" s="242"/>
      <c r="O158" s="242"/>
      <c r="P158" s="242"/>
      <c r="Q158" s="242"/>
      <c r="R158" s="241"/>
      <c r="S158" s="241"/>
      <c r="T158" s="241"/>
      <c r="U158" s="241"/>
      <c r="V158" s="241"/>
      <c r="W158" s="241"/>
      <c r="X158" s="241"/>
      <c r="Y158" s="241"/>
      <c r="Z158" s="242"/>
      <c r="AA158" s="242"/>
      <c r="AB158" s="241"/>
      <c r="AC158" s="241"/>
      <c r="AD158" s="241"/>
      <c r="AE158" s="241"/>
      <c r="AF158" s="241"/>
      <c r="AG158" s="241"/>
      <c r="AH158" s="241"/>
      <c r="AI158" s="241"/>
      <c r="AJ158" s="274"/>
      <c r="AK158" s="241"/>
      <c r="AL158" s="241"/>
      <c r="AM158" s="241"/>
      <c r="AN158" s="241"/>
      <c r="AO158" s="241"/>
      <c r="AP158" s="241"/>
      <c r="AQ158" s="241"/>
      <c r="AR158" s="241"/>
      <c r="AS158" s="241"/>
      <c r="AT158" s="241"/>
      <c r="AU158" s="241"/>
      <c r="AV158" s="241"/>
      <c r="AW158" s="241"/>
      <c r="AX158" s="241"/>
      <c r="AY158" s="241"/>
      <c r="AZ158" s="241"/>
      <c r="BA158" s="241"/>
      <c r="BB158" s="241"/>
      <c r="BC158" s="241"/>
      <c r="BD158" s="241"/>
      <c r="BE158" s="241"/>
      <c r="BF158" s="241"/>
      <c r="BG158" s="241"/>
      <c r="BH158" s="241"/>
      <c r="BI158" s="241"/>
      <c r="BJ158" s="241"/>
      <c r="BK158" s="241"/>
      <c r="BL158" s="241"/>
      <c r="BM158" s="241"/>
      <c r="BN158" s="241"/>
      <c r="BO158" s="241"/>
      <c r="BP158" s="241"/>
      <c r="BQ158" s="241"/>
      <c r="BR158" s="241"/>
      <c r="BS158" s="241"/>
      <c r="BT158" s="241"/>
      <c r="BU158" s="241"/>
      <c r="BV158" s="241"/>
      <c r="BW158" s="241"/>
      <c r="BX158" s="241"/>
      <c r="BY158" s="241"/>
      <c r="BZ158" s="241"/>
      <c r="CA158" s="241"/>
      <c r="CB158" s="241"/>
      <c r="CC158" s="241"/>
      <c r="CD158" s="241"/>
      <c r="CE158" s="241"/>
      <c r="CF158" s="241"/>
      <c r="CG158" s="241"/>
      <c r="CH158" s="241"/>
      <c r="CI158" s="241"/>
      <c r="CJ158" s="241"/>
      <c r="CK158" s="241"/>
      <c r="CL158" s="241"/>
      <c r="CM158" s="241"/>
      <c r="CN158" s="241"/>
      <c r="CO158" s="241"/>
      <c r="CP158" s="241"/>
      <c r="CQ158" s="241"/>
      <c r="CR158" s="241"/>
      <c r="CS158" s="241"/>
      <c r="CT158" s="241"/>
      <c r="CU158" s="241"/>
      <c r="CV158" s="241"/>
      <c r="CW158" s="241"/>
      <c r="CX158" s="241"/>
      <c r="CY158" s="241"/>
      <c r="CZ158" s="241"/>
      <c r="DA158" s="241"/>
      <c r="DB158" s="241"/>
      <c r="DC158" s="241"/>
      <c r="DD158" s="241"/>
      <c r="DE158" s="241"/>
      <c r="DF158" s="241"/>
      <c r="DG158" s="241"/>
      <c r="DH158" s="241"/>
      <c r="DT158" s="241"/>
      <c r="FB158" s="241"/>
    </row>
    <row r="159" spans="4:158" hidden="1" x14ac:dyDescent="0.25">
      <c r="D159" s="241"/>
      <c r="E159" s="241"/>
      <c r="F159" s="241"/>
      <c r="G159" s="241"/>
      <c r="H159" s="241"/>
      <c r="I159" s="242"/>
      <c r="J159" s="241"/>
      <c r="K159" s="241"/>
      <c r="L159" s="241"/>
      <c r="M159" s="241"/>
      <c r="N159" s="242"/>
      <c r="O159" s="242"/>
      <c r="P159" s="242"/>
      <c r="Q159" s="242"/>
      <c r="R159" s="241"/>
      <c r="S159" s="241"/>
      <c r="T159" s="241"/>
      <c r="U159" s="241"/>
      <c r="V159" s="241"/>
      <c r="W159" s="241"/>
      <c r="X159" s="241"/>
      <c r="Y159" s="241"/>
      <c r="Z159" s="242"/>
      <c r="AA159" s="242"/>
      <c r="AB159" s="241"/>
      <c r="AC159" s="241"/>
      <c r="AD159" s="241"/>
      <c r="AE159" s="241"/>
      <c r="AF159" s="241"/>
      <c r="AG159" s="241"/>
      <c r="AH159" s="241"/>
      <c r="AI159" s="241"/>
      <c r="AJ159" s="274"/>
      <c r="AK159" s="241"/>
      <c r="AL159" s="241"/>
      <c r="AM159" s="241"/>
      <c r="AN159" s="241"/>
      <c r="AO159" s="241"/>
      <c r="AP159" s="241"/>
      <c r="AQ159" s="241"/>
      <c r="AR159" s="241"/>
      <c r="AS159" s="241"/>
      <c r="AT159" s="241"/>
      <c r="AU159" s="241"/>
      <c r="AV159" s="241"/>
      <c r="AW159" s="241"/>
      <c r="AX159" s="241"/>
      <c r="AY159" s="241"/>
      <c r="AZ159" s="241"/>
      <c r="BA159" s="241"/>
      <c r="BB159" s="241"/>
      <c r="BC159" s="241"/>
      <c r="BD159" s="241"/>
      <c r="BE159" s="241"/>
      <c r="BF159" s="241"/>
      <c r="BG159" s="241"/>
      <c r="BH159" s="241"/>
      <c r="BI159" s="241"/>
      <c r="BJ159" s="241"/>
      <c r="BK159" s="241"/>
      <c r="BL159" s="241"/>
      <c r="BM159" s="241"/>
      <c r="BN159" s="241"/>
      <c r="BO159" s="241"/>
      <c r="BP159" s="241"/>
      <c r="BQ159" s="241"/>
      <c r="BR159" s="241"/>
      <c r="BS159" s="241"/>
      <c r="BT159" s="241"/>
      <c r="BU159" s="241"/>
      <c r="BV159" s="241"/>
      <c r="BW159" s="241"/>
      <c r="BX159" s="241"/>
      <c r="BY159" s="241"/>
      <c r="BZ159" s="241"/>
      <c r="CA159" s="241"/>
      <c r="CB159" s="241"/>
      <c r="CC159" s="241"/>
      <c r="CD159" s="241"/>
      <c r="CE159" s="241"/>
      <c r="CF159" s="241"/>
      <c r="CG159" s="241"/>
      <c r="CH159" s="241"/>
      <c r="CI159" s="241"/>
      <c r="CJ159" s="241"/>
      <c r="CK159" s="241"/>
      <c r="CL159" s="241"/>
      <c r="CM159" s="241"/>
      <c r="CN159" s="241"/>
      <c r="CO159" s="241"/>
      <c r="CP159" s="241"/>
      <c r="CQ159" s="241"/>
      <c r="CR159" s="241"/>
      <c r="CS159" s="241"/>
      <c r="CT159" s="241"/>
      <c r="CU159" s="241"/>
      <c r="CV159" s="241"/>
      <c r="CW159" s="241"/>
      <c r="CX159" s="241"/>
      <c r="CY159" s="241"/>
      <c r="CZ159" s="241"/>
      <c r="DA159" s="241"/>
      <c r="DB159" s="241"/>
      <c r="DC159" s="241"/>
      <c r="DD159" s="241"/>
      <c r="DE159" s="241"/>
      <c r="DF159" s="241"/>
      <c r="DG159" s="241"/>
      <c r="DH159" s="241"/>
      <c r="DT159" s="241"/>
      <c r="FB159" s="241"/>
    </row>
    <row r="160" spans="4:158" hidden="1" x14ac:dyDescent="0.25">
      <c r="D160" s="241"/>
      <c r="E160" s="241"/>
      <c r="F160" s="241"/>
      <c r="G160" s="241"/>
      <c r="H160" s="241"/>
      <c r="I160" s="242"/>
      <c r="J160" s="241"/>
      <c r="K160" s="241"/>
      <c r="L160" s="241"/>
      <c r="M160" s="241"/>
      <c r="N160" s="242"/>
      <c r="O160" s="242"/>
      <c r="P160" s="242"/>
      <c r="Q160" s="242"/>
      <c r="R160" s="241"/>
      <c r="S160" s="241"/>
      <c r="T160" s="241"/>
      <c r="U160" s="241"/>
      <c r="V160" s="241"/>
      <c r="W160" s="241"/>
      <c r="X160" s="241"/>
      <c r="Y160" s="241"/>
      <c r="Z160" s="242"/>
      <c r="AA160" s="242"/>
      <c r="AB160" s="241"/>
      <c r="AC160" s="241"/>
      <c r="AD160" s="241"/>
      <c r="AE160" s="241"/>
      <c r="AF160" s="241"/>
      <c r="AG160" s="241"/>
      <c r="AH160" s="241"/>
      <c r="AI160" s="241"/>
      <c r="AJ160" s="274"/>
      <c r="AK160" s="241"/>
      <c r="AL160" s="241"/>
      <c r="AM160" s="241"/>
      <c r="AN160" s="241"/>
      <c r="AO160" s="241"/>
      <c r="AP160" s="241"/>
      <c r="AQ160" s="241"/>
      <c r="AR160" s="241"/>
      <c r="AS160" s="241"/>
      <c r="AT160" s="241"/>
      <c r="AU160" s="241"/>
      <c r="AV160" s="241"/>
      <c r="AW160" s="241"/>
      <c r="AX160" s="241"/>
      <c r="AY160" s="241"/>
      <c r="AZ160" s="241"/>
      <c r="BA160" s="241"/>
      <c r="BB160" s="241"/>
      <c r="BC160" s="241"/>
      <c r="BD160" s="241"/>
      <c r="BE160" s="241"/>
      <c r="BF160" s="241"/>
      <c r="BG160" s="241"/>
      <c r="BH160" s="241"/>
      <c r="BI160" s="241"/>
      <c r="BJ160" s="241"/>
      <c r="BK160" s="241"/>
      <c r="BL160" s="241"/>
      <c r="BM160" s="241"/>
      <c r="BN160" s="241"/>
      <c r="BO160" s="241"/>
      <c r="BP160" s="241"/>
      <c r="BQ160" s="241"/>
      <c r="BR160" s="241"/>
      <c r="BS160" s="241"/>
      <c r="BT160" s="241"/>
      <c r="BU160" s="241"/>
      <c r="BV160" s="241"/>
      <c r="BW160" s="241"/>
      <c r="BX160" s="241"/>
      <c r="BY160" s="241"/>
      <c r="BZ160" s="241"/>
      <c r="CA160" s="241"/>
      <c r="CB160" s="241"/>
      <c r="CC160" s="241"/>
      <c r="CD160" s="241"/>
      <c r="CE160" s="241"/>
      <c r="CF160" s="241"/>
      <c r="CG160" s="241"/>
      <c r="CH160" s="241"/>
      <c r="CI160" s="241"/>
      <c r="CJ160" s="241"/>
      <c r="CK160" s="241"/>
      <c r="CL160" s="241"/>
      <c r="CM160" s="241"/>
      <c r="CN160" s="241"/>
      <c r="CO160" s="241"/>
      <c r="CP160" s="241"/>
      <c r="CQ160" s="241"/>
      <c r="CR160" s="241"/>
      <c r="CS160" s="241"/>
      <c r="CT160" s="241"/>
      <c r="CU160" s="241"/>
      <c r="CV160" s="241"/>
      <c r="CW160" s="241"/>
      <c r="CX160" s="241"/>
      <c r="CY160" s="241"/>
      <c r="CZ160" s="241"/>
      <c r="DA160" s="241"/>
      <c r="DB160" s="241"/>
      <c r="DC160" s="241"/>
      <c r="DD160" s="241"/>
      <c r="DE160" s="241"/>
      <c r="DF160" s="241"/>
      <c r="DG160" s="241"/>
      <c r="DH160" s="241"/>
      <c r="DT160" s="241"/>
      <c r="FB160" s="241"/>
    </row>
    <row r="161" spans="4:158" hidden="1" x14ac:dyDescent="0.25">
      <c r="D161" s="241"/>
      <c r="E161" s="241"/>
      <c r="F161" s="241"/>
      <c r="G161" s="241"/>
      <c r="H161" s="241"/>
      <c r="I161" s="242"/>
      <c r="J161" s="241"/>
      <c r="K161" s="241"/>
      <c r="L161" s="241"/>
      <c r="M161" s="241"/>
      <c r="N161" s="242"/>
      <c r="O161" s="242"/>
      <c r="P161" s="242"/>
      <c r="Q161" s="242"/>
      <c r="R161" s="241"/>
      <c r="S161" s="241"/>
      <c r="T161" s="241"/>
      <c r="U161" s="241"/>
      <c r="V161" s="241"/>
      <c r="W161" s="241"/>
      <c r="X161" s="241"/>
      <c r="Y161" s="241"/>
      <c r="Z161" s="242"/>
      <c r="AA161" s="242"/>
      <c r="AB161" s="241"/>
      <c r="AC161" s="241"/>
      <c r="AD161" s="241"/>
      <c r="AE161" s="241"/>
      <c r="AF161" s="241"/>
      <c r="AG161" s="241"/>
      <c r="AH161" s="241"/>
      <c r="AI161" s="241"/>
      <c r="AJ161" s="274"/>
      <c r="AK161" s="241"/>
      <c r="AL161" s="241"/>
      <c r="AM161" s="241"/>
      <c r="AN161" s="241"/>
      <c r="AO161" s="241"/>
      <c r="AP161" s="241"/>
      <c r="AQ161" s="241"/>
      <c r="AR161" s="241"/>
      <c r="AS161" s="241"/>
      <c r="AT161" s="241"/>
      <c r="AU161" s="241"/>
      <c r="AV161" s="241"/>
      <c r="AW161" s="241"/>
      <c r="AX161" s="241"/>
      <c r="AY161" s="241"/>
      <c r="AZ161" s="241"/>
      <c r="BA161" s="241"/>
      <c r="BB161" s="241"/>
      <c r="BC161" s="241"/>
      <c r="BD161" s="241"/>
      <c r="BE161" s="241"/>
      <c r="BF161" s="241"/>
      <c r="BG161" s="241"/>
      <c r="BH161" s="241"/>
      <c r="BI161" s="241"/>
      <c r="BJ161" s="241"/>
      <c r="BK161" s="241"/>
      <c r="BL161" s="241"/>
      <c r="BM161" s="241"/>
      <c r="BN161" s="241"/>
      <c r="BO161" s="241"/>
      <c r="BP161" s="241"/>
      <c r="BQ161" s="241"/>
      <c r="BR161" s="241"/>
      <c r="BS161" s="241"/>
      <c r="BT161" s="241"/>
      <c r="BU161" s="241"/>
      <c r="BV161" s="241"/>
      <c r="BW161" s="241"/>
      <c r="BX161" s="241"/>
      <c r="BY161" s="241"/>
      <c r="BZ161" s="241"/>
      <c r="CA161" s="241"/>
      <c r="CB161" s="241"/>
      <c r="CC161" s="241"/>
      <c r="CD161" s="241"/>
      <c r="CE161" s="241"/>
      <c r="CF161" s="241"/>
      <c r="CG161" s="241"/>
      <c r="CH161" s="241"/>
      <c r="CI161" s="241"/>
      <c r="CJ161" s="241"/>
      <c r="CK161" s="241"/>
      <c r="CL161" s="241"/>
      <c r="CM161" s="241"/>
      <c r="CN161" s="241"/>
      <c r="CO161" s="241"/>
      <c r="CP161" s="241"/>
      <c r="CQ161" s="241"/>
      <c r="CR161" s="241"/>
      <c r="CS161" s="241"/>
      <c r="CT161" s="241"/>
      <c r="CU161" s="241"/>
      <c r="CV161" s="241"/>
      <c r="CW161" s="241"/>
      <c r="CX161" s="241"/>
      <c r="CY161" s="241"/>
      <c r="CZ161" s="241"/>
      <c r="DA161" s="241"/>
      <c r="DB161" s="241"/>
      <c r="DC161" s="241"/>
      <c r="DD161" s="241"/>
      <c r="DE161" s="241"/>
      <c r="DF161" s="241"/>
      <c r="DG161" s="241"/>
      <c r="DH161" s="241"/>
      <c r="DT161" s="241"/>
      <c r="FB161" s="241"/>
    </row>
    <row r="162" spans="4:158" hidden="1" x14ac:dyDescent="0.25">
      <c r="D162" s="241"/>
      <c r="E162" s="241"/>
      <c r="F162" s="241"/>
      <c r="G162" s="241"/>
      <c r="H162" s="241"/>
      <c r="I162" s="242"/>
      <c r="J162" s="241"/>
      <c r="K162" s="241"/>
      <c r="L162" s="241"/>
      <c r="M162" s="241"/>
      <c r="N162" s="242"/>
      <c r="O162" s="242"/>
      <c r="P162" s="242"/>
      <c r="Q162" s="242"/>
      <c r="R162" s="241"/>
      <c r="S162" s="241"/>
      <c r="T162" s="241"/>
      <c r="U162" s="241"/>
      <c r="V162" s="241"/>
      <c r="W162" s="241"/>
      <c r="X162" s="241"/>
      <c r="Y162" s="241"/>
      <c r="Z162" s="242"/>
      <c r="AA162" s="242"/>
      <c r="AB162" s="241"/>
      <c r="AC162" s="241"/>
      <c r="AD162" s="241"/>
      <c r="AE162" s="241"/>
      <c r="AF162" s="241"/>
      <c r="AG162" s="241"/>
      <c r="AH162" s="241"/>
      <c r="AI162" s="241"/>
      <c r="AJ162" s="274"/>
      <c r="AK162" s="241"/>
      <c r="AL162" s="241"/>
      <c r="AM162" s="241"/>
      <c r="AN162" s="241"/>
      <c r="AO162" s="241"/>
      <c r="AP162" s="241"/>
      <c r="AQ162" s="241"/>
      <c r="AR162" s="241"/>
      <c r="AS162" s="241"/>
      <c r="AT162" s="241"/>
      <c r="AU162" s="241"/>
      <c r="AV162" s="241"/>
      <c r="AW162" s="241"/>
      <c r="AX162" s="241"/>
      <c r="AY162" s="241"/>
      <c r="AZ162" s="241"/>
      <c r="BA162" s="241"/>
      <c r="BB162" s="241"/>
      <c r="BC162" s="241"/>
      <c r="BD162" s="241"/>
      <c r="BE162" s="241"/>
      <c r="BF162" s="241"/>
      <c r="BG162" s="241"/>
      <c r="BH162" s="241"/>
      <c r="BI162" s="241"/>
      <c r="BJ162" s="241"/>
      <c r="BK162" s="241"/>
      <c r="BL162" s="241"/>
      <c r="BM162" s="241"/>
      <c r="BN162" s="241"/>
      <c r="BO162" s="241"/>
      <c r="BP162" s="241"/>
      <c r="BQ162" s="241"/>
      <c r="BR162" s="241"/>
      <c r="BS162" s="241"/>
      <c r="BT162" s="241"/>
      <c r="BU162" s="241"/>
      <c r="BV162" s="241"/>
      <c r="BW162" s="241"/>
      <c r="BX162" s="241"/>
      <c r="BY162" s="241"/>
      <c r="BZ162" s="241"/>
      <c r="CA162" s="241"/>
      <c r="CB162" s="241"/>
      <c r="CC162" s="241"/>
      <c r="CD162" s="241"/>
      <c r="CE162" s="241"/>
      <c r="CF162" s="241"/>
      <c r="CG162" s="241"/>
      <c r="CH162" s="241"/>
      <c r="CI162" s="241"/>
      <c r="CJ162" s="241"/>
      <c r="CK162" s="241"/>
      <c r="CL162" s="241"/>
      <c r="CM162" s="241"/>
      <c r="CN162" s="241"/>
      <c r="CO162" s="241"/>
      <c r="CP162" s="241"/>
      <c r="CQ162" s="241"/>
      <c r="CR162" s="241"/>
      <c r="CS162" s="241"/>
      <c r="CT162" s="241"/>
      <c r="CU162" s="241"/>
      <c r="CV162" s="241"/>
      <c r="CW162" s="241"/>
      <c r="CX162" s="241"/>
      <c r="CY162" s="241"/>
      <c r="CZ162" s="241"/>
      <c r="DA162" s="241"/>
      <c r="DB162" s="241"/>
      <c r="DC162" s="241"/>
      <c r="DD162" s="241"/>
      <c r="DE162" s="241"/>
      <c r="DF162" s="241"/>
      <c r="DG162" s="241"/>
      <c r="DH162" s="241"/>
      <c r="DT162" s="241"/>
      <c r="FB162" s="241"/>
    </row>
    <row r="163" spans="4:158" hidden="1" x14ac:dyDescent="0.25">
      <c r="D163" s="241"/>
      <c r="E163" s="241"/>
      <c r="F163" s="241"/>
      <c r="G163" s="241"/>
      <c r="H163" s="241"/>
      <c r="I163" s="242"/>
      <c r="J163" s="241"/>
      <c r="K163" s="241"/>
      <c r="L163" s="241"/>
      <c r="M163" s="241"/>
      <c r="N163" s="242"/>
      <c r="O163" s="242"/>
      <c r="P163" s="242"/>
      <c r="Q163" s="242"/>
      <c r="R163" s="241"/>
      <c r="S163" s="241"/>
      <c r="T163" s="241"/>
      <c r="U163" s="241"/>
      <c r="V163" s="241"/>
      <c r="W163" s="241"/>
      <c r="X163" s="241"/>
      <c r="Y163" s="241"/>
      <c r="Z163" s="242"/>
      <c r="AA163" s="242"/>
      <c r="AB163" s="241"/>
      <c r="AC163" s="241"/>
      <c r="AD163" s="241"/>
      <c r="AE163" s="241"/>
      <c r="AF163" s="241"/>
      <c r="AG163" s="241"/>
      <c r="AH163" s="241"/>
      <c r="AI163" s="241"/>
      <c r="AJ163" s="274"/>
      <c r="AK163" s="241"/>
      <c r="AL163" s="241"/>
      <c r="AM163" s="241"/>
      <c r="AN163" s="241"/>
      <c r="AO163" s="241"/>
      <c r="AP163" s="241"/>
      <c r="AQ163" s="241"/>
      <c r="AR163" s="241"/>
      <c r="AS163" s="241"/>
      <c r="AT163" s="241"/>
      <c r="AU163" s="241"/>
      <c r="AV163" s="241"/>
      <c r="AW163" s="241"/>
      <c r="AX163" s="241"/>
      <c r="AY163" s="241"/>
      <c r="AZ163" s="241"/>
      <c r="BA163" s="241"/>
      <c r="BB163" s="241"/>
      <c r="BC163" s="241"/>
      <c r="BD163" s="241"/>
      <c r="BE163" s="241"/>
      <c r="BF163" s="241"/>
      <c r="BG163" s="241"/>
      <c r="BH163" s="241"/>
      <c r="BI163" s="241"/>
      <c r="BJ163" s="241"/>
      <c r="BK163" s="241"/>
      <c r="BL163" s="241"/>
      <c r="BM163" s="241"/>
      <c r="BN163" s="241"/>
      <c r="BO163" s="241"/>
      <c r="BP163" s="241"/>
      <c r="BQ163" s="241"/>
      <c r="BR163" s="241"/>
      <c r="BS163" s="241"/>
      <c r="BT163" s="241"/>
      <c r="BU163" s="241"/>
      <c r="BV163" s="241"/>
      <c r="BW163" s="241"/>
      <c r="BX163" s="241"/>
      <c r="BY163" s="241"/>
      <c r="BZ163" s="241"/>
      <c r="CA163" s="241"/>
      <c r="CB163" s="241"/>
      <c r="CC163" s="241"/>
      <c r="CD163" s="241"/>
      <c r="CE163" s="241"/>
      <c r="CF163" s="241"/>
      <c r="CG163" s="241"/>
      <c r="CH163" s="241"/>
      <c r="CI163" s="241"/>
      <c r="CJ163" s="241"/>
      <c r="CK163" s="241"/>
      <c r="CL163" s="241"/>
      <c r="CM163" s="241"/>
      <c r="CN163" s="241"/>
      <c r="CO163" s="241"/>
      <c r="CP163" s="241"/>
      <c r="CQ163" s="241"/>
      <c r="CR163" s="241"/>
      <c r="CS163" s="241"/>
      <c r="CT163" s="241"/>
      <c r="CU163" s="241"/>
      <c r="CV163" s="241"/>
      <c r="CW163" s="241"/>
      <c r="CX163" s="241"/>
      <c r="CY163" s="241"/>
      <c r="CZ163" s="241"/>
      <c r="DA163" s="241"/>
      <c r="DB163" s="241"/>
      <c r="DC163" s="241"/>
      <c r="DD163" s="241"/>
      <c r="DE163" s="241"/>
      <c r="DF163" s="241"/>
      <c r="DG163" s="241"/>
      <c r="DH163" s="241"/>
      <c r="DT163" s="241"/>
      <c r="FB163" s="241"/>
    </row>
    <row r="164" spans="4:158" hidden="1" x14ac:dyDescent="0.25">
      <c r="D164" s="241"/>
      <c r="E164" s="241"/>
      <c r="F164" s="241"/>
      <c r="G164" s="241"/>
      <c r="H164" s="241"/>
      <c r="I164" s="242"/>
      <c r="J164" s="241"/>
      <c r="K164" s="241"/>
      <c r="L164" s="241"/>
      <c r="M164" s="241"/>
      <c r="N164" s="242"/>
      <c r="O164" s="242"/>
      <c r="P164" s="242"/>
      <c r="Q164" s="242"/>
      <c r="R164" s="241"/>
      <c r="S164" s="241"/>
      <c r="T164" s="241"/>
      <c r="U164" s="241"/>
      <c r="V164" s="241"/>
      <c r="W164" s="241"/>
      <c r="X164" s="241"/>
      <c r="Y164" s="241"/>
      <c r="Z164" s="242"/>
      <c r="AA164" s="242"/>
      <c r="AB164" s="241"/>
      <c r="AC164" s="241"/>
      <c r="AD164" s="241"/>
      <c r="AE164" s="241"/>
      <c r="AF164" s="241"/>
      <c r="AG164" s="241"/>
      <c r="AH164" s="241"/>
      <c r="AI164" s="241"/>
      <c r="AJ164" s="274"/>
      <c r="AK164" s="241"/>
      <c r="AL164" s="241"/>
      <c r="AM164" s="241"/>
      <c r="AN164" s="241"/>
      <c r="AO164" s="241"/>
      <c r="AP164" s="241"/>
      <c r="AQ164" s="241"/>
      <c r="AR164" s="241"/>
      <c r="AS164" s="241"/>
      <c r="AT164" s="241"/>
      <c r="AU164" s="241"/>
      <c r="AV164" s="241"/>
      <c r="AW164" s="241"/>
      <c r="AX164" s="241"/>
      <c r="AY164" s="241"/>
      <c r="AZ164" s="241"/>
      <c r="BA164" s="241"/>
      <c r="BB164" s="241"/>
      <c r="BC164" s="241"/>
      <c r="BD164" s="241"/>
      <c r="BE164" s="241"/>
      <c r="BF164" s="241"/>
      <c r="BG164" s="241"/>
      <c r="BH164" s="241"/>
      <c r="BI164" s="241"/>
      <c r="BJ164" s="241"/>
      <c r="BK164" s="241"/>
      <c r="BL164" s="241"/>
      <c r="BM164" s="241"/>
      <c r="BN164" s="241"/>
      <c r="BO164" s="241"/>
      <c r="BP164" s="241"/>
      <c r="BQ164" s="241"/>
      <c r="BR164" s="241"/>
      <c r="BS164" s="241"/>
      <c r="BT164" s="241"/>
      <c r="BU164" s="241"/>
      <c r="BV164" s="241"/>
      <c r="BW164" s="241"/>
      <c r="BX164" s="241"/>
      <c r="BY164" s="241"/>
      <c r="BZ164" s="241"/>
      <c r="CA164" s="241"/>
      <c r="CB164" s="241"/>
      <c r="CC164" s="241"/>
      <c r="CD164" s="241"/>
      <c r="CE164" s="241"/>
      <c r="CF164" s="241"/>
      <c r="CG164" s="241"/>
      <c r="CH164" s="241"/>
      <c r="CI164" s="241"/>
      <c r="CJ164" s="241"/>
      <c r="CK164" s="241"/>
      <c r="CL164" s="241"/>
      <c r="CM164" s="241"/>
      <c r="CN164" s="241"/>
      <c r="CO164" s="241"/>
      <c r="CP164" s="241"/>
      <c r="CQ164" s="241"/>
      <c r="CR164" s="241"/>
      <c r="CS164" s="241"/>
      <c r="CT164" s="241"/>
      <c r="CU164" s="241"/>
      <c r="CV164" s="241"/>
      <c r="CW164" s="241"/>
      <c r="CX164" s="241"/>
      <c r="CY164" s="241"/>
      <c r="CZ164" s="241"/>
      <c r="DA164" s="241"/>
      <c r="DB164" s="241"/>
      <c r="DC164" s="241"/>
      <c r="DD164" s="241"/>
      <c r="DE164" s="241"/>
      <c r="DF164" s="241"/>
      <c r="DG164" s="241"/>
      <c r="DH164" s="241"/>
      <c r="DT164" s="241"/>
      <c r="FB164" s="241"/>
    </row>
    <row r="165" spans="4:158" hidden="1" x14ac:dyDescent="0.25">
      <c r="D165" s="241"/>
      <c r="E165" s="241"/>
      <c r="F165" s="241"/>
      <c r="G165" s="241"/>
      <c r="H165" s="241"/>
      <c r="I165" s="242"/>
      <c r="J165" s="241"/>
      <c r="K165" s="241"/>
      <c r="L165" s="241"/>
      <c r="M165" s="241"/>
      <c r="N165" s="242"/>
      <c r="O165" s="242"/>
      <c r="P165" s="242"/>
      <c r="Q165" s="242"/>
      <c r="R165" s="241"/>
      <c r="S165" s="241"/>
      <c r="T165" s="241"/>
      <c r="U165" s="241"/>
      <c r="V165" s="241"/>
      <c r="W165" s="241"/>
      <c r="X165" s="241"/>
      <c r="Y165" s="241"/>
      <c r="Z165" s="242"/>
      <c r="AA165" s="242"/>
      <c r="AB165" s="241"/>
      <c r="AC165" s="241"/>
      <c r="AD165" s="241"/>
      <c r="AE165" s="241"/>
      <c r="AF165" s="241"/>
      <c r="AG165" s="241"/>
      <c r="AH165" s="241"/>
      <c r="AI165" s="241"/>
      <c r="AJ165" s="274"/>
      <c r="AK165" s="241"/>
      <c r="AL165" s="241"/>
      <c r="AM165" s="241"/>
      <c r="AN165" s="241"/>
      <c r="AO165" s="241"/>
      <c r="AP165" s="241"/>
      <c r="AQ165" s="241"/>
      <c r="AR165" s="241"/>
      <c r="AS165" s="241"/>
      <c r="AT165" s="241"/>
      <c r="AU165" s="241"/>
      <c r="AV165" s="241"/>
      <c r="AW165" s="241"/>
      <c r="AX165" s="241"/>
      <c r="AY165" s="241"/>
      <c r="AZ165" s="241"/>
      <c r="BA165" s="241"/>
      <c r="BB165" s="241"/>
      <c r="BC165" s="241"/>
      <c r="BD165" s="241"/>
      <c r="BE165" s="241"/>
      <c r="BF165" s="241"/>
      <c r="BG165" s="241"/>
      <c r="BH165" s="241"/>
      <c r="BI165" s="241"/>
      <c r="BJ165" s="241"/>
      <c r="BK165" s="241"/>
      <c r="BL165" s="241"/>
      <c r="BM165" s="241"/>
      <c r="BN165" s="241"/>
      <c r="BO165" s="241"/>
      <c r="BP165" s="241"/>
      <c r="BQ165" s="241"/>
      <c r="BR165" s="241"/>
      <c r="BS165" s="241"/>
      <c r="BT165" s="241"/>
      <c r="BU165" s="241"/>
      <c r="BV165" s="241"/>
      <c r="BW165" s="241"/>
      <c r="BX165" s="241"/>
      <c r="BY165" s="241"/>
      <c r="BZ165" s="241"/>
      <c r="CA165" s="241"/>
      <c r="CB165" s="241"/>
      <c r="CC165" s="241"/>
      <c r="CD165" s="241"/>
      <c r="CE165" s="241"/>
      <c r="CF165" s="241"/>
      <c r="CG165" s="241"/>
      <c r="CH165" s="241"/>
      <c r="CI165" s="241"/>
      <c r="CJ165" s="241"/>
      <c r="CK165" s="241"/>
      <c r="CL165" s="241"/>
      <c r="CM165" s="241"/>
      <c r="CN165" s="241"/>
      <c r="CO165" s="241"/>
      <c r="CP165" s="241"/>
      <c r="CQ165" s="241"/>
      <c r="CR165" s="241"/>
      <c r="CS165" s="241"/>
      <c r="CT165" s="241"/>
      <c r="CU165" s="241"/>
      <c r="CV165" s="241"/>
      <c r="CW165" s="241"/>
      <c r="CX165" s="241"/>
      <c r="CY165" s="241"/>
      <c r="CZ165" s="241"/>
      <c r="DA165" s="241"/>
      <c r="DB165" s="241"/>
      <c r="DC165" s="241"/>
      <c r="DD165" s="241"/>
      <c r="DE165" s="241"/>
      <c r="DF165" s="241"/>
      <c r="DG165" s="241"/>
      <c r="DH165" s="241"/>
      <c r="DT165" s="241"/>
      <c r="FB165" s="241"/>
    </row>
    <row r="166" spans="4:158" hidden="1" x14ac:dyDescent="0.25">
      <c r="D166" s="241"/>
      <c r="E166" s="241"/>
      <c r="F166" s="241"/>
      <c r="G166" s="241"/>
      <c r="H166" s="241"/>
      <c r="I166" s="242"/>
      <c r="J166" s="241"/>
      <c r="K166" s="241"/>
      <c r="L166" s="241"/>
      <c r="M166" s="241"/>
      <c r="N166" s="242"/>
      <c r="O166" s="242"/>
      <c r="P166" s="242"/>
      <c r="Q166" s="242"/>
      <c r="R166" s="241"/>
      <c r="S166" s="241"/>
      <c r="T166" s="241"/>
      <c r="U166" s="241"/>
      <c r="V166" s="241"/>
      <c r="W166" s="241"/>
      <c r="X166" s="241"/>
      <c r="Y166" s="241"/>
      <c r="Z166" s="242"/>
      <c r="AA166" s="242"/>
      <c r="AB166" s="241"/>
      <c r="AC166" s="241"/>
      <c r="AD166" s="241"/>
      <c r="AE166" s="241"/>
      <c r="AF166" s="241"/>
      <c r="AG166" s="241"/>
      <c r="AH166" s="241"/>
      <c r="AI166" s="241"/>
      <c r="AJ166" s="274"/>
      <c r="AK166" s="241"/>
      <c r="AL166" s="241"/>
      <c r="AM166" s="241"/>
      <c r="AN166" s="241"/>
      <c r="AO166" s="241"/>
      <c r="AP166" s="241"/>
      <c r="AQ166" s="241"/>
      <c r="AR166" s="241"/>
      <c r="AS166" s="241"/>
      <c r="AT166" s="241"/>
      <c r="AU166" s="241"/>
      <c r="AV166" s="241"/>
      <c r="AW166" s="241"/>
      <c r="AX166" s="241"/>
      <c r="AY166" s="241"/>
      <c r="AZ166" s="241"/>
      <c r="BA166" s="241"/>
      <c r="BB166" s="241"/>
      <c r="BC166" s="241"/>
      <c r="BD166" s="241"/>
      <c r="BE166" s="241"/>
      <c r="BF166" s="241"/>
      <c r="BG166" s="241"/>
      <c r="BH166" s="241"/>
      <c r="BI166" s="241"/>
      <c r="BJ166" s="241"/>
      <c r="BK166" s="241"/>
      <c r="BL166" s="241"/>
      <c r="BM166" s="241"/>
      <c r="BN166" s="241"/>
      <c r="BO166" s="241"/>
      <c r="BP166" s="241"/>
      <c r="BQ166" s="241"/>
      <c r="BR166" s="241"/>
      <c r="BS166" s="241"/>
      <c r="BT166" s="241"/>
      <c r="BU166" s="241"/>
      <c r="BV166" s="241"/>
      <c r="BW166" s="241"/>
      <c r="BX166" s="241"/>
      <c r="BY166" s="241"/>
      <c r="BZ166" s="241"/>
      <c r="CA166" s="241"/>
      <c r="CB166" s="241"/>
      <c r="CC166" s="241"/>
      <c r="CD166" s="241"/>
      <c r="CE166" s="241"/>
      <c r="CF166" s="241"/>
      <c r="CG166" s="241"/>
      <c r="CH166" s="241"/>
      <c r="CI166" s="241"/>
      <c r="CJ166" s="241"/>
      <c r="CK166" s="241"/>
      <c r="CL166" s="241"/>
      <c r="CM166" s="241"/>
      <c r="CN166" s="241"/>
      <c r="CO166" s="241"/>
      <c r="CP166" s="241"/>
      <c r="CQ166" s="241"/>
      <c r="CR166" s="241"/>
      <c r="CS166" s="241"/>
      <c r="CT166" s="241"/>
      <c r="CU166" s="241"/>
      <c r="CV166" s="241"/>
      <c r="CW166" s="241"/>
      <c r="CX166" s="241"/>
      <c r="CY166" s="241"/>
      <c r="CZ166" s="241"/>
      <c r="DA166" s="241"/>
      <c r="DB166" s="241"/>
      <c r="DC166" s="241"/>
      <c r="DD166" s="241"/>
      <c r="DE166" s="241"/>
      <c r="DF166" s="241"/>
      <c r="DG166" s="241"/>
      <c r="DH166" s="241"/>
      <c r="DT166" s="241"/>
      <c r="FB166" s="241"/>
    </row>
    <row r="167" spans="4:158" hidden="1" x14ac:dyDescent="0.25">
      <c r="D167" s="241"/>
      <c r="E167" s="241"/>
      <c r="F167" s="241"/>
      <c r="G167" s="241"/>
      <c r="H167" s="241"/>
      <c r="I167" s="242"/>
      <c r="J167" s="241"/>
      <c r="K167" s="241"/>
      <c r="L167" s="241"/>
      <c r="M167" s="241"/>
      <c r="N167" s="242"/>
      <c r="O167" s="242"/>
      <c r="P167" s="242"/>
      <c r="Q167" s="242"/>
      <c r="R167" s="241"/>
      <c r="S167" s="241"/>
      <c r="T167" s="241"/>
      <c r="U167" s="241"/>
      <c r="V167" s="241"/>
      <c r="W167" s="241"/>
      <c r="X167" s="241"/>
      <c r="Y167" s="241"/>
      <c r="Z167" s="242"/>
      <c r="AA167" s="242"/>
      <c r="AB167" s="241"/>
      <c r="AC167" s="241"/>
      <c r="AD167" s="241"/>
      <c r="AE167" s="241"/>
      <c r="AF167" s="241"/>
      <c r="AG167" s="241"/>
      <c r="AH167" s="241"/>
      <c r="AI167" s="241"/>
      <c r="AJ167" s="274"/>
      <c r="AK167" s="241"/>
      <c r="AL167" s="241"/>
      <c r="AM167" s="241"/>
      <c r="AN167" s="241"/>
      <c r="AO167" s="241"/>
      <c r="AP167" s="241"/>
      <c r="AQ167" s="241"/>
      <c r="AR167" s="241"/>
      <c r="AS167" s="241"/>
      <c r="AT167" s="241"/>
      <c r="AU167" s="241"/>
      <c r="AV167" s="241"/>
      <c r="AW167" s="241"/>
      <c r="AX167" s="241"/>
      <c r="AY167" s="241"/>
      <c r="AZ167" s="241"/>
      <c r="BA167" s="241"/>
      <c r="BB167" s="241"/>
      <c r="BC167" s="241"/>
      <c r="BD167" s="241"/>
      <c r="BE167" s="241"/>
      <c r="BF167" s="241"/>
      <c r="BG167" s="241"/>
      <c r="BH167" s="241"/>
      <c r="BI167" s="241"/>
      <c r="BJ167" s="241"/>
      <c r="BK167" s="241"/>
      <c r="BL167" s="241"/>
      <c r="BM167" s="241"/>
      <c r="BN167" s="241"/>
      <c r="BO167" s="241"/>
      <c r="BP167" s="241"/>
      <c r="BQ167" s="241"/>
      <c r="BR167" s="241"/>
      <c r="BS167" s="241"/>
      <c r="BT167" s="241"/>
      <c r="BU167" s="241"/>
      <c r="BV167" s="241"/>
      <c r="BW167" s="241"/>
      <c r="BX167" s="241"/>
      <c r="BY167" s="241"/>
      <c r="BZ167" s="241"/>
      <c r="CA167" s="241"/>
      <c r="CB167" s="241"/>
      <c r="CC167" s="241"/>
      <c r="CD167" s="241"/>
      <c r="CE167" s="241"/>
      <c r="CF167" s="241"/>
      <c r="CG167" s="241"/>
      <c r="CH167" s="241"/>
      <c r="CI167" s="241"/>
      <c r="CJ167" s="241"/>
      <c r="CK167" s="241"/>
      <c r="CL167" s="241"/>
      <c r="CM167" s="241"/>
      <c r="CN167" s="241"/>
      <c r="CO167" s="241"/>
      <c r="CP167" s="241"/>
      <c r="CQ167" s="241"/>
      <c r="CR167" s="241"/>
      <c r="CS167" s="241"/>
      <c r="CT167" s="241"/>
      <c r="CU167" s="241"/>
      <c r="CV167" s="241"/>
      <c r="CW167" s="241"/>
      <c r="CX167" s="241"/>
      <c r="CY167" s="241"/>
      <c r="CZ167" s="241"/>
      <c r="DA167" s="241"/>
      <c r="DB167" s="241"/>
      <c r="DC167" s="241"/>
      <c r="DD167" s="241"/>
      <c r="DE167" s="241"/>
      <c r="DF167" s="241"/>
      <c r="DG167" s="241"/>
      <c r="DH167" s="241"/>
      <c r="DT167" s="241"/>
      <c r="FB167" s="241"/>
    </row>
    <row r="168" spans="4:158" hidden="1" x14ac:dyDescent="0.25">
      <c r="D168" s="241"/>
      <c r="E168" s="241"/>
      <c r="F168" s="241"/>
      <c r="G168" s="241"/>
      <c r="H168" s="241"/>
      <c r="I168" s="242"/>
      <c r="J168" s="241"/>
      <c r="K168" s="241"/>
      <c r="L168" s="241"/>
      <c r="M168" s="241"/>
      <c r="N168" s="242"/>
      <c r="O168" s="242"/>
      <c r="P168" s="242"/>
      <c r="Q168" s="242"/>
      <c r="R168" s="241"/>
      <c r="S168" s="241"/>
      <c r="T168" s="241"/>
      <c r="U168" s="241"/>
      <c r="V168" s="241"/>
      <c r="W168" s="241"/>
      <c r="X168" s="241"/>
      <c r="Y168" s="241"/>
      <c r="Z168" s="242"/>
      <c r="AA168" s="242"/>
      <c r="AB168" s="241"/>
      <c r="AC168" s="241"/>
      <c r="AD168" s="241"/>
      <c r="AE168" s="241"/>
      <c r="AF168" s="241"/>
      <c r="AG168" s="241"/>
      <c r="AH168" s="241"/>
      <c r="AI168" s="241"/>
      <c r="AJ168" s="274"/>
      <c r="AK168" s="241"/>
      <c r="AL168" s="241"/>
      <c r="AM168" s="241"/>
      <c r="AN168" s="241"/>
      <c r="AO168" s="241"/>
      <c r="AP168" s="241"/>
      <c r="AQ168" s="241"/>
      <c r="AR168" s="241"/>
      <c r="AS168" s="241"/>
      <c r="AT168" s="241"/>
      <c r="AU168" s="241"/>
      <c r="AV168" s="241"/>
      <c r="AW168" s="241"/>
      <c r="AX168" s="241"/>
      <c r="AY168" s="241"/>
      <c r="AZ168" s="241"/>
      <c r="BA168" s="241"/>
      <c r="BB168" s="241"/>
      <c r="BC168" s="241"/>
      <c r="BD168" s="241"/>
      <c r="BE168" s="241"/>
      <c r="BF168" s="241"/>
      <c r="BG168" s="241"/>
      <c r="BH168" s="241"/>
      <c r="BI168" s="241"/>
      <c r="BJ168" s="241"/>
      <c r="BK168" s="241"/>
      <c r="BL168" s="241"/>
      <c r="BM168" s="241"/>
      <c r="BN168" s="241"/>
      <c r="BO168" s="241"/>
      <c r="BP168" s="241"/>
      <c r="BQ168" s="241"/>
      <c r="BR168" s="241"/>
      <c r="BS168" s="241"/>
      <c r="BT168" s="241"/>
      <c r="BU168" s="241"/>
      <c r="BV168" s="241"/>
      <c r="BW168" s="241"/>
      <c r="BX168" s="241"/>
      <c r="BY168" s="241"/>
      <c r="BZ168" s="241"/>
      <c r="CA168" s="241"/>
      <c r="CB168" s="241"/>
      <c r="CC168" s="241"/>
      <c r="CD168" s="241"/>
      <c r="CE168" s="241"/>
      <c r="CF168" s="241"/>
      <c r="CG168" s="241"/>
      <c r="CH168" s="241"/>
      <c r="CI168" s="241"/>
      <c r="CJ168" s="241"/>
      <c r="CK168" s="241"/>
      <c r="CL168" s="241"/>
      <c r="CM168" s="241"/>
      <c r="CN168" s="241"/>
      <c r="CO168" s="241"/>
      <c r="CP168" s="241"/>
      <c r="CQ168" s="241"/>
      <c r="CR168" s="241"/>
      <c r="CS168" s="241"/>
      <c r="CT168" s="241"/>
      <c r="CU168" s="241"/>
      <c r="CV168" s="241"/>
      <c r="CW168" s="241"/>
      <c r="CX168" s="241"/>
      <c r="CY168" s="241"/>
      <c r="CZ168" s="241"/>
      <c r="DA168" s="241"/>
      <c r="DB168" s="241"/>
      <c r="DC168" s="241"/>
      <c r="DD168" s="241"/>
      <c r="DE168" s="241"/>
      <c r="DF168" s="241"/>
      <c r="DG168" s="241"/>
      <c r="DH168" s="241"/>
      <c r="DT168" s="241"/>
      <c r="FB168" s="241"/>
    </row>
    <row r="169" spans="4:158" hidden="1" x14ac:dyDescent="0.25">
      <c r="D169" s="241"/>
      <c r="E169" s="241"/>
      <c r="F169" s="241"/>
      <c r="G169" s="241"/>
      <c r="H169" s="241"/>
      <c r="I169" s="242"/>
      <c r="J169" s="241"/>
      <c r="K169" s="241"/>
      <c r="L169" s="241"/>
      <c r="M169" s="241"/>
      <c r="N169" s="242"/>
      <c r="O169" s="242"/>
      <c r="P169" s="242"/>
      <c r="Q169" s="242"/>
      <c r="R169" s="241"/>
      <c r="S169" s="241"/>
      <c r="T169" s="241"/>
      <c r="U169" s="241"/>
      <c r="V169" s="241"/>
      <c r="W169" s="241"/>
      <c r="X169" s="241"/>
      <c r="Y169" s="241"/>
      <c r="Z169" s="242"/>
      <c r="AA169" s="242"/>
      <c r="AB169" s="241"/>
      <c r="AC169" s="241"/>
      <c r="AD169" s="241"/>
      <c r="AE169" s="241"/>
      <c r="AF169" s="241"/>
      <c r="AG169" s="241"/>
      <c r="AH169" s="241"/>
      <c r="AI169" s="241"/>
      <c r="AJ169" s="274"/>
      <c r="AK169" s="241"/>
      <c r="AL169" s="241"/>
      <c r="AM169" s="241"/>
      <c r="AN169" s="241"/>
      <c r="AO169" s="241"/>
      <c r="AP169" s="241"/>
      <c r="AQ169" s="241"/>
      <c r="AR169" s="241"/>
      <c r="AS169" s="241"/>
      <c r="AT169" s="241"/>
      <c r="AU169" s="241"/>
      <c r="AV169" s="241"/>
      <c r="AW169" s="241"/>
      <c r="AX169" s="241"/>
      <c r="AY169" s="241"/>
      <c r="AZ169" s="241"/>
      <c r="BA169" s="241"/>
      <c r="BB169" s="241"/>
      <c r="BC169" s="241"/>
      <c r="BD169" s="241"/>
      <c r="BE169" s="241"/>
      <c r="BF169" s="241"/>
      <c r="BG169" s="241"/>
      <c r="BH169" s="241"/>
      <c r="BI169" s="241"/>
      <c r="BJ169" s="241"/>
      <c r="BK169" s="241"/>
      <c r="BL169" s="241"/>
      <c r="BM169" s="241"/>
      <c r="BN169" s="241"/>
      <c r="BO169" s="241"/>
      <c r="BP169" s="241"/>
      <c r="BQ169" s="241"/>
      <c r="BR169" s="241"/>
      <c r="BS169" s="241"/>
      <c r="BT169" s="241"/>
      <c r="BU169" s="241"/>
      <c r="BV169" s="241"/>
      <c r="BW169" s="241"/>
      <c r="BX169" s="241"/>
      <c r="BY169" s="241"/>
      <c r="BZ169" s="241"/>
      <c r="CA169" s="241"/>
      <c r="CB169" s="241"/>
      <c r="CC169" s="241"/>
      <c r="CD169" s="241"/>
      <c r="CE169" s="241"/>
      <c r="CF169" s="241"/>
      <c r="CG169" s="241"/>
      <c r="CH169" s="241"/>
      <c r="CI169" s="241"/>
      <c r="CJ169" s="241"/>
      <c r="CK169" s="241"/>
      <c r="CL169" s="241"/>
      <c r="CM169" s="241"/>
      <c r="CN169" s="241"/>
      <c r="CO169" s="241"/>
      <c r="CP169" s="241"/>
      <c r="CQ169" s="241"/>
      <c r="CR169" s="241"/>
      <c r="CS169" s="241"/>
      <c r="CT169" s="241"/>
      <c r="CU169" s="241"/>
      <c r="CV169" s="241"/>
      <c r="CW169" s="241"/>
      <c r="CX169" s="241"/>
      <c r="CY169" s="241"/>
      <c r="CZ169" s="241"/>
      <c r="DA169" s="241"/>
      <c r="DB169" s="241"/>
      <c r="DC169" s="241"/>
      <c r="DD169" s="241"/>
      <c r="DE169" s="241"/>
      <c r="DF169" s="241"/>
      <c r="DG169" s="241"/>
      <c r="DH169" s="241"/>
      <c r="DT169" s="241"/>
      <c r="FB169" s="241"/>
    </row>
    <row r="170" spans="4:158" hidden="1" x14ac:dyDescent="0.25">
      <c r="D170" s="241"/>
      <c r="E170" s="241"/>
      <c r="F170" s="241"/>
      <c r="G170" s="241"/>
      <c r="H170" s="241"/>
      <c r="I170" s="242"/>
      <c r="J170" s="241"/>
      <c r="K170" s="241"/>
      <c r="L170" s="241"/>
      <c r="M170" s="241"/>
      <c r="N170" s="242"/>
      <c r="O170" s="242"/>
      <c r="P170" s="242"/>
      <c r="Q170" s="242"/>
      <c r="R170" s="241"/>
      <c r="S170" s="241"/>
      <c r="T170" s="241"/>
      <c r="U170" s="241"/>
      <c r="V170" s="241"/>
      <c r="W170" s="241"/>
      <c r="X170" s="241"/>
      <c r="Y170" s="241"/>
      <c r="Z170" s="242"/>
      <c r="AA170" s="242"/>
      <c r="AB170" s="241"/>
      <c r="AC170" s="241"/>
      <c r="AD170" s="241"/>
      <c r="AE170" s="241"/>
      <c r="AF170" s="241"/>
      <c r="AG170" s="241"/>
      <c r="AH170" s="241"/>
      <c r="AI170" s="241"/>
      <c r="AJ170" s="274"/>
      <c r="AK170" s="241"/>
      <c r="AL170" s="241"/>
      <c r="AM170" s="241"/>
      <c r="AN170" s="241"/>
      <c r="AO170" s="241"/>
      <c r="AP170" s="241"/>
      <c r="AQ170" s="241"/>
      <c r="AR170" s="241"/>
      <c r="AS170" s="241"/>
      <c r="AT170" s="241"/>
      <c r="AU170" s="241"/>
      <c r="AV170" s="241"/>
      <c r="AW170" s="241"/>
      <c r="AX170" s="241"/>
      <c r="AY170" s="241"/>
      <c r="AZ170" s="241"/>
      <c r="BA170" s="241"/>
      <c r="BB170" s="241"/>
      <c r="BC170" s="241"/>
      <c r="BD170" s="241"/>
      <c r="BE170" s="241"/>
      <c r="BF170" s="241"/>
      <c r="BG170" s="241"/>
      <c r="BH170" s="241"/>
      <c r="BI170" s="241"/>
      <c r="BJ170" s="241"/>
      <c r="BK170" s="241"/>
      <c r="BL170" s="241"/>
      <c r="BM170" s="241"/>
      <c r="BN170" s="241"/>
      <c r="BO170" s="241"/>
      <c r="BP170" s="241"/>
      <c r="BQ170" s="241"/>
      <c r="BR170" s="241"/>
      <c r="BS170" s="241"/>
      <c r="BT170" s="241"/>
      <c r="BU170" s="241"/>
      <c r="BV170" s="241"/>
      <c r="BW170" s="241"/>
      <c r="BX170" s="241"/>
      <c r="BY170" s="241"/>
      <c r="BZ170" s="241"/>
      <c r="CA170" s="241"/>
      <c r="CB170" s="241"/>
      <c r="CC170" s="241"/>
      <c r="CD170" s="241"/>
      <c r="CE170" s="241"/>
      <c r="CF170" s="241"/>
      <c r="CG170" s="241"/>
      <c r="CH170" s="241"/>
      <c r="CI170" s="241"/>
      <c r="CJ170" s="241"/>
      <c r="CK170" s="241"/>
      <c r="CL170" s="241"/>
      <c r="CM170" s="241"/>
      <c r="CN170" s="241"/>
      <c r="CO170" s="241"/>
      <c r="CP170" s="241"/>
      <c r="CQ170" s="241"/>
      <c r="CR170" s="241"/>
      <c r="CS170" s="241"/>
      <c r="CT170" s="241"/>
      <c r="CU170" s="241"/>
      <c r="CV170" s="241"/>
      <c r="CW170" s="241"/>
      <c r="CX170" s="241"/>
      <c r="CY170" s="241"/>
      <c r="CZ170" s="241"/>
      <c r="DA170" s="241"/>
      <c r="DB170" s="241"/>
      <c r="DC170" s="241"/>
      <c r="DD170" s="241"/>
      <c r="DE170" s="241"/>
      <c r="DF170" s="241"/>
      <c r="DG170" s="241"/>
      <c r="DH170" s="241"/>
      <c r="DT170" s="241"/>
      <c r="FB170" s="241"/>
    </row>
    <row r="171" spans="4:158" hidden="1" x14ac:dyDescent="0.25">
      <c r="D171" s="241"/>
      <c r="E171" s="241"/>
      <c r="F171" s="241"/>
      <c r="G171" s="241"/>
      <c r="H171" s="241"/>
      <c r="I171" s="242"/>
      <c r="J171" s="241"/>
      <c r="K171" s="241"/>
      <c r="L171" s="241"/>
      <c r="M171" s="241"/>
      <c r="N171" s="242"/>
      <c r="O171" s="242"/>
      <c r="P171" s="242"/>
      <c r="Q171" s="242"/>
      <c r="R171" s="241"/>
      <c r="S171" s="241"/>
      <c r="T171" s="241"/>
      <c r="U171" s="241"/>
      <c r="V171" s="241"/>
      <c r="W171" s="241"/>
      <c r="X171" s="241"/>
      <c r="Y171" s="241"/>
      <c r="Z171" s="242"/>
      <c r="AA171" s="242"/>
      <c r="AB171" s="241"/>
      <c r="AC171" s="241"/>
      <c r="AD171" s="241"/>
      <c r="AE171" s="241"/>
      <c r="AF171" s="241"/>
      <c r="AG171" s="241"/>
      <c r="AH171" s="241"/>
      <c r="AI171" s="241"/>
      <c r="AJ171" s="274"/>
      <c r="AK171" s="241"/>
      <c r="AL171" s="241"/>
      <c r="AM171" s="241"/>
      <c r="AN171" s="241"/>
      <c r="AO171" s="241"/>
      <c r="AP171" s="241"/>
      <c r="AQ171" s="241"/>
      <c r="AR171" s="241"/>
      <c r="AS171" s="241"/>
      <c r="AT171" s="241"/>
      <c r="AU171" s="241"/>
      <c r="AV171" s="241"/>
      <c r="AW171" s="241"/>
      <c r="AX171" s="241"/>
      <c r="AY171" s="241"/>
      <c r="AZ171" s="241"/>
      <c r="BA171" s="241"/>
      <c r="BB171" s="241"/>
      <c r="BC171" s="241"/>
      <c r="BD171" s="241"/>
      <c r="BE171" s="241"/>
      <c r="BF171" s="241"/>
      <c r="BG171" s="241"/>
      <c r="BH171" s="241"/>
      <c r="BI171" s="241"/>
      <c r="BJ171" s="241"/>
      <c r="BK171" s="241"/>
      <c r="BL171" s="241"/>
      <c r="BM171" s="241"/>
      <c r="BN171" s="241"/>
      <c r="BO171" s="241"/>
      <c r="BP171" s="241"/>
      <c r="BQ171" s="241"/>
      <c r="BR171" s="241"/>
      <c r="BS171" s="241"/>
      <c r="BT171" s="241"/>
      <c r="BU171" s="241"/>
      <c r="BV171" s="241"/>
      <c r="BW171" s="241"/>
      <c r="BX171" s="241"/>
      <c r="BY171" s="241"/>
      <c r="BZ171" s="241"/>
      <c r="CA171" s="241"/>
      <c r="CB171" s="241"/>
      <c r="CC171" s="241"/>
      <c r="CD171" s="241"/>
      <c r="CE171" s="241"/>
      <c r="CF171" s="241"/>
      <c r="CG171" s="241"/>
      <c r="CH171" s="241"/>
      <c r="CI171" s="241"/>
      <c r="CJ171" s="241"/>
      <c r="CK171" s="241"/>
      <c r="CL171" s="241"/>
      <c r="CM171" s="241"/>
      <c r="CN171" s="241"/>
      <c r="CO171" s="241"/>
      <c r="CP171" s="241"/>
      <c r="CQ171" s="241"/>
      <c r="CR171" s="241"/>
      <c r="CS171" s="241"/>
      <c r="CT171" s="241"/>
      <c r="CU171" s="241"/>
      <c r="CV171" s="241"/>
      <c r="CW171" s="241"/>
      <c r="CX171" s="241"/>
      <c r="CY171" s="241"/>
      <c r="CZ171" s="241"/>
      <c r="DA171" s="241"/>
      <c r="DB171" s="241"/>
      <c r="DC171" s="241"/>
      <c r="DD171" s="241"/>
      <c r="DE171" s="241"/>
      <c r="DF171" s="241"/>
      <c r="DG171" s="241"/>
      <c r="DH171" s="241"/>
      <c r="DT171" s="241"/>
      <c r="FB171" s="241"/>
    </row>
    <row r="172" spans="4:158" hidden="1" x14ac:dyDescent="0.25">
      <c r="D172" s="241"/>
      <c r="E172" s="241"/>
      <c r="F172" s="241"/>
      <c r="G172" s="241"/>
      <c r="H172" s="241"/>
      <c r="I172" s="242"/>
      <c r="J172" s="241"/>
      <c r="K172" s="241"/>
      <c r="L172" s="241"/>
      <c r="M172" s="241"/>
      <c r="N172" s="242"/>
      <c r="O172" s="242"/>
      <c r="P172" s="242"/>
      <c r="Q172" s="242"/>
      <c r="R172" s="241"/>
      <c r="S172" s="241"/>
      <c r="T172" s="241"/>
      <c r="U172" s="241"/>
      <c r="V172" s="241"/>
      <c r="W172" s="241"/>
      <c r="X172" s="241"/>
      <c r="Y172" s="241"/>
      <c r="Z172" s="242"/>
      <c r="AA172" s="242"/>
      <c r="AB172" s="241"/>
      <c r="AC172" s="241"/>
      <c r="AD172" s="241"/>
      <c r="AE172" s="241"/>
      <c r="AF172" s="241"/>
      <c r="AG172" s="241"/>
      <c r="AH172" s="241"/>
      <c r="AI172" s="241"/>
      <c r="AJ172" s="274"/>
      <c r="AK172" s="241"/>
      <c r="AL172" s="241"/>
      <c r="AM172" s="241"/>
      <c r="AN172" s="241"/>
      <c r="AO172" s="241"/>
      <c r="AP172" s="241"/>
      <c r="AQ172" s="241"/>
      <c r="AR172" s="241"/>
      <c r="AS172" s="241"/>
      <c r="AT172" s="241"/>
      <c r="AU172" s="241"/>
      <c r="AV172" s="241"/>
      <c r="AW172" s="241"/>
      <c r="AX172" s="241"/>
      <c r="AY172" s="241"/>
      <c r="AZ172" s="241"/>
      <c r="BA172" s="241"/>
      <c r="BB172" s="241"/>
      <c r="BC172" s="241"/>
      <c r="BD172" s="241"/>
      <c r="BE172" s="241"/>
      <c r="BF172" s="241"/>
      <c r="BG172" s="241"/>
      <c r="BH172" s="241"/>
      <c r="BI172" s="241"/>
      <c r="BJ172" s="241"/>
      <c r="BK172" s="241"/>
      <c r="BL172" s="241"/>
      <c r="BM172" s="241"/>
      <c r="BN172" s="241"/>
      <c r="BO172" s="241"/>
      <c r="BP172" s="241"/>
      <c r="BQ172" s="241"/>
      <c r="BR172" s="241"/>
      <c r="BS172" s="241"/>
      <c r="BT172" s="241"/>
      <c r="BU172" s="241"/>
      <c r="BV172" s="241"/>
      <c r="BW172" s="241"/>
      <c r="BX172" s="241"/>
      <c r="BY172" s="241"/>
      <c r="BZ172" s="241"/>
      <c r="CA172" s="241"/>
      <c r="CB172" s="241"/>
      <c r="CC172" s="241"/>
      <c r="CD172" s="241"/>
      <c r="CE172" s="241"/>
      <c r="CF172" s="241"/>
      <c r="CG172" s="241"/>
      <c r="CH172" s="241"/>
      <c r="CI172" s="241"/>
      <c r="CJ172" s="241"/>
      <c r="CK172" s="241"/>
      <c r="CL172" s="241"/>
      <c r="CM172" s="241"/>
      <c r="CN172" s="241"/>
      <c r="CO172" s="241"/>
      <c r="CP172" s="241"/>
      <c r="CQ172" s="241"/>
      <c r="CR172" s="241"/>
      <c r="CS172" s="241"/>
      <c r="CT172" s="241"/>
      <c r="CU172" s="241"/>
      <c r="CV172" s="241"/>
      <c r="CW172" s="241"/>
      <c r="CX172" s="241"/>
      <c r="CY172" s="241"/>
      <c r="CZ172" s="241"/>
      <c r="DA172" s="241"/>
      <c r="DB172" s="241"/>
      <c r="DC172" s="241"/>
      <c r="DD172" s="241"/>
      <c r="DE172" s="241"/>
      <c r="DF172" s="241"/>
      <c r="DG172" s="241"/>
      <c r="DH172" s="241"/>
      <c r="DT172" s="241"/>
      <c r="FB172" s="241"/>
    </row>
    <row r="173" spans="4:158" hidden="1" x14ac:dyDescent="0.25">
      <c r="D173" s="241"/>
      <c r="E173" s="241"/>
      <c r="F173" s="241"/>
      <c r="G173" s="241"/>
      <c r="H173" s="241"/>
      <c r="I173" s="242"/>
      <c r="J173" s="241"/>
      <c r="K173" s="241"/>
      <c r="L173" s="241"/>
      <c r="M173" s="241"/>
      <c r="N173" s="242"/>
      <c r="O173" s="242"/>
      <c r="P173" s="242"/>
      <c r="Q173" s="242"/>
      <c r="R173" s="241"/>
      <c r="S173" s="241"/>
      <c r="T173" s="241"/>
      <c r="U173" s="241"/>
      <c r="V173" s="241"/>
      <c r="W173" s="241"/>
      <c r="X173" s="241"/>
      <c r="Y173" s="241"/>
      <c r="Z173" s="242"/>
      <c r="AA173" s="242"/>
      <c r="AB173" s="241"/>
      <c r="AC173" s="241"/>
      <c r="AD173" s="241"/>
      <c r="AE173" s="241"/>
      <c r="AF173" s="241"/>
      <c r="AG173" s="241"/>
      <c r="AH173" s="241"/>
      <c r="AI173" s="241"/>
      <c r="AJ173" s="274"/>
      <c r="AK173" s="241"/>
      <c r="AL173" s="241"/>
      <c r="AM173" s="241"/>
      <c r="AN173" s="241"/>
      <c r="AO173" s="241"/>
      <c r="AP173" s="241"/>
      <c r="AQ173" s="241"/>
      <c r="AR173" s="241"/>
      <c r="AS173" s="241"/>
      <c r="AT173" s="241"/>
      <c r="AU173" s="241"/>
      <c r="AV173" s="241"/>
      <c r="AW173" s="241"/>
      <c r="AX173" s="241"/>
      <c r="AY173" s="241"/>
      <c r="AZ173" s="241"/>
      <c r="BA173" s="241"/>
      <c r="BB173" s="241"/>
      <c r="BC173" s="241"/>
      <c r="BD173" s="241"/>
      <c r="BE173" s="241"/>
      <c r="BF173" s="241"/>
      <c r="BG173" s="241"/>
      <c r="BH173" s="241"/>
      <c r="BI173" s="241"/>
      <c r="BJ173" s="241"/>
      <c r="BK173" s="241"/>
      <c r="BL173" s="241"/>
      <c r="BM173" s="241"/>
      <c r="BN173" s="241"/>
      <c r="BO173" s="241"/>
      <c r="BP173" s="241"/>
      <c r="BQ173" s="241"/>
      <c r="BR173" s="241"/>
      <c r="BS173" s="241"/>
      <c r="BT173" s="241"/>
      <c r="BU173" s="241"/>
      <c r="BV173" s="241"/>
      <c r="BW173" s="241"/>
      <c r="BX173" s="241"/>
      <c r="BY173" s="241"/>
      <c r="BZ173" s="241"/>
      <c r="CA173" s="241"/>
      <c r="CB173" s="241"/>
      <c r="CC173" s="241"/>
      <c r="CD173" s="241"/>
      <c r="CE173" s="241"/>
      <c r="CF173" s="241"/>
      <c r="CG173" s="241"/>
      <c r="CH173" s="241"/>
      <c r="CI173" s="241"/>
      <c r="CJ173" s="241"/>
      <c r="CK173" s="241"/>
      <c r="CL173" s="241"/>
      <c r="CM173" s="241"/>
      <c r="CN173" s="241"/>
      <c r="CO173" s="241"/>
      <c r="CP173" s="241"/>
      <c r="CQ173" s="241"/>
      <c r="CR173" s="241"/>
      <c r="CS173" s="241"/>
      <c r="CT173" s="241"/>
      <c r="CU173" s="241"/>
      <c r="CV173" s="241"/>
      <c r="CW173" s="241"/>
      <c r="CX173" s="241"/>
      <c r="CY173" s="241"/>
      <c r="CZ173" s="241"/>
      <c r="DA173" s="241"/>
      <c r="DB173" s="241"/>
      <c r="DC173" s="241"/>
      <c r="DD173" s="241"/>
      <c r="DE173" s="241"/>
      <c r="DF173" s="241"/>
      <c r="DG173" s="241"/>
      <c r="DH173" s="241"/>
      <c r="DT173" s="241"/>
      <c r="FB173" s="241"/>
    </row>
    <row r="174" spans="4:158" hidden="1" x14ac:dyDescent="0.25">
      <c r="D174" s="241"/>
      <c r="E174" s="241"/>
      <c r="F174" s="241"/>
      <c r="G174" s="241"/>
      <c r="H174" s="241"/>
      <c r="I174" s="242"/>
      <c r="J174" s="241"/>
      <c r="K174" s="241"/>
      <c r="L174" s="241"/>
      <c r="M174" s="241"/>
      <c r="N174" s="242"/>
      <c r="O174" s="242"/>
      <c r="P174" s="242"/>
      <c r="Q174" s="242"/>
      <c r="R174" s="241"/>
      <c r="S174" s="241"/>
      <c r="T174" s="241"/>
      <c r="U174" s="241"/>
      <c r="V174" s="241"/>
      <c r="W174" s="241"/>
      <c r="X174" s="241"/>
      <c r="Y174" s="241"/>
      <c r="Z174" s="242"/>
      <c r="AA174" s="242"/>
      <c r="AB174" s="241"/>
      <c r="AC174" s="241"/>
      <c r="AD174" s="241"/>
      <c r="AE174" s="241"/>
      <c r="AF174" s="241"/>
      <c r="AG174" s="241"/>
      <c r="AH174" s="241"/>
      <c r="AI174" s="241"/>
      <c r="AJ174" s="274"/>
      <c r="AK174" s="241"/>
      <c r="AL174" s="241"/>
      <c r="AM174" s="241"/>
      <c r="AN174" s="241"/>
      <c r="AO174" s="241"/>
      <c r="AP174" s="241"/>
      <c r="AQ174" s="241"/>
      <c r="AR174" s="241"/>
      <c r="AS174" s="241"/>
      <c r="AT174" s="241"/>
      <c r="AU174" s="241"/>
      <c r="AV174" s="241"/>
      <c r="AW174" s="241"/>
      <c r="AX174" s="241"/>
      <c r="AY174" s="241"/>
      <c r="AZ174" s="241"/>
      <c r="BA174" s="241"/>
      <c r="BB174" s="241"/>
      <c r="BC174" s="241"/>
      <c r="BD174" s="241"/>
      <c r="BE174" s="241"/>
      <c r="BF174" s="241"/>
      <c r="BG174" s="241"/>
      <c r="BH174" s="241"/>
      <c r="BI174" s="241"/>
      <c r="BJ174" s="241"/>
      <c r="BK174" s="241"/>
      <c r="BL174" s="241"/>
      <c r="BM174" s="241"/>
      <c r="BN174" s="241"/>
      <c r="BO174" s="241"/>
      <c r="BP174" s="241"/>
      <c r="BQ174" s="241"/>
      <c r="BR174" s="241"/>
      <c r="BS174" s="241"/>
      <c r="BT174" s="241"/>
      <c r="BU174" s="241"/>
      <c r="BV174" s="241"/>
      <c r="BW174" s="241"/>
      <c r="BX174" s="241"/>
      <c r="BY174" s="241"/>
      <c r="BZ174" s="241"/>
      <c r="CA174" s="241"/>
      <c r="CB174" s="241"/>
      <c r="CC174" s="241"/>
      <c r="CD174" s="241"/>
      <c r="CE174" s="241"/>
      <c r="CF174" s="241"/>
      <c r="CG174" s="241"/>
      <c r="CH174" s="241"/>
      <c r="CI174" s="241"/>
      <c r="CJ174" s="241"/>
      <c r="CK174" s="241"/>
      <c r="CL174" s="241"/>
      <c r="CM174" s="241"/>
      <c r="CN174" s="241"/>
      <c r="CO174" s="241"/>
      <c r="CP174" s="241"/>
      <c r="CQ174" s="241"/>
      <c r="CR174" s="241"/>
      <c r="CS174" s="241"/>
      <c r="CT174" s="241"/>
      <c r="CU174" s="241"/>
      <c r="CV174" s="241"/>
      <c r="CW174" s="241"/>
      <c r="CX174" s="241"/>
      <c r="CY174" s="241"/>
      <c r="CZ174" s="241"/>
      <c r="DA174" s="241"/>
      <c r="DB174" s="241"/>
      <c r="DC174" s="241"/>
      <c r="DD174" s="241"/>
      <c r="DE174" s="241"/>
      <c r="DF174" s="241"/>
      <c r="DG174" s="241"/>
      <c r="DH174" s="241"/>
      <c r="DT174" s="241"/>
      <c r="FB174" s="241"/>
    </row>
    <row r="175" spans="4:158" hidden="1" x14ac:dyDescent="0.25">
      <c r="D175" s="241"/>
      <c r="E175" s="241"/>
      <c r="F175" s="241"/>
      <c r="G175" s="241"/>
      <c r="H175" s="241"/>
      <c r="I175" s="242"/>
      <c r="J175" s="241"/>
      <c r="K175" s="241"/>
      <c r="L175" s="241"/>
      <c r="M175" s="241"/>
      <c r="N175" s="242"/>
      <c r="O175" s="242"/>
      <c r="P175" s="242"/>
      <c r="Q175" s="242"/>
      <c r="R175" s="241"/>
      <c r="S175" s="241"/>
      <c r="T175" s="241"/>
      <c r="U175" s="241"/>
      <c r="V175" s="241"/>
      <c r="W175" s="241"/>
      <c r="X175" s="241"/>
      <c r="Y175" s="241"/>
      <c r="Z175" s="242"/>
      <c r="AA175" s="242"/>
      <c r="AB175" s="241"/>
      <c r="AC175" s="241"/>
      <c r="AD175" s="241"/>
      <c r="AE175" s="241"/>
      <c r="AF175" s="241"/>
      <c r="AG175" s="241"/>
      <c r="AH175" s="241"/>
      <c r="AI175" s="241"/>
      <c r="AJ175" s="274"/>
      <c r="AK175" s="241"/>
      <c r="AL175" s="241"/>
      <c r="AM175" s="241"/>
      <c r="AN175" s="241"/>
      <c r="AO175" s="241"/>
      <c r="AP175" s="241"/>
      <c r="AQ175" s="241"/>
      <c r="AR175" s="241"/>
      <c r="AS175" s="241"/>
      <c r="AT175" s="241"/>
      <c r="AU175" s="241"/>
      <c r="AV175" s="241"/>
      <c r="AW175" s="241"/>
      <c r="AX175" s="241"/>
      <c r="AY175" s="241"/>
      <c r="AZ175" s="241"/>
      <c r="BA175" s="241"/>
      <c r="BB175" s="241"/>
      <c r="BC175" s="241"/>
      <c r="BD175" s="241"/>
      <c r="BE175" s="241"/>
      <c r="BF175" s="241"/>
      <c r="BG175" s="241"/>
      <c r="BH175" s="241"/>
      <c r="BI175" s="241"/>
      <c r="BJ175" s="241"/>
      <c r="BK175" s="241"/>
      <c r="BL175" s="241"/>
      <c r="BM175" s="241"/>
      <c r="BN175" s="241"/>
      <c r="BO175" s="241"/>
      <c r="BP175" s="241"/>
      <c r="BQ175" s="241"/>
      <c r="BR175" s="241"/>
      <c r="BS175" s="241"/>
      <c r="BT175" s="241"/>
      <c r="BU175" s="241"/>
      <c r="BV175" s="241"/>
      <c r="BW175" s="241"/>
      <c r="BX175" s="241"/>
      <c r="BY175" s="241"/>
      <c r="BZ175" s="241"/>
      <c r="CA175" s="241"/>
      <c r="CB175" s="241"/>
      <c r="CC175" s="241"/>
      <c r="CD175" s="241"/>
      <c r="CE175" s="241"/>
      <c r="CF175" s="241"/>
      <c r="CG175" s="241"/>
      <c r="CH175" s="241"/>
      <c r="CI175" s="241"/>
      <c r="CJ175" s="241"/>
      <c r="CK175" s="241"/>
      <c r="CL175" s="241"/>
      <c r="CM175" s="241"/>
      <c r="CN175" s="241"/>
      <c r="CO175" s="241"/>
      <c r="CP175" s="241"/>
      <c r="CQ175" s="241"/>
      <c r="CR175" s="241"/>
      <c r="CS175" s="241"/>
      <c r="CT175" s="241"/>
      <c r="CU175" s="241"/>
      <c r="CV175" s="241"/>
      <c r="CW175" s="241"/>
      <c r="CX175" s="241"/>
      <c r="CY175" s="241"/>
      <c r="CZ175" s="241"/>
      <c r="DA175" s="241"/>
      <c r="DB175" s="241"/>
      <c r="DC175" s="241"/>
      <c r="DD175" s="241"/>
      <c r="DE175" s="241"/>
      <c r="DF175" s="241"/>
      <c r="DG175" s="241"/>
      <c r="DH175" s="241"/>
      <c r="DT175" s="241"/>
      <c r="FB175" s="241"/>
    </row>
    <row r="176" spans="4:158" hidden="1" x14ac:dyDescent="0.25">
      <c r="D176" s="241"/>
      <c r="E176" s="241"/>
      <c r="F176" s="241"/>
      <c r="G176" s="241"/>
      <c r="H176" s="241"/>
      <c r="I176" s="242"/>
      <c r="J176" s="241"/>
      <c r="K176" s="241"/>
      <c r="L176" s="241"/>
      <c r="M176" s="241"/>
      <c r="N176" s="242"/>
      <c r="O176" s="242"/>
      <c r="P176" s="242"/>
      <c r="Q176" s="242"/>
      <c r="R176" s="241"/>
      <c r="S176" s="241"/>
      <c r="T176" s="241"/>
      <c r="U176" s="241"/>
      <c r="V176" s="241"/>
      <c r="W176" s="241"/>
      <c r="X176" s="241"/>
      <c r="Y176" s="241"/>
      <c r="Z176" s="242"/>
      <c r="AA176" s="242"/>
      <c r="AB176" s="241"/>
      <c r="AC176" s="241"/>
      <c r="AD176" s="241"/>
      <c r="AE176" s="241"/>
      <c r="AF176" s="241"/>
      <c r="AG176" s="241"/>
      <c r="AH176" s="241"/>
      <c r="AI176" s="241"/>
      <c r="AJ176" s="274"/>
      <c r="AK176" s="241"/>
      <c r="AL176" s="241"/>
      <c r="AM176" s="241"/>
      <c r="AN176" s="241"/>
      <c r="AO176" s="241"/>
      <c r="AP176" s="241"/>
      <c r="AQ176" s="241"/>
      <c r="AR176" s="241"/>
      <c r="AS176" s="241"/>
      <c r="AT176" s="241"/>
      <c r="AU176" s="241"/>
      <c r="AV176" s="241"/>
      <c r="AW176" s="241"/>
      <c r="AX176" s="241"/>
      <c r="AY176" s="241"/>
      <c r="AZ176" s="241"/>
      <c r="BA176" s="241"/>
      <c r="BB176" s="241"/>
      <c r="BC176" s="241"/>
      <c r="BD176" s="241"/>
      <c r="BE176" s="241"/>
      <c r="BF176" s="241"/>
      <c r="BG176" s="241"/>
      <c r="BH176" s="241"/>
      <c r="BI176" s="241"/>
      <c r="BJ176" s="241"/>
      <c r="BK176" s="241"/>
      <c r="BL176" s="241"/>
      <c r="BM176" s="241"/>
      <c r="BN176" s="241"/>
      <c r="BO176" s="241"/>
      <c r="BP176" s="241"/>
      <c r="BQ176" s="241"/>
      <c r="BR176" s="241"/>
      <c r="BS176" s="241"/>
      <c r="BT176" s="241"/>
      <c r="BU176" s="241"/>
      <c r="BV176" s="241"/>
      <c r="BW176" s="241"/>
      <c r="BX176" s="241"/>
      <c r="BY176" s="241"/>
      <c r="BZ176" s="241"/>
      <c r="CA176" s="241"/>
      <c r="CB176" s="241"/>
      <c r="CC176" s="241"/>
      <c r="CD176" s="241"/>
      <c r="CE176" s="241"/>
      <c r="CF176" s="241"/>
      <c r="CG176" s="241"/>
      <c r="CH176" s="241"/>
      <c r="CI176" s="241"/>
      <c r="CJ176" s="241"/>
      <c r="CK176" s="241"/>
      <c r="CL176" s="241"/>
      <c r="CM176" s="241"/>
      <c r="CN176" s="241"/>
      <c r="CO176" s="241"/>
      <c r="CP176" s="241"/>
      <c r="CQ176" s="241"/>
      <c r="CR176" s="241"/>
      <c r="CS176" s="241"/>
      <c r="CT176" s="241"/>
      <c r="CU176" s="241"/>
      <c r="CV176" s="241"/>
      <c r="CW176" s="241"/>
      <c r="CX176" s="241"/>
      <c r="CY176" s="241"/>
      <c r="CZ176" s="241"/>
      <c r="DA176" s="241"/>
      <c r="DB176" s="241"/>
      <c r="DC176" s="241"/>
      <c r="DD176" s="241"/>
      <c r="DE176" s="241"/>
      <c r="DF176" s="241"/>
      <c r="DG176" s="241"/>
      <c r="DH176" s="241"/>
      <c r="DT176" s="241"/>
      <c r="FB176" s="241"/>
    </row>
    <row r="177" spans="4:158" hidden="1" x14ac:dyDescent="0.25">
      <c r="D177" s="241"/>
      <c r="E177" s="241"/>
      <c r="F177" s="241"/>
      <c r="G177" s="241"/>
      <c r="H177" s="241"/>
      <c r="I177" s="242"/>
      <c r="J177" s="241"/>
      <c r="K177" s="241"/>
      <c r="L177" s="241"/>
      <c r="M177" s="241"/>
      <c r="N177" s="242"/>
      <c r="O177" s="242"/>
      <c r="P177" s="242"/>
      <c r="Q177" s="242"/>
      <c r="R177" s="241"/>
      <c r="S177" s="241"/>
      <c r="T177" s="241"/>
      <c r="U177" s="241"/>
      <c r="V177" s="241"/>
      <c r="W177" s="241"/>
      <c r="X177" s="241"/>
      <c r="Y177" s="241"/>
      <c r="Z177" s="242"/>
      <c r="AA177" s="242"/>
      <c r="AB177" s="241"/>
      <c r="AC177" s="241"/>
      <c r="AD177" s="241"/>
      <c r="AE177" s="241"/>
      <c r="AF177" s="241"/>
      <c r="AG177" s="241"/>
      <c r="AH177" s="241"/>
      <c r="AI177" s="241"/>
      <c r="AJ177" s="274"/>
      <c r="AK177" s="241"/>
      <c r="AL177" s="241"/>
      <c r="AM177" s="241"/>
      <c r="AN177" s="241"/>
      <c r="AO177" s="241"/>
      <c r="AP177" s="241"/>
      <c r="AQ177" s="241"/>
      <c r="AR177" s="241"/>
      <c r="AS177" s="241"/>
      <c r="AT177" s="241"/>
      <c r="AU177" s="241"/>
      <c r="AV177" s="241"/>
      <c r="AW177" s="241"/>
      <c r="AX177" s="241"/>
      <c r="AY177" s="241"/>
      <c r="AZ177" s="241"/>
      <c r="BA177" s="241"/>
      <c r="BB177" s="241"/>
      <c r="BC177" s="241"/>
      <c r="BD177" s="241"/>
      <c r="BE177" s="241"/>
      <c r="BF177" s="241"/>
      <c r="BG177" s="241"/>
      <c r="BH177" s="241"/>
      <c r="BI177" s="241"/>
      <c r="BJ177" s="241"/>
      <c r="BK177" s="241"/>
      <c r="BL177" s="241"/>
      <c r="BM177" s="241"/>
      <c r="BN177" s="241"/>
      <c r="BO177" s="241"/>
      <c r="BP177" s="241"/>
      <c r="BQ177" s="241"/>
      <c r="BR177" s="241"/>
      <c r="BS177" s="241"/>
      <c r="BT177" s="241"/>
      <c r="BU177" s="241"/>
      <c r="BV177" s="241"/>
      <c r="BW177" s="241"/>
      <c r="BX177" s="241"/>
      <c r="BY177" s="241"/>
      <c r="BZ177" s="241"/>
      <c r="CA177" s="241"/>
      <c r="CB177" s="241"/>
      <c r="CC177" s="241"/>
      <c r="CD177" s="241"/>
      <c r="CE177" s="241"/>
      <c r="CF177" s="241"/>
      <c r="CG177" s="241"/>
      <c r="CH177" s="241"/>
      <c r="CI177" s="241"/>
      <c r="CJ177" s="241"/>
      <c r="CK177" s="241"/>
      <c r="CL177" s="241"/>
      <c r="CM177" s="241"/>
      <c r="CN177" s="241"/>
      <c r="CO177" s="241"/>
      <c r="CP177" s="241"/>
      <c r="CQ177" s="241"/>
      <c r="CR177" s="241"/>
      <c r="CS177" s="241"/>
      <c r="CT177" s="241"/>
      <c r="CU177" s="241"/>
      <c r="CV177" s="241"/>
      <c r="CW177" s="241"/>
      <c r="CX177" s="241"/>
      <c r="CY177" s="241"/>
      <c r="CZ177" s="241"/>
      <c r="DA177" s="241"/>
      <c r="DB177" s="241"/>
      <c r="DC177" s="241"/>
      <c r="DD177" s="241"/>
      <c r="DE177" s="241"/>
      <c r="DF177" s="241"/>
      <c r="DG177" s="241"/>
      <c r="DH177" s="241"/>
      <c r="DT177" s="241"/>
      <c r="FB177" s="241"/>
    </row>
    <row r="178" spans="4:158" hidden="1" x14ac:dyDescent="0.25">
      <c r="D178" s="241"/>
      <c r="E178" s="241"/>
      <c r="F178" s="241"/>
      <c r="G178" s="241"/>
      <c r="H178" s="241"/>
      <c r="I178" s="242"/>
      <c r="J178" s="241"/>
      <c r="K178" s="241"/>
      <c r="L178" s="241"/>
      <c r="M178" s="241"/>
      <c r="N178" s="242"/>
      <c r="O178" s="242"/>
      <c r="P178" s="242"/>
      <c r="Q178" s="242"/>
      <c r="R178" s="241"/>
      <c r="S178" s="241"/>
      <c r="T178" s="241"/>
      <c r="U178" s="241"/>
      <c r="V178" s="241"/>
      <c r="W178" s="241"/>
      <c r="X178" s="241"/>
      <c r="Y178" s="241"/>
      <c r="Z178" s="242"/>
      <c r="AA178" s="242"/>
      <c r="AB178" s="241"/>
      <c r="AC178" s="241"/>
      <c r="AD178" s="241"/>
      <c r="AE178" s="241"/>
      <c r="AF178" s="241"/>
      <c r="AG178" s="241"/>
      <c r="AH178" s="241"/>
      <c r="AI178" s="241"/>
      <c r="AJ178" s="274"/>
      <c r="AK178" s="241"/>
      <c r="AL178" s="241"/>
      <c r="AM178" s="241"/>
      <c r="AN178" s="241"/>
      <c r="AO178" s="241"/>
      <c r="AP178" s="241"/>
      <c r="AQ178" s="241"/>
      <c r="AR178" s="241"/>
      <c r="AS178" s="241"/>
      <c r="AT178" s="241"/>
      <c r="AU178" s="241"/>
      <c r="AV178" s="241"/>
      <c r="AW178" s="241"/>
      <c r="AX178" s="241"/>
      <c r="AY178" s="241"/>
      <c r="AZ178" s="241"/>
      <c r="BA178" s="241"/>
      <c r="BB178" s="241"/>
      <c r="BC178" s="241"/>
      <c r="BD178" s="241"/>
      <c r="BE178" s="241"/>
      <c r="BF178" s="241"/>
      <c r="BG178" s="241"/>
      <c r="BH178" s="241"/>
      <c r="BI178" s="241"/>
      <c r="BJ178" s="241"/>
      <c r="BK178" s="241"/>
      <c r="BL178" s="241"/>
      <c r="BM178" s="241"/>
      <c r="BN178" s="241"/>
      <c r="BO178" s="241"/>
      <c r="BP178" s="241"/>
      <c r="BQ178" s="241"/>
      <c r="BR178" s="241"/>
      <c r="BS178" s="241"/>
      <c r="BT178" s="241"/>
      <c r="BU178" s="241"/>
      <c r="BV178" s="241"/>
      <c r="BW178" s="241"/>
      <c r="BX178" s="241"/>
      <c r="BY178" s="241"/>
      <c r="BZ178" s="241"/>
      <c r="CA178" s="241"/>
      <c r="CB178" s="241"/>
      <c r="CC178" s="241"/>
      <c r="CD178" s="241"/>
      <c r="CE178" s="241"/>
      <c r="CF178" s="241"/>
      <c r="CG178" s="241"/>
      <c r="CH178" s="241"/>
      <c r="CI178" s="241"/>
      <c r="CJ178" s="241"/>
      <c r="CK178" s="241"/>
      <c r="CL178" s="241"/>
      <c r="CM178" s="241"/>
      <c r="CN178" s="241"/>
      <c r="CO178" s="241"/>
      <c r="CP178" s="241"/>
      <c r="CQ178" s="241"/>
      <c r="CR178" s="241"/>
      <c r="CS178" s="241"/>
      <c r="CT178" s="241"/>
      <c r="CU178" s="241"/>
      <c r="CV178" s="241"/>
      <c r="CW178" s="241"/>
      <c r="CX178" s="241"/>
      <c r="CY178" s="241"/>
      <c r="CZ178" s="241"/>
      <c r="DA178" s="241"/>
      <c r="DB178" s="241"/>
      <c r="DC178" s="241"/>
      <c r="DD178" s="241"/>
      <c r="DE178" s="241"/>
      <c r="DF178" s="241"/>
      <c r="DG178" s="241"/>
      <c r="DH178" s="241"/>
      <c r="DT178" s="241"/>
      <c r="FB178" s="241"/>
    </row>
    <row r="179" spans="4:158" hidden="1" x14ac:dyDescent="0.25">
      <c r="D179" s="241"/>
      <c r="E179" s="241"/>
      <c r="F179" s="241"/>
      <c r="G179" s="241"/>
      <c r="H179" s="241"/>
      <c r="I179" s="242"/>
      <c r="J179" s="241"/>
      <c r="K179" s="241"/>
      <c r="L179" s="241"/>
      <c r="M179" s="241"/>
      <c r="N179" s="242"/>
      <c r="O179" s="242"/>
      <c r="P179" s="242"/>
      <c r="Q179" s="242"/>
      <c r="R179" s="241"/>
      <c r="S179" s="241"/>
      <c r="T179" s="241"/>
      <c r="U179" s="241"/>
      <c r="V179" s="241"/>
      <c r="W179" s="241"/>
      <c r="X179" s="241"/>
      <c r="Y179" s="241"/>
      <c r="Z179" s="242"/>
      <c r="AA179" s="242"/>
      <c r="AB179" s="241"/>
      <c r="AC179" s="241"/>
      <c r="AD179" s="241"/>
      <c r="AE179" s="241"/>
      <c r="AF179" s="241"/>
      <c r="AG179" s="241"/>
      <c r="AH179" s="241"/>
      <c r="AI179" s="241"/>
      <c r="AJ179" s="274"/>
      <c r="AK179" s="241"/>
      <c r="AL179" s="241"/>
      <c r="AM179" s="241"/>
      <c r="AN179" s="241"/>
      <c r="AO179" s="241"/>
      <c r="AP179" s="241"/>
      <c r="AQ179" s="241"/>
      <c r="AR179" s="241"/>
      <c r="AS179" s="241"/>
      <c r="AT179" s="241"/>
      <c r="AU179" s="241"/>
      <c r="AV179" s="241"/>
      <c r="AW179" s="241"/>
      <c r="AX179" s="241"/>
      <c r="AY179" s="241"/>
      <c r="AZ179" s="241"/>
      <c r="BA179" s="241"/>
      <c r="BB179" s="241"/>
      <c r="BC179" s="241"/>
      <c r="BD179" s="241"/>
      <c r="BE179" s="241"/>
      <c r="BF179" s="241"/>
      <c r="BG179" s="241"/>
      <c r="BH179" s="241"/>
      <c r="BI179" s="241"/>
      <c r="BJ179" s="241"/>
      <c r="BK179" s="241"/>
      <c r="BL179" s="241"/>
      <c r="BM179" s="241"/>
      <c r="BN179" s="241"/>
      <c r="BO179" s="241"/>
      <c r="BP179" s="241"/>
      <c r="BQ179" s="241"/>
      <c r="BR179" s="241"/>
      <c r="BS179" s="241"/>
      <c r="BT179" s="241"/>
      <c r="BU179" s="241"/>
      <c r="BV179" s="241"/>
      <c r="BW179" s="241"/>
      <c r="BX179" s="241"/>
      <c r="BY179" s="241"/>
      <c r="BZ179" s="241"/>
      <c r="CA179" s="241"/>
      <c r="CB179" s="241"/>
      <c r="CC179" s="241"/>
      <c r="CD179" s="241"/>
      <c r="CE179" s="241"/>
      <c r="CF179" s="241"/>
      <c r="CG179" s="241"/>
      <c r="CH179" s="241"/>
      <c r="CI179" s="241"/>
      <c r="CJ179" s="241"/>
      <c r="CK179" s="241"/>
      <c r="CL179" s="241"/>
      <c r="CM179" s="241"/>
      <c r="CN179" s="241"/>
      <c r="CO179" s="241"/>
      <c r="CP179" s="241"/>
      <c r="CQ179" s="241"/>
      <c r="CR179" s="241"/>
      <c r="CS179" s="241"/>
      <c r="CT179" s="241"/>
      <c r="CU179" s="241"/>
      <c r="CV179" s="241"/>
      <c r="CW179" s="241"/>
      <c r="CX179" s="241"/>
      <c r="CY179" s="241"/>
      <c r="CZ179" s="241"/>
      <c r="DA179" s="241"/>
      <c r="DB179" s="241"/>
      <c r="DC179" s="241"/>
      <c r="DD179" s="241"/>
      <c r="DE179" s="241"/>
      <c r="DF179" s="241"/>
      <c r="DG179" s="241"/>
      <c r="DH179" s="241"/>
      <c r="DT179" s="241"/>
      <c r="FB179" s="241"/>
    </row>
    <row r="180" spans="4:158" hidden="1" x14ac:dyDescent="0.25">
      <c r="D180" s="241"/>
      <c r="E180" s="241"/>
      <c r="F180" s="241"/>
      <c r="G180" s="241"/>
      <c r="H180" s="241"/>
      <c r="I180" s="242"/>
      <c r="J180" s="241"/>
      <c r="K180" s="241"/>
      <c r="L180" s="241"/>
      <c r="M180" s="241"/>
      <c r="N180" s="242"/>
      <c r="O180" s="242"/>
      <c r="P180" s="242"/>
      <c r="Q180" s="242"/>
      <c r="R180" s="241"/>
      <c r="S180" s="241"/>
      <c r="T180" s="241"/>
      <c r="U180" s="241"/>
      <c r="V180" s="241"/>
      <c r="W180" s="241"/>
      <c r="X180" s="241"/>
      <c r="Y180" s="241"/>
      <c r="Z180" s="242"/>
      <c r="AA180" s="242"/>
      <c r="AB180" s="241"/>
      <c r="AC180" s="241"/>
      <c r="AD180" s="241"/>
      <c r="AE180" s="241"/>
      <c r="AF180" s="241"/>
      <c r="AG180" s="241"/>
      <c r="AH180" s="241"/>
      <c r="AI180" s="241"/>
      <c r="AJ180" s="274"/>
      <c r="AK180" s="241"/>
      <c r="AL180" s="241"/>
      <c r="AM180" s="241"/>
      <c r="AN180" s="241"/>
      <c r="AO180" s="241"/>
      <c r="AP180" s="241"/>
      <c r="AQ180" s="241"/>
      <c r="AR180" s="241"/>
      <c r="AS180" s="241"/>
      <c r="AT180" s="241"/>
      <c r="AU180" s="241"/>
      <c r="AV180" s="241"/>
      <c r="AW180" s="241"/>
      <c r="AX180" s="241"/>
      <c r="AY180" s="241"/>
      <c r="AZ180" s="241"/>
      <c r="BA180" s="241"/>
      <c r="BB180" s="241"/>
      <c r="BC180" s="241"/>
      <c r="BD180" s="241"/>
      <c r="BE180" s="241"/>
      <c r="BF180" s="241"/>
      <c r="BG180" s="241"/>
      <c r="BH180" s="241"/>
      <c r="BI180" s="241"/>
      <c r="BJ180" s="241"/>
      <c r="BK180" s="241"/>
      <c r="BL180" s="241"/>
      <c r="BM180" s="241"/>
      <c r="BN180" s="241"/>
      <c r="BO180" s="241"/>
      <c r="BP180" s="241"/>
      <c r="BQ180" s="241"/>
      <c r="BR180" s="241"/>
      <c r="BS180" s="241"/>
      <c r="BT180" s="241"/>
      <c r="BU180" s="241"/>
      <c r="BV180" s="241"/>
      <c r="BW180" s="241"/>
      <c r="BX180" s="241"/>
      <c r="BY180" s="241"/>
      <c r="BZ180" s="241"/>
      <c r="CA180" s="241"/>
      <c r="CB180" s="241"/>
      <c r="CC180" s="241"/>
      <c r="CD180" s="241"/>
      <c r="CE180" s="241"/>
      <c r="CF180" s="241"/>
      <c r="CG180" s="241"/>
      <c r="CH180" s="241"/>
      <c r="CI180" s="241"/>
      <c r="CJ180" s="241"/>
      <c r="CK180" s="241"/>
      <c r="CL180" s="241"/>
      <c r="CM180" s="241"/>
      <c r="CN180" s="241"/>
      <c r="CO180" s="241"/>
      <c r="CP180" s="241"/>
      <c r="CQ180" s="241"/>
      <c r="CR180" s="241"/>
      <c r="CS180" s="241"/>
      <c r="CT180" s="241"/>
      <c r="CU180" s="241"/>
      <c r="CV180" s="241"/>
      <c r="CW180" s="241"/>
      <c r="CX180" s="241"/>
      <c r="CY180" s="241"/>
      <c r="CZ180" s="241"/>
      <c r="DA180" s="241"/>
      <c r="DB180" s="241"/>
      <c r="DC180" s="241"/>
      <c r="DD180" s="241"/>
      <c r="DE180" s="241"/>
      <c r="DF180" s="241"/>
      <c r="DG180" s="241"/>
      <c r="DH180" s="241"/>
      <c r="DT180" s="241"/>
      <c r="FB180" s="241"/>
    </row>
    <row r="181" spans="4:158" hidden="1" x14ac:dyDescent="0.25">
      <c r="D181" s="241"/>
      <c r="E181" s="241"/>
      <c r="F181" s="241"/>
      <c r="G181" s="241"/>
      <c r="H181" s="241"/>
      <c r="I181" s="242"/>
      <c r="J181" s="241"/>
      <c r="K181" s="241"/>
      <c r="L181" s="241"/>
      <c r="M181" s="241"/>
      <c r="N181" s="242"/>
      <c r="O181" s="242"/>
      <c r="P181" s="242"/>
      <c r="Q181" s="242"/>
      <c r="R181" s="241"/>
      <c r="S181" s="241"/>
      <c r="T181" s="241"/>
      <c r="U181" s="241"/>
      <c r="V181" s="241"/>
      <c r="W181" s="241"/>
      <c r="X181" s="241"/>
      <c r="Y181" s="241"/>
      <c r="Z181" s="242"/>
      <c r="AA181" s="242"/>
      <c r="AB181" s="241"/>
      <c r="AC181" s="241"/>
      <c r="AD181" s="241"/>
      <c r="AE181" s="241"/>
      <c r="AF181" s="241"/>
      <c r="AG181" s="241"/>
      <c r="AH181" s="241"/>
      <c r="AI181" s="241"/>
      <c r="AJ181" s="274"/>
      <c r="AK181" s="241"/>
      <c r="AL181" s="241"/>
      <c r="AM181" s="241"/>
      <c r="AN181" s="241"/>
      <c r="AO181" s="241"/>
      <c r="AP181" s="241"/>
      <c r="AQ181" s="241"/>
      <c r="AR181" s="241"/>
      <c r="AS181" s="241"/>
      <c r="AT181" s="241"/>
      <c r="AU181" s="241"/>
      <c r="AV181" s="241"/>
      <c r="AW181" s="241"/>
      <c r="AX181" s="241"/>
      <c r="AY181" s="241"/>
      <c r="AZ181" s="241"/>
      <c r="BA181" s="241"/>
      <c r="BB181" s="241"/>
      <c r="BC181" s="241"/>
      <c r="BD181" s="241"/>
      <c r="BE181" s="241"/>
      <c r="BF181" s="241"/>
      <c r="BG181" s="241"/>
      <c r="BH181" s="241"/>
      <c r="BI181" s="241"/>
      <c r="BJ181" s="241"/>
      <c r="BK181" s="241"/>
      <c r="BL181" s="241"/>
      <c r="BM181" s="241"/>
      <c r="BN181" s="241"/>
      <c r="BO181" s="241"/>
      <c r="BP181" s="241"/>
      <c r="BQ181" s="241"/>
      <c r="BR181" s="241"/>
      <c r="BS181" s="241"/>
      <c r="BT181" s="241"/>
      <c r="BU181" s="241"/>
      <c r="BV181" s="241"/>
      <c r="BW181" s="241"/>
      <c r="BX181" s="241"/>
      <c r="BY181" s="241"/>
      <c r="BZ181" s="241"/>
      <c r="CA181" s="241"/>
      <c r="CB181" s="241"/>
      <c r="CC181" s="241"/>
      <c r="CD181" s="241"/>
      <c r="CE181" s="241"/>
      <c r="CF181" s="241"/>
      <c r="CG181" s="241"/>
      <c r="CH181" s="241"/>
      <c r="CI181" s="241"/>
      <c r="CJ181" s="241"/>
      <c r="CK181" s="241"/>
      <c r="CL181" s="241"/>
      <c r="CM181" s="241"/>
      <c r="CN181" s="241"/>
      <c r="CO181" s="241"/>
      <c r="CP181" s="241"/>
      <c r="CQ181" s="241"/>
      <c r="CR181" s="241"/>
      <c r="CS181" s="241"/>
      <c r="CT181" s="241"/>
      <c r="CU181" s="241"/>
      <c r="CV181" s="241"/>
      <c r="CW181" s="241"/>
      <c r="CX181" s="241"/>
      <c r="CY181" s="241"/>
      <c r="CZ181" s="241"/>
      <c r="DA181" s="241"/>
      <c r="DB181" s="241"/>
      <c r="DC181" s="241"/>
      <c r="DD181" s="241"/>
      <c r="DE181" s="241"/>
      <c r="DF181" s="241"/>
      <c r="DG181" s="241"/>
      <c r="DH181" s="241"/>
      <c r="DT181" s="241"/>
      <c r="FB181" s="241"/>
    </row>
    <row r="182" spans="4:158" hidden="1" x14ac:dyDescent="0.25">
      <c r="D182" s="241"/>
      <c r="E182" s="241"/>
      <c r="F182" s="241"/>
      <c r="G182" s="241"/>
      <c r="H182" s="241"/>
      <c r="I182" s="242"/>
      <c r="J182" s="241"/>
      <c r="K182" s="241"/>
      <c r="L182" s="241"/>
      <c r="M182" s="241"/>
      <c r="N182" s="242"/>
      <c r="O182" s="242"/>
      <c r="P182" s="242"/>
      <c r="Q182" s="242"/>
      <c r="R182" s="241"/>
      <c r="S182" s="241"/>
      <c r="T182" s="241"/>
      <c r="U182" s="241"/>
      <c r="V182" s="241"/>
      <c r="W182" s="241"/>
      <c r="X182" s="241"/>
      <c r="Y182" s="241"/>
      <c r="Z182" s="242"/>
      <c r="AA182" s="242"/>
      <c r="AB182" s="241"/>
      <c r="AC182" s="241"/>
      <c r="AD182" s="241"/>
      <c r="AE182" s="241"/>
      <c r="AF182" s="241"/>
      <c r="AG182" s="241"/>
      <c r="AH182" s="241"/>
      <c r="AI182" s="241"/>
      <c r="AJ182" s="274"/>
      <c r="AK182" s="241"/>
      <c r="AL182" s="241"/>
      <c r="AM182" s="241"/>
      <c r="AN182" s="241"/>
      <c r="AO182" s="241"/>
      <c r="AP182" s="241"/>
      <c r="AQ182" s="241"/>
      <c r="AR182" s="241"/>
      <c r="AS182" s="241"/>
      <c r="AT182" s="241"/>
      <c r="AU182" s="241"/>
      <c r="AV182" s="241"/>
      <c r="AW182" s="241"/>
      <c r="AX182" s="241"/>
      <c r="AY182" s="241"/>
      <c r="AZ182" s="241"/>
      <c r="BA182" s="241"/>
      <c r="BB182" s="241"/>
      <c r="BC182" s="241"/>
      <c r="BD182" s="241"/>
      <c r="BE182" s="241"/>
      <c r="BF182" s="241"/>
      <c r="BG182" s="241"/>
      <c r="BH182" s="241"/>
      <c r="BI182" s="241"/>
      <c r="BJ182" s="241"/>
      <c r="BK182" s="241"/>
      <c r="BL182" s="241"/>
      <c r="BM182" s="241"/>
      <c r="BN182" s="241"/>
      <c r="BO182" s="241"/>
      <c r="BP182" s="241"/>
      <c r="BQ182" s="241"/>
      <c r="BR182" s="241"/>
      <c r="BS182" s="241"/>
      <c r="BT182" s="241"/>
      <c r="BU182" s="241"/>
      <c r="BV182" s="241"/>
      <c r="BW182" s="241"/>
      <c r="BX182" s="241"/>
      <c r="BY182" s="241"/>
      <c r="BZ182" s="241"/>
      <c r="CA182" s="241"/>
      <c r="CB182" s="241"/>
      <c r="CC182" s="241"/>
      <c r="CD182" s="241"/>
      <c r="CE182" s="241"/>
      <c r="CF182" s="241"/>
      <c r="CG182" s="241"/>
      <c r="CH182" s="241"/>
      <c r="CI182" s="241"/>
      <c r="CJ182" s="241"/>
      <c r="CK182" s="241"/>
      <c r="CL182" s="241"/>
      <c r="CM182" s="241"/>
      <c r="CN182" s="241"/>
      <c r="CO182" s="241"/>
      <c r="CP182" s="241"/>
      <c r="CQ182" s="241"/>
      <c r="CR182" s="241"/>
      <c r="CS182" s="241"/>
      <c r="CT182" s="241"/>
      <c r="CU182" s="241"/>
      <c r="CV182" s="241"/>
      <c r="CW182" s="241"/>
      <c r="CX182" s="241"/>
      <c r="CY182" s="241"/>
      <c r="CZ182" s="241"/>
      <c r="DA182" s="241"/>
      <c r="DB182" s="241"/>
      <c r="DC182" s="241"/>
      <c r="DD182" s="241"/>
      <c r="DE182" s="241"/>
      <c r="DF182" s="241"/>
      <c r="DG182" s="241"/>
      <c r="DH182" s="241"/>
      <c r="DT182" s="241"/>
      <c r="FB182" s="241"/>
    </row>
    <row r="183" spans="4:158" hidden="1" x14ac:dyDescent="0.25">
      <c r="D183" s="241"/>
      <c r="E183" s="241"/>
      <c r="F183" s="241"/>
      <c r="G183" s="241"/>
      <c r="H183" s="241"/>
      <c r="I183" s="242"/>
      <c r="J183" s="241"/>
      <c r="K183" s="241"/>
      <c r="L183" s="241"/>
      <c r="M183" s="241"/>
      <c r="N183" s="242"/>
      <c r="O183" s="242"/>
      <c r="P183" s="242"/>
      <c r="Q183" s="242"/>
      <c r="R183" s="241"/>
      <c r="S183" s="241"/>
      <c r="T183" s="241"/>
      <c r="U183" s="241"/>
      <c r="V183" s="241"/>
      <c r="W183" s="241"/>
      <c r="X183" s="241"/>
      <c r="Y183" s="241"/>
      <c r="Z183" s="242"/>
      <c r="AA183" s="242"/>
      <c r="AB183" s="241"/>
      <c r="AC183" s="241"/>
      <c r="AD183" s="241"/>
      <c r="AE183" s="241"/>
      <c r="AF183" s="241"/>
      <c r="AG183" s="241"/>
      <c r="AH183" s="241"/>
      <c r="AI183" s="241"/>
      <c r="AJ183" s="274"/>
      <c r="AK183" s="241"/>
      <c r="AL183" s="241"/>
      <c r="AM183" s="241"/>
      <c r="AN183" s="241"/>
      <c r="AO183" s="241"/>
      <c r="AP183" s="241"/>
      <c r="AQ183" s="241"/>
      <c r="AR183" s="241"/>
      <c r="AS183" s="241"/>
      <c r="AT183" s="241"/>
      <c r="AU183" s="241"/>
      <c r="AV183" s="241"/>
      <c r="AW183" s="241"/>
      <c r="AX183" s="241"/>
      <c r="AY183" s="241"/>
      <c r="AZ183" s="241"/>
      <c r="BA183" s="241"/>
      <c r="BB183" s="241"/>
      <c r="BC183" s="241"/>
      <c r="BD183" s="241"/>
      <c r="BE183" s="241"/>
      <c r="BF183" s="241"/>
      <c r="BG183" s="241"/>
      <c r="BH183" s="241"/>
      <c r="BI183" s="241"/>
      <c r="BJ183" s="241"/>
      <c r="BK183" s="241"/>
      <c r="BL183" s="241"/>
      <c r="BM183" s="241"/>
      <c r="BN183" s="241"/>
      <c r="BO183" s="241"/>
      <c r="BP183" s="241"/>
      <c r="BQ183" s="241"/>
      <c r="BR183" s="241"/>
      <c r="BS183" s="241"/>
      <c r="BT183" s="241"/>
      <c r="BU183" s="241"/>
      <c r="BV183" s="241"/>
      <c r="BW183" s="241"/>
      <c r="BX183" s="241"/>
      <c r="BY183" s="241"/>
      <c r="BZ183" s="241"/>
      <c r="CA183" s="241"/>
      <c r="CB183" s="241"/>
      <c r="CC183" s="241"/>
      <c r="CD183" s="241"/>
      <c r="CE183" s="241"/>
      <c r="CF183" s="241"/>
      <c r="CG183" s="241"/>
      <c r="CH183" s="241"/>
      <c r="CI183" s="241"/>
      <c r="CJ183" s="241"/>
      <c r="CK183" s="241"/>
      <c r="CL183" s="241"/>
      <c r="CM183" s="241"/>
      <c r="CN183" s="241"/>
      <c r="CO183" s="241"/>
      <c r="CP183" s="241"/>
      <c r="CQ183" s="241"/>
      <c r="CR183" s="241"/>
      <c r="CS183" s="241"/>
      <c r="CT183" s="241"/>
      <c r="CU183" s="241"/>
      <c r="CV183" s="241"/>
      <c r="CW183" s="241"/>
      <c r="CX183" s="241"/>
      <c r="CY183" s="241"/>
      <c r="CZ183" s="241"/>
      <c r="DA183" s="241"/>
      <c r="DB183" s="241"/>
      <c r="DC183" s="241"/>
      <c r="DD183" s="241"/>
      <c r="DE183" s="241"/>
      <c r="DF183" s="241"/>
      <c r="DG183" s="241"/>
      <c r="DH183" s="241"/>
      <c r="DT183" s="241"/>
      <c r="FB183" s="241"/>
    </row>
    <row r="184" spans="4:158" hidden="1" x14ac:dyDescent="0.25">
      <c r="D184" s="241"/>
      <c r="E184" s="241"/>
      <c r="F184" s="241"/>
      <c r="G184" s="241"/>
      <c r="H184" s="241"/>
      <c r="I184" s="242"/>
      <c r="J184" s="241"/>
      <c r="K184" s="241"/>
      <c r="L184" s="241"/>
      <c r="M184" s="241"/>
      <c r="N184" s="242"/>
      <c r="O184" s="242"/>
      <c r="P184" s="242"/>
      <c r="Q184" s="242"/>
      <c r="R184" s="241"/>
      <c r="S184" s="241"/>
      <c r="T184" s="241"/>
      <c r="U184" s="241"/>
      <c r="V184" s="241"/>
      <c r="W184" s="241"/>
      <c r="X184" s="241"/>
      <c r="Y184" s="241"/>
      <c r="Z184" s="242"/>
      <c r="AA184" s="242"/>
      <c r="AB184" s="241"/>
      <c r="AC184" s="241"/>
      <c r="AD184" s="241"/>
      <c r="AE184" s="241"/>
      <c r="AF184" s="241"/>
      <c r="AG184" s="241"/>
      <c r="AH184" s="241"/>
      <c r="AI184" s="241"/>
      <c r="AJ184" s="274"/>
      <c r="AK184" s="241"/>
      <c r="AL184" s="241"/>
      <c r="AM184" s="241"/>
      <c r="AN184" s="241"/>
      <c r="AO184" s="241"/>
      <c r="AP184" s="241"/>
      <c r="AQ184" s="241"/>
      <c r="AR184" s="241"/>
      <c r="AS184" s="241"/>
      <c r="AT184" s="241"/>
      <c r="AU184" s="241"/>
      <c r="AV184" s="241"/>
      <c r="AW184" s="241"/>
      <c r="AX184" s="241"/>
      <c r="AY184" s="241"/>
      <c r="AZ184" s="241"/>
      <c r="BA184" s="241"/>
      <c r="BB184" s="241"/>
      <c r="BC184" s="241"/>
      <c r="BD184" s="241"/>
      <c r="BE184" s="241"/>
      <c r="BF184" s="241"/>
      <c r="BG184" s="241"/>
      <c r="BH184" s="241"/>
      <c r="BI184" s="241"/>
      <c r="BJ184" s="241"/>
      <c r="BK184" s="241"/>
      <c r="BL184" s="241"/>
      <c r="BM184" s="241"/>
      <c r="BN184" s="241"/>
      <c r="BO184" s="241"/>
      <c r="BP184" s="241"/>
      <c r="BQ184" s="241"/>
      <c r="BR184" s="241"/>
      <c r="BS184" s="241"/>
      <c r="BT184" s="241"/>
      <c r="BU184" s="241"/>
      <c r="BV184" s="241"/>
      <c r="BW184" s="241"/>
      <c r="BX184" s="241"/>
      <c r="BY184" s="241"/>
      <c r="BZ184" s="241"/>
      <c r="CA184" s="241"/>
      <c r="CB184" s="241"/>
      <c r="CC184" s="241"/>
      <c r="CD184" s="241"/>
      <c r="CE184" s="241"/>
      <c r="CF184" s="241"/>
      <c r="CG184" s="241"/>
      <c r="CH184" s="241"/>
      <c r="CI184" s="241"/>
      <c r="CJ184" s="241"/>
      <c r="CK184" s="241"/>
      <c r="CL184" s="241"/>
      <c r="CM184" s="241"/>
      <c r="CN184" s="241"/>
      <c r="CO184" s="241"/>
      <c r="CP184" s="241"/>
      <c r="CQ184" s="241"/>
      <c r="CR184" s="241"/>
      <c r="CS184" s="241"/>
      <c r="CT184" s="241"/>
      <c r="CU184" s="241"/>
      <c r="CV184" s="241"/>
      <c r="CW184" s="241"/>
      <c r="CX184" s="241"/>
      <c r="CY184" s="241"/>
      <c r="CZ184" s="241"/>
      <c r="DA184" s="241"/>
      <c r="DB184" s="241"/>
      <c r="DC184" s="241"/>
      <c r="DD184" s="241"/>
      <c r="DE184" s="241"/>
      <c r="DF184" s="241"/>
      <c r="DG184" s="241"/>
      <c r="DH184" s="241"/>
      <c r="DT184" s="241"/>
      <c r="FB184" s="241"/>
    </row>
    <row r="185" spans="4:158" hidden="1" x14ac:dyDescent="0.25">
      <c r="D185" s="241"/>
      <c r="E185" s="241"/>
      <c r="F185" s="241"/>
      <c r="G185" s="241"/>
      <c r="H185" s="241"/>
      <c r="I185" s="242"/>
      <c r="J185" s="241"/>
      <c r="K185" s="241"/>
      <c r="L185" s="241"/>
      <c r="M185" s="241"/>
      <c r="N185" s="242"/>
      <c r="O185" s="242"/>
      <c r="P185" s="242"/>
      <c r="Q185" s="242"/>
      <c r="R185" s="241"/>
      <c r="S185" s="241"/>
      <c r="T185" s="241"/>
      <c r="U185" s="241"/>
      <c r="V185" s="241"/>
      <c r="W185" s="241"/>
      <c r="X185" s="241"/>
      <c r="Y185" s="241"/>
      <c r="Z185" s="242"/>
      <c r="AA185" s="242"/>
      <c r="AB185" s="241"/>
      <c r="AC185" s="241"/>
      <c r="AD185" s="241"/>
      <c r="AE185" s="241"/>
      <c r="AF185" s="241"/>
      <c r="AG185" s="241"/>
      <c r="AH185" s="241"/>
      <c r="AI185" s="241"/>
      <c r="AJ185" s="274"/>
      <c r="AK185" s="241"/>
      <c r="AL185" s="241"/>
      <c r="AM185" s="241"/>
      <c r="AN185" s="241"/>
      <c r="AO185" s="241"/>
      <c r="AP185" s="241"/>
      <c r="AQ185" s="241"/>
      <c r="AR185" s="241"/>
      <c r="AS185" s="241"/>
      <c r="AT185" s="241"/>
      <c r="AU185" s="241"/>
      <c r="AV185" s="241"/>
      <c r="AW185" s="241"/>
      <c r="AX185" s="241"/>
      <c r="AY185" s="241"/>
      <c r="AZ185" s="241"/>
      <c r="BA185" s="241"/>
      <c r="BB185" s="241"/>
      <c r="BC185" s="241"/>
      <c r="BD185" s="241"/>
      <c r="BE185" s="241"/>
      <c r="BF185" s="241"/>
      <c r="BG185" s="241"/>
      <c r="BH185" s="241"/>
      <c r="BI185" s="241"/>
      <c r="BJ185" s="241"/>
      <c r="BK185" s="241"/>
      <c r="BL185" s="241"/>
      <c r="BM185" s="241"/>
      <c r="BN185" s="241"/>
      <c r="BO185" s="241"/>
      <c r="BP185" s="241"/>
      <c r="BQ185" s="241"/>
      <c r="BR185" s="241"/>
      <c r="BS185" s="241"/>
      <c r="BT185" s="241"/>
      <c r="BU185" s="241"/>
      <c r="BV185" s="241"/>
      <c r="BW185" s="241"/>
      <c r="BX185" s="241"/>
      <c r="BY185" s="241"/>
      <c r="BZ185" s="241"/>
      <c r="CA185" s="241"/>
      <c r="CB185" s="241"/>
      <c r="CC185" s="241"/>
      <c r="CD185" s="241"/>
      <c r="CE185" s="241"/>
      <c r="CF185" s="241"/>
      <c r="CG185" s="241"/>
      <c r="CH185" s="241"/>
      <c r="CI185" s="241"/>
      <c r="CJ185" s="241"/>
      <c r="CK185" s="241"/>
      <c r="CL185" s="241"/>
      <c r="CM185" s="241"/>
      <c r="CN185" s="241"/>
      <c r="CO185" s="241"/>
      <c r="CP185" s="241"/>
      <c r="CQ185" s="241"/>
      <c r="CR185" s="241"/>
      <c r="CS185" s="241"/>
      <c r="CT185" s="241"/>
      <c r="CU185" s="241"/>
      <c r="CV185" s="241"/>
      <c r="CW185" s="241"/>
      <c r="CX185" s="241"/>
      <c r="CY185" s="241"/>
      <c r="CZ185" s="241"/>
      <c r="DA185" s="241"/>
      <c r="DB185" s="241"/>
      <c r="DC185" s="241"/>
      <c r="DD185" s="241"/>
      <c r="DE185" s="241"/>
      <c r="DF185" s="241"/>
      <c r="DG185" s="241"/>
      <c r="DH185" s="241"/>
      <c r="DT185" s="241"/>
      <c r="FB185" s="241"/>
    </row>
    <row r="186" spans="4:158" hidden="1" x14ac:dyDescent="0.25">
      <c r="D186" s="241"/>
      <c r="E186" s="241"/>
      <c r="F186" s="241"/>
      <c r="G186" s="241"/>
      <c r="H186" s="241"/>
      <c r="I186" s="242"/>
      <c r="J186" s="241"/>
      <c r="K186" s="241"/>
      <c r="L186" s="241"/>
      <c r="M186" s="241"/>
      <c r="N186" s="242"/>
      <c r="O186" s="242"/>
      <c r="P186" s="242"/>
      <c r="Q186" s="242"/>
      <c r="R186" s="241"/>
      <c r="S186" s="241"/>
      <c r="T186" s="241"/>
      <c r="U186" s="241"/>
      <c r="V186" s="241"/>
      <c r="W186" s="241"/>
      <c r="X186" s="241"/>
      <c r="Y186" s="241"/>
      <c r="Z186" s="242"/>
      <c r="AA186" s="242"/>
      <c r="AB186" s="241"/>
      <c r="AC186" s="241"/>
      <c r="AD186" s="241"/>
      <c r="AE186" s="241"/>
      <c r="AF186" s="241"/>
      <c r="AG186" s="241"/>
      <c r="AH186" s="241"/>
      <c r="AI186" s="241"/>
      <c r="AJ186" s="274"/>
      <c r="AK186" s="241"/>
      <c r="AL186" s="241"/>
      <c r="AM186" s="241"/>
      <c r="AN186" s="241"/>
      <c r="AO186" s="241"/>
      <c r="AP186" s="241"/>
      <c r="AQ186" s="241"/>
      <c r="AR186" s="241"/>
      <c r="AS186" s="241"/>
      <c r="AT186" s="241"/>
      <c r="AU186" s="241"/>
      <c r="AV186" s="241"/>
      <c r="AW186" s="241"/>
      <c r="AX186" s="241"/>
      <c r="AY186" s="241"/>
      <c r="AZ186" s="241"/>
      <c r="BA186" s="241"/>
      <c r="BB186" s="241"/>
      <c r="BC186" s="241"/>
      <c r="BD186" s="241"/>
      <c r="BE186" s="241"/>
      <c r="BF186" s="241"/>
      <c r="BG186" s="241"/>
      <c r="BH186" s="241"/>
      <c r="BI186" s="241"/>
      <c r="BJ186" s="241"/>
      <c r="BK186" s="241"/>
      <c r="BL186" s="241"/>
      <c r="BM186" s="241"/>
      <c r="BN186" s="241"/>
      <c r="BO186" s="241"/>
      <c r="BP186" s="241"/>
      <c r="BQ186" s="241"/>
      <c r="BR186" s="241"/>
      <c r="BS186" s="241"/>
      <c r="BT186" s="241"/>
      <c r="BU186" s="241"/>
      <c r="BV186" s="241"/>
      <c r="BW186" s="241"/>
      <c r="BX186" s="241"/>
      <c r="BY186" s="241"/>
      <c r="BZ186" s="241"/>
      <c r="CA186" s="241"/>
      <c r="CB186" s="241"/>
      <c r="CC186" s="241"/>
      <c r="CD186" s="241"/>
      <c r="CE186" s="241"/>
      <c r="CF186" s="241"/>
      <c r="CG186" s="241"/>
      <c r="CH186" s="241"/>
      <c r="CI186" s="241"/>
      <c r="CJ186" s="241"/>
      <c r="CK186" s="241"/>
      <c r="CL186" s="241"/>
      <c r="CM186" s="241"/>
      <c r="CN186" s="241"/>
      <c r="CO186" s="241"/>
      <c r="CP186" s="241"/>
      <c r="CQ186" s="241"/>
      <c r="CR186" s="241"/>
      <c r="CS186" s="241"/>
      <c r="CT186" s="241"/>
      <c r="CU186" s="241"/>
      <c r="CV186" s="241"/>
      <c r="CW186" s="241"/>
      <c r="CX186" s="241"/>
      <c r="CY186" s="241"/>
      <c r="CZ186" s="241"/>
      <c r="DA186" s="241"/>
      <c r="DB186" s="241"/>
      <c r="DC186" s="241"/>
      <c r="DD186" s="241"/>
      <c r="DE186" s="241"/>
      <c r="DF186" s="241"/>
      <c r="DG186" s="241"/>
      <c r="DH186" s="241"/>
      <c r="DT186" s="241"/>
      <c r="FB186" s="241"/>
    </row>
    <row r="187" spans="4:158" hidden="1" x14ac:dyDescent="0.25">
      <c r="D187" s="241"/>
      <c r="E187" s="241"/>
      <c r="F187" s="241"/>
      <c r="G187" s="241"/>
      <c r="H187" s="241"/>
      <c r="I187" s="242"/>
      <c r="J187" s="241"/>
      <c r="K187" s="241"/>
      <c r="L187" s="241"/>
      <c r="M187" s="241"/>
      <c r="N187" s="242"/>
      <c r="O187" s="242"/>
      <c r="P187" s="242"/>
      <c r="Q187" s="242"/>
      <c r="R187" s="241"/>
      <c r="S187" s="241"/>
      <c r="T187" s="241"/>
      <c r="U187" s="241"/>
      <c r="V187" s="241"/>
      <c r="W187" s="241"/>
      <c r="X187" s="241"/>
      <c r="Y187" s="241"/>
      <c r="Z187" s="242"/>
      <c r="AA187" s="242"/>
      <c r="AB187" s="241"/>
      <c r="AC187" s="241"/>
      <c r="AD187" s="241"/>
      <c r="AE187" s="241"/>
      <c r="AF187" s="241"/>
      <c r="AG187" s="241"/>
      <c r="AH187" s="241"/>
      <c r="AI187" s="241"/>
      <c r="AJ187" s="274"/>
      <c r="AK187" s="241"/>
      <c r="AL187" s="241"/>
      <c r="AM187" s="241"/>
      <c r="AN187" s="241"/>
      <c r="AO187" s="241"/>
      <c r="AP187" s="241"/>
      <c r="AQ187" s="241"/>
      <c r="AR187" s="241"/>
      <c r="AS187" s="241"/>
      <c r="AT187" s="241"/>
      <c r="AU187" s="241"/>
      <c r="AV187" s="241"/>
      <c r="AW187" s="241"/>
      <c r="AX187" s="241"/>
      <c r="AY187" s="241"/>
      <c r="AZ187" s="241"/>
      <c r="BA187" s="241"/>
      <c r="BB187" s="241"/>
      <c r="BC187" s="241"/>
      <c r="BD187" s="241"/>
      <c r="BE187" s="241"/>
      <c r="BF187" s="241"/>
      <c r="BG187" s="241"/>
      <c r="BH187" s="241"/>
      <c r="BI187" s="241"/>
      <c r="BJ187" s="241"/>
      <c r="BK187" s="241"/>
      <c r="BL187" s="241"/>
      <c r="BM187" s="241"/>
      <c r="BN187" s="241"/>
      <c r="BO187" s="241"/>
      <c r="BP187" s="241"/>
      <c r="BQ187" s="241"/>
      <c r="BR187" s="241"/>
      <c r="BS187" s="241"/>
      <c r="BT187" s="241"/>
      <c r="BU187" s="241"/>
      <c r="BV187" s="241"/>
      <c r="BW187" s="241"/>
      <c r="BX187" s="241"/>
      <c r="BY187" s="241"/>
      <c r="BZ187" s="241"/>
      <c r="CA187" s="241"/>
      <c r="CB187" s="241"/>
      <c r="CC187" s="241"/>
      <c r="CD187" s="241"/>
      <c r="CE187" s="241"/>
      <c r="CF187" s="241"/>
      <c r="CG187" s="241"/>
      <c r="CH187" s="241"/>
      <c r="CI187" s="241"/>
      <c r="CJ187" s="241"/>
      <c r="CK187" s="241"/>
      <c r="CL187" s="241"/>
      <c r="CM187" s="241"/>
      <c r="CN187" s="241"/>
      <c r="CO187" s="241"/>
      <c r="CP187" s="241"/>
      <c r="CQ187" s="241"/>
      <c r="CR187" s="241"/>
      <c r="CS187" s="241"/>
      <c r="CT187" s="241"/>
      <c r="CU187" s="241"/>
      <c r="CV187" s="241"/>
      <c r="CW187" s="241"/>
      <c r="CX187" s="241"/>
      <c r="CY187" s="241"/>
      <c r="CZ187" s="241"/>
      <c r="DA187" s="241"/>
      <c r="DB187" s="241"/>
      <c r="DC187" s="241"/>
      <c r="DD187" s="241"/>
      <c r="DE187" s="241"/>
      <c r="DF187" s="241"/>
      <c r="DG187" s="241"/>
      <c r="DH187" s="241"/>
      <c r="DT187" s="241"/>
      <c r="FB187" s="241"/>
    </row>
    <row r="188" spans="4:158" ht="1.5" hidden="1" customHeight="1" x14ac:dyDescent="0.25">
      <c r="D188" s="241"/>
      <c r="E188" s="241"/>
      <c r="F188" s="241"/>
      <c r="G188" s="241"/>
      <c r="H188" s="241"/>
      <c r="I188" s="242"/>
      <c r="J188" s="241"/>
      <c r="K188" s="241"/>
      <c r="L188" s="241"/>
      <c r="M188" s="241"/>
      <c r="N188" s="242"/>
      <c r="O188" s="242"/>
      <c r="P188" s="242"/>
      <c r="Q188" s="242"/>
      <c r="R188" s="241"/>
      <c r="S188" s="241"/>
      <c r="T188" s="241"/>
      <c r="U188" s="241"/>
      <c r="V188" s="241"/>
      <c r="W188" s="241"/>
      <c r="X188" s="241"/>
      <c r="Y188" s="241"/>
      <c r="Z188" s="242"/>
      <c r="AA188" s="242"/>
      <c r="AB188" s="241"/>
      <c r="AC188" s="241"/>
      <c r="AD188" s="241"/>
      <c r="AE188" s="241"/>
      <c r="AF188" s="241"/>
      <c r="AG188" s="241"/>
      <c r="AH188" s="241"/>
      <c r="AI188" s="241"/>
      <c r="AJ188" s="274"/>
      <c r="AK188" s="241"/>
      <c r="AL188" s="241"/>
      <c r="AM188" s="241"/>
      <c r="AN188" s="241"/>
      <c r="AO188" s="241"/>
      <c r="AP188" s="241"/>
      <c r="AQ188" s="241"/>
      <c r="AR188" s="241"/>
      <c r="AS188" s="241"/>
      <c r="AT188" s="241"/>
      <c r="AU188" s="241"/>
      <c r="AV188" s="241"/>
      <c r="AW188" s="241"/>
      <c r="AX188" s="241"/>
      <c r="AY188" s="241"/>
      <c r="AZ188" s="241"/>
      <c r="BA188" s="241"/>
      <c r="BB188" s="241"/>
      <c r="BC188" s="241"/>
      <c r="BD188" s="241"/>
      <c r="BE188" s="241"/>
      <c r="BF188" s="241"/>
      <c r="BG188" s="241"/>
      <c r="BH188" s="241"/>
      <c r="BI188" s="241"/>
      <c r="BJ188" s="241"/>
      <c r="BK188" s="241"/>
      <c r="BL188" s="241"/>
      <c r="BM188" s="241"/>
      <c r="BN188" s="241"/>
      <c r="BO188" s="241"/>
      <c r="BP188" s="241"/>
      <c r="BQ188" s="241"/>
      <c r="BR188" s="241"/>
      <c r="BS188" s="241"/>
      <c r="BT188" s="241"/>
      <c r="BU188" s="241"/>
      <c r="BV188" s="241"/>
      <c r="BW188" s="241"/>
      <c r="BX188" s="241"/>
      <c r="BY188" s="241"/>
      <c r="BZ188" s="241"/>
      <c r="CA188" s="241"/>
      <c r="CB188" s="241"/>
      <c r="CC188" s="241"/>
      <c r="CD188" s="241"/>
      <c r="CE188" s="241"/>
      <c r="CF188" s="241"/>
      <c r="CG188" s="241"/>
      <c r="CH188" s="241"/>
      <c r="CI188" s="241"/>
      <c r="CJ188" s="241"/>
      <c r="CK188" s="241"/>
      <c r="CL188" s="241"/>
      <c r="CM188" s="241"/>
      <c r="CN188" s="241"/>
      <c r="CO188" s="241"/>
      <c r="CP188" s="241"/>
      <c r="CQ188" s="241"/>
      <c r="CR188" s="241"/>
      <c r="CS188" s="241"/>
      <c r="CT188" s="241"/>
      <c r="CU188" s="241"/>
      <c r="CV188" s="241"/>
      <c r="CW188" s="241"/>
      <c r="CX188" s="241"/>
      <c r="CY188" s="241"/>
      <c r="CZ188" s="241"/>
      <c r="DA188" s="241"/>
      <c r="DB188" s="241"/>
      <c r="DC188" s="241"/>
      <c r="DD188" s="241"/>
      <c r="DE188" s="241"/>
      <c r="DF188" s="241"/>
      <c r="DG188" s="241"/>
      <c r="DH188" s="241"/>
      <c r="DT188" s="241"/>
      <c r="FB188" s="241"/>
    </row>
    <row r="189" spans="4:158" hidden="1" x14ac:dyDescent="0.25">
      <c r="D189" s="241"/>
      <c r="E189" s="241"/>
      <c r="F189" s="241"/>
      <c r="G189" s="241"/>
      <c r="H189" s="241"/>
      <c r="I189" s="242"/>
      <c r="J189" s="241"/>
      <c r="K189" s="241"/>
      <c r="L189" s="241"/>
      <c r="M189" s="241"/>
      <c r="N189" s="242"/>
      <c r="O189" s="242"/>
      <c r="P189" s="242"/>
      <c r="Q189" s="242"/>
      <c r="R189" s="241"/>
      <c r="S189" s="241"/>
      <c r="T189" s="241"/>
      <c r="U189" s="241"/>
      <c r="V189" s="241"/>
      <c r="W189" s="241"/>
      <c r="X189" s="241"/>
      <c r="Y189" s="241"/>
      <c r="Z189" s="242"/>
      <c r="AA189" s="242"/>
      <c r="AB189" s="241"/>
      <c r="AC189" s="241"/>
      <c r="AD189" s="241"/>
      <c r="AE189" s="241"/>
      <c r="AF189" s="241"/>
      <c r="AG189" s="241"/>
      <c r="AH189" s="241"/>
      <c r="AI189" s="241"/>
      <c r="AJ189" s="274"/>
      <c r="AK189" s="241"/>
      <c r="AL189" s="241"/>
      <c r="AM189" s="241"/>
      <c r="AN189" s="241"/>
      <c r="AO189" s="241"/>
      <c r="AP189" s="241"/>
      <c r="AQ189" s="241"/>
      <c r="AR189" s="241"/>
      <c r="AS189" s="241"/>
      <c r="AT189" s="241"/>
      <c r="AU189" s="241"/>
      <c r="AV189" s="241"/>
      <c r="AW189" s="241"/>
      <c r="AX189" s="241"/>
      <c r="AY189" s="241"/>
      <c r="AZ189" s="241"/>
      <c r="BA189" s="241"/>
      <c r="BB189" s="241"/>
      <c r="BC189" s="241"/>
      <c r="BD189" s="241"/>
      <c r="BE189" s="241"/>
      <c r="BF189" s="241"/>
      <c r="BG189" s="241"/>
      <c r="BH189" s="241"/>
      <c r="BI189" s="241"/>
      <c r="BJ189" s="241"/>
      <c r="BK189" s="241"/>
      <c r="BL189" s="241"/>
      <c r="BM189" s="241"/>
      <c r="BN189" s="241"/>
      <c r="BO189" s="241"/>
      <c r="BP189" s="241"/>
      <c r="BQ189" s="241"/>
      <c r="BR189" s="241"/>
      <c r="BS189" s="241"/>
      <c r="BT189" s="241"/>
      <c r="BU189" s="241"/>
      <c r="BV189" s="241"/>
      <c r="BW189" s="241"/>
      <c r="BX189" s="241"/>
      <c r="BY189" s="241"/>
      <c r="BZ189" s="241"/>
      <c r="CA189" s="241"/>
      <c r="CB189" s="241"/>
      <c r="CC189" s="241"/>
      <c r="CD189" s="241"/>
      <c r="CE189" s="241"/>
      <c r="CF189" s="241"/>
      <c r="CG189" s="241"/>
      <c r="CH189" s="241"/>
      <c r="CI189" s="241"/>
      <c r="CJ189" s="241"/>
      <c r="CK189" s="241"/>
      <c r="CL189" s="241"/>
      <c r="CM189" s="241"/>
      <c r="CN189" s="241"/>
      <c r="CO189" s="241"/>
      <c r="CP189" s="241"/>
      <c r="CQ189" s="241"/>
      <c r="CR189" s="241"/>
      <c r="CS189" s="241"/>
      <c r="CT189" s="241"/>
      <c r="CU189" s="241"/>
      <c r="CV189" s="241"/>
      <c r="CW189" s="241"/>
      <c r="CX189" s="241"/>
      <c r="CY189" s="241"/>
      <c r="CZ189" s="241"/>
      <c r="DA189" s="241"/>
      <c r="DB189" s="241"/>
      <c r="DC189" s="241"/>
      <c r="DD189" s="241"/>
      <c r="DE189" s="241"/>
      <c r="DF189" s="241"/>
      <c r="DG189" s="241"/>
      <c r="DH189" s="241"/>
      <c r="DT189" s="241"/>
      <c r="FB189" s="241"/>
    </row>
    <row r="190" spans="4:158" hidden="1" x14ac:dyDescent="0.25">
      <c r="D190" s="241"/>
      <c r="E190" s="241"/>
      <c r="F190" s="241"/>
      <c r="G190" s="241"/>
      <c r="H190" s="241"/>
      <c r="I190" s="242"/>
      <c r="J190" s="241"/>
      <c r="K190" s="241"/>
      <c r="L190" s="241"/>
      <c r="M190" s="241"/>
      <c r="N190" s="242"/>
      <c r="O190" s="242"/>
      <c r="P190" s="242"/>
      <c r="Q190" s="242"/>
      <c r="R190" s="241"/>
      <c r="S190" s="241"/>
      <c r="T190" s="241"/>
      <c r="U190" s="241"/>
      <c r="V190" s="241"/>
      <c r="W190" s="241"/>
      <c r="X190" s="241"/>
      <c r="Y190" s="241"/>
      <c r="Z190" s="242"/>
      <c r="AA190" s="242"/>
      <c r="AB190" s="241"/>
      <c r="AC190" s="241"/>
      <c r="AD190" s="241"/>
      <c r="AE190" s="241"/>
      <c r="AF190" s="241"/>
      <c r="AG190" s="241"/>
      <c r="AH190" s="241"/>
      <c r="AI190" s="241"/>
      <c r="AJ190" s="274"/>
      <c r="AK190" s="241"/>
      <c r="AL190" s="241"/>
      <c r="AM190" s="241"/>
      <c r="AN190" s="241"/>
      <c r="AO190" s="241"/>
      <c r="AP190" s="241"/>
      <c r="AQ190" s="241"/>
      <c r="AR190" s="241"/>
      <c r="AS190" s="241"/>
      <c r="AT190" s="241"/>
      <c r="AU190" s="241"/>
      <c r="AV190" s="241"/>
      <c r="AW190" s="241"/>
      <c r="AX190" s="241"/>
      <c r="AY190" s="241"/>
      <c r="AZ190" s="241"/>
      <c r="BA190" s="241"/>
      <c r="BB190" s="241"/>
      <c r="BC190" s="241"/>
      <c r="BD190" s="241"/>
      <c r="BE190" s="241"/>
      <c r="BF190" s="241"/>
      <c r="BG190" s="241"/>
      <c r="BH190" s="241"/>
      <c r="BI190" s="241"/>
      <c r="BJ190" s="241"/>
      <c r="BK190" s="241"/>
      <c r="BL190" s="241"/>
      <c r="BM190" s="241"/>
      <c r="BN190" s="241"/>
      <c r="BO190" s="241"/>
      <c r="BP190" s="241"/>
      <c r="BQ190" s="241"/>
      <c r="BR190" s="241"/>
      <c r="BS190" s="241"/>
      <c r="BT190" s="241"/>
      <c r="BU190" s="241"/>
      <c r="BV190" s="241"/>
      <c r="BW190" s="241"/>
      <c r="BX190" s="241"/>
      <c r="BY190" s="241"/>
      <c r="BZ190" s="241"/>
      <c r="CA190" s="241"/>
      <c r="CB190" s="241"/>
      <c r="CC190" s="241"/>
      <c r="CD190" s="241"/>
      <c r="CE190" s="241"/>
      <c r="CF190" s="241"/>
      <c r="CG190" s="241"/>
      <c r="CH190" s="241"/>
      <c r="CI190" s="241"/>
      <c r="CJ190" s="241"/>
      <c r="CK190" s="241"/>
      <c r="CL190" s="241"/>
      <c r="CM190" s="241"/>
      <c r="CN190" s="241"/>
      <c r="CO190" s="241"/>
      <c r="CP190" s="241"/>
      <c r="CQ190" s="241"/>
      <c r="CR190" s="241"/>
      <c r="CS190" s="241"/>
      <c r="CT190" s="241"/>
      <c r="CU190" s="241"/>
      <c r="CV190" s="241"/>
      <c r="CW190" s="241"/>
      <c r="CX190" s="241"/>
      <c r="CY190" s="241"/>
      <c r="CZ190" s="241"/>
      <c r="DA190" s="241"/>
      <c r="DB190" s="241"/>
      <c r="DC190" s="241"/>
      <c r="DD190" s="241"/>
      <c r="DE190" s="241"/>
      <c r="DF190" s="241"/>
      <c r="DG190" s="241"/>
      <c r="DH190" s="241"/>
      <c r="DT190" s="241"/>
      <c r="FB190" s="241"/>
    </row>
    <row r="191" spans="4:158" ht="22.5" hidden="1" customHeight="1" x14ac:dyDescent="0.25">
      <c r="D191" s="241"/>
      <c r="E191" s="241"/>
      <c r="F191" s="241"/>
      <c r="G191" s="241"/>
      <c r="H191" s="241"/>
      <c r="I191" s="242"/>
      <c r="J191" s="241"/>
      <c r="K191" s="241"/>
      <c r="L191" s="241"/>
      <c r="M191" s="241"/>
      <c r="N191" s="242"/>
      <c r="O191" s="242"/>
      <c r="P191" s="242"/>
      <c r="Q191" s="242"/>
      <c r="R191" s="241"/>
      <c r="S191" s="241"/>
      <c r="T191" s="241"/>
      <c r="U191" s="241"/>
      <c r="V191" s="423" t="s">
        <v>132</v>
      </c>
      <c r="W191" s="424"/>
      <c r="X191" s="418" t="e">
        <f>IF((R197+R198+Y132-R199-#REF!)&gt;0,(R197+R198+Y132-R199-#REF!),IF(AE43=0,0,R197+R198+Y132-R199-#REF!))</f>
        <v>#REF!</v>
      </c>
      <c r="Y191" s="241"/>
      <c r="Z191" s="242"/>
      <c r="AA191" s="242"/>
      <c r="AB191" s="241"/>
      <c r="AC191" s="241"/>
      <c r="AD191" s="241"/>
      <c r="AE191" s="241"/>
      <c r="AF191" s="241"/>
      <c r="AG191" s="241"/>
      <c r="AH191" s="241"/>
      <c r="AI191" s="241"/>
      <c r="AJ191" s="274"/>
      <c r="AK191" s="241"/>
      <c r="AL191" s="241"/>
      <c r="AM191" s="241"/>
      <c r="AN191" s="241"/>
      <c r="AO191" s="241"/>
      <c r="AP191" s="241"/>
      <c r="AQ191" s="241"/>
      <c r="AR191" s="241"/>
      <c r="AS191" s="241"/>
      <c r="AT191" s="241"/>
      <c r="AU191" s="241"/>
      <c r="AV191" s="241"/>
      <c r="AW191" s="241"/>
      <c r="AX191" s="241"/>
      <c r="AY191" s="241"/>
      <c r="AZ191" s="241"/>
      <c r="BA191" s="241"/>
      <c r="BB191" s="241"/>
      <c r="BC191" s="241"/>
      <c r="BD191" s="241"/>
      <c r="BE191" s="241"/>
      <c r="BF191" s="241"/>
      <c r="BG191" s="241"/>
      <c r="BH191" s="241"/>
      <c r="BI191" s="241"/>
      <c r="BJ191" s="241"/>
      <c r="BK191" s="241"/>
      <c r="BL191" s="241"/>
      <c r="BM191" s="241"/>
      <c r="BN191" s="241"/>
      <c r="BO191" s="241"/>
      <c r="BP191" s="241"/>
      <c r="BQ191" s="241"/>
      <c r="BR191" s="241"/>
      <c r="BS191" s="241"/>
      <c r="BT191" s="241"/>
      <c r="BU191" s="241"/>
      <c r="BV191" s="241"/>
      <c r="BW191" s="241"/>
      <c r="BX191" s="241"/>
      <c r="BY191" s="241"/>
      <c r="BZ191" s="241"/>
      <c r="CA191" s="241"/>
      <c r="CB191" s="241"/>
      <c r="CC191" s="241"/>
      <c r="CD191" s="241"/>
      <c r="CE191" s="241"/>
      <c r="CF191" s="241"/>
      <c r="CG191" s="241"/>
      <c r="CH191" s="241"/>
      <c r="CI191" s="241"/>
      <c r="CJ191" s="241"/>
      <c r="CK191" s="241"/>
      <c r="CL191" s="241"/>
      <c r="CM191" s="241"/>
      <c r="CN191" s="241"/>
      <c r="CO191" s="241"/>
      <c r="CP191" s="241"/>
      <c r="CQ191" s="241"/>
      <c r="CR191" s="241"/>
      <c r="CS191" s="241"/>
      <c r="CT191" s="241"/>
      <c r="CU191" s="241"/>
      <c r="CV191" s="241"/>
      <c r="CW191" s="241"/>
      <c r="CX191" s="241"/>
      <c r="CY191" s="241"/>
      <c r="CZ191" s="241"/>
      <c r="DA191" s="241"/>
      <c r="DB191" s="241"/>
      <c r="DC191" s="241"/>
      <c r="DD191" s="241"/>
      <c r="DE191" s="241"/>
      <c r="DF191" s="241"/>
      <c r="DG191" s="241"/>
      <c r="DH191" s="241"/>
      <c r="DT191" s="241"/>
      <c r="FB191" s="241"/>
    </row>
    <row r="192" spans="4:158" hidden="1" x14ac:dyDescent="0.25">
      <c r="D192" s="241"/>
      <c r="E192" s="241"/>
      <c r="F192" s="241"/>
      <c r="G192" s="241"/>
      <c r="H192" s="241"/>
      <c r="I192" s="242"/>
      <c r="J192" s="241"/>
      <c r="K192" s="241"/>
      <c r="L192" s="241"/>
      <c r="M192" s="241"/>
      <c r="N192" s="242"/>
      <c r="O192" s="242"/>
      <c r="P192" s="242"/>
      <c r="Q192" s="242"/>
      <c r="R192" s="241"/>
      <c r="S192" s="241"/>
      <c r="T192" s="241"/>
      <c r="U192" s="241"/>
      <c r="V192" s="423"/>
      <c r="W192" s="424"/>
      <c r="X192" s="419"/>
      <c r="Y192" s="241"/>
      <c r="Z192" s="242"/>
      <c r="AA192" s="242"/>
      <c r="AB192" s="241"/>
      <c r="AC192" s="241"/>
      <c r="AD192" s="241"/>
      <c r="AE192" s="241"/>
      <c r="AF192" s="241"/>
      <c r="AG192" s="241"/>
      <c r="AH192" s="241"/>
      <c r="AI192" s="241"/>
      <c r="AJ192" s="274"/>
      <c r="AK192" s="241"/>
      <c r="AL192" s="241"/>
      <c r="AM192" s="241"/>
      <c r="AN192" s="241"/>
      <c r="AO192" s="241"/>
      <c r="AP192" s="241"/>
      <c r="AQ192" s="241"/>
      <c r="AR192" s="241"/>
      <c r="AS192" s="241"/>
      <c r="AT192" s="241"/>
      <c r="AU192" s="241"/>
      <c r="AV192" s="241"/>
      <c r="AW192" s="241"/>
      <c r="AX192" s="241"/>
      <c r="AY192" s="241"/>
      <c r="AZ192" s="241"/>
      <c r="BA192" s="241"/>
      <c r="BB192" s="241"/>
      <c r="BC192" s="241"/>
      <c r="BD192" s="241"/>
      <c r="BE192" s="241"/>
      <c r="BF192" s="241"/>
      <c r="BG192" s="241"/>
      <c r="BH192" s="241"/>
      <c r="BI192" s="241"/>
      <c r="BJ192" s="241"/>
      <c r="BK192" s="241"/>
      <c r="BL192" s="241"/>
      <c r="BM192" s="241"/>
      <c r="BN192" s="241"/>
      <c r="BO192" s="241"/>
      <c r="BP192" s="241"/>
      <c r="BQ192" s="241"/>
      <c r="BR192" s="241"/>
      <c r="BS192" s="241"/>
      <c r="BT192" s="241"/>
      <c r="BU192" s="241"/>
      <c r="BV192" s="241"/>
      <c r="BW192" s="241"/>
      <c r="BX192" s="241"/>
      <c r="BY192" s="241"/>
      <c r="BZ192" s="241"/>
      <c r="CA192" s="241"/>
      <c r="CB192" s="241"/>
      <c r="CC192" s="241"/>
      <c r="CD192" s="241"/>
      <c r="CE192" s="241"/>
      <c r="CF192" s="241"/>
      <c r="CG192" s="241"/>
      <c r="CH192" s="241"/>
      <c r="CI192" s="241"/>
      <c r="CJ192" s="241"/>
      <c r="CK192" s="241"/>
      <c r="CL192" s="241"/>
      <c r="CM192" s="241"/>
      <c r="CN192" s="241"/>
      <c r="CO192" s="241"/>
      <c r="CP192" s="241"/>
      <c r="CQ192" s="241"/>
      <c r="CR192" s="241"/>
      <c r="CS192" s="241"/>
      <c r="CT192" s="241"/>
      <c r="CU192" s="241"/>
      <c r="CV192" s="241"/>
      <c r="CW192" s="241"/>
      <c r="CX192" s="241"/>
      <c r="CY192" s="241"/>
      <c r="CZ192" s="241"/>
      <c r="DA192" s="241"/>
      <c r="DB192" s="241"/>
      <c r="DC192" s="241"/>
      <c r="DD192" s="241"/>
      <c r="DE192" s="241"/>
      <c r="DF192" s="241"/>
      <c r="DG192" s="241"/>
      <c r="DH192" s="241"/>
      <c r="DT192" s="241"/>
      <c r="FB192" s="241"/>
    </row>
    <row r="193" spans="4:158" hidden="1" x14ac:dyDescent="0.25">
      <c r="D193" s="241"/>
      <c r="E193" s="241"/>
      <c r="F193" s="241"/>
      <c r="G193" s="241"/>
      <c r="H193" s="241"/>
      <c r="I193" s="242"/>
      <c r="J193" s="241"/>
      <c r="K193" s="241"/>
      <c r="L193" s="241"/>
      <c r="M193" s="241"/>
      <c r="N193" s="242"/>
      <c r="O193" s="242"/>
      <c r="P193" s="242"/>
      <c r="Q193" s="242"/>
      <c r="R193" s="241"/>
      <c r="S193" s="241"/>
      <c r="T193" s="241"/>
      <c r="U193" s="241"/>
      <c r="V193" s="423"/>
      <c r="W193" s="424"/>
      <c r="X193" s="420"/>
      <c r="Y193" s="241"/>
      <c r="Z193" s="242"/>
      <c r="AA193" s="242"/>
      <c r="AB193" s="241"/>
      <c r="AC193" s="241"/>
      <c r="AD193" s="241"/>
      <c r="AE193" s="241"/>
      <c r="AF193" s="241"/>
      <c r="AG193" s="241"/>
      <c r="AH193" s="241"/>
      <c r="AI193" s="241"/>
      <c r="AJ193" s="274"/>
      <c r="AK193" s="241"/>
      <c r="AL193" s="241"/>
      <c r="AM193" s="241"/>
      <c r="AN193" s="241"/>
      <c r="AO193" s="241"/>
      <c r="AP193" s="241"/>
      <c r="AQ193" s="241"/>
      <c r="AR193" s="241"/>
      <c r="AS193" s="241"/>
      <c r="AT193" s="241"/>
      <c r="AU193" s="241"/>
      <c r="AV193" s="241"/>
      <c r="AW193" s="241"/>
      <c r="AX193" s="241"/>
      <c r="AY193" s="241"/>
      <c r="AZ193" s="241"/>
      <c r="BA193" s="241"/>
      <c r="BB193" s="241"/>
      <c r="BC193" s="241"/>
      <c r="BD193" s="241"/>
      <c r="BE193" s="241"/>
      <c r="BF193" s="241"/>
      <c r="BG193" s="241"/>
      <c r="BH193" s="241"/>
      <c r="BI193" s="241"/>
      <c r="BJ193" s="241"/>
      <c r="BK193" s="241"/>
      <c r="BL193" s="241"/>
      <c r="BM193" s="241"/>
      <c r="BN193" s="241"/>
      <c r="BO193" s="241"/>
      <c r="BP193" s="241"/>
      <c r="BQ193" s="241"/>
      <c r="BR193" s="241"/>
      <c r="BS193" s="241"/>
      <c r="BT193" s="241"/>
      <c r="BU193" s="241"/>
      <c r="BV193" s="241"/>
      <c r="BW193" s="241"/>
      <c r="BX193" s="241"/>
      <c r="BY193" s="241"/>
      <c r="BZ193" s="241"/>
      <c r="CA193" s="241"/>
      <c r="CB193" s="241"/>
      <c r="CC193" s="241"/>
      <c r="CD193" s="241"/>
      <c r="CE193" s="241"/>
      <c r="CF193" s="241"/>
      <c r="CG193" s="241"/>
      <c r="CH193" s="241"/>
      <c r="CI193" s="241"/>
      <c r="CJ193" s="241"/>
      <c r="CK193" s="241"/>
      <c r="CL193" s="241"/>
      <c r="CM193" s="241"/>
      <c r="CN193" s="241"/>
      <c r="CO193" s="241"/>
      <c r="CP193" s="241"/>
      <c r="CQ193" s="241"/>
      <c r="CR193" s="241"/>
      <c r="CS193" s="241"/>
      <c r="CT193" s="241"/>
      <c r="CU193" s="241"/>
      <c r="CV193" s="241"/>
      <c r="CW193" s="241"/>
      <c r="CX193" s="241"/>
      <c r="CY193" s="241"/>
      <c r="CZ193" s="241"/>
      <c r="DA193" s="241"/>
      <c r="DB193" s="241"/>
      <c r="DC193" s="241"/>
      <c r="DD193" s="241"/>
      <c r="DE193" s="241"/>
      <c r="DF193" s="241"/>
      <c r="DG193" s="241"/>
      <c r="DH193" s="241"/>
      <c r="DT193" s="241"/>
      <c r="FB193" s="241"/>
    </row>
    <row r="194" spans="4:158" hidden="1" x14ac:dyDescent="0.25">
      <c r="D194" s="241"/>
      <c r="E194" s="241"/>
      <c r="F194" s="241"/>
      <c r="G194" s="241"/>
      <c r="H194" s="241"/>
      <c r="I194" s="242"/>
      <c r="J194" s="241"/>
      <c r="K194" s="241"/>
      <c r="L194" s="241"/>
      <c r="M194" s="241"/>
      <c r="N194" s="242"/>
      <c r="O194" s="242"/>
      <c r="P194" s="242"/>
      <c r="Q194" s="242"/>
      <c r="R194" s="241"/>
      <c r="S194" s="241"/>
      <c r="T194" s="241"/>
      <c r="U194" s="241"/>
      <c r="V194" s="241"/>
      <c r="W194" s="241"/>
      <c r="X194" s="241"/>
      <c r="Y194" s="241"/>
      <c r="Z194" s="242"/>
      <c r="AA194" s="242"/>
      <c r="AB194" s="241"/>
      <c r="AC194" s="241"/>
      <c r="AD194" s="241"/>
      <c r="AE194" s="241"/>
      <c r="AF194" s="241"/>
      <c r="AG194" s="241"/>
      <c r="AH194" s="241"/>
      <c r="AI194" s="241"/>
      <c r="AJ194" s="274"/>
      <c r="AK194" s="241"/>
      <c r="AL194" s="241"/>
      <c r="AM194" s="241"/>
      <c r="AN194" s="241"/>
      <c r="AO194" s="241"/>
      <c r="AP194" s="241"/>
      <c r="AQ194" s="241"/>
      <c r="AR194" s="241"/>
      <c r="AS194" s="241"/>
      <c r="AT194" s="241"/>
      <c r="AU194" s="241"/>
      <c r="AV194" s="241"/>
      <c r="AW194" s="241"/>
      <c r="AX194" s="241"/>
      <c r="AY194" s="241"/>
      <c r="AZ194" s="241"/>
      <c r="BA194" s="241"/>
      <c r="BB194" s="241"/>
      <c r="BC194" s="241"/>
      <c r="BD194" s="241"/>
      <c r="BE194" s="241"/>
      <c r="BF194" s="241"/>
      <c r="BG194" s="241"/>
      <c r="BH194" s="241"/>
      <c r="BI194" s="241"/>
      <c r="BJ194" s="241"/>
      <c r="BK194" s="241"/>
      <c r="BL194" s="241"/>
      <c r="BM194" s="241"/>
      <c r="BN194" s="241"/>
      <c r="BO194" s="241"/>
      <c r="BP194" s="241"/>
      <c r="BQ194" s="241"/>
      <c r="BR194" s="241"/>
      <c r="BS194" s="241"/>
      <c r="BT194" s="241"/>
      <c r="BU194" s="241"/>
      <c r="BV194" s="241"/>
      <c r="BW194" s="241"/>
      <c r="BX194" s="241"/>
      <c r="BY194" s="241"/>
      <c r="BZ194" s="241"/>
      <c r="CA194" s="241"/>
      <c r="CB194" s="241"/>
      <c r="CC194" s="241"/>
      <c r="CD194" s="241"/>
      <c r="CE194" s="241"/>
      <c r="CF194" s="241"/>
      <c r="CG194" s="241"/>
      <c r="CH194" s="241"/>
      <c r="CI194" s="241"/>
      <c r="CJ194" s="241"/>
      <c r="CK194" s="241"/>
      <c r="CL194" s="241"/>
      <c r="CM194" s="241"/>
      <c r="CN194" s="241"/>
      <c r="CO194" s="241"/>
      <c r="CP194" s="241"/>
      <c r="CQ194" s="241"/>
      <c r="CR194" s="241"/>
      <c r="CS194" s="241"/>
      <c r="CT194" s="241"/>
      <c r="CU194" s="241"/>
      <c r="CV194" s="241"/>
      <c r="CW194" s="241"/>
      <c r="CX194" s="241"/>
      <c r="CY194" s="241"/>
      <c r="CZ194" s="241"/>
      <c r="DA194" s="241"/>
      <c r="DB194" s="241"/>
      <c r="DC194" s="241"/>
      <c r="DD194" s="241"/>
      <c r="DE194" s="241"/>
      <c r="DF194" s="241"/>
      <c r="DG194" s="241"/>
      <c r="DH194" s="241"/>
      <c r="DT194" s="241"/>
      <c r="FB194" s="241"/>
    </row>
    <row r="195" spans="4:158" hidden="1" x14ac:dyDescent="0.25">
      <c r="D195" s="241"/>
      <c r="E195" s="241"/>
      <c r="F195" s="241"/>
      <c r="G195" s="241"/>
      <c r="H195" s="241"/>
      <c r="I195" s="242"/>
      <c r="J195" s="241"/>
      <c r="K195" s="241"/>
      <c r="L195" s="241"/>
      <c r="M195" s="241"/>
      <c r="N195" s="242"/>
      <c r="O195" s="242"/>
      <c r="P195" s="242"/>
      <c r="Q195" s="242"/>
      <c r="R195" s="241"/>
      <c r="S195" s="241"/>
      <c r="T195" s="241"/>
      <c r="U195" s="241"/>
      <c r="V195" s="241"/>
      <c r="W195" s="241"/>
      <c r="X195" s="241"/>
      <c r="Y195" s="241"/>
      <c r="Z195" s="242"/>
      <c r="AA195" s="242"/>
      <c r="AB195" s="241"/>
      <c r="AC195" s="241"/>
      <c r="AD195" s="241"/>
      <c r="AE195" s="241"/>
      <c r="AF195" s="241"/>
      <c r="AG195" s="241"/>
      <c r="AH195" s="241"/>
      <c r="AI195" s="241"/>
      <c r="AJ195" s="274"/>
      <c r="AK195" s="241"/>
      <c r="AL195" s="241"/>
      <c r="AM195" s="241"/>
      <c r="AN195" s="241"/>
      <c r="AO195" s="241"/>
      <c r="AP195" s="241"/>
      <c r="AQ195" s="241"/>
      <c r="AR195" s="241"/>
      <c r="AS195" s="241"/>
      <c r="AT195" s="241"/>
      <c r="AU195" s="241"/>
      <c r="AV195" s="241"/>
      <c r="AW195" s="241"/>
      <c r="AX195" s="241"/>
      <c r="AY195" s="241"/>
      <c r="AZ195" s="241"/>
      <c r="BA195" s="241"/>
      <c r="BB195" s="241"/>
      <c r="BC195" s="241"/>
      <c r="BD195" s="241"/>
      <c r="BE195" s="241"/>
      <c r="BF195" s="241"/>
      <c r="BG195" s="241"/>
      <c r="BH195" s="241"/>
      <c r="BI195" s="241"/>
      <c r="BJ195" s="241"/>
      <c r="BK195" s="241"/>
      <c r="BL195" s="241"/>
      <c r="BM195" s="241"/>
      <c r="BN195" s="241"/>
      <c r="BO195" s="241"/>
      <c r="BP195" s="241"/>
      <c r="BQ195" s="241"/>
      <c r="BR195" s="241"/>
      <c r="BS195" s="241"/>
      <c r="BT195" s="241"/>
      <c r="BU195" s="241"/>
      <c r="BV195" s="241"/>
      <c r="BW195" s="241"/>
      <c r="BX195" s="241"/>
      <c r="BY195" s="241"/>
      <c r="BZ195" s="241"/>
      <c r="CA195" s="241"/>
      <c r="CB195" s="241"/>
      <c r="CC195" s="241"/>
      <c r="CD195" s="241"/>
      <c r="CE195" s="241"/>
      <c r="CF195" s="241"/>
      <c r="CG195" s="241"/>
      <c r="CH195" s="241"/>
      <c r="CI195" s="241"/>
      <c r="CJ195" s="241"/>
      <c r="CK195" s="241"/>
      <c r="CL195" s="241"/>
      <c r="CM195" s="241"/>
      <c r="CN195" s="241"/>
      <c r="CO195" s="241"/>
      <c r="CP195" s="241"/>
      <c r="CQ195" s="241"/>
      <c r="CR195" s="241"/>
      <c r="CS195" s="241"/>
      <c r="CT195" s="241"/>
      <c r="CU195" s="241"/>
      <c r="CV195" s="241"/>
      <c r="CW195" s="241"/>
      <c r="CX195" s="241"/>
      <c r="CY195" s="241"/>
      <c r="CZ195" s="241"/>
      <c r="DA195" s="241"/>
      <c r="DB195" s="241"/>
      <c r="DC195" s="241"/>
      <c r="DD195" s="241"/>
      <c r="DE195" s="241"/>
      <c r="DF195" s="241"/>
      <c r="DG195" s="241"/>
      <c r="DH195" s="241"/>
      <c r="DT195" s="241"/>
      <c r="FB195" s="241"/>
    </row>
    <row r="196" spans="4:158" hidden="1" x14ac:dyDescent="0.25">
      <c r="D196" s="241"/>
      <c r="E196" s="241"/>
      <c r="F196" s="241"/>
      <c r="G196" s="241"/>
      <c r="H196" s="241"/>
      <c r="I196" s="242"/>
      <c r="J196" s="241"/>
      <c r="K196" s="241"/>
      <c r="L196" s="241"/>
      <c r="M196" s="241"/>
      <c r="N196" s="242"/>
      <c r="O196" s="242"/>
      <c r="P196" s="242"/>
      <c r="Q196" s="242"/>
      <c r="R196" s="241"/>
      <c r="S196" s="241"/>
      <c r="T196" s="241"/>
      <c r="U196" s="241"/>
      <c r="V196" s="241"/>
      <c r="W196" s="241"/>
      <c r="X196" s="241"/>
      <c r="Y196" s="241"/>
      <c r="Z196" s="242"/>
      <c r="AA196" s="242"/>
      <c r="AB196" s="241"/>
      <c r="AC196" s="241"/>
      <c r="AD196" s="241"/>
      <c r="AE196" s="241"/>
      <c r="AF196" s="241"/>
      <c r="AG196" s="241"/>
      <c r="AH196" s="241"/>
      <c r="AI196" s="241"/>
      <c r="AJ196" s="274"/>
      <c r="AK196" s="241"/>
      <c r="AL196" s="241"/>
      <c r="AM196" s="241"/>
      <c r="AN196" s="241"/>
      <c r="AO196" s="241"/>
      <c r="AP196" s="241"/>
      <c r="AQ196" s="241"/>
      <c r="AR196" s="241"/>
      <c r="AS196" s="241"/>
      <c r="AT196" s="241"/>
      <c r="AU196" s="241"/>
      <c r="AV196" s="241"/>
      <c r="AW196" s="241"/>
      <c r="AX196" s="241"/>
      <c r="AY196" s="241"/>
      <c r="AZ196" s="241"/>
      <c r="BA196" s="241"/>
      <c r="BB196" s="241"/>
      <c r="BC196" s="241"/>
      <c r="BD196" s="241"/>
      <c r="BE196" s="241"/>
      <c r="BF196" s="241"/>
      <c r="BG196" s="241"/>
      <c r="BH196" s="241"/>
      <c r="BI196" s="241"/>
      <c r="BJ196" s="241"/>
      <c r="BK196" s="241"/>
      <c r="BL196" s="241"/>
      <c r="BM196" s="241"/>
      <c r="BN196" s="241"/>
      <c r="BO196" s="241"/>
      <c r="BP196" s="241"/>
      <c r="BQ196" s="241"/>
      <c r="BR196" s="241"/>
      <c r="BS196" s="241"/>
      <c r="BT196" s="241"/>
      <c r="BU196" s="241"/>
      <c r="BV196" s="241"/>
      <c r="BW196" s="241"/>
      <c r="BX196" s="241"/>
      <c r="BY196" s="241"/>
      <c r="BZ196" s="241"/>
      <c r="CA196" s="241"/>
      <c r="CB196" s="241"/>
      <c r="CC196" s="241"/>
      <c r="CD196" s="241"/>
      <c r="CE196" s="241"/>
      <c r="CF196" s="241"/>
      <c r="CG196" s="241"/>
      <c r="CH196" s="241"/>
      <c r="CI196" s="241"/>
      <c r="CJ196" s="241"/>
      <c r="CK196" s="241"/>
      <c r="CL196" s="241"/>
      <c r="CM196" s="241"/>
      <c r="CN196" s="241"/>
      <c r="CO196" s="241"/>
      <c r="CP196" s="241"/>
      <c r="CQ196" s="241"/>
      <c r="CR196" s="241"/>
      <c r="CS196" s="241"/>
      <c r="CT196" s="241"/>
      <c r="CU196" s="241"/>
      <c r="CV196" s="241"/>
      <c r="CW196" s="241"/>
      <c r="CX196" s="241"/>
      <c r="CY196" s="241"/>
      <c r="CZ196" s="241"/>
      <c r="DA196" s="241"/>
      <c r="DB196" s="241"/>
      <c r="DC196" s="241"/>
      <c r="DD196" s="241"/>
      <c r="DE196" s="241"/>
      <c r="DF196" s="241"/>
      <c r="DG196" s="241"/>
      <c r="DH196" s="241"/>
      <c r="DT196" s="241"/>
      <c r="FB196" s="241"/>
    </row>
    <row r="197" spans="4:158" hidden="1" x14ac:dyDescent="0.25">
      <c r="D197" s="241"/>
      <c r="E197" s="241"/>
      <c r="F197" s="241"/>
      <c r="G197" s="241"/>
      <c r="H197" s="241"/>
      <c r="I197" s="302" t="s">
        <v>133</v>
      </c>
      <c r="J197" s="303"/>
      <c r="K197" s="303"/>
      <c r="L197" s="303"/>
      <c r="M197" s="303"/>
      <c r="N197" s="303"/>
      <c r="O197" s="303"/>
      <c r="P197" s="303"/>
      <c r="Q197" s="304"/>
      <c r="R197" s="288">
        <f>IF(V26&gt;0,IF(AA50=0,Hoja2!U33,X52),X52)</f>
        <v>0</v>
      </c>
      <c r="S197" s="241"/>
      <c r="T197" s="241"/>
      <c r="U197" s="241"/>
      <c r="V197" s="241"/>
      <c r="W197" s="241"/>
      <c r="X197" s="241"/>
      <c r="Y197" s="241"/>
      <c r="Z197" s="242"/>
      <c r="AA197" s="242"/>
      <c r="AB197" s="241"/>
      <c r="AC197" s="241"/>
      <c r="AD197" s="241"/>
      <c r="AE197" s="241"/>
      <c r="AF197" s="241"/>
      <c r="AG197" s="241"/>
      <c r="AH197" s="241"/>
      <c r="AI197" s="241"/>
      <c r="AJ197" s="274"/>
      <c r="AK197" s="241"/>
      <c r="AL197" s="241"/>
      <c r="AM197" s="241"/>
      <c r="AN197" s="241"/>
      <c r="AO197" s="241"/>
      <c r="AP197" s="241"/>
      <c r="AQ197" s="241"/>
      <c r="AR197" s="241"/>
      <c r="AS197" s="241"/>
      <c r="AT197" s="241"/>
      <c r="AU197" s="241"/>
      <c r="AV197" s="241"/>
      <c r="AW197" s="241"/>
      <c r="AX197" s="241"/>
      <c r="AY197" s="241"/>
      <c r="AZ197" s="241"/>
      <c r="BA197" s="241"/>
      <c r="BB197" s="241"/>
      <c r="BC197" s="241"/>
      <c r="BD197" s="241"/>
      <c r="BE197" s="241"/>
      <c r="BF197" s="241"/>
      <c r="BG197" s="241"/>
      <c r="BH197" s="241"/>
      <c r="BI197" s="241"/>
      <c r="BJ197" s="241"/>
      <c r="BK197" s="241"/>
      <c r="BL197" s="241"/>
      <c r="BM197" s="241"/>
      <c r="BN197" s="241"/>
      <c r="BO197" s="241"/>
      <c r="BP197" s="241"/>
      <c r="BQ197" s="241"/>
      <c r="BR197" s="241"/>
      <c r="BS197" s="241"/>
      <c r="BT197" s="241"/>
      <c r="BU197" s="241"/>
      <c r="BV197" s="241"/>
      <c r="BW197" s="241"/>
      <c r="BX197" s="241"/>
      <c r="BY197" s="241"/>
      <c r="BZ197" s="241"/>
      <c r="CA197" s="241"/>
      <c r="CB197" s="241"/>
      <c r="CC197" s="241"/>
      <c r="CD197" s="241"/>
      <c r="CE197" s="241"/>
      <c r="CF197" s="241"/>
      <c r="CG197" s="241"/>
      <c r="CH197" s="241"/>
      <c r="CI197" s="241"/>
      <c r="CJ197" s="241"/>
      <c r="CK197" s="241"/>
      <c r="CL197" s="241"/>
      <c r="CM197" s="241"/>
      <c r="CN197" s="241"/>
      <c r="CO197" s="241"/>
      <c r="CP197" s="241"/>
      <c r="CQ197" s="241"/>
      <c r="CR197" s="241"/>
      <c r="CS197" s="241"/>
      <c r="CT197" s="241"/>
      <c r="CU197" s="241"/>
      <c r="CV197" s="241"/>
      <c r="CW197" s="241"/>
      <c r="CX197" s="241"/>
      <c r="CY197" s="241"/>
      <c r="CZ197" s="241"/>
      <c r="DA197" s="241"/>
      <c r="DB197" s="241"/>
      <c r="DC197" s="241"/>
      <c r="DD197" s="241"/>
      <c r="DE197" s="241"/>
      <c r="DF197" s="241"/>
      <c r="DG197" s="241"/>
      <c r="DH197" s="241"/>
      <c r="DT197" s="241"/>
      <c r="FB197" s="241"/>
    </row>
    <row r="198" spans="4:158" hidden="1" x14ac:dyDescent="0.25">
      <c r="D198" s="241"/>
      <c r="E198" s="241"/>
      <c r="F198" s="241"/>
      <c r="G198" s="241"/>
      <c r="H198" s="241"/>
      <c r="I198" s="403" t="s">
        <v>134</v>
      </c>
      <c r="J198" s="404"/>
      <c r="K198" s="404"/>
      <c r="L198" s="404"/>
      <c r="M198" s="404"/>
      <c r="N198" s="404"/>
      <c r="O198" s="404"/>
      <c r="P198" s="404"/>
      <c r="Q198" s="405"/>
      <c r="R198" s="292">
        <f>BL26-P26-T26</f>
        <v>0</v>
      </c>
      <c r="S198" s="241"/>
      <c r="T198" s="241"/>
      <c r="U198" s="241"/>
      <c r="V198" s="241"/>
      <c r="W198" s="241"/>
      <c r="X198" s="241"/>
      <c r="Y198" s="241"/>
      <c r="Z198" s="242"/>
      <c r="AA198" s="242"/>
      <c r="AB198" s="241"/>
      <c r="AC198" s="241"/>
      <c r="AD198" s="241"/>
      <c r="AE198" s="241"/>
      <c r="AF198" s="241"/>
      <c r="AG198" s="241"/>
      <c r="AH198" s="241"/>
      <c r="AI198" s="241"/>
      <c r="AJ198" s="274"/>
      <c r="AK198" s="241"/>
      <c r="AL198" s="241"/>
      <c r="AM198" s="241"/>
      <c r="AN198" s="241"/>
      <c r="AO198" s="241"/>
      <c r="AP198" s="241"/>
      <c r="AQ198" s="241"/>
      <c r="AR198" s="241"/>
      <c r="AS198" s="241"/>
      <c r="AT198" s="241"/>
      <c r="AU198" s="241"/>
      <c r="AV198" s="241"/>
      <c r="AW198" s="241"/>
      <c r="AX198" s="241"/>
      <c r="AY198" s="241"/>
      <c r="AZ198" s="241"/>
      <c r="BA198" s="241"/>
      <c r="BB198" s="241"/>
      <c r="BC198" s="241"/>
      <c r="BD198" s="241"/>
      <c r="BE198" s="241"/>
      <c r="BF198" s="241"/>
      <c r="BG198" s="241"/>
      <c r="BH198" s="241"/>
      <c r="BI198" s="241"/>
      <c r="BJ198" s="241"/>
      <c r="BK198" s="241"/>
      <c r="BL198" s="241"/>
      <c r="BM198" s="241"/>
      <c r="BN198" s="241"/>
      <c r="BO198" s="241"/>
      <c r="BP198" s="241"/>
      <c r="BQ198" s="241"/>
      <c r="BR198" s="241"/>
      <c r="BS198" s="241"/>
      <c r="BT198" s="241"/>
      <c r="BU198" s="241"/>
      <c r="BV198" s="241"/>
      <c r="BW198" s="241"/>
      <c r="BX198" s="241"/>
      <c r="BY198" s="241"/>
      <c r="BZ198" s="241"/>
      <c r="CA198" s="241"/>
      <c r="CB198" s="241"/>
      <c r="CC198" s="241"/>
      <c r="CD198" s="241"/>
      <c r="CE198" s="241"/>
      <c r="CF198" s="241"/>
      <c r="CG198" s="241"/>
      <c r="CH198" s="241"/>
      <c r="CI198" s="241"/>
      <c r="CJ198" s="241"/>
      <c r="CK198" s="241"/>
      <c r="CL198" s="241"/>
      <c r="CM198" s="241"/>
      <c r="CN198" s="241"/>
      <c r="CO198" s="241"/>
      <c r="CP198" s="241"/>
      <c r="CQ198" s="241"/>
      <c r="CR198" s="241"/>
      <c r="CS198" s="241"/>
      <c r="CT198" s="241"/>
      <c r="CU198" s="241"/>
      <c r="CV198" s="241"/>
      <c r="CW198" s="241"/>
      <c r="CX198" s="241"/>
      <c r="CY198" s="241"/>
      <c r="CZ198" s="241"/>
      <c r="DA198" s="241"/>
      <c r="DB198" s="241"/>
      <c r="DC198" s="241"/>
      <c r="DD198" s="241"/>
      <c r="DE198" s="241"/>
      <c r="DF198" s="241"/>
      <c r="DG198" s="241"/>
      <c r="DH198" s="241"/>
      <c r="DT198" s="241"/>
      <c r="FB198" s="241"/>
    </row>
    <row r="199" spans="4:158" hidden="1" x14ac:dyDescent="0.25">
      <c r="D199" s="241"/>
      <c r="E199" s="241"/>
      <c r="F199" s="241"/>
      <c r="G199" s="241"/>
      <c r="H199" s="241"/>
      <c r="I199" s="403" t="s">
        <v>135</v>
      </c>
      <c r="J199" s="404"/>
      <c r="K199" s="404"/>
      <c r="L199" s="404"/>
      <c r="M199" s="404"/>
      <c r="N199" s="404"/>
      <c r="O199" s="404"/>
      <c r="P199" s="404"/>
      <c r="Q199" s="405"/>
      <c r="R199" s="292">
        <f>X26</f>
        <v>0</v>
      </c>
      <c r="S199" s="241"/>
      <c r="T199" s="241"/>
      <c r="U199" s="241"/>
      <c r="V199" s="241"/>
      <c r="W199" s="241"/>
      <c r="X199" s="241"/>
      <c r="Y199" s="241"/>
      <c r="Z199" s="242"/>
      <c r="AA199" s="242"/>
      <c r="AB199" s="241"/>
      <c r="AC199" s="241"/>
      <c r="AD199" s="241"/>
      <c r="AE199" s="241"/>
      <c r="AF199" s="241"/>
      <c r="AG199" s="241"/>
      <c r="AH199" s="241"/>
      <c r="AI199" s="241"/>
      <c r="AJ199" s="274"/>
      <c r="AK199" s="241"/>
      <c r="AL199" s="241"/>
      <c r="AM199" s="241"/>
      <c r="AN199" s="241"/>
      <c r="AO199" s="241"/>
      <c r="AP199" s="241"/>
      <c r="AQ199" s="241"/>
      <c r="AR199" s="241"/>
      <c r="AS199" s="241"/>
      <c r="AT199" s="241"/>
      <c r="AU199" s="241"/>
      <c r="AV199" s="241"/>
      <c r="AW199" s="241"/>
      <c r="AX199" s="241"/>
      <c r="AY199" s="241"/>
      <c r="AZ199" s="241"/>
      <c r="BA199" s="241"/>
      <c r="BB199" s="241"/>
      <c r="BC199" s="241"/>
      <c r="BD199" s="241"/>
      <c r="BE199" s="241"/>
      <c r="BF199" s="241"/>
      <c r="BG199" s="241"/>
      <c r="BH199" s="241"/>
      <c r="BI199" s="241"/>
      <c r="BJ199" s="241"/>
      <c r="BK199" s="241"/>
      <c r="BL199" s="241"/>
      <c r="BM199" s="241"/>
      <c r="BN199" s="241"/>
      <c r="BO199" s="241"/>
      <c r="BP199" s="241"/>
      <c r="BQ199" s="241"/>
      <c r="BR199" s="241"/>
      <c r="BS199" s="241"/>
      <c r="BT199" s="241"/>
      <c r="BU199" s="241"/>
      <c r="BV199" s="241"/>
      <c r="BW199" s="241"/>
      <c r="BX199" s="241"/>
      <c r="BY199" s="241"/>
      <c r="BZ199" s="241"/>
      <c r="CA199" s="241"/>
      <c r="CB199" s="241"/>
      <c r="CC199" s="241"/>
      <c r="CD199" s="241"/>
      <c r="CE199" s="241"/>
      <c r="CF199" s="241"/>
      <c r="CG199" s="241"/>
      <c r="CH199" s="241"/>
      <c r="CI199" s="241"/>
      <c r="CJ199" s="241"/>
      <c r="CK199" s="241"/>
      <c r="CL199" s="241"/>
      <c r="CM199" s="241"/>
      <c r="CN199" s="241"/>
      <c r="CO199" s="241"/>
      <c r="CP199" s="241"/>
      <c r="CQ199" s="241"/>
      <c r="CR199" s="241"/>
      <c r="CS199" s="241"/>
      <c r="CT199" s="241"/>
      <c r="CU199" s="241"/>
      <c r="CV199" s="241"/>
      <c r="CW199" s="241"/>
      <c r="CX199" s="241"/>
      <c r="CY199" s="241"/>
      <c r="CZ199" s="241"/>
      <c r="DA199" s="241"/>
      <c r="DB199" s="241"/>
      <c r="DC199" s="241"/>
      <c r="DD199" s="241"/>
      <c r="DE199" s="241"/>
      <c r="DF199" s="241"/>
      <c r="DG199" s="241"/>
      <c r="DH199" s="241"/>
      <c r="DT199" s="241"/>
      <c r="FB199" s="241"/>
    </row>
    <row r="200" spans="4:158" hidden="1" x14ac:dyDescent="0.25">
      <c r="D200" s="241"/>
      <c r="E200" s="241"/>
      <c r="F200" s="241"/>
      <c r="G200" s="241"/>
      <c r="H200" s="241"/>
      <c r="I200" s="242"/>
      <c r="J200" s="241"/>
      <c r="K200" s="241"/>
      <c r="L200" s="241"/>
      <c r="M200" s="241"/>
      <c r="N200" s="242"/>
      <c r="O200" s="242"/>
      <c r="P200" s="242"/>
      <c r="Q200" s="242"/>
      <c r="R200" s="241"/>
      <c r="S200" s="241"/>
      <c r="T200" s="241"/>
      <c r="U200" s="241"/>
      <c r="V200" s="241"/>
      <c r="W200" s="241"/>
      <c r="X200" s="241"/>
      <c r="Y200" s="241"/>
      <c r="Z200" s="242"/>
      <c r="AA200" s="242"/>
      <c r="AB200" s="241"/>
      <c r="AC200" s="241"/>
      <c r="AD200" s="241"/>
      <c r="AE200" s="241"/>
      <c r="AF200" s="241"/>
      <c r="AG200" s="241"/>
      <c r="AH200" s="241"/>
      <c r="AI200" s="241"/>
      <c r="AJ200" s="274"/>
      <c r="AK200" s="241"/>
      <c r="AL200" s="241"/>
      <c r="AM200" s="241"/>
      <c r="AN200" s="241"/>
      <c r="AO200" s="241"/>
      <c r="AP200" s="241"/>
      <c r="AQ200" s="241"/>
      <c r="AR200" s="241"/>
      <c r="AS200" s="241"/>
      <c r="AT200" s="241"/>
      <c r="AU200" s="241"/>
      <c r="AV200" s="241"/>
      <c r="AW200" s="241"/>
      <c r="AX200" s="241"/>
      <c r="AY200" s="241"/>
      <c r="AZ200" s="241"/>
      <c r="BA200" s="241"/>
      <c r="BB200" s="241"/>
      <c r="BC200" s="241"/>
      <c r="BD200" s="241"/>
      <c r="BE200" s="241"/>
      <c r="BF200" s="241"/>
      <c r="BG200" s="241"/>
      <c r="BH200" s="241"/>
      <c r="BI200" s="241"/>
      <c r="BJ200" s="241"/>
      <c r="BK200" s="241"/>
      <c r="BL200" s="241"/>
      <c r="BM200" s="241"/>
      <c r="BN200" s="241"/>
      <c r="BO200" s="241"/>
      <c r="BP200" s="241"/>
      <c r="BQ200" s="241"/>
      <c r="BR200" s="241"/>
      <c r="BS200" s="241"/>
      <c r="BT200" s="241"/>
      <c r="BU200" s="241"/>
      <c r="BV200" s="241"/>
      <c r="BW200" s="241"/>
      <c r="BX200" s="241"/>
      <c r="BY200" s="241"/>
      <c r="BZ200" s="241"/>
      <c r="CA200" s="241"/>
      <c r="CB200" s="241"/>
      <c r="CC200" s="241"/>
      <c r="CD200" s="241"/>
      <c r="CE200" s="241"/>
      <c r="CF200" s="241"/>
      <c r="CG200" s="241"/>
      <c r="CH200" s="241"/>
      <c r="CI200" s="241"/>
      <c r="CJ200" s="241"/>
      <c r="CK200" s="241"/>
      <c r="CL200" s="241"/>
      <c r="CM200" s="241"/>
      <c r="CN200" s="241"/>
      <c r="CO200" s="241"/>
      <c r="CP200" s="241"/>
      <c r="CQ200" s="241"/>
      <c r="CR200" s="241"/>
      <c r="CS200" s="241"/>
      <c r="CT200" s="241"/>
      <c r="CU200" s="241"/>
      <c r="CV200" s="241"/>
      <c r="CW200" s="241"/>
      <c r="CX200" s="241"/>
      <c r="CY200" s="241"/>
      <c r="CZ200" s="241"/>
      <c r="DA200" s="241"/>
      <c r="DB200" s="241"/>
      <c r="DC200" s="241"/>
      <c r="DD200" s="241"/>
      <c r="DE200" s="241"/>
      <c r="DF200" s="241"/>
      <c r="DG200" s="241"/>
      <c r="DH200" s="241"/>
      <c r="DT200" s="241"/>
      <c r="FB200" s="241"/>
    </row>
    <row r="201" spans="4:158" hidden="1" x14ac:dyDescent="0.25">
      <c r="D201" s="241"/>
      <c r="E201" s="241"/>
      <c r="F201" s="241"/>
      <c r="G201" s="241"/>
      <c r="H201" s="241"/>
      <c r="I201" s="242"/>
      <c r="J201" s="241"/>
      <c r="K201" s="241"/>
      <c r="L201" s="241"/>
      <c r="M201" s="241"/>
      <c r="N201" s="242"/>
      <c r="O201" s="242"/>
      <c r="P201" s="242"/>
      <c r="Q201" s="242"/>
      <c r="R201" s="241"/>
      <c r="S201" s="241"/>
      <c r="T201" s="241"/>
      <c r="U201" s="241"/>
      <c r="V201" s="241"/>
      <c r="W201" s="241"/>
      <c r="X201" s="241"/>
      <c r="Y201" s="241"/>
      <c r="Z201" s="242"/>
      <c r="AA201" s="242"/>
      <c r="AB201" s="241"/>
      <c r="AC201" s="241"/>
      <c r="AD201" s="241"/>
      <c r="AE201" s="241"/>
      <c r="AF201" s="241"/>
      <c r="AG201" s="241"/>
      <c r="AH201" s="241"/>
      <c r="AI201" s="241"/>
      <c r="AJ201" s="274"/>
      <c r="AK201" s="241"/>
      <c r="AL201" s="241"/>
      <c r="AM201" s="241"/>
      <c r="AN201" s="241"/>
      <c r="AO201" s="241"/>
      <c r="AP201" s="241"/>
      <c r="AQ201" s="241"/>
      <c r="AR201" s="241"/>
      <c r="AS201" s="241"/>
      <c r="AT201" s="241"/>
      <c r="AU201" s="241"/>
      <c r="AV201" s="241"/>
      <c r="AW201" s="241"/>
      <c r="AX201" s="241"/>
      <c r="AY201" s="241"/>
      <c r="AZ201" s="241"/>
      <c r="BA201" s="241"/>
      <c r="BB201" s="241"/>
      <c r="BC201" s="241"/>
      <c r="BD201" s="241"/>
      <c r="BE201" s="241"/>
      <c r="BF201" s="241"/>
      <c r="BG201" s="241"/>
      <c r="BH201" s="241"/>
      <c r="BI201" s="241"/>
      <c r="BJ201" s="241"/>
      <c r="BK201" s="241"/>
      <c r="BL201" s="241"/>
      <c r="BM201" s="241"/>
      <c r="BN201" s="241"/>
      <c r="BO201" s="241"/>
      <c r="BP201" s="241"/>
      <c r="BQ201" s="241"/>
      <c r="BR201" s="241"/>
      <c r="BS201" s="241"/>
      <c r="BT201" s="241"/>
      <c r="BU201" s="241"/>
      <c r="BV201" s="241"/>
      <c r="BW201" s="241"/>
      <c r="BX201" s="241"/>
      <c r="BY201" s="241"/>
      <c r="BZ201" s="241"/>
      <c r="CA201" s="241"/>
      <c r="CB201" s="241"/>
      <c r="CC201" s="241"/>
      <c r="CD201" s="241"/>
      <c r="CE201" s="241"/>
      <c r="CF201" s="241"/>
      <c r="CG201" s="241"/>
      <c r="CH201" s="241"/>
      <c r="CI201" s="241"/>
      <c r="CJ201" s="241"/>
      <c r="CK201" s="241"/>
      <c r="CL201" s="241"/>
      <c r="CM201" s="241"/>
      <c r="CN201" s="241"/>
      <c r="CO201" s="241"/>
      <c r="CP201" s="241"/>
      <c r="CQ201" s="241"/>
      <c r="CR201" s="241"/>
      <c r="CS201" s="241"/>
      <c r="CT201" s="241"/>
      <c r="CU201" s="241"/>
      <c r="CV201" s="241"/>
      <c r="CW201" s="241"/>
      <c r="CX201" s="241"/>
      <c r="CY201" s="241"/>
      <c r="CZ201" s="241"/>
      <c r="DA201" s="241"/>
      <c r="DB201" s="241"/>
      <c r="DC201" s="241"/>
      <c r="DD201" s="241"/>
      <c r="DE201" s="241"/>
      <c r="DF201" s="241"/>
      <c r="DG201" s="241"/>
      <c r="DH201" s="241"/>
      <c r="DT201" s="241"/>
      <c r="FB201" s="241"/>
    </row>
    <row r="202" spans="4:158" hidden="1" x14ac:dyDescent="0.25">
      <c r="D202" s="241"/>
      <c r="E202" s="241"/>
      <c r="F202" s="241"/>
      <c r="G202" s="241"/>
      <c r="H202" s="241"/>
      <c r="I202" s="242"/>
      <c r="J202" s="241"/>
      <c r="K202" s="241"/>
      <c r="L202" s="241"/>
      <c r="M202" s="241"/>
      <c r="N202" s="242"/>
      <c r="O202" s="242"/>
      <c r="P202" s="242"/>
      <c r="Q202" s="242"/>
      <c r="R202" s="241"/>
      <c r="S202" s="241"/>
      <c r="T202" s="241"/>
      <c r="U202" s="241"/>
      <c r="V202" s="241"/>
      <c r="W202" s="241"/>
      <c r="X202" s="241"/>
      <c r="Y202" s="241"/>
      <c r="Z202" s="242"/>
      <c r="AA202" s="242"/>
      <c r="AB202" s="241"/>
      <c r="AC202" s="241"/>
      <c r="AD202" s="241"/>
      <c r="AE202" s="241"/>
      <c r="AF202" s="241"/>
      <c r="AG202" s="241"/>
      <c r="AH202" s="241"/>
      <c r="AI202" s="241"/>
      <c r="AJ202" s="274"/>
      <c r="AK202" s="241"/>
      <c r="AL202" s="241"/>
      <c r="AM202" s="241"/>
      <c r="AN202" s="241"/>
      <c r="AO202" s="241"/>
      <c r="AP202" s="241"/>
      <c r="AQ202" s="241"/>
      <c r="AR202" s="241"/>
      <c r="AS202" s="241"/>
      <c r="AT202" s="241"/>
      <c r="AU202" s="241"/>
      <c r="AV202" s="241"/>
      <c r="AW202" s="241"/>
      <c r="AX202" s="241"/>
      <c r="AY202" s="241"/>
      <c r="AZ202" s="241"/>
      <c r="BA202" s="241"/>
      <c r="BB202" s="241"/>
      <c r="BC202" s="241"/>
      <c r="BD202" s="241"/>
      <c r="BE202" s="241"/>
      <c r="BF202" s="241"/>
      <c r="BG202" s="241"/>
      <c r="BH202" s="241"/>
      <c r="BI202" s="241"/>
      <c r="BJ202" s="241"/>
      <c r="BK202" s="241"/>
      <c r="BL202" s="241"/>
      <c r="BM202" s="241"/>
      <c r="BN202" s="241"/>
      <c r="BO202" s="241"/>
      <c r="BP202" s="241"/>
      <c r="BQ202" s="241"/>
      <c r="BR202" s="241"/>
      <c r="BS202" s="241"/>
      <c r="BT202" s="241"/>
      <c r="BU202" s="241"/>
      <c r="BV202" s="241"/>
      <c r="BW202" s="241"/>
      <c r="BX202" s="241"/>
      <c r="BY202" s="241"/>
      <c r="BZ202" s="241"/>
      <c r="CA202" s="241"/>
      <c r="CB202" s="241"/>
      <c r="CC202" s="241"/>
      <c r="CD202" s="241"/>
      <c r="CE202" s="241"/>
      <c r="CF202" s="241"/>
      <c r="CG202" s="241"/>
      <c r="CH202" s="241"/>
      <c r="CI202" s="241"/>
      <c r="CJ202" s="241"/>
      <c r="CK202" s="241"/>
      <c r="CL202" s="241"/>
      <c r="CM202" s="241"/>
      <c r="CN202" s="241"/>
      <c r="CO202" s="241"/>
      <c r="CP202" s="241"/>
      <c r="CQ202" s="241"/>
      <c r="CR202" s="241"/>
      <c r="CS202" s="241"/>
      <c r="CT202" s="241"/>
      <c r="CU202" s="241"/>
      <c r="CV202" s="241"/>
      <c r="CW202" s="241"/>
      <c r="CX202" s="241"/>
      <c r="CY202" s="241"/>
      <c r="CZ202" s="241"/>
      <c r="DA202" s="241"/>
      <c r="DB202" s="241"/>
      <c r="DC202" s="241"/>
      <c r="DD202" s="241"/>
      <c r="DE202" s="241"/>
      <c r="DF202" s="241"/>
      <c r="DG202" s="241"/>
      <c r="DH202" s="241"/>
      <c r="DT202" s="241"/>
      <c r="FB202" s="241"/>
    </row>
    <row r="203" spans="4:158" hidden="1" x14ac:dyDescent="0.25">
      <c r="D203" s="241"/>
      <c r="E203" s="241"/>
      <c r="F203" s="241"/>
      <c r="G203" s="241"/>
      <c r="H203" s="241"/>
      <c r="I203" s="242"/>
      <c r="J203" s="241"/>
      <c r="K203" s="241"/>
      <c r="L203" s="241"/>
      <c r="M203" s="241"/>
      <c r="N203" s="242"/>
      <c r="O203" s="242"/>
      <c r="P203" s="242"/>
      <c r="Q203" s="242"/>
      <c r="R203" s="241"/>
      <c r="S203" s="241"/>
      <c r="T203" s="241"/>
      <c r="U203" s="241"/>
      <c r="V203" s="241"/>
      <c r="W203" s="241"/>
      <c r="X203" s="241"/>
      <c r="Y203" s="241"/>
      <c r="Z203" s="242"/>
      <c r="AA203" s="242"/>
      <c r="AB203" s="241"/>
      <c r="AC203" s="241"/>
      <c r="AD203" s="241"/>
      <c r="AE203" s="241"/>
      <c r="AF203" s="241"/>
      <c r="AG203" s="241"/>
      <c r="AH203" s="241"/>
      <c r="AI203" s="241"/>
      <c r="AJ203" s="274"/>
      <c r="AK203" s="241"/>
      <c r="AL203" s="241"/>
      <c r="AM203" s="241"/>
      <c r="AN203" s="241"/>
      <c r="AO203" s="241"/>
      <c r="AP203" s="241"/>
      <c r="AQ203" s="241"/>
      <c r="AR203" s="241"/>
      <c r="AS203" s="241"/>
      <c r="AT203" s="241"/>
      <c r="AU203" s="241"/>
      <c r="AV203" s="241"/>
      <c r="AW203" s="241"/>
      <c r="AX203" s="241"/>
      <c r="AY203" s="241"/>
      <c r="AZ203" s="241"/>
      <c r="BA203" s="241"/>
      <c r="BB203" s="241"/>
      <c r="BC203" s="241"/>
      <c r="BD203" s="241"/>
      <c r="BE203" s="241"/>
      <c r="BF203" s="241"/>
      <c r="BG203" s="241"/>
      <c r="BH203" s="241"/>
      <c r="BI203" s="241"/>
      <c r="BJ203" s="241"/>
      <c r="BK203" s="241"/>
      <c r="BL203" s="241"/>
      <c r="BM203" s="241"/>
      <c r="BN203" s="241"/>
      <c r="BO203" s="241"/>
      <c r="BP203" s="241"/>
      <c r="BQ203" s="241"/>
      <c r="BR203" s="241"/>
      <c r="BS203" s="241"/>
      <c r="BT203" s="241"/>
      <c r="BU203" s="241"/>
      <c r="BV203" s="241"/>
      <c r="BW203" s="241"/>
      <c r="BX203" s="241"/>
      <c r="BY203" s="241"/>
      <c r="BZ203" s="241"/>
      <c r="CA203" s="241"/>
      <c r="CB203" s="241"/>
      <c r="CC203" s="241"/>
      <c r="CD203" s="241"/>
      <c r="CE203" s="241"/>
      <c r="CF203" s="241"/>
      <c r="CG203" s="241"/>
      <c r="CH203" s="241"/>
      <c r="CI203" s="241"/>
      <c r="CJ203" s="241"/>
      <c r="CK203" s="241"/>
      <c r="CL203" s="241"/>
      <c r="CM203" s="241"/>
      <c r="CN203" s="241"/>
      <c r="CO203" s="241"/>
      <c r="CP203" s="241"/>
      <c r="CQ203" s="241"/>
      <c r="CR203" s="241"/>
      <c r="CS203" s="241"/>
      <c r="CT203" s="241"/>
      <c r="CU203" s="241"/>
      <c r="CV203" s="241"/>
      <c r="CW203" s="241"/>
      <c r="CX203" s="241"/>
      <c r="CY203" s="241"/>
      <c r="CZ203" s="241"/>
      <c r="DA203" s="241"/>
      <c r="DB203" s="241"/>
      <c r="DC203" s="241"/>
      <c r="DD203" s="241"/>
      <c r="DE203" s="241"/>
      <c r="DF203" s="241"/>
      <c r="DG203" s="241"/>
      <c r="DH203" s="241"/>
      <c r="DT203" s="241"/>
      <c r="FB203" s="241"/>
    </row>
    <row r="204" spans="4:158" hidden="1" x14ac:dyDescent="0.25">
      <c r="D204" s="241"/>
      <c r="E204" s="241"/>
      <c r="F204" s="241"/>
      <c r="G204" s="241"/>
      <c r="H204" s="241"/>
      <c r="I204" s="242"/>
      <c r="J204" s="241"/>
      <c r="K204" s="241"/>
      <c r="L204" s="241"/>
      <c r="M204" s="241"/>
      <c r="N204" s="242"/>
      <c r="O204" s="242"/>
      <c r="P204" s="242"/>
      <c r="Q204" s="242"/>
      <c r="R204" s="241"/>
      <c r="S204" s="241"/>
      <c r="T204" s="241"/>
      <c r="U204" s="241"/>
      <c r="V204" s="241"/>
      <c r="W204" s="241"/>
      <c r="X204" s="241"/>
      <c r="Y204" s="241"/>
      <c r="Z204" s="242"/>
      <c r="AA204" s="242"/>
      <c r="AB204" s="241"/>
      <c r="AC204" s="241"/>
      <c r="AD204" s="241"/>
      <c r="AE204" s="241"/>
      <c r="AF204" s="241"/>
      <c r="AG204" s="241"/>
      <c r="AH204" s="241"/>
      <c r="AI204" s="241"/>
      <c r="AJ204" s="274"/>
      <c r="AK204" s="241"/>
      <c r="AL204" s="241"/>
      <c r="AM204" s="241"/>
      <c r="AN204" s="241"/>
      <c r="AO204" s="241"/>
      <c r="AP204" s="241"/>
      <c r="AQ204" s="241"/>
      <c r="AR204" s="241"/>
      <c r="AS204" s="241"/>
      <c r="AT204" s="241"/>
      <c r="AU204" s="241"/>
      <c r="AV204" s="241"/>
      <c r="AW204" s="241"/>
      <c r="AX204" s="241"/>
      <c r="AY204" s="241"/>
      <c r="AZ204" s="241"/>
      <c r="BA204" s="241"/>
      <c r="BB204" s="241"/>
      <c r="BC204" s="241"/>
      <c r="BD204" s="241"/>
      <c r="BE204" s="241"/>
      <c r="BF204" s="241"/>
      <c r="BG204" s="241"/>
      <c r="BH204" s="241"/>
      <c r="BI204" s="241"/>
      <c r="BJ204" s="241"/>
      <c r="BK204" s="241"/>
      <c r="BL204" s="241"/>
      <c r="BM204" s="241"/>
      <c r="BN204" s="241"/>
      <c r="BO204" s="241"/>
      <c r="BP204" s="241"/>
      <c r="BQ204" s="241"/>
      <c r="BR204" s="241"/>
      <c r="BS204" s="241"/>
      <c r="BT204" s="241"/>
      <c r="BU204" s="241"/>
      <c r="BV204" s="241"/>
      <c r="BW204" s="241"/>
      <c r="BX204" s="241"/>
      <c r="BY204" s="241"/>
      <c r="BZ204" s="241"/>
      <c r="CA204" s="241"/>
      <c r="CB204" s="241"/>
      <c r="CC204" s="241"/>
      <c r="CD204" s="241"/>
      <c r="CE204" s="241"/>
      <c r="CF204" s="241"/>
      <c r="CG204" s="241"/>
      <c r="CH204" s="241"/>
      <c r="CI204" s="241"/>
      <c r="CJ204" s="241"/>
      <c r="CK204" s="241"/>
      <c r="CL204" s="241"/>
      <c r="CM204" s="241"/>
      <c r="CN204" s="241"/>
      <c r="CO204" s="241"/>
      <c r="CP204" s="241"/>
      <c r="CQ204" s="241"/>
      <c r="CR204" s="241"/>
      <c r="CS204" s="241"/>
      <c r="CT204" s="241"/>
      <c r="CU204" s="241"/>
      <c r="CV204" s="241"/>
      <c r="CW204" s="241"/>
      <c r="CX204" s="241"/>
      <c r="CY204" s="241"/>
      <c r="CZ204" s="241"/>
      <c r="DA204" s="241"/>
      <c r="DB204" s="241"/>
      <c r="DC204" s="241"/>
      <c r="DD204" s="241"/>
      <c r="DE204" s="241"/>
      <c r="DF204" s="241"/>
      <c r="DG204" s="241"/>
      <c r="DH204" s="241"/>
      <c r="DT204" s="241"/>
      <c r="FB204" s="241"/>
    </row>
    <row r="205" spans="4:158" hidden="1" x14ac:dyDescent="0.25">
      <c r="D205" s="241"/>
      <c r="E205" s="241"/>
      <c r="F205" s="241"/>
      <c r="G205" s="241"/>
      <c r="H205" s="241"/>
      <c r="I205" s="242"/>
      <c r="J205" s="241"/>
      <c r="K205" s="241"/>
      <c r="L205" s="241"/>
      <c r="M205" s="241"/>
      <c r="N205" s="242"/>
      <c r="O205" s="242"/>
      <c r="P205" s="242"/>
      <c r="Q205" s="242"/>
      <c r="R205" s="241"/>
      <c r="S205" s="241"/>
      <c r="T205" s="241"/>
      <c r="U205" s="241"/>
      <c r="V205" s="241"/>
      <c r="W205" s="241"/>
      <c r="X205" s="241"/>
      <c r="Y205" s="241"/>
      <c r="Z205" s="242"/>
      <c r="AA205" s="242"/>
      <c r="AB205" s="241"/>
      <c r="AC205" s="241"/>
      <c r="AD205" s="241"/>
      <c r="AE205" s="241"/>
      <c r="AF205" s="241"/>
      <c r="AG205" s="241"/>
      <c r="AH205" s="241"/>
      <c r="AI205" s="241"/>
      <c r="AJ205" s="274"/>
      <c r="AK205" s="241"/>
      <c r="AL205" s="241"/>
      <c r="AM205" s="241"/>
      <c r="AN205" s="241"/>
      <c r="AO205" s="241"/>
      <c r="AP205" s="241"/>
      <c r="AQ205" s="241"/>
      <c r="AR205" s="241"/>
      <c r="AS205" s="241"/>
      <c r="AT205" s="241"/>
      <c r="AU205" s="241"/>
      <c r="AV205" s="241"/>
      <c r="AW205" s="241"/>
      <c r="AX205" s="241"/>
      <c r="AY205" s="241"/>
      <c r="AZ205" s="241"/>
      <c r="BA205" s="241"/>
      <c r="BB205" s="241"/>
      <c r="BC205" s="241"/>
      <c r="BD205" s="241"/>
      <c r="BE205" s="241"/>
      <c r="BF205" s="241"/>
      <c r="BG205" s="241"/>
      <c r="BH205" s="241"/>
      <c r="BI205" s="241"/>
      <c r="BJ205" s="241"/>
      <c r="BK205" s="241"/>
      <c r="BL205" s="241"/>
      <c r="BM205" s="241"/>
      <c r="BN205" s="241"/>
      <c r="BO205" s="241"/>
      <c r="BP205" s="241"/>
      <c r="BQ205" s="241"/>
      <c r="BR205" s="241"/>
      <c r="BS205" s="241"/>
      <c r="BT205" s="241"/>
      <c r="BU205" s="241"/>
      <c r="BV205" s="241"/>
      <c r="BW205" s="241"/>
      <c r="BX205" s="241"/>
      <c r="BY205" s="241"/>
      <c r="BZ205" s="241"/>
      <c r="CA205" s="241"/>
      <c r="CB205" s="241"/>
      <c r="CC205" s="241"/>
      <c r="CD205" s="241"/>
      <c r="CE205" s="241"/>
      <c r="CF205" s="241"/>
      <c r="CG205" s="241"/>
      <c r="CH205" s="241"/>
      <c r="CI205" s="241"/>
      <c r="CJ205" s="241"/>
      <c r="CK205" s="241"/>
      <c r="CL205" s="241"/>
      <c r="CM205" s="241"/>
      <c r="CN205" s="241"/>
      <c r="CO205" s="241"/>
      <c r="CP205" s="241"/>
      <c r="CQ205" s="241"/>
      <c r="CR205" s="241"/>
      <c r="CS205" s="241"/>
      <c r="CT205" s="241"/>
      <c r="CU205" s="241"/>
      <c r="CV205" s="241"/>
      <c r="CW205" s="241"/>
      <c r="CX205" s="241"/>
      <c r="CY205" s="241"/>
      <c r="CZ205" s="241"/>
      <c r="DA205" s="241"/>
      <c r="DB205" s="241"/>
      <c r="DC205" s="241"/>
      <c r="DD205" s="241"/>
      <c r="DE205" s="241"/>
      <c r="DF205" s="241"/>
      <c r="DG205" s="241"/>
      <c r="DH205" s="241"/>
      <c r="DT205" s="241"/>
      <c r="FB205" s="241"/>
    </row>
    <row r="206" spans="4:158" hidden="1" x14ac:dyDescent="0.25">
      <c r="D206" s="241"/>
      <c r="E206" s="241"/>
      <c r="F206" s="241"/>
      <c r="G206" s="241"/>
      <c r="H206" s="241"/>
      <c r="I206" s="242"/>
      <c r="J206" s="241"/>
      <c r="K206" s="241"/>
      <c r="L206" s="241"/>
      <c r="M206" s="241"/>
      <c r="N206" s="242"/>
      <c r="O206" s="242"/>
      <c r="P206" s="242"/>
      <c r="Q206" s="242"/>
      <c r="R206" s="241"/>
      <c r="S206" s="241"/>
      <c r="T206" s="241"/>
      <c r="U206" s="241"/>
      <c r="V206" s="241"/>
      <c r="W206" s="241"/>
      <c r="X206" s="241"/>
      <c r="Y206" s="241"/>
      <c r="Z206" s="242"/>
      <c r="AA206" s="242"/>
      <c r="AB206" s="241"/>
      <c r="AC206" s="241"/>
      <c r="AD206" s="241"/>
      <c r="AE206" s="241"/>
      <c r="AF206" s="241"/>
      <c r="AG206" s="241"/>
      <c r="AH206" s="241"/>
      <c r="AI206" s="241"/>
      <c r="AJ206" s="274"/>
      <c r="AK206" s="241"/>
      <c r="AL206" s="241"/>
      <c r="AM206" s="241"/>
      <c r="AN206" s="241"/>
      <c r="AO206" s="241"/>
      <c r="AP206" s="241"/>
      <c r="AQ206" s="241"/>
      <c r="AR206" s="241"/>
      <c r="AS206" s="241"/>
      <c r="AT206" s="241"/>
      <c r="AU206" s="241"/>
      <c r="AV206" s="241"/>
      <c r="AW206" s="241"/>
      <c r="AX206" s="241"/>
      <c r="AY206" s="241"/>
      <c r="AZ206" s="241"/>
      <c r="BA206" s="241"/>
      <c r="BB206" s="241"/>
      <c r="BC206" s="241"/>
      <c r="BD206" s="241"/>
      <c r="BE206" s="241"/>
      <c r="BF206" s="241"/>
      <c r="BG206" s="241"/>
      <c r="BH206" s="241"/>
      <c r="BI206" s="241"/>
      <c r="BJ206" s="241"/>
      <c r="BK206" s="241"/>
      <c r="BL206" s="241"/>
      <c r="BM206" s="241"/>
      <c r="BN206" s="241"/>
      <c r="BO206" s="241"/>
      <c r="BP206" s="241"/>
      <c r="BQ206" s="241"/>
      <c r="BR206" s="241"/>
      <c r="BS206" s="241"/>
      <c r="BT206" s="241"/>
      <c r="BU206" s="241"/>
      <c r="BV206" s="241"/>
      <c r="BW206" s="241"/>
      <c r="BX206" s="241"/>
      <c r="BY206" s="241"/>
      <c r="BZ206" s="241"/>
      <c r="CA206" s="241"/>
      <c r="CB206" s="241"/>
      <c r="CC206" s="241"/>
      <c r="CD206" s="241"/>
      <c r="CE206" s="241"/>
      <c r="CF206" s="241"/>
      <c r="CG206" s="241"/>
      <c r="CH206" s="241"/>
      <c r="CI206" s="241"/>
      <c r="CJ206" s="241"/>
      <c r="CK206" s="241"/>
      <c r="CL206" s="241"/>
      <c r="CM206" s="241"/>
      <c r="CN206" s="241"/>
      <c r="CO206" s="241"/>
      <c r="CP206" s="241"/>
      <c r="CQ206" s="241"/>
      <c r="CR206" s="241"/>
      <c r="CS206" s="241"/>
      <c r="CT206" s="241"/>
      <c r="CU206" s="241"/>
      <c r="CV206" s="241"/>
      <c r="CW206" s="241"/>
      <c r="CX206" s="241"/>
      <c r="CY206" s="241"/>
      <c r="CZ206" s="241"/>
      <c r="DA206" s="241"/>
      <c r="DB206" s="241"/>
      <c r="DC206" s="241"/>
      <c r="DD206" s="241"/>
      <c r="DE206" s="241"/>
      <c r="DF206" s="241"/>
      <c r="DG206" s="241"/>
      <c r="DH206" s="241"/>
      <c r="DT206" s="241"/>
      <c r="FB206" s="241"/>
    </row>
    <row r="207" spans="4:158" hidden="1" x14ac:dyDescent="0.25">
      <c r="D207" s="241"/>
      <c r="E207" s="241"/>
      <c r="F207" s="241"/>
      <c r="G207" s="241"/>
      <c r="H207" s="241"/>
      <c r="I207" s="242"/>
      <c r="J207" s="241"/>
      <c r="K207" s="241"/>
      <c r="L207" s="241"/>
      <c r="M207" s="241"/>
      <c r="N207" s="242"/>
      <c r="O207" s="242"/>
      <c r="P207" s="242"/>
      <c r="Q207" s="242"/>
      <c r="R207" s="241"/>
      <c r="S207" s="241"/>
      <c r="T207" s="241"/>
      <c r="U207" s="241"/>
      <c r="V207" s="241"/>
      <c r="W207" s="241"/>
      <c r="X207" s="241"/>
      <c r="Y207" s="241"/>
      <c r="Z207" s="242"/>
      <c r="AA207" s="242"/>
      <c r="AB207" s="241"/>
      <c r="AC207" s="241"/>
      <c r="AD207" s="241"/>
      <c r="AE207" s="241"/>
      <c r="AF207" s="241"/>
      <c r="AG207" s="241"/>
      <c r="AH207" s="241"/>
      <c r="AI207" s="241"/>
      <c r="AJ207" s="274"/>
      <c r="AK207" s="241"/>
      <c r="AL207" s="241"/>
      <c r="AM207" s="241"/>
      <c r="AN207" s="241"/>
      <c r="AO207" s="241"/>
      <c r="AP207" s="241"/>
      <c r="AQ207" s="241"/>
      <c r="AR207" s="241"/>
      <c r="AS207" s="241"/>
      <c r="AT207" s="241"/>
      <c r="AU207" s="241"/>
      <c r="AV207" s="241"/>
      <c r="AW207" s="241"/>
      <c r="AX207" s="241"/>
      <c r="AY207" s="241"/>
      <c r="AZ207" s="241"/>
      <c r="BA207" s="241"/>
      <c r="BB207" s="241"/>
      <c r="BC207" s="241"/>
      <c r="BD207" s="241"/>
      <c r="BE207" s="241"/>
      <c r="BF207" s="241"/>
      <c r="BG207" s="241"/>
      <c r="BH207" s="241"/>
      <c r="BI207" s="241"/>
      <c r="BJ207" s="241"/>
      <c r="BK207" s="241"/>
      <c r="BL207" s="241"/>
      <c r="BM207" s="241"/>
      <c r="BN207" s="241"/>
      <c r="BO207" s="241"/>
      <c r="BP207" s="241"/>
      <c r="BQ207" s="241"/>
      <c r="BR207" s="241"/>
      <c r="BS207" s="241"/>
      <c r="BT207" s="241"/>
      <c r="BU207" s="241"/>
      <c r="BV207" s="241"/>
      <c r="BW207" s="241"/>
      <c r="BX207" s="241"/>
      <c r="BY207" s="241"/>
      <c r="BZ207" s="241"/>
      <c r="CA207" s="241"/>
      <c r="CB207" s="241"/>
      <c r="CC207" s="241"/>
      <c r="CD207" s="241"/>
      <c r="CE207" s="241"/>
      <c r="CF207" s="241"/>
      <c r="CG207" s="241"/>
      <c r="CH207" s="241"/>
      <c r="CI207" s="241"/>
      <c r="CJ207" s="241"/>
      <c r="CK207" s="241"/>
      <c r="CL207" s="241"/>
      <c r="CM207" s="241"/>
      <c r="CN207" s="241"/>
      <c r="CO207" s="241"/>
      <c r="CP207" s="241"/>
      <c r="CQ207" s="241"/>
      <c r="CR207" s="241"/>
      <c r="CS207" s="241"/>
      <c r="CT207" s="241"/>
      <c r="CU207" s="241"/>
      <c r="CV207" s="241"/>
      <c r="CW207" s="241"/>
      <c r="CX207" s="241"/>
      <c r="CY207" s="241"/>
      <c r="CZ207" s="241"/>
      <c r="DA207" s="241"/>
      <c r="DB207" s="241"/>
      <c r="DC207" s="241"/>
      <c r="DD207" s="241"/>
      <c r="DE207" s="241"/>
      <c r="DF207" s="241"/>
      <c r="DG207" s="241"/>
      <c r="DH207" s="241"/>
      <c r="DT207" s="241"/>
      <c r="FB207" s="241"/>
    </row>
    <row r="208" spans="4:158" hidden="1" x14ac:dyDescent="0.25">
      <c r="D208" s="241"/>
      <c r="E208" s="241"/>
      <c r="F208" s="241"/>
      <c r="G208" s="241"/>
      <c r="H208" s="241"/>
      <c r="I208" s="242"/>
      <c r="J208" s="241"/>
      <c r="K208" s="241"/>
      <c r="L208" s="241"/>
      <c r="M208" s="241"/>
      <c r="N208" s="242"/>
      <c r="O208" s="242"/>
      <c r="P208" s="242"/>
      <c r="Q208" s="242"/>
      <c r="R208" s="241"/>
      <c r="S208" s="241"/>
      <c r="T208" s="241"/>
      <c r="U208" s="241"/>
      <c r="V208" s="241"/>
      <c r="W208" s="241"/>
      <c r="X208" s="241"/>
      <c r="Y208" s="241"/>
      <c r="Z208" s="242"/>
      <c r="AA208" s="242"/>
      <c r="AB208" s="241"/>
      <c r="AC208" s="241"/>
      <c r="AD208" s="241"/>
      <c r="AE208" s="241"/>
      <c r="AF208" s="241"/>
      <c r="AG208" s="241"/>
      <c r="AH208" s="241"/>
      <c r="AI208" s="241"/>
      <c r="AJ208" s="274"/>
      <c r="AK208" s="241"/>
      <c r="AL208" s="241"/>
      <c r="AM208" s="241"/>
      <c r="AN208" s="241"/>
      <c r="AO208" s="241"/>
      <c r="AP208" s="241"/>
      <c r="AQ208" s="241"/>
      <c r="AR208" s="241"/>
      <c r="AS208" s="241"/>
      <c r="AT208" s="241"/>
      <c r="AU208" s="241"/>
      <c r="AV208" s="241"/>
      <c r="AW208" s="241"/>
      <c r="AX208" s="241"/>
      <c r="AY208" s="241"/>
      <c r="AZ208" s="241"/>
      <c r="BA208" s="241"/>
      <c r="BB208" s="241"/>
      <c r="BC208" s="241"/>
      <c r="BD208" s="241"/>
      <c r="BE208" s="241"/>
      <c r="BF208" s="241"/>
      <c r="BG208" s="241"/>
      <c r="BH208" s="241"/>
      <c r="BI208" s="241"/>
      <c r="BJ208" s="241"/>
      <c r="BK208" s="241"/>
      <c r="BL208" s="241"/>
      <c r="BM208" s="241"/>
      <c r="BN208" s="241"/>
      <c r="BO208" s="241"/>
      <c r="BP208" s="241"/>
      <c r="BQ208" s="241"/>
      <c r="BR208" s="241"/>
      <c r="BS208" s="241"/>
      <c r="BT208" s="241"/>
      <c r="BU208" s="241"/>
      <c r="BV208" s="241"/>
      <c r="BW208" s="241"/>
      <c r="BX208" s="241"/>
      <c r="BY208" s="241"/>
      <c r="BZ208" s="241"/>
      <c r="CA208" s="241"/>
      <c r="CB208" s="241"/>
      <c r="CC208" s="241"/>
      <c r="CD208" s="241"/>
      <c r="CE208" s="241"/>
      <c r="CF208" s="241"/>
      <c r="CG208" s="241"/>
      <c r="CH208" s="241"/>
      <c r="CI208" s="241"/>
      <c r="CJ208" s="241"/>
      <c r="CK208" s="241"/>
      <c r="CL208" s="241"/>
      <c r="CM208" s="241"/>
      <c r="CN208" s="241"/>
      <c r="CO208" s="241"/>
      <c r="CP208" s="241"/>
      <c r="CQ208" s="241"/>
      <c r="CR208" s="241"/>
      <c r="CS208" s="241"/>
      <c r="CT208" s="241"/>
      <c r="CU208" s="241"/>
      <c r="CV208" s="241"/>
      <c r="CW208" s="241"/>
      <c r="CX208" s="241"/>
      <c r="CY208" s="241"/>
      <c r="CZ208" s="241"/>
      <c r="DA208" s="241"/>
      <c r="DB208" s="241"/>
      <c r="DC208" s="241"/>
      <c r="DD208" s="241"/>
      <c r="DE208" s="241"/>
      <c r="DF208" s="241"/>
      <c r="DG208" s="241"/>
      <c r="DH208" s="241"/>
      <c r="DT208" s="241"/>
      <c r="FB208" s="241"/>
    </row>
    <row r="209" spans="4:158" hidden="1" x14ac:dyDescent="0.25">
      <c r="D209" s="241"/>
      <c r="E209" s="241"/>
      <c r="F209" s="241"/>
      <c r="G209" s="241"/>
      <c r="H209" s="241"/>
      <c r="I209" s="242"/>
      <c r="J209" s="241"/>
      <c r="K209" s="241"/>
      <c r="L209" s="241"/>
      <c r="M209" s="241"/>
      <c r="N209" s="242"/>
      <c r="O209" s="242"/>
      <c r="P209" s="242"/>
      <c r="Q209" s="242"/>
      <c r="R209" s="241"/>
      <c r="S209" s="241"/>
      <c r="T209" s="241"/>
      <c r="U209" s="241"/>
      <c r="V209" s="241"/>
      <c r="W209" s="241"/>
      <c r="X209" s="241"/>
      <c r="Y209" s="241"/>
      <c r="Z209" s="242"/>
      <c r="AA209" s="242"/>
      <c r="AB209" s="241"/>
      <c r="AC209" s="241"/>
      <c r="AD209" s="241"/>
      <c r="AE209" s="241"/>
      <c r="AF209" s="241"/>
      <c r="AG209" s="241"/>
      <c r="AH209" s="241"/>
      <c r="AI209" s="241"/>
      <c r="AJ209" s="274"/>
      <c r="AK209" s="241"/>
      <c r="AL209" s="241"/>
      <c r="AM209" s="241"/>
      <c r="AN209" s="241"/>
      <c r="AO209" s="241"/>
      <c r="AP209" s="241"/>
      <c r="AQ209" s="241"/>
      <c r="AR209" s="241"/>
      <c r="AS209" s="241"/>
      <c r="AT209" s="241"/>
      <c r="AU209" s="241"/>
      <c r="AV209" s="241"/>
      <c r="AW209" s="241"/>
      <c r="AX209" s="241"/>
      <c r="AY209" s="241"/>
      <c r="AZ209" s="241"/>
      <c r="BA209" s="241"/>
      <c r="BB209" s="241"/>
      <c r="BC209" s="241"/>
      <c r="BD209" s="241"/>
      <c r="BE209" s="241"/>
      <c r="BF209" s="241"/>
      <c r="BG209" s="241"/>
      <c r="BH209" s="241"/>
      <c r="BI209" s="241"/>
      <c r="BJ209" s="241"/>
      <c r="BK209" s="241"/>
      <c r="BL209" s="241"/>
      <c r="BM209" s="241"/>
      <c r="BN209" s="241"/>
      <c r="BO209" s="241"/>
      <c r="BP209" s="241"/>
      <c r="BQ209" s="241"/>
      <c r="BR209" s="241"/>
      <c r="BS209" s="241"/>
      <c r="BT209" s="241"/>
      <c r="BU209" s="241"/>
      <c r="BV209" s="241"/>
      <c r="BW209" s="241"/>
      <c r="BX209" s="241"/>
      <c r="BY209" s="241"/>
      <c r="BZ209" s="241"/>
      <c r="CA209" s="241"/>
      <c r="CB209" s="241"/>
      <c r="CC209" s="241"/>
      <c r="CD209" s="241"/>
      <c r="CE209" s="241"/>
      <c r="CF209" s="241"/>
      <c r="CG209" s="241"/>
      <c r="CH209" s="241"/>
      <c r="CI209" s="241"/>
      <c r="CJ209" s="241"/>
      <c r="CK209" s="241"/>
      <c r="CL209" s="241"/>
      <c r="CM209" s="241"/>
      <c r="CN209" s="241"/>
      <c r="CO209" s="241"/>
      <c r="CP209" s="241"/>
      <c r="CQ209" s="241"/>
      <c r="CR209" s="241"/>
      <c r="CS209" s="241"/>
      <c r="CT209" s="241"/>
      <c r="CU209" s="241"/>
      <c r="CV209" s="241"/>
      <c r="CW209" s="241"/>
      <c r="CX209" s="241"/>
      <c r="CY209" s="241"/>
      <c r="CZ209" s="241"/>
      <c r="DA209" s="241"/>
      <c r="DB209" s="241"/>
      <c r="DC209" s="241"/>
      <c r="DD209" s="241"/>
      <c r="DE209" s="241"/>
      <c r="DF209" s="241"/>
      <c r="DG209" s="241"/>
      <c r="DH209" s="241"/>
      <c r="DT209" s="241"/>
      <c r="FB209" s="241"/>
    </row>
    <row r="210" spans="4:158" hidden="1" x14ac:dyDescent="0.25">
      <c r="D210" s="241"/>
      <c r="E210" s="241"/>
      <c r="F210" s="241"/>
      <c r="G210" s="241"/>
      <c r="H210" s="241"/>
      <c r="I210" s="242"/>
      <c r="J210" s="241"/>
      <c r="K210" s="241"/>
      <c r="L210" s="241"/>
      <c r="M210" s="241"/>
      <c r="N210" s="242"/>
      <c r="O210" s="242"/>
      <c r="P210" s="242"/>
      <c r="Q210" s="242"/>
      <c r="R210" s="241"/>
      <c r="S210" s="241"/>
      <c r="T210" s="241"/>
      <c r="U210" s="241"/>
      <c r="V210" s="241"/>
      <c r="W210" s="241"/>
      <c r="X210" s="241"/>
      <c r="Y210" s="241"/>
      <c r="Z210" s="242"/>
      <c r="AA210" s="242"/>
      <c r="AB210" s="241"/>
      <c r="AC210" s="241"/>
      <c r="AD210" s="241"/>
      <c r="AE210" s="241"/>
      <c r="AF210" s="241"/>
      <c r="AG210" s="241"/>
      <c r="AH210" s="241"/>
      <c r="AI210" s="241"/>
      <c r="AJ210" s="274"/>
      <c r="AK210" s="241"/>
      <c r="AL210" s="241"/>
      <c r="AM210" s="241"/>
      <c r="AN210" s="241"/>
      <c r="AO210" s="241"/>
      <c r="AP210" s="241"/>
      <c r="AQ210" s="241"/>
      <c r="AR210" s="241"/>
      <c r="AS210" s="241"/>
      <c r="AT210" s="241"/>
      <c r="AU210" s="241"/>
      <c r="AV210" s="241"/>
      <c r="AW210" s="241"/>
      <c r="AX210" s="241"/>
      <c r="AY210" s="241"/>
      <c r="AZ210" s="241"/>
      <c r="BA210" s="241"/>
      <c r="BB210" s="241"/>
      <c r="BC210" s="241"/>
      <c r="BD210" s="241"/>
      <c r="BE210" s="241"/>
      <c r="BF210" s="241"/>
      <c r="BG210" s="241"/>
      <c r="BH210" s="241"/>
      <c r="BI210" s="241"/>
      <c r="BJ210" s="241"/>
      <c r="BK210" s="241"/>
      <c r="BL210" s="241"/>
      <c r="BM210" s="241"/>
      <c r="BN210" s="241"/>
      <c r="BO210" s="241"/>
      <c r="BP210" s="241"/>
      <c r="BQ210" s="241"/>
      <c r="BR210" s="241"/>
      <c r="BS210" s="241"/>
      <c r="BT210" s="241"/>
      <c r="BU210" s="241"/>
      <c r="BV210" s="241"/>
      <c r="BW210" s="241"/>
      <c r="BX210" s="241"/>
      <c r="BY210" s="241"/>
      <c r="BZ210" s="241"/>
      <c r="CA210" s="241"/>
      <c r="CB210" s="241"/>
      <c r="CC210" s="241"/>
      <c r="CD210" s="241"/>
      <c r="CE210" s="241"/>
      <c r="CF210" s="241"/>
      <c r="CG210" s="241"/>
      <c r="CH210" s="241"/>
      <c r="CI210" s="241"/>
      <c r="CJ210" s="241"/>
      <c r="CK210" s="241"/>
      <c r="CL210" s="241"/>
      <c r="CM210" s="241"/>
      <c r="CN210" s="241"/>
      <c r="CO210" s="241"/>
      <c r="CP210" s="241"/>
      <c r="CQ210" s="241"/>
      <c r="CR210" s="241"/>
      <c r="CS210" s="241"/>
      <c r="CT210" s="241"/>
      <c r="CU210" s="241"/>
      <c r="CV210" s="241"/>
      <c r="CW210" s="241"/>
      <c r="CX210" s="241"/>
      <c r="CY210" s="241"/>
      <c r="CZ210" s="241"/>
      <c r="DA210" s="241"/>
      <c r="DB210" s="241"/>
      <c r="DC210" s="241"/>
      <c r="DD210" s="241"/>
      <c r="DE210" s="241"/>
      <c r="DF210" s="241"/>
      <c r="DG210" s="241"/>
      <c r="DH210" s="241"/>
      <c r="DT210" s="241"/>
      <c r="FB210" s="241"/>
    </row>
    <row r="211" spans="4:158" hidden="1" x14ac:dyDescent="0.25">
      <c r="D211" s="241"/>
      <c r="E211" s="241"/>
      <c r="F211" s="241"/>
      <c r="G211" s="241"/>
      <c r="H211" s="241"/>
      <c r="I211" s="242"/>
      <c r="J211" s="241"/>
      <c r="K211" s="241"/>
      <c r="L211" s="241"/>
      <c r="M211" s="241"/>
      <c r="N211" s="242"/>
      <c r="O211" s="242"/>
      <c r="P211" s="242"/>
      <c r="Q211" s="242"/>
      <c r="R211" s="241"/>
      <c r="S211" s="241"/>
      <c r="T211" s="241"/>
      <c r="U211" s="241"/>
      <c r="V211" s="241"/>
      <c r="W211" s="241"/>
      <c r="X211" s="241"/>
      <c r="Y211" s="241"/>
      <c r="Z211" s="242"/>
      <c r="AA211" s="242"/>
      <c r="AB211" s="241"/>
      <c r="AC211" s="241"/>
      <c r="AD211" s="241"/>
      <c r="AE211" s="241"/>
      <c r="AF211" s="241"/>
      <c r="AG211" s="241"/>
      <c r="AH211" s="241"/>
      <c r="AI211" s="241"/>
      <c r="AJ211" s="274"/>
      <c r="AK211" s="241"/>
      <c r="AL211" s="241"/>
      <c r="AM211" s="241"/>
      <c r="AN211" s="241"/>
      <c r="AO211" s="241"/>
      <c r="AP211" s="241"/>
      <c r="AQ211" s="241"/>
      <c r="AR211" s="241"/>
      <c r="AS211" s="241"/>
      <c r="AT211" s="241"/>
      <c r="AU211" s="241"/>
      <c r="AV211" s="241"/>
      <c r="AW211" s="241"/>
      <c r="AX211" s="241"/>
      <c r="AY211" s="241"/>
      <c r="AZ211" s="241"/>
      <c r="BA211" s="241"/>
      <c r="BB211" s="241"/>
      <c r="BC211" s="241"/>
      <c r="BD211" s="241"/>
      <c r="BE211" s="241"/>
      <c r="BF211" s="241"/>
      <c r="BG211" s="241"/>
      <c r="BH211" s="241"/>
      <c r="BI211" s="241"/>
      <c r="BJ211" s="241"/>
      <c r="BK211" s="241"/>
      <c r="BL211" s="241"/>
      <c r="BM211" s="241"/>
      <c r="BN211" s="241"/>
      <c r="BO211" s="241"/>
      <c r="BP211" s="241"/>
      <c r="BQ211" s="241"/>
      <c r="BR211" s="241"/>
      <c r="BS211" s="241"/>
      <c r="BT211" s="241"/>
      <c r="BU211" s="241"/>
      <c r="BV211" s="241"/>
      <c r="BW211" s="241"/>
      <c r="BX211" s="241"/>
      <c r="BY211" s="241"/>
      <c r="BZ211" s="241"/>
      <c r="CA211" s="241"/>
      <c r="CB211" s="241"/>
      <c r="CC211" s="241"/>
      <c r="CD211" s="241"/>
      <c r="CE211" s="241"/>
      <c r="CF211" s="241"/>
      <c r="CG211" s="241"/>
      <c r="CH211" s="241"/>
      <c r="CI211" s="241"/>
      <c r="CJ211" s="241"/>
      <c r="CK211" s="241"/>
      <c r="CL211" s="241"/>
      <c r="CM211" s="241"/>
      <c r="CN211" s="241"/>
      <c r="CO211" s="241"/>
      <c r="CP211" s="241"/>
      <c r="CQ211" s="241"/>
      <c r="CR211" s="241"/>
      <c r="CS211" s="241"/>
      <c r="CT211" s="241"/>
      <c r="CU211" s="241"/>
      <c r="CV211" s="241"/>
      <c r="CW211" s="241"/>
      <c r="CX211" s="241"/>
      <c r="CY211" s="241"/>
      <c r="CZ211" s="241"/>
      <c r="DA211" s="241"/>
      <c r="DB211" s="241"/>
      <c r="DC211" s="241"/>
      <c r="DD211" s="241"/>
      <c r="DE211" s="241"/>
      <c r="DF211" s="241"/>
      <c r="DG211" s="241"/>
      <c r="DH211" s="241"/>
      <c r="DT211" s="241"/>
      <c r="FB211" s="241"/>
    </row>
    <row r="212" spans="4:158" hidden="1" x14ac:dyDescent="0.25">
      <c r="D212" s="241"/>
      <c r="E212" s="241"/>
      <c r="F212" s="241"/>
      <c r="G212" s="241"/>
      <c r="H212" s="241"/>
      <c r="I212" s="242"/>
      <c r="J212" s="241"/>
      <c r="K212" s="241"/>
      <c r="L212" s="241"/>
      <c r="M212" s="241"/>
      <c r="N212" s="242"/>
      <c r="O212" s="242"/>
      <c r="P212" s="242"/>
      <c r="Q212" s="242"/>
      <c r="R212" s="241"/>
      <c r="S212" s="241"/>
      <c r="T212" s="241"/>
      <c r="U212" s="241"/>
      <c r="V212" s="241"/>
      <c r="W212" s="241"/>
      <c r="X212" s="241"/>
      <c r="Y212" s="241"/>
      <c r="Z212" s="242"/>
      <c r="AA212" s="242"/>
      <c r="AB212" s="241"/>
      <c r="AC212" s="241"/>
      <c r="AD212" s="241"/>
      <c r="AE212" s="241"/>
      <c r="AF212" s="241"/>
      <c r="AG212" s="241"/>
      <c r="AH212" s="241"/>
      <c r="AI212" s="241"/>
      <c r="AJ212" s="274"/>
      <c r="AK212" s="241"/>
      <c r="AL212" s="241"/>
      <c r="AM212" s="241"/>
      <c r="AN212" s="241"/>
      <c r="AO212" s="241"/>
      <c r="AP212" s="241"/>
      <c r="AQ212" s="241"/>
      <c r="AR212" s="241"/>
      <c r="AS212" s="241"/>
      <c r="AT212" s="241"/>
      <c r="AU212" s="241"/>
      <c r="AV212" s="241"/>
      <c r="AW212" s="241"/>
      <c r="AX212" s="241"/>
      <c r="AY212" s="241"/>
      <c r="AZ212" s="241"/>
      <c r="BA212" s="241"/>
      <c r="BB212" s="241"/>
      <c r="BC212" s="241"/>
      <c r="BD212" s="241"/>
      <c r="BE212" s="241"/>
      <c r="BF212" s="241"/>
      <c r="BG212" s="241"/>
      <c r="BH212" s="241"/>
      <c r="BI212" s="241"/>
      <c r="BJ212" s="241"/>
      <c r="BK212" s="241"/>
      <c r="BL212" s="241"/>
      <c r="BM212" s="241"/>
      <c r="BN212" s="241"/>
      <c r="BO212" s="241"/>
      <c r="BP212" s="241"/>
      <c r="BQ212" s="241"/>
      <c r="BR212" s="241"/>
      <c r="BS212" s="241"/>
      <c r="BT212" s="241"/>
      <c r="BU212" s="241"/>
      <c r="BV212" s="241"/>
      <c r="BW212" s="241"/>
      <c r="BX212" s="241"/>
      <c r="BY212" s="241"/>
      <c r="BZ212" s="241"/>
      <c r="CA212" s="241"/>
      <c r="CB212" s="241"/>
      <c r="CC212" s="241"/>
      <c r="CD212" s="241"/>
      <c r="CE212" s="241"/>
      <c r="CF212" s="241"/>
      <c r="CG212" s="241"/>
      <c r="CH212" s="241"/>
      <c r="CI212" s="241"/>
      <c r="CJ212" s="241"/>
      <c r="CK212" s="241"/>
      <c r="CL212" s="241"/>
      <c r="CM212" s="241"/>
      <c r="CN212" s="241"/>
      <c r="CO212" s="241"/>
      <c r="CP212" s="241"/>
      <c r="CQ212" s="241"/>
      <c r="CR212" s="241"/>
      <c r="CS212" s="241"/>
      <c r="CT212" s="241"/>
      <c r="CU212" s="241"/>
      <c r="CV212" s="241"/>
      <c r="CW212" s="241"/>
      <c r="CX212" s="241"/>
      <c r="CY212" s="241"/>
      <c r="CZ212" s="241"/>
      <c r="DA212" s="241"/>
      <c r="DB212" s="241"/>
      <c r="DC212" s="241"/>
      <c r="DD212" s="241"/>
      <c r="DE212" s="241"/>
      <c r="DF212" s="241"/>
      <c r="DG212" s="241"/>
      <c r="DH212" s="241"/>
      <c r="DT212" s="241"/>
      <c r="FB212" s="241"/>
    </row>
    <row r="213" spans="4:158" hidden="1" x14ac:dyDescent="0.25">
      <c r="D213" s="241"/>
      <c r="E213" s="241"/>
      <c r="F213" s="241"/>
      <c r="G213" s="241"/>
      <c r="H213" s="241"/>
      <c r="I213" s="242"/>
      <c r="J213" s="241"/>
      <c r="K213" s="241"/>
      <c r="L213" s="241"/>
      <c r="M213" s="241"/>
      <c r="N213" s="242"/>
      <c r="O213" s="242"/>
      <c r="P213" s="242"/>
      <c r="Q213" s="242"/>
      <c r="R213" s="241"/>
      <c r="S213" s="241"/>
      <c r="T213" s="241"/>
      <c r="U213" s="241"/>
      <c r="V213" s="241"/>
      <c r="W213" s="241"/>
      <c r="X213" s="241"/>
      <c r="Y213" s="241"/>
      <c r="Z213" s="242"/>
      <c r="AA213" s="242"/>
      <c r="AB213" s="241"/>
      <c r="AC213" s="241"/>
      <c r="AD213" s="241"/>
      <c r="AE213" s="241"/>
      <c r="AF213" s="241"/>
      <c r="AG213" s="241"/>
      <c r="AH213" s="241"/>
      <c r="AI213" s="241"/>
      <c r="AJ213" s="274"/>
      <c r="AK213" s="241"/>
      <c r="AL213" s="241"/>
      <c r="AM213" s="241"/>
      <c r="AN213" s="241"/>
      <c r="AO213" s="241"/>
      <c r="AP213" s="241"/>
      <c r="AQ213" s="241"/>
      <c r="AR213" s="241"/>
      <c r="AS213" s="241"/>
      <c r="AT213" s="241"/>
      <c r="AU213" s="241"/>
      <c r="AV213" s="241"/>
      <c r="AW213" s="241"/>
      <c r="AX213" s="241"/>
      <c r="AY213" s="241"/>
      <c r="AZ213" s="241"/>
      <c r="BA213" s="241"/>
      <c r="BB213" s="241"/>
      <c r="BC213" s="241"/>
      <c r="BD213" s="241"/>
      <c r="BE213" s="241"/>
      <c r="BF213" s="241"/>
      <c r="BG213" s="241"/>
      <c r="BH213" s="241"/>
      <c r="BI213" s="241"/>
      <c r="BJ213" s="241"/>
      <c r="BK213" s="241"/>
      <c r="BL213" s="241"/>
      <c r="BM213" s="241"/>
      <c r="BN213" s="241"/>
      <c r="BO213" s="241"/>
      <c r="BP213" s="241"/>
      <c r="BQ213" s="241"/>
      <c r="BR213" s="241"/>
      <c r="BS213" s="241"/>
      <c r="BT213" s="241"/>
      <c r="BU213" s="241"/>
      <c r="BV213" s="241"/>
      <c r="BW213" s="241"/>
      <c r="BX213" s="241"/>
      <c r="BY213" s="241"/>
      <c r="BZ213" s="241"/>
      <c r="CA213" s="241"/>
      <c r="CB213" s="241"/>
      <c r="CC213" s="241"/>
      <c r="CD213" s="241"/>
      <c r="CE213" s="241"/>
      <c r="CF213" s="241"/>
      <c r="CG213" s="241"/>
      <c r="CH213" s="241"/>
      <c r="CI213" s="241"/>
      <c r="CJ213" s="241"/>
      <c r="CK213" s="241"/>
      <c r="CL213" s="241"/>
      <c r="CM213" s="241"/>
      <c r="CN213" s="241"/>
      <c r="CO213" s="241"/>
      <c r="CP213" s="241"/>
      <c r="CQ213" s="241"/>
      <c r="CR213" s="241"/>
      <c r="CS213" s="241"/>
      <c r="CT213" s="241"/>
      <c r="CU213" s="241"/>
      <c r="CV213" s="241"/>
      <c r="CW213" s="241"/>
      <c r="CX213" s="241"/>
      <c r="CY213" s="241"/>
      <c r="CZ213" s="241"/>
      <c r="DA213" s="241"/>
      <c r="DB213" s="241"/>
      <c r="DC213" s="241"/>
      <c r="DD213" s="241"/>
      <c r="DE213" s="241"/>
      <c r="DF213" s="241"/>
      <c r="DG213" s="241"/>
      <c r="DH213" s="241"/>
      <c r="DT213" s="241"/>
      <c r="FB213" s="241"/>
    </row>
    <row r="214" spans="4:158" hidden="1" x14ac:dyDescent="0.25">
      <c r="D214" s="241"/>
      <c r="E214" s="241"/>
      <c r="F214" s="241"/>
      <c r="G214" s="241"/>
      <c r="H214" s="241"/>
      <c r="I214" s="242"/>
      <c r="J214" s="241"/>
      <c r="K214" s="241"/>
      <c r="L214" s="241"/>
      <c r="M214" s="241"/>
      <c r="N214" s="242"/>
      <c r="O214" s="242"/>
      <c r="P214" s="242"/>
      <c r="Q214" s="242"/>
      <c r="R214" s="241"/>
      <c r="S214" s="241"/>
      <c r="T214" s="241"/>
      <c r="U214" s="241"/>
      <c r="V214" s="241"/>
      <c r="W214" s="241"/>
      <c r="X214" s="241"/>
      <c r="Y214" s="241"/>
      <c r="Z214" s="242"/>
      <c r="AA214" s="242"/>
      <c r="AB214" s="241"/>
      <c r="AC214" s="241"/>
      <c r="AD214" s="241"/>
      <c r="AE214" s="241"/>
      <c r="AF214" s="241"/>
      <c r="AG214" s="241"/>
      <c r="AH214" s="241"/>
      <c r="AI214" s="241"/>
      <c r="AJ214" s="274"/>
      <c r="AK214" s="241"/>
      <c r="AL214" s="241"/>
      <c r="AM214" s="241"/>
      <c r="AN214" s="241"/>
      <c r="AO214" s="241"/>
      <c r="AP214" s="241"/>
      <c r="AQ214" s="241"/>
      <c r="AR214" s="241"/>
      <c r="AS214" s="241"/>
      <c r="AT214" s="241"/>
      <c r="AU214" s="241"/>
      <c r="AV214" s="241"/>
      <c r="AW214" s="241"/>
      <c r="AX214" s="241"/>
      <c r="AY214" s="241"/>
      <c r="AZ214" s="241"/>
      <c r="BA214" s="241"/>
      <c r="BB214" s="241"/>
      <c r="BC214" s="241"/>
      <c r="BD214" s="241"/>
      <c r="BE214" s="241"/>
      <c r="BF214" s="241"/>
      <c r="BG214" s="241"/>
      <c r="BH214" s="241"/>
      <c r="BI214" s="241"/>
      <c r="BJ214" s="241"/>
      <c r="BK214" s="241"/>
      <c r="BL214" s="241"/>
      <c r="BM214" s="241"/>
      <c r="BN214" s="241"/>
      <c r="BO214" s="241"/>
      <c r="BP214" s="241"/>
      <c r="BQ214" s="241"/>
      <c r="BR214" s="241"/>
      <c r="BS214" s="241"/>
      <c r="BT214" s="241"/>
      <c r="BU214" s="241"/>
      <c r="BV214" s="241"/>
      <c r="BW214" s="241"/>
      <c r="BX214" s="241"/>
      <c r="BY214" s="241"/>
      <c r="BZ214" s="241"/>
      <c r="CA214" s="241"/>
      <c r="CB214" s="241"/>
      <c r="CC214" s="241"/>
      <c r="CD214" s="241"/>
      <c r="CE214" s="241"/>
      <c r="CF214" s="241"/>
      <c r="CG214" s="241"/>
      <c r="CH214" s="241"/>
      <c r="CI214" s="241"/>
      <c r="CJ214" s="241"/>
      <c r="CK214" s="241"/>
      <c r="CL214" s="241"/>
      <c r="CM214" s="241"/>
      <c r="CN214" s="241"/>
      <c r="CO214" s="241"/>
      <c r="CP214" s="241"/>
      <c r="CQ214" s="241"/>
      <c r="CR214" s="241"/>
      <c r="CS214" s="241"/>
      <c r="CT214" s="241"/>
      <c r="CU214" s="241"/>
      <c r="CV214" s="241"/>
      <c r="CW214" s="241"/>
      <c r="CX214" s="241"/>
      <c r="CY214" s="241"/>
      <c r="CZ214" s="241"/>
      <c r="DA214" s="241"/>
      <c r="DB214" s="241"/>
      <c r="DC214" s="241"/>
      <c r="DD214" s="241"/>
      <c r="DE214" s="241"/>
      <c r="DF214" s="241"/>
      <c r="DG214" s="241"/>
      <c r="DH214" s="241"/>
      <c r="DT214" s="241"/>
      <c r="FB214" s="241"/>
    </row>
    <row r="215" spans="4:158" hidden="1" x14ac:dyDescent="0.25">
      <c r="D215" s="241"/>
      <c r="E215" s="241"/>
      <c r="F215" s="241"/>
      <c r="G215" s="241"/>
      <c r="H215" s="241"/>
      <c r="I215" s="242"/>
      <c r="J215" s="241"/>
      <c r="K215" s="241"/>
      <c r="L215" s="241"/>
      <c r="M215" s="241"/>
      <c r="N215" s="242"/>
      <c r="O215" s="242"/>
      <c r="P215" s="242"/>
      <c r="Q215" s="242"/>
      <c r="R215" s="241"/>
      <c r="S215" s="241"/>
      <c r="T215" s="241"/>
      <c r="U215" s="241"/>
      <c r="V215" s="241"/>
      <c r="W215" s="241"/>
      <c r="X215" s="241"/>
      <c r="Y215" s="241"/>
      <c r="Z215" s="242"/>
      <c r="AA215" s="242"/>
      <c r="AB215" s="241"/>
      <c r="AC215" s="241"/>
      <c r="AD215" s="241"/>
      <c r="AE215" s="241"/>
      <c r="AF215" s="241"/>
      <c r="AG215" s="241"/>
      <c r="AH215" s="241"/>
      <c r="AI215" s="241"/>
      <c r="AJ215" s="274"/>
      <c r="AK215" s="241"/>
      <c r="AL215" s="241"/>
      <c r="AM215" s="241"/>
      <c r="AN215" s="241"/>
      <c r="AO215" s="241"/>
      <c r="AP215" s="241"/>
      <c r="AQ215" s="241"/>
      <c r="AR215" s="241"/>
      <c r="AS215" s="241"/>
      <c r="AT215" s="241"/>
      <c r="AU215" s="241"/>
      <c r="AV215" s="241"/>
      <c r="AW215" s="241"/>
      <c r="AX215" s="241"/>
      <c r="AY215" s="241"/>
      <c r="AZ215" s="241"/>
      <c r="BA215" s="241"/>
      <c r="BB215" s="241"/>
      <c r="BC215" s="241"/>
      <c r="BD215" s="241"/>
      <c r="BE215" s="241"/>
      <c r="BF215" s="241"/>
      <c r="BG215" s="241"/>
      <c r="BH215" s="241"/>
      <c r="BI215" s="241"/>
      <c r="BJ215" s="241"/>
      <c r="BK215" s="241"/>
      <c r="BL215" s="241"/>
      <c r="BM215" s="241"/>
      <c r="BN215" s="241"/>
      <c r="BO215" s="241"/>
      <c r="BP215" s="241"/>
      <c r="BQ215" s="241"/>
      <c r="BR215" s="241"/>
      <c r="BS215" s="241"/>
      <c r="BT215" s="241"/>
      <c r="BU215" s="241"/>
      <c r="BV215" s="241"/>
      <c r="BW215" s="241"/>
      <c r="BX215" s="241"/>
      <c r="BY215" s="241"/>
      <c r="BZ215" s="241"/>
      <c r="CA215" s="241"/>
      <c r="CB215" s="241"/>
      <c r="CC215" s="241"/>
      <c r="CD215" s="241"/>
      <c r="CE215" s="241"/>
      <c r="CF215" s="241"/>
      <c r="CG215" s="241"/>
      <c r="CH215" s="241"/>
      <c r="CI215" s="241"/>
      <c r="CJ215" s="241"/>
      <c r="CK215" s="241"/>
      <c r="CL215" s="241"/>
      <c r="CM215" s="241"/>
      <c r="CN215" s="241"/>
      <c r="CO215" s="241"/>
      <c r="CP215" s="241"/>
      <c r="CQ215" s="241"/>
      <c r="CR215" s="241"/>
      <c r="CS215" s="241"/>
      <c r="CT215" s="241"/>
      <c r="CU215" s="241"/>
      <c r="CV215" s="241"/>
      <c r="CW215" s="241"/>
      <c r="CX215" s="241"/>
      <c r="CY215" s="241"/>
      <c r="CZ215" s="241"/>
      <c r="DA215" s="241"/>
      <c r="DB215" s="241"/>
      <c r="DC215" s="241"/>
      <c r="DD215" s="241"/>
      <c r="DE215" s="241"/>
      <c r="DF215" s="241"/>
      <c r="DG215" s="241"/>
      <c r="DH215" s="241"/>
      <c r="DT215" s="241"/>
      <c r="FB215" s="241"/>
    </row>
    <row r="216" spans="4:158" hidden="1" x14ac:dyDescent="0.25">
      <c r="D216" s="241"/>
      <c r="E216" s="241"/>
      <c r="F216" s="241"/>
      <c r="G216" s="241"/>
      <c r="H216" s="241"/>
      <c r="I216" s="242"/>
      <c r="J216" s="241"/>
      <c r="K216" s="241"/>
      <c r="L216" s="241"/>
      <c r="M216" s="241"/>
      <c r="N216" s="242"/>
      <c r="O216" s="242"/>
      <c r="P216" s="242"/>
      <c r="Q216" s="242"/>
      <c r="R216" s="241"/>
      <c r="S216" s="241"/>
      <c r="T216" s="241"/>
      <c r="U216" s="241"/>
      <c r="V216" s="241"/>
      <c r="W216" s="241"/>
      <c r="X216" s="241"/>
      <c r="Y216" s="241"/>
      <c r="Z216" s="242"/>
      <c r="AA216" s="242"/>
      <c r="AB216" s="241"/>
      <c r="AC216" s="241"/>
      <c r="AD216" s="241"/>
      <c r="AE216" s="241"/>
      <c r="AF216" s="241"/>
      <c r="AG216" s="241"/>
      <c r="AH216" s="241"/>
      <c r="AI216" s="241"/>
      <c r="AJ216" s="274"/>
      <c r="AK216" s="241"/>
      <c r="AL216" s="241"/>
      <c r="AM216" s="241"/>
      <c r="AN216" s="241"/>
      <c r="AO216" s="241"/>
      <c r="AP216" s="241"/>
      <c r="AQ216" s="241"/>
      <c r="AR216" s="241"/>
      <c r="AS216" s="241"/>
      <c r="AT216" s="241"/>
      <c r="AU216" s="241"/>
      <c r="AV216" s="241"/>
      <c r="AW216" s="241"/>
      <c r="AX216" s="241"/>
      <c r="AY216" s="241"/>
      <c r="AZ216" s="241"/>
      <c r="BA216" s="241"/>
      <c r="BB216" s="241"/>
      <c r="BC216" s="241"/>
      <c r="BD216" s="241"/>
      <c r="BE216" s="241"/>
      <c r="BF216" s="241"/>
      <c r="BG216" s="241"/>
      <c r="BH216" s="241"/>
      <c r="BI216" s="241"/>
      <c r="BJ216" s="241"/>
      <c r="BK216" s="241"/>
      <c r="BL216" s="241"/>
      <c r="BM216" s="241"/>
      <c r="BN216" s="241"/>
      <c r="BO216" s="241"/>
      <c r="BP216" s="241"/>
      <c r="BQ216" s="241"/>
      <c r="BR216" s="241"/>
      <c r="BS216" s="241"/>
      <c r="BT216" s="241"/>
      <c r="BU216" s="241"/>
      <c r="BV216" s="241"/>
      <c r="BW216" s="241"/>
      <c r="BX216" s="241"/>
      <c r="BY216" s="241"/>
      <c r="BZ216" s="241"/>
      <c r="CA216" s="241"/>
      <c r="CB216" s="241"/>
      <c r="CC216" s="241"/>
      <c r="CD216" s="241"/>
      <c r="CE216" s="241"/>
      <c r="CF216" s="241"/>
      <c r="CG216" s="241"/>
      <c r="CH216" s="241"/>
      <c r="CI216" s="241"/>
      <c r="CJ216" s="241"/>
      <c r="CK216" s="241"/>
      <c r="CL216" s="241"/>
      <c r="CM216" s="241"/>
      <c r="CN216" s="241"/>
      <c r="CO216" s="241"/>
      <c r="CP216" s="241"/>
      <c r="CQ216" s="241"/>
      <c r="CR216" s="241"/>
      <c r="CS216" s="241"/>
      <c r="CT216" s="241"/>
      <c r="CU216" s="241"/>
      <c r="CV216" s="241"/>
      <c r="CW216" s="241"/>
      <c r="CX216" s="241"/>
      <c r="CY216" s="241"/>
      <c r="CZ216" s="241"/>
      <c r="DA216" s="241"/>
      <c r="DB216" s="241"/>
      <c r="DC216" s="241"/>
      <c r="DD216" s="241"/>
      <c r="DE216" s="241"/>
      <c r="DF216" s="241"/>
      <c r="DG216" s="241"/>
      <c r="DH216" s="241"/>
      <c r="DT216" s="241"/>
      <c r="FB216" s="241"/>
    </row>
    <row r="217" spans="4:158" hidden="1" x14ac:dyDescent="0.25">
      <c r="D217" s="241"/>
      <c r="E217" s="241"/>
      <c r="F217" s="241"/>
      <c r="G217" s="241"/>
      <c r="H217" s="241"/>
      <c r="I217" s="242"/>
      <c r="J217" s="241"/>
      <c r="K217" s="241"/>
      <c r="L217" s="241"/>
      <c r="M217" s="241"/>
      <c r="N217" s="242"/>
      <c r="O217" s="242"/>
      <c r="P217" s="242"/>
      <c r="Q217" s="242"/>
      <c r="R217" s="241"/>
      <c r="S217" s="241"/>
      <c r="T217" s="241"/>
      <c r="U217" s="241"/>
      <c r="V217" s="241"/>
      <c r="W217" s="241"/>
      <c r="X217" s="241"/>
      <c r="Y217" s="241"/>
      <c r="Z217" s="242"/>
      <c r="AA217" s="242"/>
      <c r="AB217" s="241"/>
      <c r="AC217" s="241"/>
      <c r="AD217" s="241"/>
      <c r="AE217" s="241"/>
      <c r="AF217" s="241"/>
      <c r="AG217" s="241"/>
      <c r="AH217" s="241"/>
      <c r="AI217" s="241"/>
      <c r="AJ217" s="274"/>
      <c r="AK217" s="241"/>
      <c r="AL217" s="241"/>
      <c r="AM217" s="241"/>
      <c r="AN217" s="241"/>
      <c r="AO217" s="241"/>
      <c r="AP217" s="241"/>
      <c r="AQ217" s="241"/>
      <c r="AR217" s="241"/>
      <c r="AS217" s="241"/>
      <c r="AT217" s="241"/>
      <c r="AU217" s="241"/>
      <c r="AV217" s="241"/>
      <c r="AW217" s="241"/>
      <c r="AX217" s="241"/>
      <c r="AY217" s="241"/>
      <c r="AZ217" s="241"/>
      <c r="BA217" s="241"/>
      <c r="BB217" s="241"/>
      <c r="BC217" s="241"/>
      <c r="BD217" s="241"/>
      <c r="BE217" s="241"/>
      <c r="BF217" s="241"/>
      <c r="BG217" s="241"/>
      <c r="BH217" s="241"/>
      <c r="BI217" s="241"/>
      <c r="BJ217" s="241"/>
      <c r="BK217" s="241"/>
      <c r="BL217" s="241"/>
      <c r="BM217" s="241"/>
      <c r="BN217" s="241"/>
      <c r="BO217" s="241"/>
      <c r="BP217" s="241"/>
      <c r="BQ217" s="241"/>
      <c r="BR217" s="241"/>
      <c r="BS217" s="241"/>
      <c r="BT217" s="241"/>
      <c r="BU217" s="241"/>
      <c r="BV217" s="241"/>
      <c r="BW217" s="241"/>
      <c r="BX217" s="241"/>
      <c r="BY217" s="241"/>
      <c r="BZ217" s="241"/>
      <c r="CA217" s="241"/>
      <c r="CB217" s="241"/>
      <c r="CC217" s="241"/>
      <c r="CD217" s="241"/>
      <c r="CE217" s="241"/>
      <c r="CF217" s="241"/>
      <c r="CG217" s="241"/>
      <c r="CH217" s="241"/>
      <c r="CI217" s="241"/>
      <c r="CJ217" s="241"/>
      <c r="CK217" s="241"/>
      <c r="CL217" s="241"/>
      <c r="CM217" s="241"/>
      <c r="CN217" s="241"/>
      <c r="CO217" s="241"/>
      <c r="CP217" s="241"/>
      <c r="CQ217" s="241"/>
      <c r="CR217" s="241"/>
      <c r="CS217" s="241"/>
      <c r="CT217" s="241"/>
      <c r="CU217" s="241"/>
      <c r="CV217" s="241"/>
      <c r="CW217" s="241"/>
      <c r="CX217" s="241"/>
      <c r="CY217" s="241"/>
      <c r="CZ217" s="241"/>
      <c r="DA217" s="241"/>
      <c r="DB217" s="241"/>
      <c r="DC217" s="241"/>
      <c r="DD217" s="241"/>
      <c r="DE217" s="241"/>
      <c r="DF217" s="241"/>
      <c r="DG217" s="241"/>
      <c r="DH217" s="241"/>
      <c r="DT217" s="241"/>
      <c r="FB217" s="241"/>
    </row>
    <row r="218" spans="4:158" hidden="1" x14ac:dyDescent="0.25">
      <c r="D218" s="241"/>
      <c r="E218" s="241"/>
      <c r="F218" s="241"/>
      <c r="G218" s="241"/>
      <c r="H218" s="241"/>
      <c r="I218" s="242"/>
      <c r="J218" s="241"/>
      <c r="K218" s="241"/>
      <c r="L218" s="241"/>
      <c r="M218" s="241"/>
      <c r="N218" s="242"/>
      <c r="O218" s="242"/>
      <c r="P218" s="242"/>
      <c r="Q218" s="242"/>
      <c r="R218" s="241"/>
      <c r="S218" s="241"/>
      <c r="T218" s="241"/>
      <c r="U218" s="241"/>
      <c r="V218" s="241"/>
      <c r="W218" s="241"/>
      <c r="X218" s="241"/>
      <c r="Y218" s="241"/>
      <c r="Z218" s="242"/>
      <c r="AA218" s="242"/>
      <c r="AB218" s="241"/>
      <c r="AC218" s="241"/>
      <c r="AD218" s="241"/>
      <c r="AE218" s="241"/>
      <c r="AF218" s="241"/>
      <c r="AG218" s="241"/>
      <c r="AH218" s="241"/>
      <c r="AI218" s="241"/>
      <c r="AJ218" s="274"/>
      <c r="AK218" s="241"/>
      <c r="AL218" s="241"/>
      <c r="AM218" s="241"/>
      <c r="AN218" s="241"/>
      <c r="AO218" s="241"/>
      <c r="AP218" s="241"/>
      <c r="AQ218" s="241"/>
      <c r="AR218" s="241"/>
      <c r="AS218" s="241"/>
      <c r="AT218" s="241"/>
      <c r="AU218" s="241"/>
      <c r="AV218" s="241"/>
      <c r="AW218" s="241"/>
      <c r="AX218" s="241"/>
      <c r="AY218" s="241"/>
      <c r="AZ218" s="241"/>
      <c r="BA218" s="241"/>
      <c r="BB218" s="241"/>
      <c r="BC218" s="241"/>
      <c r="BD218" s="241"/>
      <c r="BE218" s="241"/>
      <c r="BF218" s="241"/>
      <c r="BG218" s="241"/>
      <c r="BH218" s="241"/>
      <c r="BI218" s="241"/>
      <c r="BJ218" s="241"/>
      <c r="BK218" s="241"/>
      <c r="BL218" s="241"/>
      <c r="BM218" s="241"/>
      <c r="BN218" s="241"/>
      <c r="BO218" s="241"/>
      <c r="BP218" s="241"/>
      <c r="BQ218" s="241"/>
      <c r="BR218" s="241"/>
      <c r="BS218" s="241"/>
      <c r="BT218" s="241"/>
      <c r="BU218" s="241"/>
      <c r="BV218" s="241"/>
      <c r="BW218" s="241"/>
      <c r="BX218" s="241"/>
      <c r="BY218" s="241"/>
      <c r="BZ218" s="241"/>
      <c r="CA218" s="241"/>
      <c r="CB218" s="241"/>
      <c r="CC218" s="241"/>
      <c r="CD218" s="241"/>
      <c r="CE218" s="241"/>
      <c r="CF218" s="241"/>
      <c r="CG218" s="241"/>
      <c r="CH218" s="241"/>
      <c r="CI218" s="241"/>
      <c r="CJ218" s="241"/>
      <c r="CK218" s="241"/>
      <c r="CL218" s="241"/>
      <c r="CM218" s="241"/>
      <c r="CN218" s="241"/>
      <c r="CO218" s="241"/>
      <c r="CP218" s="241"/>
      <c r="CQ218" s="241"/>
      <c r="CR218" s="241"/>
      <c r="CS218" s="241"/>
      <c r="CT218" s="241"/>
      <c r="CU218" s="241"/>
      <c r="CV218" s="241"/>
      <c r="CW218" s="241"/>
      <c r="CX218" s="241"/>
      <c r="CY218" s="241"/>
      <c r="CZ218" s="241"/>
      <c r="DA218" s="241"/>
      <c r="DB218" s="241"/>
      <c r="DC218" s="241"/>
      <c r="DD218" s="241"/>
      <c r="DE218" s="241"/>
      <c r="DF218" s="241"/>
      <c r="DG218" s="241"/>
      <c r="DH218" s="241"/>
      <c r="DT218" s="241"/>
      <c r="FB218" s="241"/>
    </row>
    <row r="219" spans="4:158" hidden="1" x14ac:dyDescent="0.25">
      <c r="D219" s="241"/>
      <c r="E219" s="241"/>
      <c r="F219" s="241"/>
      <c r="G219" s="241"/>
      <c r="H219" s="241"/>
      <c r="I219" s="242"/>
      <c r="J219" s="241"/>
      <c r="K219" s="241"/>
      <c r="L219" s="241"/>
      <c r="M219" s="241"/>
      <c r="N219" s="242"/>
      <c r="O219" s="242"/>
      <c r="P219" s="242"/>
      <c r="Q219" s="242"/>
      <c r="R219" s="241"/>
      <c r="S219" s="241"/>
      <c r="T219" s="241"/>
      <c r="U219" s="241"/>
      <c r="V219" s="241"/>
      <c r="W219" s="241"/>
      <c r="X219" s="241"/>
      <c r="Y219" s="241"/>
      <c r="Z219" s="242"/>
      <c r="AA219" s="242"/>
      <c r="AB219" s="241"/>
      <c r="AC219" s="241"/>
      <c r="AD219" s="241"/>
      <c r="AE219" s="241"/>
      <c r="AF219" s="241"/>
      <c r="AG219" s="241"/>
      <c r="AH219" s="241"/>
      <c r="AI219" s="241"/>
      <c r="AJ219" s="274"/>
      <c r="AK219" s="241"/>
      <c r="AL219" s="241"/>
      <c r="AM219" s="241"/>
      <c r="AN219" s="241"/>
      <c r="AO219" s="241"/>
      <c r="AP219" s="241"/>
      <c r="AQ219" s="241"/>
      <c r="AR219" s="241"/>
      <c r="AS219" s="241"/>
      <c r="AT219" s="241"/>
      <c r="AU219" s="241"/>
      <c r="AV219" s="241"/>
      <c r="AW219" s="241"/>
      <c r="AX219" s="241"/>
      <c r="AY219" s="241"/>
      <c r="AZ219" s="241"/>
      <c r="BA219" s="241"/>
      <c r="BB219" s="241"/>
      <c r="BC219" s="241"/>
      <c r="BD219" s="241"/>
      <c r="BE219" s="241"/>
      <c r="BF219" s="241"/>
      <c r="BG219" s="241"/>
      <c r="BH219" s="241"/>
      <c r="BI219" s="241"/>
      <c r="BJ219" s="241"/>
      <c r="BK219" s="241"/>
      <c r="BL219" s="241"/>
      <c r="BM219" s="241"/>
      <c r="BN219" s="241"/>
      <c r="BO219" s="241"/>
      <c r="BP219" s="241"/>
      <c r="BQ219" s="241"/>
      <c r="BR219" s="241"/>
      <c r="BS219" s="241"/>
      <c r="BT219" s="241"/>
      <c r="BU219" s="241"/>
      <c r="BV219" s="241"/>
      <c r="BW219" s="241"/>
      <c r="BX219" s="241"/>
      <c r="BY219" s="241"/>
      <c r="BZ219" s="241"/>
      <c r="CA219" s="241"/>
      <c r="CB219" s="241"/>
      <c r="CC219" s="241"/>
      <c r="CD219" s="241"/>
      <c r="CE219" s="241"/>
      <c r="CF219" s="241"/>
      <c r="CG219" s="241"/>
      <c r="CH219" s="241"/>
      <c r="CI219" s="241"/>
      <c r="CJ219" s="241"/>
      <c r="CK219" s="241"/>
      <c r="CL219" s="241"/>
      <c r="CM219" s="241"/>
      <c r="CN219" s="241"/>
      <c r="CO219" s="241"/>
      <c r="CP219" s="241"/>
      <c r="CQ219" s="241"/>
      <c r="CR219" s="241"/>
      <c r="CS219" s="241"/>
      <c r="CT219" s="241"/>
      <c r="CU219" s="241"/>
      <c r="CV219" s="241"/>
      <c r="CW219" s="241"/>
      <c r="CX219" s="241"/>
      <c r="CY219" s="241"/>
      <c r="CZ219" s="241"/>
      <c r="DA219" s="241"/>
      <c r="DB219" s="241"/>
      <c r="DC219" s="241"/>
      <c r="DD219" s="241"/>
      <c r="DE219" s="241"/>
      <c r="DF219" s="241"/>
      <c r="DG219" s="241"/>
      <c r="DH219" s="241"/>
      <c r="DT219" s="241"/>
      <c r="FB219" s="241"/>
    </row>
    <row r="220" spans="4:158" hidden="1" x14ac:dyDescent="0.25">
      <c r="D220" s="241"/>
      <c r="E220" s="241"/>
      <c r="F220" s="241"/>
      <c r="G220" s="241"/>
      <c r="H220" s="241"/>
      <c r="I220" s="242"/>
      <c r="J220" s="241"/>
      <c r="K220" s="241"/>
      <c r="L220" s="241"/>
      <c r="M220" s="241"/>
      <c r="N220" s="242"/>
      <c r="O220" s="242"/>
      <c r="P220" s="242"/>
      <c r="Q220" s="242"/>
      <c r="R220" s="241"/>
      <c r="S220" s="241"/>
      <c r="T220" s="241"/>
      <c r="U220" s="241"/>
      <c r="V220" s="241"/>
      <c r="W220" s="241"/>
      <c r="X220" s="241"/>
      <c r="Y220" s="241"/>
      <c r="Z220" s="242"/>
      <c r="AA220" s="242"/>
      <c r="AB220" s="241"/>
      <c r="AC220" s="241"/>
      <c r="AD220" s="241"/>
      <c r="AE220" s="241"/>
      <c r="AF220" s="241"/>
      <c r="AG220" s="241"/>
      <c r="AH220" s="241"/>
      <c r="AI220" s="241"/>
      <c r="AJ220" s="274"/>
      <c r="AK220" s="241"/>
      <c r="AL220" s="241"/>
      <c r="AM220" s="241"/>
      <c r="AN220" s="241"/>
      <c r="AO220" s="241"/>
      <c r="AP220" s="241"/>
      <c r="AQ220" s="241"/>
      <c r="AR220" s="241"/>
      <c r="AS220" s="241"/>
      <c r="AT220" s="241"/>
      <c r="AU220" s="241"/>
      <c r="AV220" s="241"/>
      <c r="AW220" s="241"/>
      <c r="AX220" s="241"/>
      <c r="AY220" s="241"/>
      <c r="AZ220" s="241"/>
      <c r="BA220" s="241"/>
      <c r="BB220" s="241"/>
      <c r="BC220" s="241"/>
      <c r="BD220" s="241"/>
      <c r="BE220" s="241"/>
      <c r="BF220" s="241"/>
      <c r="BG220" s="241"/>
      <c r="BH220" s="241"/>
      <c r="BI220" s="241"/>
      <c r="BJ220" s="241"/>
      <c r="BK220" s="241"/>
      <c r="BL220" s="241"/>
      <c r="BM220" s="241"/>
      <c r="BN220" s="241"/>
      <c r="BO220" s="241"/>
      <c r="BP220" s="241"/>
      <c r="BQ220" s="241"/>
      <c r="BR220" s="241"/>
      <c r="BS220" s="241"/>
      <c r="BT220" s="241"/>
      <c r="BU220" s="241"/>
      <c r="BV220" s="241"/>
      <c r="BW220" s="241"/>
      <c r="BX220" s="241"/>
      <c r="BY220" s="241"/>
      <c r="BZ220" s="241"/>
      <c r="CA220" s="241"/>
      <c r="CB220" s="241"/>
      <c r="CC220" s="241"/>
      <c r="CD220" s="241"/>
      <c r="CE220" s="241"/>
      <c r="CF220" s="241"/>
      <c r="CG220" s="241"/>
      <c r="CH220" s="241"/>
      <c r="CI220" s="241"/>
      <c r="CJ220" s="241"/>
      <c r="CK220" s="241"/>
      <c r="CL220" s="241"/>
      <c r="CM220" s="241"/>
      <c r="CN220" s="241"/>
      <c r="CO220" s="241"/>
      <c r="CP220" s="241"/>
      <c r="CQ220" s="241"/>
      <c r="CR220" s="241"/>
      <c r="CS220" s="241"/>
      <c r="CT220" s="241"/>
      <c r="CU220" s="241"/>
      <c r="CV220" s="241"/>
      <c r="CW220" s="241"/>
      <c r="CX220" s="241"/>
      <c r="CY220" s="241"/>
      <c r="CZ220" s="241"/>
      <c r="DA220" s="241"/>
      <c r="DB220" s="241"/>
      <c r="DC220" s="241"/>
      <c r="DD220" s="241"/>
      <c r="DE220" s="241"/>
      <c r="DF220" s="241"/>
      <c r="DG220" s="241"/>
      <c r="DH220" s="241"/>
      <c r="DT220" s="241"/>
      <c r="FB220" s="241"/>
    </row>
    <row r="221" spans="4:158" hidden="1" x14ac:dyDescent="0.25">
      <c r="D221" s="241"/>
      <c r="E221" s="241"/>
      <c r="F221" s="241"/>
      <c r="G221" s="241"/>
      <c r="H221" s="241"/>
      <c r="I221" s="242"/>
      <c r="J221" s="241"/>
      <c r="K221" s="241"/>
      <c r="L221" s="241"/>
      <c r="M221" s="241"/>
      <c r="N221" s="242"/>
      <c r="O221" s="242"/>
      <c r="P221" s="242"/>
      <c r="Q221" s="242"/>
      <c r="R221" s="241"/>
      <c r="S221" s="241"/>
      <c r="T221" s="241"/>
      <c r="U221" s="241"/>
      <c r="V221" s="241"/>
      <c r="W221" s="241"/>
      <c r="X221" s="241"/>
      <c r="Y221" s="241"/>
      <c r="Z221" s="242"/>
      <c r="AA221" s="242"/>
      <c r="AB221" s="241"/>
      <c r="AC221" s="241"/>
      <c r="AD221" s="241"/>
      <c r="AE221" s="241"/>
      <c r="AF221" s="241"/>
      <c r="AG221" s="241"/>
      <c r="AH221" s="241"/>
      <c r="AI221" s="241"/>
      <c r="AJ221" s="274"/>
      <c r="AK221" s="241"/>
      <c r="AL221" s="241"/>
      <c r="AM221" s="241"/>
      <c r="AN221" s="241"/>
      <c r="AO221" s="241"/>
      <c r="AP221" s="241"/>
      <c r="AQ221" s="241"/>
      <c r="AR221" s="241"/>
      <c r="AS221" s="241"/>
      <c r="AT221" s="241"/>
      <c r="AU221" s="241"/>
      <c r="AV221" s="241"/>
      <c r="AW221" s="241"/>
      <c r="AX221" s="241"/>
      <c r="AY221" s="241"/>
      <c r="AZ221" s="241"/>
      <c r="BA221" s="241"/>
      <c r="BB221" s="241"/>
      <c r="BC221" s="241"/>
      <c r="BD221" s="241"/>
      <c r="BE221" s="241"/>
      <c r="BF221" s="241"/>
      <c r="BG221" s="241"/>
      <c r="BH221" s="241"/>
      <c r="BI221" s="241"/>
      <c r="BJ221" s="241"/>
      <c r="BK221" s="241"/>
      <c r="BL221" s="241"/>
      <c r="BM221" s="241"/>
      <c r="BN221" s="241"/>
      <c r="BO221" s="241"/>
      <c r="BP221" s="241"/>
      <c r="BQ221" s="241"/>
      <c r="BR221" s="241"/>
      <c r="BS221" s="241"/>
      <c r="BT221" s="241"/>
      <c r="BU221" s="241"/>
      <c r="BV221" s="241"/>
      <c r="BW221" s="241"/>
      <c r="BX221" s="241"/>
      <c r="BY221" s="241"/>
      <c r="BZ221" s="241"/>
      <c r="CA221" s="241"/>
      <c r="CB221" s="241"/>
      <c r="CC221" s="241"/>
      <c r="CD221" s="241"/>
      <c r="CE221" s="241"/>
      <c r="CF221" s="241"/>
      <c r="CG221" s="241"/>
      <c r="CH221" s="241"/>
      <c r="CI221" s="241"/>
      <c r="CJ221" s="241"/>
      <c r="CK221" s="241"/>
      <c r="CL221" s="241"/>
      <c r="CM221" s="241"/>
      <c r="CN221" s="241"/>
      <c r="CO221" s="241"/>
      <c r="CP221" s="241"/>
      <c r="CQ221" s="241"/>
      <c r="CR221" s="241"/>
      <c r="CS221" s="241"/>
      <c r="CT221" s="241"/>
      <c r="CU221" s="241"/>
      <c r="CV221" s="241"/>
      <c r="CW221" s="241"/>
      <c r="CX221" s="241"/>
      <c r="CY221" s="241"/>
      <c r="CZ221" s="241"/>
      <c r="DA221" s="241"/>
      <c r="DB221" s="241"/>
      <c r="DC221" s="241"/>
      <c r="DD221" s="241"/>
      <c r="DE221" s="241"/>
      <c r="DF221" s="241"/>
      <c r="DG221" s="241"/>
      <c r="DH221" s="241"/>
      <c r="DT221" s="241"/>
      <c r="FB221" s="241"/>
    </row>
    <row r="222" spans="4:158" hidden="1" x14ac:dyDescent="0.25">
      <c r="D222" s="241"/>
      <c r="E222" s="241"/>
      <c r="F222" s="241"/>
      <c r="G222" s="241"/>
      <c r="H222" s="241"/>
      <c r="I222" s="242"/>
      <c r="J222" s="241"/>
      <c r="K222" s="241"/>
      <c r="L222" s="241"/>
      <c r="M222" s="241"/>
      <c r="N222" s="242"/>
      <c r="O222" s="242"/>
      <c r="P222" s="242"/>
      <c r="Q222" s="242"/>
      <c r="R222" s="241"/>
      <c r="S222" s="241"/>
      <c r="T222" s="241"/>
      <c r="U222" s="241"/>
      <c r="V222" s="241"/>
      <c r="W222" s="241"/>
      <c r="X222" s="241"/>
      <c r="Y222" s="241"/>
      <c r="Z222" s="242"/>
      <c r="AA222" s="242"/>
      <c r="AB222" s="241"/>
      <c r="AC222" s="241"/>
      <c r="AD222" s="241"/>
      <c r="AE222" s="241"/>
      <c r="AF222" s="241"/>
      <c r="AG222" s="241"/>
      <c r="AH222" s="241"/>
      <c r="AI222" s="241"/>
      <c r="AJ222" s="274"/>
      <c r="AK222" s="241"/>
      <c r="AL222" s="241"/>
      <c r="AM222" s="241"/>
      <c r="AN222" s="241"/>
      <c r="AO222" s="241"/>
      <c r="AP222" s="241"/>
      <c r="AQ222" s="241"/>
      <c r="AR222" s="241"/>
      <c r="AS222" s="241"/>
      <c r="AT222" s="241"/>
      <c r="AU222" s="241"/>
      <c r="AV222" s="241"/>
      <c r="AW222" s="241"/>
      <c r="AX222" s="241"/>
      <c r="AY222" s="241"/>
      <c r="AZ222" s="241"/>
      <c r="BA222" s="241"/>
      <c r="BB222" s="241"/>
      <c r="BC222" s="241"/>
      <c r="BD222" s="241"/>
      <c r="BE222" s="241"/>
      <c r="BF222" s="241"/>
      <c r="BG222" s="241"/>
      <c r="BH222" s="241"/>
      <c r="BI222" s="241"/>
      <c r="BJ222" s="241"/>
      <c r="BK222" s="241"/>
      <c r="BL222" s="241"/>
      <c r="BM222" s="241"/>
      <c r="BN222" s="241"/>
      <c r="BO222" s="241"/>
      <c r="BP222" s="241"/>
      <c r="BQ222" s="241"/>
      <c r="BR222" s="241"/>
      <c r="BS222" s="241"/>
      <c r="BT222" s="241"/>
      <c r="BU222" s="241"/>
      <c r="BV222" s="241"/>
      <c r="BW222" s="241"/>
      <c r="BX222" s="241"/>
      <c r="BY222" s="241"/>
      <c r="BZ222" s="241"/>
      <c r="CA222" s="241"/>
      <c r="CB222" s="241"/>
      <c r="CC222" s="241"/>
      <c r="CD222" s="241"/>
      <c r="CE222" s="241"/>
      <c r="CF222" s="241"/>
      <c r="CG222" s="241"/>
      <c r="CH222" s="241"/>
      <c r="CI222" s="241"/>
      <c r="CJ222" s="241"/>
      <c r="CK222" s="241"/>
      <c r="CL222" s="241"/>
      <c r="CM222" s="241"/>
      <c r="CN222" s="241"/>
      <c r="CO222" s="241"/>
      <c r="CP222" s="241"/>
      <c r="CQ222" s="241"/>
      <c r="CR222" s="241"/>
      <c r="CS222" s="241"/>
      <c r="CT222" s="241"/>
      <c r="CU222" s="241"/>
      <c r="CV222" s="241"/>
      <c r="CW222" s="241"/>
      <c r="CX222" s="241"/>
      <c r="CY222" s="241"/>
      <c r="CZ222" s="241"/>
      <c r="DA222" s="241"/>
      <c r="DB222" s="241"/>
      <c r="DC222" s="241"/>
      <c r="DD222" s="241"/>
      <c r="DE222" s="241"/>
      <c r="DF222" s="241"/>
      <c r="DG222" s="241"/>
      <c r="DH222" s="241"/>
      <c r="DT222" s="241"/>
      <c r="FB222" s="241"/>
    </row>
    <row r="223" spans="4:158" x14ac:dyDescent="0.25">
      <c r="D223" s="241"/>
      <c r="E223" s="241"/>
      <c r="F223" s="241"/>
      <c r="G223" s="241"/>
      <c r="H223" s="241"/>
      <c r="I223" s="242"/>
      <c r="J223" s="241"/>
      <c r="K223" s="241"/>
      <c r="L223" s="241"/>
      <c r="M223" s="241"/>
      <c r="N223" s="242"/>
      <c r="O223" s="242"/>
      <c r="P223" s="242"/>
      <c r="Q223" s="242"/>
      <c r="R223" s="241"/>
      <c r="S223" s="241"/>
      <c r="T223" s="241"/>
      <c r="U223" s="241"/>
      <c r="V223" s="241"/>
      <c r="W223" s="241"/>
      <c r="X223" s="241"/>
      <c r="Y223" s="241"/>
      <c r="Z223" s="242"/>
      <c r="AA223" s="242"/>
      <c r="AB223" s="241"/>
      <c r="AC223" s="241"/>
      <c r="AD223" s="241"/>
      <c r="AE223" s="241"/>
      <c r="AF223" s="241"/>
      <c r="AG223" s="241"/>
      <c r="AH223" s="241"/>
      <c r="AI223" s="241"/>
      <c r="AJ223" s="274"/>
      <c r="AK223" s="241"/>
      <c r="AL223" s="241"/>
      <c r="AM223" s="241"/>
      <c r="AN223" s="241"/>
      <c r="AO223" s="241"/>
      <c r="AP223" s="241"/>
      <c r="AQ223" s="241"/>
      <c r="AR223" s="241"/>
      <c r="AS223" s="241"/>
      <c r="AT223" s="241"/>
      <c r="AU223" s="241"/>
      <c r="AV223" s="241"/>
      <c r="AW223" s="241"/>
      <c r="AX223" s="241"/>
      <c r="AY223" s="241"/>
      <c r="AZ223" s="241"/>
      <c r="BA223" s="241"/>
      <c r="BB223" s="241"/>
      <c r="BC223" s="241"/>
      <c r="BD223" s="241"/>
      <c r="BE223" s="241"/>
      <c r="BF223" s="241"/>
      <c r="BG223" s="241"/>
      <c r="BH223" s="241"/>
      <c r="BI223" s="241"/>
      <c r="BJ223" s="241"/>
      <c r="BK223" s="241"/>
      <c r="BL223" s="241"/>
      <c r="BM223" s="241"/>
      <c r="BN223" s="241"/>
      <c r="BO223" s="241"/>
      <c r="BP223" s="241"/>
      <c r="BQ223" s="241"/>
      <c r="BR223" s="241"/>
      <c r="BS223" s="241"/>
      <c r="BT223" s="241"/>
      <c r="BU223" s="241"/>
      <c r="BV223" s="241"/>
      <c r="BW223" s="241"/>
      <c r="BX223" s="241"/>
      <c r="BY223" s="241"/>
      <c r="BZ223" s="241"/>
      <c r="CA223" s="241"/>
      <c r="CB223" s="241"/>
      <c r="CC223" s="241"/>
      <c r="CD223" s="241"/>
      <c r="CE223" s="241"/>
      <c r="CF223" s="241"/>
      <c r="CG223" s="241"/>
      <c r="CH223" s="241"/>
      <c r="CI223" s="241"/>
      <c r="CJ223" s="241"/>
      <c r="CK223" s="241"/>
      <c r="CL223" s="241"/>
      <c r="CM223" s="241"/>
      <c r="CN223" s="241"/>
      <c r="CO223" s="241"/>
      <c r="CP223" s="241"/>
      <c r="CQ223" s="241"/>
      <c r="CR223" s="241"/>
      <c r="CS223" s="241"/>
      <c r="CT223" s="241"/>
      <c r="CU223" s="241"/>
      <c r="CV223" s="241"/>
      <c r="CW223" s="241"/>
      <c r="CX223" s="241"/>
      <c r="CY223" s="241"/>
      <c r="CZ223" s="241"/>
      <c r="DA223" s="241"/>
      <c r="DB223" s="241"/>
      <c r="DC223" s="241"/>
      <c r="DD223" s="241"/>
      <c r="DE223" s="241"/>
      <c r="DF223" s="241"/>
      <c r="DG223" s="241"/>
      <c r="DH223" s="241"/>
      <c r="DT223" s="241"/>
      <c r="FB223" s="241"/>
    </row>
    <row r="224" spans="4:158" ht="0.75" customHeight="1" x14ac:dyDescent="0.25">
      <c r="D224" s="241"/>
      <c r="E224" s="241"/>
      <c r="F224" s="241"/>
      <c r="G224" s="241"/>
      <c r="H224" s="241"/>
      <c r="I224" s="242"/>
      <c r="J224" s="241"/>
      <c r="K224" s="241"/>
      <c r="L224" s="241"/>
      <c r="M224" s="241"/>
      <c r="N224" s="242"/>
      <c r="O224" s="242"/>
      <c r="P224" s="242"/>
      <c r="Q224" s="242"/>
      <c r="R224" s="241"/>
      <c r="S224" s="241"/>
      <c r="T224" s="241"/>
      <c r="U224" s="241"/>
      <c r="V224" s="241"/>
      <c r="W224" s="241"/>
      <c r="X224" s="241"/>
      <c r="Y224" s="241"/>
      <c r="Z224" s="242"/>
      <c r="AA224" s="242"/>
      <c r="AB224" s="241"/>
      <c r="AC224" s="241"/>
      <c r="AD224" s="241"/>
      <c r="AE224" s="241"/>
      <c r="AF224" s="241"/>
      <c r="AG224" s="241"/>
      <c r="AH224" s="241"/>
      <c r="AI224" s="241"/>
      <c r="AJ224" s="274"/>
      <c r="AK224" s="241"/>
      <c r="AL224" s="241"/>
      <c r="AM224" s="241"/>
      <c r="AN224" s="241"/>
      <c r="AO224" s="241"/>
      <c r="AP224" s="241"/>
      <c r="AQ224" s="241"/>
      <c r="AR224" s="241"/>
      <c r="AS224" s="241"/>
      <c r="AT224" s="241"/>
      <c r="AU224" s="241"/>
      <c r="AV224" s="241"/>
      <c r="AW224" s="241"/>
      <c r="AX224" s="241"/>
      <c r="AY224" s="241"/>
      <c r="AZ224" s="241"/>
      <c r="BA224" s="241"/>
      <c r="BB224" s="241"/>
      <c r="BC224" s="241"/>
      <c r="BD224" s="241"/>
      <c r="BE224" s="241"/>
      <c r="BF224" s="241"/>
      <c r="BG224" s="241"/>
      <c r="BH224" s="241"/>
      <c r="BI224" s="241"/>
      <c r="BJ224" s="241"/>
      <c r="BK224" s="241"/>
      <c r="BL224" s="241"/>
      <c r="BM224" s="241"/>
      <c r="BN224" s="241"/>
      <c r="BO224" s="241"/>
      <c r="BP224" s="241"/>
      <c r="BQ224" s="241"/>
      <c r="BR224" s="241"/>
      <c r="BS224" s="241"/>
      <c r="BT224" s="241"/>
      <c r="BU224" s="241"/>
      <c r="BV224" s="241"/>
      <c r="BW224" s="241"/>
      <c r="BX224" s="241"/>
      <c r="BY224" s="241"/>
      <c r="BZ224" s="241"/>
      <c r="CA224" s="241"/>
      <c r="CB224" s="241"/>
      <c r="CC224" s="241"/>
      <c r="CD224" s="241"/>
      <c r="CE224" s="241"/>
      <c r="CF224" s="241"/>
      <c r="CG224" s="241"/>
      <c r="CH224" s="241"/>
      <c r="CI224" s="241"/>
      <c r="CJ224" s="241"/>
      <c r="CK224" s="241"/>
      <c r="CL224" s="241"/>
      <c r="CM224" s="241"/>
      <c r="CN224" s="241"/>
      <c r="CO224" s="241"/>
      <c r="CP224" s="241"/>
      <c r="CQ224" s="241"/>
      <c r="CR224" s="241"/>
      <c r="CS224" s="241"/>
      <c r="CT224" s="241"/>
      <c r="CU224" s="241"/>
      <c r="CV224" s="241"/>
      <c r="CW224" s="241"/>
      <c r="CX224" s="241"/>
      <c r="CY224" s="241"/>
      <c r="CZ224" s="241"/>
      <c r="DA224" s="241"/>
      <c r="DB224" s="241"/>
      <c r="DC224" s="241"/>
      <c r="DD224" s="241"/>
      <c r="DE224" s="241"/>
      <c r="DF224" s="241"/>
      <c r="DG224" s="241"/>
      <c r="DH224" s="241"/>
      <c r="DT224" s="241"/>
      <c r="FB224" s="241"/>
    </row>
    <row r="225" spans="3:158" s="182" customFormat="1" ht="4.5" customHeight="1" x14ac:dyDescent="0.25">
      <c r="C225" s="395"/>
      <c r="D225" s="241"/>
      <c r="E225" s="241"/>
      <c r="F225" s="241"/>
      <c r="G225" s="241"/>
      <c r="H225" s="241"/>
      <c r="I225" s="242"/>
      <c r="J225" s="241"/>
      <c r="K225" s="241"/>
      <c r="L225" s="241"/>
      <c r="M225" s="241"/>
      <c r="N225" s="242"/>
      <c r="O225" s="242"/>
      <c r="P225" s="242"/>
      <c r="Q225" s="242"/>
      <c r="R225" s="241"/>
      <c r="S225" s="241"/>
      <c r="T225" s="241"/>
      <c r="U225" s="241"/>
      <c r="V225" s="241"/>
      <c r="W225" s="241"/>
      <c r="X225" s="241"/>
      <c r="Y225" s="241"/>
      <c r="Z225" s="242"/>
      <c r="AA225" s="242"/>
      <c r="AB225" s="241"/>
      <c r="AC225" s="241"/>
      <c r="AD225" s="241"/>
      <c r="AE225" s="241"/>
      <c r="AF225" s="241"/>
      <c r="AG225" s="241"/>
      <c r="AH225" s="241"/>
      <c r="AI225" s="241"/>
      <c r="AJ225" s="274"/>
      <c r="AK225" s="241"/>
      <c r="AL225" s="241"/>
      <c r="AM225" s="241"/>
      <c r="AN225" s="241"/>
      <c r="AO225" s="241"/>
      <c r="AP225" s="241"/>
      <c r="AQ225" s="241"/>
      <c r="AR225" s="241"/>
      <c r="AS225" s="241"/>
      <c r="AT225" s="241"/>
      <c r="AU225" s="241"/>
      <c r="AV225" s="241"/>
      <c r="AW225" s="241"/>
      <c r="AX225" s="241"/>
      <c r="AY225" s="241"/>
      <c r="AZ225" s="241"/>
      <c r="BA225" s="241"/>
      <c r="BB225" s="241"/>
      <c r="BC225" s="241"/>
      <c r="BD225" s="241"/>
      <c r="BE225" s="241"/>
      <c r="BF225" s="241"/>
      <c r="BG225" s="241"/>
      <c r="BH225" s="241"/>
      <c r="BI225" s="241"/>
      <c r="BJ225" s="241"/>
      <c r="BK225" s="241"/>
      <c r="BL225" s="241"/>
      <c r="BM225" s="241"/>
      <c r="BN225" s="241"/>
      <c r="BO225" s="241"/>
      <c r="BP225" s="241"/>
      <c r="BQ225" s="241"/>
      <c r="BR225" s="241"/>
      <c r="BS225" s="241"/>
      <c r="BT225" s="241"/>
      <c r="BU225" s="241"/>
      <c r="BV225" s="241"/>
      <c r="BW225" s="241"/>
      <c r="BX225" s="241"/>
      <c r="BY225" s="241"/>
      <c r="BZ225" s="241"/>
      <c r="CA225" s="241"/>
      <c r="CB225" s="241"/>
      <c r="CC225" s="241"/>
      <c r="CD225" s="241"/>
      <c r="CE225" s="241"/>
      <c r="CF225" s="241"/>
      <c r="CG225" s="241"/>
      <c r="CH225" s="241"/>
      <c r="CI225" s="241"/>
      <c r="CJ225" s="241"/>
      <c r="CK225" s="241"/>
      <c r="CL225" s="241"/>
      <c r="CM225" s="241"/>
      <c r="CN225" s="241"/>
      <c r="CO225" s="241"/>
      <c r="CP225" s="241"/>
      <c r="CQ225" s="241"/>
      <c r="CR225" s="241"/>
      <c r="CS225" s="241"/>
      <c r="CT225" s="241"/>
      <c r="CU225" s="241"/>
      <c r="CV225" s="241"/>
      <c r="CW225" s="241"/>
      <c r="CX225" s="241"/>
      <c r="CY225" s="241"/>
      <c r="CZ225" s="241"/>
      <c r="DA225" s="241"/>
      <c r="DB225" s="241"/>
      <c r="DC225" s="241"/>
      <c r="DD225" s="241"/>
      <c r="DE225" s="241"/>
      <c r="DF225" s="241"/>
      <c r="DG225" s="241"/>
      <c r="DH225" s="241"/>
      <c r="DT225" s="241"/>
      <c r="DU225" s="395"/>
      <c r="DV225" s="395"/>
      <c r="DW225" s="395"/>
      <c r="DX225" s="395"/>
      <c r="DY225" s="395"/>
      <c r="DZ225" s="395"/>
      <c r="EA225" s="395"/>
      <c r="EB225" s="392"/>
      <c r="EC225" s="392"/>
      <c r="ED225" s="392"/>
      <c r="EE225" s="392"/>
      <c r="EF225" s="392"/>
      <c r="EG225" s="392"/>
      <c r="EH225" s="392"/>
      <c r="EI225" s="392"/>
      <c r="EJ225" s="392"/>
      <c r="EK225" s="392"/>
      <c r="EL225" s="392"/>
      <c r="FB225" s="241"/>
    </row>
    <row r="226" spans="3:158" s="182" customFormat="1" x14ac:dyDescent="0.25">
      <c r="C226" s="395"/>
      <c r="D226" s="241"/>
      <c r="E226" s="241"/>
      <c r="F226" s="241"/>
      <c r="G226" s="241"/>
      <c r="H226" s="241"/>
      <c r="I226" s="242"/>
      <c r="J226" s="241"/>
      <c r="K226" s="241"/>
      <c r="L226" s="241"/>
      <c r="M226" s="241"/>
      <c r="N226" s="242"/>
      <c r="O226" s="242"/>
      <c r="P226" s="242"/>
      <c r="Q226" s="242"/>
      <c r="R226" s="241"/>
      <c r="S226" s="241"/>
      <c r="T226" s="241"/>
      <c r="U226" s="241"/>
      <c r="V226" s="241"/>
      <c r="W226" s="241"/>
      <c r="X226" s="241"/>
      <c r="Y226" s="241"/>
      <c r="Z226" s="242"/>
      <c r="AA226" s="242"/>
      <c r="AB226" s="241"/>
      <c r="AC226" s="241"/>
      <c r="AD226" s="241"/>
      <c r="AE226" s="241"/>
      <c r="AF226" s="241"/>
      <c r="AG226" s="241"/>
      <c r="AH226" s="241"/>
      <c r="AI226" s="241"/>
      <c r="AJ226" s="274"/>
      <c r="AK226" s="241"/>
      <c r="AL226" s="241"/>
      <c r="AM226" s="241"/>
      <c r="AN226" s="241"/>
      <c r="AO226" s="241"/>
      <c r="AP226" s="241"/>
      <c r="AQ226" s="241"/>
      <c r="AR226" s="241"/>
      <c r="AS226" s="241"/>
      <c r="AT226" s="241"/>
      <c r="AU226" s="241"/>
      <c r="AV226" s="241"/>
      <c r="AW226" s="241"/>
      <c r="AX226" s="241"/>
      <c r="AY226" s="241"/>
      <c r="AZ226" s="241"/>
      <c r="BA226" s="241"/>
      <c r="BB226" s="241"/>
      <c r="BC226" s="241"/>
      <c r="BD226" s="241"/>
      <c r="BE226" s="241"/>
      <c r="BF226" s="241"/>
      <c r="BG226" s="241"/>
      <c r="BH226" s="241"/>
      <c r="BI226" s="241"/>
      <c r="BJ226" s="241"/>
      <c r="BK226" s="241"/>
      <c r="BL226" s="241"/>
      <c r="BM226" s="241"/>
      <c r="BN226" s="241"/>
      <c r="BO226" s="241"/>
      <c r="BP226" s="241"/>
      <c r="BQ226" s="241"/>
      <c r="BR226" s="241"/>
      <c r="BS226" s="241"/>
      <c r="BT226" s="241"/>
      <c r="BU226" s="241"/>
      <c r="BV226" s="241"/>
      <c r="BW226" s="241"/>
      <c r="BX226" s="241"/>
      <c r="BY226" s="241"/>
      <c r="BZ226" s="241"/>
      <c r="CA226" s="241"/>
      <c r="CB226" s="241"/>
      <c r="CC226" s="241"/>
      <c r="CD226" s="241"/>
      <c r="CE226" s="241"/>
      <c r="CF226" s="241"/>
      <c r="CG226" s="241"/>
      <c r="CH226" s="241"/>
      <c r="CI226" s="241"/>
      <c r="CJ226" s="241"/>
      <c r="CK226" s="241"/>
      <c r="CL226" s="241"/>
      <c r="CM226" s="241"/>
      <c r="CN226" s="241"/>
      <c r="CO226" s="241"/>
      <c r="CP226" s="241"/>
      <c r="CQ226" s="241"/>
      <c r="CR226" s="241"/>
      <c r="CS226" s="241"/>
      <c r="CT226" s="241"/>
      <c r="CU226" s="241"/>
      <c r="CV226" s="241"/>
      <c r="CW226" s="241"/>
      <c r="CX226" s="241"/>
      <c r="CY226" s="241"/>
      <c r="CZ226" s="241"/>
      <c r="DA226" s="241"/>
      <c r="DB226" s="241"/>
      <c r="DC226" s="241"/>
      <c r="DD226" s="241"/>
      <c r="DE226" s="241"/>
      <c r="DF226" s="241"/>
      <c r="DG226" s="241"/>
      <c r="DH226" s="241"/>
      <c r="DT226" s="241"/>
      <c r="DU226" s="395"/>
      <c r="DV226" s="395"/>
      <c r="DW226" s="395"/>
      <c r="DX226" s="395"/>
      <c r="DY226" s="395"/>
      <c r="DZ226" s="395"/>
      <c r="EA226" s="395"/>
      <c r="EB226" s="392"/>
      <c r="EC226" s="392"/>
      <c r="ED226" s="392"/>
      <c r="EE226" s="392"/>
      <c r="EF226" s="392"/>
      <c r="EG226" s="392"/>
      <c r="EH226" s="392"/>
      <c r="EI226" s="392"/>
      <c r="EJ226" s="392"/>
      <c r="EK226" s="392"/>
      <c r="EL226" s="392"/>
      <c r="FB226" s="241"/>
    </row>
    <row r="227" spans="3:158" s="182" customFormat="1" x14ac:dyDescent="0.25">
      <c r="C227" s="395"/>
      <c r="D227" s="241"/>
      <c r="E227" s="241"/>
      <c r="F227" s="241"/>
      <c r="G227" s="241"/>
      <c r="H227" s="241"/>
      <c r="I227" s="242"/>
      <c r="J227" s="241"/>
      <c r="K227" s="241"/>
      <c r="L227" s="241"/>
      <c r="M227" s="241"/>
      <c r="N227" s="242"/>
      <c r="O227" s="242"/>
      <c r="P227" s="242"/>
      <c r="Q227" s="242"/>
      <c r="R227" s="241"/>
      <c r="S227" s="241"/>
      <c r="T227" s="241"/>
      <c r="U227" s="241"/>
      <c r="V227" s="241"/>
      <c r="W227" s="241"/>
      <c r="X227" s="241"/>
      <c r="Z227" s="184"/>
      <c r="AA227" s="184"/>
      <c r="AJ227" s="185"/>
      <c r="DH227" s="241"/>
      <c r="DT227" s="241"/>
      <c r="DU227" s="395"/>
      <c r="DV227" s="395"/>
      <c r="DW227" s="395"/>
      <c r="DX227" s="395"/>
      <c r="DY227" s="395"/>
      <c r="DZ227" s="395"/>
      <c r="EA227" s="395"/>
      <c r="EB227" s="392"/>
      <c r="EC227" s="392"/>
      <c r="ED227" s="392"/>
      <c r="EE227" s="392"/>
      <c r="EF227" s="392"/>
      <c r="EG227" s="392"/>
      <c r="EH227" s="392"/>
      <c r="EI227" s="392"/>
      <c r="EJ227" s="392"/>
      <c r="EK227" s="392"/>
      <c r="EL227" s="392"/>
      <c r="FB227" s="241"/>
    </row>
    <row r="228" spans="3:158" s="182" customFormat="1" ht="21.6" x14ac:dyDescent="0.25">
      <c r="C228" s="395"/>
      <c r="D228" s="241"/>
      <c r="E228" s="241"/>
      <c r="G228" s="355" t="s">
        <v>21</v>
      </c>
      <c r="H228" s="356" t="s">
        <v>22</v>
      </c>
      <c r="I228" s="357" t="s">
        <v>136</v>
      </c>
      <c r="J228" s="357" t="s">
        <v>137</v>
      </c>
      <c r="K228" s="241"/>
      <c r="L228" s="241"/>
      <c r="M228" s="241"/>
      <c r="N228" s="242"/>
      <c r="O228" s="242"/>
      <c r="P228" s="242"/>
      <c r="Q228" s="242"/>
      <c r="R228" s="241"/>
      <c r="S228" s="241"/>
      <c r="T228" s="241"/>
      <c r="U228" s="241"/>
      <c r="V228" s="241"/>
      <c r="W228" s="241"/>
      <c r="X228" s="241"/>
      <c r="Z228" s="184"/>
      <c r="AA228" s="184"/>
      <c r="AJ228" s="185"/>
      <c r="DH228" s="241"/>
      <c r="DT228" s="241"/>
      <c r="DU228" s="395"/>
      <c r="DV228" s="395"/>
      <c r="DW228" s="395"/>
      <c r="DX228" s="395"/>
      <c r="DY228" s="395"/>
      <c r="DZ228" s="395"/>
      <c r="EA228" s="395"/>
      <c r="EB228" s="392"/>
      <c r="EC228" s="392"/>
      <c r="ED228" s="392"/>
      <c r="EE228" s="392"/>
      <c r="EF228" s="392"/>
      <c r="EG228" s="392"/>
      <c r="EH228" s="392"/>
      <c r="EI228" s="392"/>
      <c r="EJ228" s="392"/>
      <c r="EK228" s="392"/>
      <c r="EL228" s="392"/>
      <c r="FB228" s="241"/>
    </row>
    <row r="229" spans="3:158" s="182" customFormat="1" x14ac:dyDescent="0.25">
      <c r="C229" s="395"/>
      <c r="D229" s="241"/>
      <c r="E229" s="241"/>
      <c r="G229" s="358" t="s">
        <v>52</v>
      </c>
      <c r="H229" s="359">
        <v>38384.410000000003</v>
      </c>
      <c r="I229" s="360">
        <v>67429</v>
      </c>
      <c r="J229" s="390"/>
      <c r="K229" s="241"/>
      <c r="L229" s="241"/>
      <c r="M229" s="241"/>
      <c r="N229" s="242"/>
      <c r="O229" s="242"/>
      <c r="P229" s="242"/>
      <c r="Q229" s="242"/>
      <c r="R229" s="241"/>
      <c r="S229" s="241"/>
      <c r="T229" s="241"/>
      <c r="U229" s="241"/>
      <c r="V229" s="241"/>
      <c r="W229" s="241"/>
      <c r="X229" s="241"/>
      <c r="Z229" s="184"/>
      <c r="AA229" s="184"/>
      <c r="AJ229" s="185"/>
      <c r="DH229" s="241"/>
      <c r="DT229" s="241"/>
      <c r="DU229" s="395"/>
      <c r="DV229" s="395"/>
      <c r="DW229" s="395"/>
      <c r="DX229" s="395"/>
      <c r="DY229" s="395"/>
      <c r="DZ229" s="395"/>
      <c r="EA229" s="395"/>
      <c r="EB229" s="392"/>
      <c r="EC229" s="392"/>
      <c r="ED229" s="392"/>
      <c r="EE229" s="392"/>
      <c r="EF229" s="392"/>
      <c r="EG229" s="392"/>
      <c r="EH229" s="392"/>
      <c r="EI229" s="392"/>
      <c r="EJ229" s="392"/>
      <c r="EK229" s="392"/>
      <c r="EL229" s="392"/>
      <c r="FB229" s="241"/>
    </row>
    <row r="230" spans="3:158" s="182" customFormat="1" x14ac:dyDescent="0.25">
      <c r="C230" s="395"/>
      <c r="D230" s="241"/>
      <c r="E230" s="241"/>
      <c r="G230" s="358" t="s">
        <v>54</v>
      </c>
      <c r="H230" s="359">
        <v>38647.94</v>
      </c>
      <c r="I230" s="360">
        <v>67294</v>
      </c>
      <c r="J230" s="390"/>
      <c r="K230" s="241"/>
      <c r="L230" s="241"/>
      <c r="M230" s="241"/>
      <c r="N230" s="242"/>
      <c r="O230" s="242"/>
      <c r="P230" s="242"/>
      <c r="Q230" s="242"/>
      <c r="R230" s="241"/>
      <c r="S230" s="241"/>
      <c r="T230" s="241"/>
      <c r="U230" s="241"/>
      <c r="V230" s="241"/>
      <c r="W230" s="241"/>
      <c r="X230" s="241"/>
      <c r="Z230" s="184"/>
      <c r="AA230" s="184"/>
      <c r="AJ230" s="185"/>
      <c r="DH230" s="241"/>
      <c r="DT230" s="241"/>
      <c r="DU230" s="395"/>
      <c r="DV230" s="395"/>
      <c r="DW230" s="395"/>
      <c r="DX230" s="395"/>
      <c r="DY230" s="395"/>
      <c r="DZ230" s="395"/>
      <c r="EA230" s="395"/>
      <c r="EB230" s="392"/>
      <c r="EC230" s="392"/>
      <c r="ED230" s="392"/>
      <c r="EE230" s="392"/>
      <c r="EF230" s="392"/>
      <c r="EG230" s="392"/>
      <c r="EH230" s="392"/>
      <c r="EI230" s="392"/>
      <c r="EJ230" s="392"/>
      <c r="EK230" s="392"/>
      <c r="EL230" s="392"/>
      <c r="FB230" s="241"/>
    </row>
    <row r="231" spans="3:158" s="182" customFormat="1" x14ac:dyDescent="0.25">
      <c r="C231" s="395"/>
      <c r="D231" s="241"/>
      <c r="E231" s="241"/>
      <c r="G231" s="358" t="s">
        <v>57</v>
      </c>
      <c r="H231" s="359">
        <v>38894.11</v>
      </c>
      <c r="I231" s="360">
        <v>68034</v>
      </c>
      <c r="J231" s="390"/>
      <c r="K231" s="241"/>
      <c r="L231" s="241"/>
      <c r="M231" s="241"/>
      <c r="N231" s="242"/>
      <c r="O231" s="242"/>
      <c r="P231" s="242"/>
      <c r="Q231" s="242"/>
      <c r="R231" s="241"/>
      <c r="S231" s="241"/>
      <c r="T231" s="241"/>
      <c r="U231" s="241"/>
      <c r="V231" s="241"/>
      <c r="W231" s="241"/>
      <c r="X231" s="241"/>
      <c r="Z231" s="184"/>
      <c r="AA231" s="184"/>
      <c r="AJ231" s="185"/>
      <c r="DH231" s="241"/>
      <c r="DT231" s="241"/>
      <c r="DU231" s="395"/>
      <c r="DV231" s="395"/>
      <c r="DW231" s="395"/>
      <c r="DX231" s="395"/>
      <c r="DY231" s="395"/>
      <c r="DZ231" s="395"/>
      <c r="EA231" s="395"/>
      <c r="EB231" s="392"/>
      <c r="EC231" s="392"/>
      <c r="ED231" s="392"/>
      <c r="EE231" s="392"/>
      <c r="EF231" s="392"/>
      <c r="EG231" s="392"/>
      <c r="EH231" s="392"/>
      <c r="EI231" s="392"/>
      <c r="EJ231" s="392"/>
      <c r="EK231" s="392"/>
      <c r="EL231" s="392"/>
      <c r="FB231" s="241"/>
    </row>
    <row r="232" spans="3:158" s="182" customFormat="1" x14ac:dyDescent="0.25">
      <c r="C232" s="395"/>
      <c r="D232" s="241"/>
      <c r="E232" s="241"/>
      <c r="G232" s="358" t="s">
        <v>61</v>
      </c>
      <c r="H232" s="359">
        <v>39075.410000000003</v>
      </c>
      <c r="I232" s="360">
        <v>68306</v>
      </c>
      <c r="J232" s="390"/>
      <c r="K232" s="241"/>
      <c r="L232" s="241"/>
      <c r="M232" s="241"/>
      <c r="N232" s="242"/>
      <c r="O232" s="242"/>
      <c r="P232" s="242"/>
      <c r="Q232" s="242"/>
      <c r="R232" s="241"/>
      <c r="S232" s="241"/>
      <c r="T232" s="241"/>
      <c r="U232" s="241"/>
      <c r="V232" s="241"/>
      <c r="W232" s="241"/>
      <c r="X232" s="241"/>
      <c r="Z232" s="184"/>
      <c r="AA232" s="184"/>
      <c r="AJ232" s="185"/>
      <c r="DH232" s="241"/>
      <c r="DT232" s="241"/>
      <c r="DU232" s="395"/>
      <c r="DV232" s="395"/>
      <c r="DW232" s="395"/>
      <c r="DX232" s="395"/>
      <c r="DY232" s="395"/>
      <c r="DZ232" s="395"/>
      <c r="EA232" s="395"/>
      <c r="EB232" s="392"/>
      <c r="EC232" s="392"/>
      <c r="ED232" s="392"/>
      <c r="EE232" s="392"/>
      <c r="EF232" s="392"/>
      <c r="EG232" s="392"/>
      <c r="EH232" s="392"/>
      <c r="EI232" s="392"/>
      <c r="EJ232" s="392"/>
      <c r="EK232" s="392"/>
      <c r="EL232" s="392"/>
      <c r="FB232" s="241"/>
    </row>
    <row r="233" spans="3:158" s="182" customFormat="1" x14ac:dyDescent="0.25">
      <c r="C233" s="395"/>
      <c r="D233" s="241"/>
      <c r="E233" s="241"/>
      <c r="G233" s="358" t="s">
        <v>64</v>
      </c>
      <c r="H233" s="359">
        <v>39189.449999999997</v>
      </c>
      <c r="I233" s="360">
        <v>68648</v>
      </c>
      <c r="J233" s="390"/>
      <c r="K233" s="241"/>
      <c r="L233" s="241"/>
      <c r="M233" s="241"/>
      <c r="N233" s="242"/>
      <c r="O233" s="242"/>
      <c r="P233" s="242"/>
      <c r="Q233" s="242"/>
      <c r="R233" s="241"/>
      <c r="S233" s="241"/>
      <c r="T233" s="241"/>
      <c r="U233" s="241"/>
      <c r="V233" s="241"/>
      <c r="W233" s="241"/>
      <c r="X233" s="241"/>
      <c r="Z233" s="184"/>
      <c r="AA233" s="184"/>
      <c r="AJ233" s="185"/>
      <c r="DH233" s="241"/>
      <c r="DT233" s="241"/>
      <c r="DU233" s="395"/>
      <c r="DV233" s="395"/>
      <c r="DW233" s="395"/>
      <c r="DX233" s="395"/>
      <c r="DY233" s="395"/>
      <c r="DZ233" s="395"/>
      <c r="EA233" s="395"/>
      <c r="EB233" s="392"/>
      <c r="EC233" s="392"/>
      <c r="ED233" s="392"/>
      <c r="EE233" s="392"/>
      <c r="EF233" s="392"/>
      <c r="EG233" s="392"/>
      <c r="EH233" s="392"/>
      <c r="EI233" s="392"/>
      <c r="EJ233" s="392"/>
      <c r="EK233" s="392"/>
      <c r="EL233" s="392"/>
      <c r="FB233" s="241"/>
    </row>
    <row r="234" spans="3:158" s="182" customFormat="1" x14ac:dyDescent="0.25">
      <c r="C234" s="395"/>
      <c r="D234" s="241"/>
      <c r="E234" s="241"/>
      <c r="G234" s="358" t="s">
        <v>67</v>
      </c>
      <c r="H234" s="359">
        <v>39267.07</v>
      </c>
      <c r="I234" s="360">
        <v>68785</v>
      </c>
      <c r="J234" s="390"/>
      <c r="K234" s="241"/>
      <c r="L234" s="241"/>
      <c r="M234" s="241"/>
      <c r="N234" s="242"/>
      <c r="O234" s="242"/>
      <c r="P234" s="242"/>
      <c r="Q234" s="242"/>
      <c r="R234" s="241"/>
      <c r="S234" s="241"/>
      <c r="T234" s="241"/>
      <c r="U234" s="241"/>
      <c r="V234" s="241"/>
      <c r="W234" s="241"/>
      <c r="X234" s="241"/>
      <c r="Z234" s="184"/>
      <c r="AA234" s="184"/>
      <c r="AJ234" s="185"/>
      <c r="DH234" s="241"/>
      <c r="DT234" s="241"/>
      <c r="DU234" s="395"/>
      <c r="DV234" s="395"/>
      <c r="DW234" s="395"/>
      <c r="DX234" s="395"/>
      <c r="DY234" s="395"/>
      <c r="DZ234" s="395"/>
      <c r="EA234" s="395"/>
      <c r="EB234" s="392"/>
      <c r="EC234" s="392"/>
      <c r="ED234" s="392"/>
      <c r="EE234" s="392"/>
      <c r="EF234" s="392"/>
      <c r="EG234" s="392"/>
      <c r="EH234" s="392"/>
      <c r="EI234" s="392"/>
      <c r="EJ234" s="392"/>
      <c r="EK234" s="392"/>
      <c r="EL234" s="392"/>
      <c r="FB234" s="241"/>
    </row>
    <row r="235" spans="3:158" s="182" customFormat="1" x14ac:dyDescent="0.25">
      <c r="C235" s="395"/>
      <c r="D235" s="241"/>
      <c r="E235" s="241"/>
      <c r="G235" s="358" t="s">
        <v>70</v>
      </c>
      <c r="H235" s="359">
        <v>39179.01</v>
      </c>
      <c r="I235" s="360">
        <v>68923</v>
      </c>
      <c r="J235" s="390"/>
      <c r="K235" s="241"/>
      <c r="L235" s="241"/>
      <c r="M235" s="241"/>
      <c r="N235" s="242"/>
      <c r="O235" s="242"/>
      <c r="P235" s="242"/>
      <c r="Q235" s="242"/>
      <c r="R235" s="241"/>
      <c r="S235" s="241"/>
      <c r="T235" s="241"/>
      <c r="U235" s="241"/>
      <c r="V235" s="241"/>
      <c r="W235" s="241"/>
      <c r="X235" s="241"/>
      <c r="Z235" s="184"/>
      <c r="AA235" s="184"/>
      <c r="AJ235" s="185"/>
      <c r="DH235" s="241"/>
      <c r="DT235" s="241"/>
      <c r="DU235" s="395"/>
      <c r="DV235" s="395"/>
      <c r="DW235" s="395"/>
      <c r="DX235" s="395"/>
      <c r="DY235" s="395"/>
      <c r="DZ235" s="395"/>
      <c r="EA235" s="395"/>
      <c r="EB235" s="392"/>
      <c r="EC235" s="392"/>
      <c r="ED235" s="392"/>
      <c r="EE235" s="392"/>
      <c r="EF235" s="392"/>
      <c r="EG235" s="392"/>
      <c r="EH235" s="392"/>
      <c r="EI235" s="392"/>
      <c r="EJ235" s="392"/>
      <c r="EK235" s="392"/>
      <c r="EL235" s="392"/>
      <c r="FB235" s="241"/>
    </row>
    <row r="236" spans="3:158" s="182" customFormat="1" x14ac:dyDescent="0.25">
      <c r="C236" s="395"/>
      <c r="D236" s="241"/>
      <c r="E236" s="241"/>
      <c r="G236" s="358" t="s">
        <v>72</v>
      </c>
      <c r="H236" s="359">
        <v>39383.07</v>
      </c>
      <c r="I236" s="360">
        <v>68647</v>
      </c>
      <c r="J236" s="390"/>
      <c r="K236" s="241"/>
      <c r="L236" s="241"/>
      <c r="M236" s="241"/>
      <c r="N236" s="449"/>
      <c r="O236" s="449"/>
      <c r="P236" s="449"/>
      <c r="Q236" s="242"/>
      <c r="R236" s="241"/>
      <c r="S236" s="241"/>
      <c r="T236" s="241"/>
      <c r="U236" s="241"/>
      <c r="V236" s="241"/>
      <c r="W236" s="241"/>
      <c r="X236" s="241"/>
      <c r="Z236" s="184"/>
      <c r="AA236" s="184"/>
      <c r="AJ236" s="185"/>
      <c r="DH236" s="241"/>
      <c r="DT236" s="241"/>
      <c r="DU236" s="395"/>
      <c r="DV236" s="395"/>
      <c r="DW236" s="395"/>
      <c r="DX236" s="395"/>
      <c r="DY236" s="395"/>
      <c r="DZ236" s="395"/>
      <c r="EA236" s="395"/>
      <c r="EB236" s="392"/>
      <c r="EC236" s="392"/>
      <c r="ED236" s="392"/>
      <c r="EE236" s="392"/>
      <c r="EF236" s="392"/>
      <c r="EG236" s="392"/>
      <c r="EH236" s="392"/>
      <c r="EI236" s="392"/>
      <c r="EJ236" s="392"/>
      <c r="EK236" s="392"/>
      <c r="EL236" s="392"/>
      <c r="FB236" s="241"/>
    </row>
    <row r="237" spans="3:158" s="182" customFormat="1" x14ac:dyDescent="0.25">
      <c r="C237" s="395"/>
      <c r="D237" s="241"/>
      <c r="E237" s="241"/>
      <c r="G237" s="358" t="s">
        <v>74</v>
      </c>
      <c r="H237" s="359">
        <v>39485.65</v>
      </c>
      <c r="I237" s="360">
        <v>69265</v>
      </c>
      <c r="J237" s="390"/>
      <c r="K237" s="241"/>
      <c r="L237" s="241"/>
      <c r="M237" s="241"/>
      <c r="N237" s="242"/>
      <c r="O237" s="242"/>
      <c r="P237" s="242"/>
      <c r="Q237" s="242"/>
      <c r="R237" s="241"/>
      <c r="S237" s="241"/>
      <c r="T237" s="241"/>
      <c r="U237" s="241"/>
      <c r="V237" s="241"/>
      <c r="W237" s="241"/>
      <c r="X237" s="241"/>
      <c r="Z237" s="184"/>
      <c r="AA237" s="184"/>
      <c r="AJ237" s="185"/>
      <c r="DH237" s="241"/>
      <c r="DT237" s="241"/>
      <c r="DU237" s="395"/>
      <c r="DV237" s="395"/>
      <c r="DW237" s="395"/>
      <c r="DX237" s="395"/>
      <c r="DY237" s="395"/>
      <c r="DZ237" s="395"/>
      <c r="EA237" s="395"/>
      <c r="EB237" s="392"/>
      <c r="EC237" s="392"/>
      <c r="ED237" s="392"/>
      <c r="EE237" s="392"/>
      <c r="EF237" s="392"/>
      <c r="EG237" s="392"/>
      <c r="EH237" s="392"/>
      <c r="EI237" s="392"/>
      <c r="EJ237" s="392"/>
      <c r="EK237" s="392"/>
      <c r="EL237" s="392"/>
      <c r="FB237" s="241"/>
    </row>
    <row r="238" spans="3:158" s="182" customFormat="1" x14ac:dyDescent="0.25">
      <c r="C238" s="395"/>
      <c r="D238" s="241"/>
      <c r="E238" s="241"/>
      <c r="G238" s="358" t="s">
        <v>76</v>
      </c>
      <c r="H238" s="359">
        <v>39485.65</v>
      </c>
      <c r="I238" s="360">
        <v>69265</v>
      </c>
      <c r="J238" s="390"/>
      <c r="K238" s="241"/>
      <c r="L238" s="241"/>
      <c r="M238" s="241"/>
      <c r="N238" s="242"/>
      <c r="O238" s="242"/>
      <c r="P238" s="242"/>
      <c r="Q238" s="242"/>
      <c r="R238" s="241"/>
      <c r="S238" s="241"/>
      <c r="T238" s="241"/>
      <c r="U238" s="241"/>
      <c r="V238" s="241"/>
      <c r="W238" s="241"/>
      <c r="X238" s="241"/>
      <c r="Z238" s="184"/>
      <c r="AA238" s="184"/>
      <c r="AJ238" s="185"/>
      <c r="DH238" s="241"/>
      <c r="DT238" s="241"/>
      <c r="DU238" s="395"/>
      <c r="DV238" s="395"/>
      <c r="DW238" s="395"/>
      <c r="DX238" s="395"/>
      <c r="DY238" s="395"/>
      <c r="DZ238" s="395"/>
      <c r="EA238" s="395"/>
      <c r="EB238" s="392"/>
      <c r="EC238" s="392"/>
      <c r="ED238" s="392"/>
      <c r="EE238" s="392"/>
      <c r="EF238" s="392"/>
      <c r="EG238" s="392"/>
      <c r="EH238" s="392"/>
      <c r="EI238" s="392"/>
      <c r="EJ238" s="392"/>
      <c r="EK238" s="392"/>
      <c r="EL238" s="392"/>
      <c r="FB238" s="241"/>
    </row>
    <row r="239" spans="3:158" s="182" customFormat="1" x14ac:dyDescent="0.25">
      <c r="C239" s="395"/>
      <c r="D239" s="241"/>
      <c r="E239" s="241"/>
      <c r="G239" s="358" t="s">
        <v>78</v>
      </c>
      <c r="H239" s="359">
        <v>39597.67</v>
      </c>
      <c r="I239" s="360">
        <v>69542</v>
      </c>
      <c r="J239" s="391"/>
      <c r="K239" s="241"/>
      <c r="L239" s="241"/>
      <c r="M239" s="241"/>
      <c r="N239" s="242"/>
      <c r="O239" s="242"/>
      <c r="P239" s="242"/>
      <c r="Q239" s="242"/>
      <c r="R239" s="241"/>
      <c r="S239" s="241"/>
      <c r="T239" s="241"/>
      <c r="U239" s="241"/>
      <c r="V239" s="241"/>
      <c r="W239" s="241"/>
      <c r="X239" s="241"/>
      <c r="Z239" s="184"/>
      <c r="AA239" s="184"/>
      <c r="AJ239" s="185"/>
      <c r="DH239" s="241"/>
      <c r="DT239" s="241"/>
      <c r="DU239" s="395"/>
      <c r="DV239" s="395"/>
      <c r="DW239" s="395"/>
      <c r="DX239" s="395"/>
      <c r="DY239" s="395"/>
      <c r="DZ239" s="395"/>
      <c r="EA239" s="395"/>
      <c r="EB239" s="392"/>
      <c r="EC239" s="392"/>
      <c r="ED239" s="392"/>
      <c r="EE239" s="392"/>
      <c r="EF239" s="392"/>
      <c r="EG239" s="392"/>
      <c r="EH239" s="392"/>
      <c r="EI239" s="392"/>
      <c r="EJ239" s="392"/>
      <c r="EK239" s="392"/>
      <c r="EL239" s="392"/>
      <c r="FB239" s="241"/>
    </row>
    <row r="240" spans="3:158" s="182" customFormat="1" x14ac:dyDescent="0.25">
      <c r="C240" s="395"/>
      <c r="D240" s="241"/>
      <c r="E240" s="241"/>
      <c r="G240" s="358" t="s">
        <v>80</v>
      </c>
      <c r="H240" s="388">
        <v>39643.589999999997</v>
      </c>
      <c r="I240" s="389">
        <f>I239</f>
        <v>69542</v>
      </c>
      <c r="J240" s="390"/>
      <c r="K240" s="241"/>
      <c r="L240" s="241"/>
      <c r="M240" s="241"/>
      <c r="N240" s="242"/>
      <c r="O240" s="242"/>
      <c r="P240" s="242"/>
      <c r="Q240" s="242"/>
      <c r="R240" s="241"/>
      <c r="S240" s="241"/>
      <c r="T240" s="241"/>
      <c r="U240" s="241"/>
      <c r="V240" s="241"/>
      <c r="W240" s="241"/>
      <c r="X240" s="241"/>
      <c r="Z240" s="184"/>
      <c r="AA240" s="184"/>
      <c r="AJ240" s="185"/>
      <c r="DH240" s="241"/>
      <c r="DT240" s="241"/>
      <c r="DU240" s="395"/>
      <c r="DV240" s="395"/>
      <c r="DW240" s="395"/>
      <c r="DX240" s="395"/>
      <c r="DY240" s="395"/>
      <c r="DZ240" s="395"/>
      <c r="EA240" s="395"/>
      <c r="EB240" s="392"/>
      <c r="EC240" s="392"/>
      <c r="ED240" s="392"/>
      <c r="EE240" s="392"/>
      <c r="EF240" s="392"/>
      <c r="EG240" s="392"/>
      <c r="EH240" s="392"/>
      <c r="EI240" s="392"/>
      <c r="EJ240" s="392"/>
      <c r="EK240" s="392"/>
      <c r="EL240" s="392"/>
      <c r="FB240" s="241"/>
    </row>
    <row r="241" spans="3:158" s="182" customFormat="1" x14ac:dyDescent="0.25">
      <c r="C241" s="395"/>
      <c r="D241" s="241"/>
      <c r="E241" s="241"/>
      <c r="F241" s="241"/>
      <c r="G241" s="241"/>
      <c r="H241" s="241"/>
      <c r="I241" s="242"/>
      <c r="J241" s="241"/>
      <c r="K241" s="241"/>
      <c r="L241" s="241"/>
      <c r="M241" s="241"/>
      <c r="N241" s="242"/>
      <c r="O241" s="242"/>
      <c r="P241" s="242"/>
      <c r="Q241" s="242"/>
      <c r="R241" s="241"/>
      <c r="S241" s="241"/>
      <c r="T241" s="241"/>
      <c r="U241" s="241"/>
      <c r="V241" s="241"/>
      <c r="W241" s="241"/>
      <c r="X241" s="241"/>
      <c r="Z241" s="184"/>
      <c r="AA241" s="184"/>
      <c r="AJ241" s="185"/>
      <c r="DH241" s="241"/>
      <c r="DT241" s="241"/>
      <c r="DU241" s="395"/>
      <c r="DV241" s="395"/>
      <c r="DW241" s="395"/>
      <c r="DX241" s="395"/>
      <c r="DY241" s="395"/>
      <c r="DZ241" s="395"/>
      <c r="EA241" s="395"/>
      <c r="EB241" s="392"/>
      <c r="EC241" s="392"/>
      <c r="ED241" s="392"/>
      <c r="EE241" s="392"/>
      <c r="EF241" s="392"/>
      <c r="EG241" s="392"/>
      <c r="EH241" s="392"/>
      <c r="EI241" s="392"/>
      <c r="EJ241" s="392"/>
      <c r="EK241" s="392"/>
      <c r="EL241" s="392"/>
      <c r="FB241" s="241"/>
    </row>
    <row r="242" spans="3:158" s="182" customFormat="1" x14ac:dyDescent="0.25">
      <c r="C242" s="395"/>
      <c r="D242" s="241"/>
      <c r="E242" s="241"/>
      <c r="F242" s="241"/>
      <c r="G242" s="241"/>
      <c r="H242" s="241"/>
      <c r="I242" s="306"/>
      <c r="J242" s="241"/>
      <c r="K242" s="241"/>
      <c r="L242" s="241"/>
      <c r="M242" s="241"/>
      <c r="N242" s="242"/>
      <c r="O242" s="242"/>
      <c r="P242" s="242"/>
      <c r="Q242" s="242"/>
      <c r="R242" s="241"/>
      <c r="S242" s="241"/>
      <c r="T242" s="241"/>
      <c r="U242" s="241"/>
      <c r="V242" s="241"/>
      <c r="W242" s="241"/>
      <c r="X242" s="241"/>
      <c r="Z242" s="184"/>
      <c r="AA242" s="184"/>
      <c r="AJ242" s="185"/>
      <c r="DH242" s="241"/>
      <c r="DT242" s="241"/>
      <c r="DU242" s="395"/>
      <c r="DV242" s="395"/>
      <c r="DW242" s="395"/>
      <c r="DX242" s="395"/>
      <c r="DY242" s="395"/>
      <c r="DZ242" s="395"/>
      <c r="EA242" s="395"/>
      <c r="EB242" s="392"/>
      <c r="EC242" s="392"/>
      <c r="ED242" s="392"/>
      <c r="EE242" s="392"/>
      <c r="EF242" s="392"/>
      <c r="EG242" s="392"/>
      <c r="EH242" s="392"/>
      <c r="EI242" s="392"/>
      <c r="EJ242" s="392"/>
      <c r="EK242" s="392"/>
      <c r="EL242" s="392"/>
      <c r="FB242" s="241"/>
    </row>
    <row r="243" spans="3:158" s="182" customFormat="1" x14ac:dyDescent="0.25">
      <c r="C243" s="395"/>
      <c r="D243" s="241"/>
      <c r="E243" s="241"/>
      <c r="F243" s="241"/>
      <c r="G243" s="241"/>
      <c r="H243" s="241"/>
      <c r="I243" s="242"/>
      <c r="J243" s="241"/>
      <c r="K243" s="241"/>
      <c r="L243" s="241"/>
      <c r="M243" s="241"/>
      <c r="N243" s="242"/>
      <c r="O243" s="242"/>
      <c r="P243" s="242"/>
      <c r="Q243" s="242"/>
      <c r="R243" s="241"/>
      <c r="S243" s="241"/>
      <c r="T243" s="241"/>
      <c r="U243" s="241"/>
      <c r="V243" s="241"/>
      <c r="W243" s="241"/>
      <c r="X243" s="241"/>
      <c r="Z243" s="184"/>
      <c r="AA243" s="184"/>
      <c r="AJ243" s="185"/>
      <c r="DH243" s="241"/>
      <c r="DT243" s="241"/>
      <c r="DU243" s="395"/>
      <c r="DV243" s="395"/>
      <c r="DW243" s="395"/>
      <c r="DX243" s="395"/>
      <c r="DY243" s="395"/>
      <c r="DZ243" s="395"/>
      <c r="EA243" s="395"/>
      <c r="EB243" s="392"/>
      <c r="EC243" s="392"/>
      <c r="ED243" s="392"/>
      <c r="EE243" s="392"/>
      <c r="EF243" s="392"/>
      <c r="EG243" s="392"/>
      <c r="EH243" s="392"/>
      <c r="EI243" s="392"/>
      <c r="EJ243" s="392"/>
      <c r="EK243" s="392"/>
      <c r="EL243" s="392"/>
      <c r="FB243" s="241"/>
    </row>
    <row r="244" spans="3:158" s="182" customFormat="1" x14ac:dyDescent="0.25">
      <c r="C244" s="395"/>
      <c r="D244" s="241"/>
      <c r="E244" s="241"/>
      <c r="F244" s="241"/>
      <c r="G244" s="241"/>
      <c r="H244" s="241"/>
      <c r="I244" s="242"/>
      <c r="J244" s="241"/>
      <c r="K244" s="241"/>
      <c r="L244" s="241"/>
      <c r="M244" s="241"/>
      <c r="N244" s="242"/>
      <c r="O244" s="242"/>
      <c r="P244" s="242"/>
      <c r="Q244" s="242"/>
      <c r="R244" s="241"/>
      <c r="S244" s="241"/>
      <c r="T244" s="241"/>
      <c r="U244" s="241"/>
      <c r="V244" s="241"/>
      <c r="W244" s="241"/>
      <c r="X244" s="241"/>
      <c r="Z244" s="184"/>
      <c r="AA244" s="184"/>
      <c r="AJ244" s="185"/>
      <c r="DH244" s="241"/>
      <c r="DT244" s="241"/>
      <c r="DU244" s="395"/>
      <c r="DV244" s="395"/>
      <c r="DW244" s="395"/>
      <c r="DX244" s="395"/>
      <c r="DY244" s="395"/>
      <c r="DZ244" s="395"/>
      <c r="EA244" s="395"/>
      <c r="EB244" s="392"/>
      <c r="EC244" s="392"/>
      <c r="ED244" s="392"/>
      <c r="EE244" s="392"/>
      <c r="EF244" s="392"/>
      <c r="EG244" s="392"/>
      <c r="EH244" s="392"/>
      <c r="EI244" s="392"/>
      <c r="EJ244" s="392"/>
      <c r="EK244" s="392"/>
      <c r="EL244" s="392"/>
      <c r="FB244" s="241"/>
    </row>
    <row r="245" spans="3:158" s="182" customFormat="1" x14ac:dyDescent="0.25">
      <c r="C245" s="395"/>
      <c r="D245" s="241"/>
      <c r="E245" s="241"/>
      <c r="F245" s="241"/>
      <c r="G245" s="241"/>
      <c r="H245" s="241"/>
      <c r="I245" s="242"/>
      <c r="J245" s="241"/>
      <c r="K245" s="241"/>
      <c r="L245" s="241"/>
      <c r="M245" s="241"/>
      <c r="N245" s="242"/>
      <c r="O245" s="242"/>
      <c r="P245" s="242"/>
      <c r="Q245" s="242"/>
      <c r="R245" s="241"/>
      <c r="S245" s="241"/>
      <c r="T245" s="241"/>
      <c r="U245" s="241"/>
      <c r="V245" s="241"/>
      <c r="W245" s="241"/>
      <c r="X245" s="241"/>
      <c r="Z245" s="184"/>
      <c r="AA245" s="184"/>
      <c r="AJ245" s="185"/>
      <c r="DH245" s="241"/>
      <c r="DT245" s="241"/>
      <c r="DU245" s="395"/>
      <c r="DV245" s="395"/>
      <c r="DW245" s="395"/>
      <c r="DX245" s="395"/>
      <c r="DY245" s="395"/>
      <c r="DZ245" s="395"/>
      <c r="EA245" s="395"/>
      <c r="EB245" s="392"/>
      <c r="EC245" s="392"/>
      <c r="ED245" s="392"/>
      <c r="EE245" s="392"/>
      <c r="EF245" s="392"/>
      <c r="EG245" s="392"/>
      <c r="EH245" s="392"/>
      <c r="EI245" s="392"/>
      <c r="EJ245" s="392"/>
      <c r="EK245" s="392"/>
      <c r="EL245" s="392"/>
      <c r="FB245" s="241"/>
    </row>
    <row r="246" spans="3:158" s="182" customFormat="1" x14ac:dyDescent="0.25">
      <c r="C246" s="395"/>
      <c r="D246" s="241"/>
      <c r="E246" s="241"/>
      <c r="F246" s="241"/>
      <c r="G246" s="241"/>
      <c r="H246" s="241"/>
      <c r="I246" s="242"/>
      <c r="J246" s="241"/>
      <c r="K246" s="241"/>
      <c r="L246" s="241"/>
      <c r="M246" s="241"/>
      <c r="N246" s="242"/>
      <c r="O246" s="242"/>
      <c r="P246" s="242"/>
      <c r="Q246" s="242"/>
      <c r="R246" s="241"/>
      <c r="S246" s="241"/>
      <c r="T246" s="241"/>
      <c r="U246" s="241"/>
      <c r="V246" s="241"/>
      <c r="W246" s="241"/>
      <c r="X246" s="241"/>
      <c r="Z246" s="184"/>
      <c r="AA246" s="184"/>
      <c r="AJ246" s="185"/>
      <c r="DH246" s="241"/>
      <c r="DT246" s="241"/>
      <c r="DU246" s="395"/>
      <c r="DV246" s="395"/>
      <c r="DW246" s="395"/>
      <c r="DX246" s="395"/>
      <c r="DY246" s="395"/>
      <c r="DZ246" s="395"/>
      <c r="EA246" s="395"/>
      <c r="EB246" s="392"/>
      <c r="EC246" s="392"/>
      <c r="ED246" s="392"/>
      <c r="EE246" s="392"/>
      <c r="EF246" s="392"/>
      <c r="EG246" s="392"/>
      <c r="EH246" s="392"/>
      <c r="EI246" s="392"/>
      <c r="EJ246" s="392"/>
      <c r="EK246" s="392"/>
      <c r="EL246" s="392"/>
      <c r="FB246" s="241"/>
    </row>
    <row r="247" spans="3:158" s="182" customFormat="1" x14ac:dyDescent="0.25">
      <c r="C247" s="395"/>
      <c r="D247" s="241"/>
      <c r="E247" s="241"/>
      <c r="F247" s="241"/>
      <c r="G247" s="241"/>
      <c r="H247" s="241"/>
      <c r="I247" s="242"/>
      <c r="J247" s="241"/>
      <c r="K247" s="241"/>
      <c r="L247" s="241"/>
      <c r="M247" s="241"/>
      <c r="N247" s="242"/>
      <c r="O247" s="242"/>
      <c r="P247" s="242"/>
      <c r="Q247" s="242"/>
      <c r="R247" s="241"/>
      <c r="S247" s="241"/>
      <c r="T247" s="241"/>
      <c r="U247" s="241"/>
      <c r="V247" s="241"/>
      <c r="W247" s="241"/>
      <c r="X247" s="241"/>
      <c r="Y247" s="241"/>
      <c r="Z247" s="242"/>
      <c r="AA247" s="242"/>
      <c r="AB247" s="241"/>
      <c r="AC247" s="241"/>
      <c r="AD247" s="241"/>
      <c r="AE247" s="241"/>
      <c r="AF247" s="241"/>
      <c r="AG247" s="241"/>
      <c r="AH247" s="241"/>
      <c r="AI247" s="241"/>
      <c r="AJ247" s="274"/>
      <c r="AK247" s="241"/>
      <c r="AL247" s="241"/>
      <c r="AM247" s="241"/>
      <c r="AN247" s="241"/>
      <c r="AO247" s="241"/>
      <c r="AP247" s="241"/>
      <c r="AQ247" s="241"/>
      <c r="AR247" s="241"/>
      <c r="AS247" s="241"/>
      <c r="AT247" s="241"/>
      <c r="AU247" s="241"/>
      <c r="AV247" s="241"/>
      <c r="AW247" s="241"/>
      <c r="AX247" s="241"/>
      <c r="AY247" s="241"/>
      <c r="AZ247" s="241"/>
      <c r="BA247" s="241"/>
      <c r="BB247" s="241"/>
      <c r="BC247" s="241"/>
      <c r="BD247" s="241"/>
      <c r="BE247" s="241"/>
      <c r="BF247" s="241"/>
      <c r="BG247" s="241"/>
      <c r="BH247" s="241"/>
      <c r="BI247" s="241"/>
      <c r="BJ247" s="241"/>
      <c r="BK247" s="241"/>
      <c r="BL247" s="241"/>
      <c r="BM247" s="241"/>
      <c r="BN247" s="241"/>
      <c r="BO247" s="241"/>
      <c r="BP247" s="241"/>
      <c r="BQ247" s="241"/>
      <c r="BR247" s="241"/>
      <c r="BS247" s="241"/>
      <c r="BT247" s="241"/>
      <c r="BU247" s="241"/>
      <c r="BV247" s="241"/>
      <c r="BW247" s="241"/>
      <c r="BX247" s="241"/>
      <c r="BY247" s="241"/>
      <c r="BZ247" s="241"/>
      <c r="CA247" s="241"/>
      <c r="CB247" s="241"/>
      <c r="CC247" s="241"/>
      <c r="CD247" s="241"/>
      <c r="CE247" s="241"/>
      <c r="CF247" s="241"/>
      <c r="CG247" s="241"/>
      <c r="CH247" s="241"/>
      <c r="CI247" s="241"/>
      <c r="CJ247" s="241"/>
      <c r="CK247" s="241"/>
      <c r="CL247" s="241"/>
      <c r="CM247" s="241"/>
      <c r="CN247" s="241"/>
      <c r="CO247" s="241"/>
      <c r="CP247" s="241"/>
      <c r="CQ247" s="241"/>
      <c r="CR247" s="241"/>
      <c r="CS247" s="241"/>
      <c r="CT247" s="241"/>
      <c r="CU247" s="241"/>
      <c r="CV247" s="241"/>
      <c r="CW247" s="241"/>
      <c r="CX247" s="241"/>
      <c r="CY247" s="241"/>
      <c r="CZ247" s="241"/>
      <c r="DA247" s="241"/>
      <c r="DB247" s="241"/>
      <c r="DC247" s="241"/>
      <c r="DD247" s="241"/>
      <c r="DE247" s="241"/>
      <c r="DF247" s="241"/>
      <c r="DG247" s="241"/>
      <c r="DH247" s="241"/>
      <c r="DT247" s="241"/>
      <c r="DU247" s="395"/>
      <c r="DV247" s="395"/>
      <c r="DW247" s="395"/>
      <c r="DX247" s="395"/>
      <c r="DY247" s="395"/>
      <c r="DZ247" s="395"/>
      <c r="EA247" s="395"/>
      <c r="EB247" s="392"/>
      <c r="EC247" s="392"/>
      <c r="ED247" s="392"/>
      <c r="EE247" s="392"/>
      <c r="EF247" s="392"/>
      <c r="EG247" s="392"/>
      <c r="EH247" s="392"/>
      <c r="EI247" s="392"/>
      <c r="EJ247" s="392"/>
      <c r="EK247" s="392"/>
      <c r="EL247" s="392"/>
      <c r="FB247" s="241"/>
    </row>
    <row r="248" spans="3:158" s="182" customFormat="1" x14ac:dyDescent="0.25">
      <c r="C248" s="395"/>
      <c r="D248" s="241"/>
      <c r="E248" s="241"/>
      <c r="F248" s="241"/>
      <c r="G248" s="241"/>
      <c r="H248" s="241"/>
      <c r="I248" s="242"/>
      <c r="J248" s="241"/>
      <c r="K248" s="241"/>
      <c r="L248" s="241"/>
      <c r="M248" s="241"/>
      <c r="N248" s="242"/>
      <c r="O248" s="242"/>
      <c r="P248" s="242"/>
      <c r="Q248" s="242"/>
      <c r="R248" s="241"/>
      <c r="S248" s="241"/>
      <c r="T248" s="241"/>
      <c r="U248" s="241"/>
      <c r="V248" s="241"/>
      <c r="W248" s="241"/>
      <c r="X248" s="241"/>
      <c r="Y248" s="241"/>
      <c r="Z248" s="242"/>
      <c r="AA248" s="242"/>
      <c r="AB248" s="241"/>
      <c r="AC248" s="241"/>
      <c r="AD248" s="241"/>
      <c r="AE248" s="241"/>
      <c r="AF248" s="241"/>
      <c r="AG248" s="241"/>
      <c r="AH248" s="241"/>
      <c r="AI248" s="241"/>
      <c r="AJ248" s="274"/>
      <c r="AK248" s="241"/>
      <c r="AL248" s="241"/>
      <c r="AM248" s="241"/>
      <c r="AN248" s="241"/>
      <c r="AO248" s="241"/>
      <c r="AP248" s="241"/>
      <c r="AQ248" s="241"/>
      <c r="AR248" s="241"/>
      <c r="AS248" s="241"/>
      <c r="AT248" s="241"/>
      <c r="AU248" s="241"/>
      <c r="AV248" s="241"/>
      <c r="AW248" s="241"/>
      <c r="AX248" s="241"/>
      <c r="AY248" s="241"/>
      <c r="AZ248" s="241"/>
      <c r="BA248" s="241"/>
      <c r="BB248" s="241"/>
      <c r="BC248" s="241"/>
      <c r="BD248" s="241"/>
      <c r="BE248" s="241"/>
      <c r="BF248" s="241"/>
      <c r="BG248" s="241"/>
      <c r="BH248" s="241"/>
      <c r="BI248" s="241"/>
      <c r="BJ248" s="241"/>
      <c r="BK248" s="241"/>
      <c r="BL248" s="241"/>
      <c r="BM248" s="241"/>
      <c r="BN248" s="241"/>
      <c r="BO248" s="241"/>
      <c r="BP248" s="241"/>
      <c r="BQ248" s="241"/>
      <c r="BR248" s="241"/>
      <c r="BS248" s="241"/>
      <c r="BT248" s="241"/>
      <c r="BU248" s="241"/>
      <c r="BV248" s="241"/>
      <c r="BW248" s="241"/>
      <c r="BX248" s="241"/>
      <c r="BY248" s="241"/>
      <c r="BZ248" s="241"/>
      <c r="CA248" s="241"/>
      <c r="CB248" s="241"/>
      <c r="CC248" s="241"/>
      <c r="CD248" s="241"/>
      <c r="CE248" s="241"/>
      <c r="CF248" s="241"/>
      <c r="CG248" s="241"/>
      <c r="CH248" s="241"/>
      <c r="CI248" s="241"/>
      <c r="CJ248" s="241"/>
      <c r="CK248" s="241"/>
      <c r="CL248" s="241"/>
      <c r="CM248" s="241"/>
      <c r="CN248" s="241"/>
      <c r="CO248" s="241"/>
      <c r="CP248" s="241"/>
      <c r="CQ248" s="241"/>
      <c r="CR248" s="241"/>
      <c r="CS248" s="241"/>
      <c r="CT248" s="241"/>
      <c r="CU248" s="241"/>
      <c r="CV248" s="241"/>
      <c r="CW248" s="241"/>
      <c r="CX248" s="241"/>
      <c r="CY248" s="241"/>
      <c r="CZ248" s="241"/>
      <c r="DA248" s="241"/>
      <c r="DB248" s="241"/>
      <c r="DC248" s="241"/>
      <c r="DD248" s="241"/>
      <c r="DE248" s="241"/>
      <c r="DF248" s="241"/>
      <c r="DG248" s="241"/>
      <c r="DH248" s="241"/>
      <c r="DT248" s="241"/>
      <c r="DU248" s="395"/>
      <c r="DV248" s="395"/>
      <c r="DW248" s="395"/>
      <c r="DX248" s="395"/>
      <c r="DY248" s="395"/>
      <c r="DZ248" s="395"/>
      <c r="EA248" s="395"/>
      <c r="EB248" s="392"/>
      <c r="EC248" s="392"/>
      <c r="ED248" s="392"/>
      <c r="EE248" s="392"/>
      <c r="EF248" s="392"/>
      <c r="EG248" s="392"/>
      <c r="EH248" s="392"/>
      <c r="EI248" s="392"/>
      <c r="EJ248" s="392"/>
      <c r="EK248" s="392"/>
      <c r="EL248" s="392"/>
      <c r="FB248" s="241"/>
    </row>
    <row r="249" spans="3:158" s="182" customFormat="1" ht="8.25" customHeight="1" x14ac:dyDescent="0.25">
      <c r="C249" s="395"/>
      <c r="D249" s="241"/>
      <c r="E249" s="241"/>
      <c r="F249" s="241"/>
      <c r="G249" s="241"/>
      <c r="H249" s="241"/>
      <c r="I249" s="242"/>
      <c r="J249" s="241"/>
      <c r="K249" s="241"/>
      <c r="L249" s="241"/>
      <c r="M249" s="241"/>
      <c r="N249" s="242"/>
      <c r="O249" s="242"/>
      <c r="P249" s="242"/>
      <c r="Q249" s="242"/>
      <c r="R249" s="241"/>
      <c r="S249" s="241"/>
      <c r="T249" s="241"/>
      <c r="U249" s="241"/>
      <c r="V249" s="241"/>
      <c r="W249" s="241"/>
      <c r="X249" s="241"/>
      <c r="Y249" s="241"/>
      <c r="Z249" s="242"/>
      <c r="AA249" s="242"/>
      <c r="AB249" s="241"/>
      <c r="AC249" s="241"/>
      <c r="AD249" s="241"/>
      <c r="AE249" s="241"/>
      <c r="AF249" s="241"/>
      <c r="AG249" s="241"/>
      <c r="AH249" s="241"/>
      <c r="AI249" s="241"/>
      <c r="AJ249" s="274"/>
      <c r="AK249" s="241"/>
      <c r="AL249" s="241"/>
      <c r="AM249" s="241"/>
      <c r="AN249" s="241"/>
      <c r="AO249" s="241"/>
      <c r="AP249" s="241"/>
      <c r="AQ249" s="241"/>
      <c r="AR249" s="241"/>
      <c r="AS249" s="241"/>
      <c r="AT249" s="241"/>
      <c r="AU249" s="241"/>
      <c r="AV249" s="241"/>
      <c r="AW249" s="241"/>
      <c r="AX249" s="241"/>
      <c r="AY249" s="241"/>
      <c r="AZ249" s="241"/>
      <c r="BA249" s="241"/>
      <c r="BB249" s="241"/>
      <c r="BC249" s="241"/>
      <c r="BD249" s="241"/>
      <c r="BE249" s="241"/>
      <c r="BF249" s="241"/>
      <c r="BG249" s="241"/>
      <c r="BH249" s="241"/>
      <c r="BI249" s="241"/>
      <c r="BJ249" s="241"/>
      <c r="BK249" s="241"/>
      <c r="BL249" s="241"/>
      <c r="BM249" s="241"/>
      <c r="BN249" s="241"/>
      <c r="BO249" s="241"/>
      <c r="BP249" s="241"/>
      <c r="BQ249" s="241"/>
      <c r="BR249" s="241"/>
      <c r="BS249" s="241"/>
      <c r="BT249" s="241"/>
      <c r="BU249" s="241"/>
      <c r="BV249" s="241"/>
      <c r="BW249" s="241"/>
      <c r="BX249" s="241"/>
      <c r="BY249" s="241"/>
      <c r="BZ249" s="241"/>
      <c r="CA249" s="241"/>
      <c r="CB249" s="241"/>
      <c r="CC249" s="241"/>
      <c r="CD249" s="241"/>
      <c r="CE249" s="241"/>
      <c r="CF249" s="241"/>
      <c r="CG249" s="241"/>
      <c r="CH249" s="241"/>
      <c r="CI249" s="241"/>
      <c r="CJ249" s="241"/>
      <c r="CK249" s="241"/>
      <c r="CL249" s="241"/>
      <c r="CM249" s="241"/>
      <c r="CN249" s="241"/>
      <c r="CO249" s="241"/>
      <c r="CP249" s="241"/>
      <c r="CQ249" s="241"/>
      <c r="CR249" s="241"/>
      <c r="CS249" s="241"/>
      <c r="CT249" s="241"/>
      <c r="CU249" s="241"/>
      <c r="CV249" s="241"/>
      <c r="CW249" s="241"/>
      <c r="CX249" s="241"/>
      <c r="CY249" s="241"/>
      <c r="CZ249" s="241"/>
      <c r="DA249" s="241"/>
      <c r="DB249" s="241"/>
      <c r="DC249" s="241"/>
      <c r="DD249" s="241"/>
      <c r="DE249" s="241"/>
      <c r="DF249" s="241"/>
      <c r="DG249" s="241"/>
      <c r="DH249" s="241"/>
      <c r="DT249" s="241"/>
      <c r="DU249" s="395"/>
      <c r="DV249" s="395"/>
      <c r="DW249" s="395"/>
      <c r="DX249" s="395"/>
      <c r="DY249" s="395"/>
      <c r="DZ249" s="395"/>
      <c r="EA249" s="395"/>
      <c r="EB249" s="392"/>
      <c r="EC249" s="392"/>
      <c r="ED249" s="392"/>
      <c r="EE249" s="392"/>
      <c r="EF249" s="392"/>
      <c r="EG249" s="392"/>
      <c r="EH249" s="392"/>
      <c r="EI249" s="392"/>
      <c r="EJ249" s="392"/>
      <c r="EK249" s="392"/>
      <c r="EL249" s="392"/>
      <c r="FB249" s="241"/>
    </row>
    <row r="250" spans="3:158" s="182" customFormat="1" x14ac:dyDescent="0.25">
      <c r="C250" s="395"/>
      <c r="D250" s="241"/>
      <c r="E250" s="241"/>
      <c r="F250" s="241"/>
      <c r="G250" s="241"/>
      <c r="H250" s="241"/>
      <c r="I250" s="242"/>
      <c r="J250" s="241"/>
      <c r="K250" s="241"/>
      <c r="L250" s="241"/>
      <c r="M250" s="241"/>
      <c r="N250" s="242"/>
      <c r="O250" s="242"/>
      <c r="P250" s="242"/>
      <c r="Q250" s="242"/>
      <c r="R250" s="241"/>
      <c r="S250" s="241"/>
      <c r="T250" s="241"/>
      <c r="U250" s="241"/>
      <c r="V250" s="241"/>
      <c r="W250" s="241"/>
      <c r="X250" s="241"/>
      <c r="Y250" s="241"/>
      <c r="Z250" s="242"/>
      <c r="AA250" s="242"/>
      <c r="AB250" s="241"/>
      <c r="AC250" s="241"/>
      <c r="AD250" s="241"/>
      <c r="AE250" s="241"/>
      <c r="AF250" s="241"/>
      <c r="AG250" s="241"/>
      <c r="AH250" s="241"/>
      <c r="AI250" s="241"/>
      <c r="AJ250" s="274"/>
      <c r="AK250" s="241"/>
      <c r="AL250" s="241"/>
      <c r="AM250" s="241"/>
      <c r="AN250" s="241"/>
      <c r="AO250" s="241"/>
      <c r="AP250" s="241"/>
      <c r="AQ250" s="241"/>
      <c r="AR250" s="241"/>
      <c r="AS250" s="241"/>
      <c r="AT250" s="241"/>
      <c r="AU250" s="241"/>
      <c r="AV250" s="241"/>
      <c r="AW250" s="241"/>
      <c r="AX250" s="241"/>
      <c r="AY250" s="241"/>
      <c r="AZ250" s="241"/>
      <c r="BA250" s="241"/>
      <c r="BB250" s="241"/>
      <c r="BC250" s="241"/>
      <c r="BD250" s="241"/>
      <c r="BE250" s="241"/>
      <c r="BF250" s="241"/>
      <c r="BG250" s="241"/>
      <c r="BH250" s="241"/>
      <c r="BI250" s="241"/>
      <c r="BJ250" s="241"/>
      <c r="BK250" s="241"/>
      <c r="BL250" s="241"/>
      <c r="BM250" s="241"/>
      <c r="BN250" s="241"/>
      <c r="BO250" s="241"/>
      <c r="BP250" s="241"/>
      <c r="BQ250" s="241"/>
      <c r="BR250" s="241"/>
      <c r="BS250" s="241"/>
      <c r="BT250" s="241"/>
      <c r="BU250" s="241"/>
      <c r="BV250" s="241"/>
      <c r="BW250" s="241"/>
      <c r="BX250" s="241"/>
      <c r="BY250" s="241"/>
      <c r="BZ250" s="241"/>
      <c r="CA250" s="241"/>
      <c r="CB250" s="241"/>
      <c r="CC250" s="241"/>
      <c r="CD250" s="241"/>
      <c r="CE250" s="241"/>
      <c r="CF250" s="241"/>
      <c r="CG250" s="241"/>
      <c r="CH250" s="241"/>
      <c r="CI250" s="241"/>
      <c r="CJ250" s="241"/>
      <c r="CK250" s="241"/>
      <c r="CL250" s="241"/>
      <c r="CM250" s="241"/>
      <c r="CN250" s="241"/>
      <c r="CO250" s="241"/>
      <c r="CP250" s="241"/>
      <c r="CQ250" s="241"/>
      <c r="CR250" s="241"/>
      <c r="CS250" s="241"/>
      <c r="CT250" s="241"/>
      <c r="CU250" s="241"/>
      <c r="CV250" s="241"/>
      <c r="CW250" s="241"/>
      <c r="CX250" s="241"/>
      <c r="CY250" s="241"/>
      <c r="CZ250" s="241"/>
      <c r="DA250" s="241"/>
      <c r="DB250" s="241"/>
      <c r="DC250" s="241"/>
      <c r="DD250" s="241"/>
      <c r="DE250" s="241"/>
      <c r="DF250" s="241"/>
      <c r="DG250" s="241"/>
      <c r="DH250" s="241"/>
      <c r="DT250" s="241"/>
      <c r="DU250" s="395"/>
      <c r="DV250" s="395"/>
      <c r="DW250" s="395"/>
      <c r="DX250" s="395"/>
      <c r="DY250" s="395"/>
      <c r="DZ250" s="395"/>
      <c r="EA250" s="395"/>
      <c r="EB250" s="392"/>
      <c r="EC250" s="392"/>
      <c r="ED250" s="392"/>
      <c r="EE250" s="392"/>
      <c r="EF250" s="392"/>
      <c r="EG250" s="392"/>
      <c r="EH250" s="392"/>
      <c r="EI250" s="392"/>
      <c r="EJ250" s="392"/>
      <c r="EK250" s="392"/>
      <c r="EL250" s="392"/>
      <c r="FB250" s="241"/>
    </row>
    <row r="251" spans="3:158" s="182" customFormat="1" ht="8.25" customHeight="1" x14ac:dyDescent="0.25">
      <c r="C251" s="395"/>
      <c r="D251" s="241"/>
      <c r="E251" s="241"/>
      <c r="F251" s="241"/>
      <c r="G251" s="241"/>
      <c r="H251" s="241"/>
      <c r="I251" s="242"/>
      <c r="J251" s="241"/>
      <c r="K251" s="241"/>
      <c r="L251" s="241"/>
      <c r="M251" s="241"/>
      <c r="N251" s="242"/>
      <c r="O251" s="242"/>
      <c r="P251" s="242"/>
      <c r="Q251" s="242"/>
      <c r="R251" s="241"/>
      <c r="S251" s="241"/>
      <c r="T251" s="241"/>
      <c r="U251" s="241"/>
      <c r="V251" s="241"/>
      <c r="W251" s="241"/>
      <c r="X251" s="241"/>
      <c r="Y251" s="241"/>
      <c r="Z251" s="242"/>
      <c r="AA251" s="242"/>
      <c r="AB251" s="241"/>
      <c r="AC251" s="241"/>
      <c r="AD251" s="241"/>
      <c r="AE251" s="241"/>
      <c r="AF251" s="241"/>
      <c r="AG251" s="241"/>
      <c r="AH251" s="241"/>
      <c r="AI251" s="241"/>
      <c r="AJ251" s="274"/>
      <c r="AK251" s="241"/>
      <c r="AL251" s="241"/>
      <c r="AM251" s="241"/>
      <c r="AN251" s="241"/>
      <c r="AO251" s="241"/>
      <c r="AP251" s="241"/>
      <c r="AQ251" s="241"/>
      <c r="AR251" s="241"/>
      <c r="AS251" s="241"/>
      <c r="AT251" s="241"/>
      <c r="AU251" s="241"/>
      <c r="AV251" s="241"/>
      <c r="AW251" s="241"/>
      <c r="AX251" s="241"/>
      <c r="AY251" s="241"/>
      <c r="AZ251" s="241"/>
      <c r="BA251" s="241"/>
      <c r="BB251" s="241"/>
      <c r="BC251" s="241"/>
      <c r="BD251" s="241"/>
      <c r="BE251" s="241"/>
      <c r="BF251" s="241"/>
      <c r="BG251" s="241"/>
      <c r="BH251" s="241"/>
      <c r="BI251" s="241"/>
      <c r="BJ251" s="241"/>
      <c r="BK251" s="241"/>
      <c r="BL251" s="241"/>
      <c r="BM251" s="241"/>
      <c r="BN251" s="241"/>
      <c r="BO251" s="241"/>
      <c r="BP251" s="241"/>
      <c r="BQ251" s="241"/>
      <c r="BR251" s="241"/>
      <c r="BS251" s="241"/>
      <c r="BT251" s="241"/>
      <c r="BU251" s="241"/>
      <c r="BV251" s="241"/>
      <c r="BW251" s="241"/>
      <c r="BX251" s="241"/>
      <c r="BY251" s="241"/>
      <c r="BZ251" s="241"/>
      <c r="CA251" s="241"/>
      <c r="CB251" s="241"/>
      <c r="CC251" s="241"/>
      <c r="CD251" s="241"/>
      <c r="CE251" s="241"/>
      <c r="CF251" s="241"/>
      <c r="CG251" s="241"/>
      <c r="CH251" s="241"/>
      <c r="CI251" s="241"/>
      <c r="CJ251" s="241"/>
      <c r="CK251" s="241"/>
      <c r="CL251" s="241"/>
      <c r="CM251" s="241"/>
      <c r="CN251" s="241"/>
      <c r="CO251" s="241"/>
      <c r="CP251" s="241"/>
      <c r="CQ251" s="241"/>
      <c r="CR251" s="241"/>
      <c r="CS251" s="241"/>
      <c r="CT251" s="241"/>
      <c r="CU251" s="241"/>
      <c r="CV251" s="241"/>
      <c r="CW251" s="241"/>
      <c r="CX251" s="241"/>
      <c r="CY251" s="241"/>
      <c r="CZ251" s="241"/>
      <c r="DA251" s="241"/>
      <c r="DB251" s="241"/>
      <c r="DC251" s="241"/>
      <c r="DD251" s="241"/>
      <c r="DE251" s="241"/>
      <c r="DF251" s="241"/>
      <c r="DG251" s="241"/>
      <c r="DH251" s="241"/>
      <c r="DT251" s="241"/>
      <c r="DU251" s="395"/>
      <c r="DV251" s="395"/>
      <c r="DW251" s="395"/>
      <c r="DX251" s="395"/>
      <c r="DY251" s="395"/>
      <c r="DZ251" s="395"/>
      <c r="EA251" s="395"/>
      <c r="EB251" s="392"/>
      <c r="EC251" s="392"/>
      <c r="ED251" s="392"/>
      <c r="EE251" s="392"/>
      <c r="EF251" s="392"/>
      <c r="EG251" s="392"/>
      <c r="EH251" s="392"/>
      <c r="EI251" s="392"/>
      <c r="EJ251" s="392"/>
      <c r="EK251" s="392"/>
      <c r="EL251" s="392"/>
      <c r="FB251" s="241"/>
    </row>
    <row r="252" spans="3:158" s="182" customFormat="1" x14ac:dyDescent="0.25">
      <c r="C252" s="395"/>
      <c r="D252" s="241"/>
      <c r="E252" s="241"/>
      <c r="F252" s="241"/>
      <c r="G252" s="241"/>
      <c r="H252" s="241"/>
      <c r="I252" s="242"/>
      <c r="J252" s="241"/>
      <c r="K252" s="241"/>
      <c r="L252" s="241"/>
      <c r="M252" s="241"/>
      <c r="N252" s="242"/>
      <c r="O252" s="242"/>
      <c r="P252" s="242"/>
      <c r="Q252" s="242"/>
      <c r="R252" s="241"/>
      <c r="S252" s="241"/>
      <c r="T252" s="241"/>
      <c r="U252" s="241"/>
      <c r="V252" s="241"/>
      <c r="W252" s="241"/>
      <c r="X252" s="241"/>
      <c r="Y252" s="241"/>
      <c r="Z252" s="242"/>
      <c r="AA252" s="242"/>
      <c r="AB252" s="241"/>
      <c r="AC252" s="241"/>
      <c r="AD252" s="241"/>
      <c r="AE252" s="241"/>
      <c r="AF252" s="241"/>
      <c r="AG252" s="241"/>
      <c r="AH252" s="241"/>
      <c r="AI252" s="241"/>
      <c r="AJ252" s="274"/>
      <c r="AK252" s="241"/>
      <c r="AL252" s="241"/>
      <c r="AM252" s="241"/>
      <c r="AN252" s="241"/>
      <c r="AO252" s="241"/>
      <c r="AP252" s="241"/>
      <c r="AQ252" s="241"/>
      <c r="AR252" s="241"/>
      <c r="AS252" s="241"/>
      <c r="AT252" s="241"/>
      <c r="AU252" s="241"/>
      <c r="AV252" s="241"/>
      <c r="AW252" s="241"/>
      <c r="AX252" s="241"/>
      <c r="AY252" s="241"/>
      <c r="AZ252" s="241"/>
      <c r="BA252" s="241"/>
      <c r="BB252" s="241"/>
      <c r="BC252" s="241"/>
      <c r="BD252" s="241"/>
      <c r="BE252" s="241"/>
      <c r="BF252" s="241"/>
      <c r="BG252" s="241"/>
      <c r="BH252" s="241"/>
      <c r="BI252" s="241"/>
      <c r="BJ252" s="241"/>
      <c r="BK252" s="241"/>
      <c r="BL252" s="241"/>
      <c r="BM252" s="241"/>
      <c r="BN252" s="241"/>
      <c r="BO252" s="241"/>
      <c r="BP252" s="241"/>
      <c r="BQ252" s="241"/>
      <c r="BR252" s="241"/>
      <c r="BS252" s="241"/>
      <c r="BT252" s="241"/>
      <c r="BU252" s="241"/>
      <c r="BV252" s="241"/>
      <c r="BW252" s="241"/>
      <c r="BX252" s="241"/>
      <c r="BY252" s="241"/>
      <c r="BZ252" s="241"/>
      <c r="CA252" s="241"/>
      <c r="CB252" s="241"/>
      <c r="CC252" s="241"/>
      <c r="CD252" s="241"/>
      <c r="CE252" s="241"/>
      <c r="CF252" s="241"/>
      <c r="CG252" s="241"/>
      <c r="CH252" s="241"/>
      <c r="CI252" s="241"/>
      <c r="CJ252" s="241"/>
      <c r="CK252" s="241"/>
      <c r="CL252" s="241"/>
      <c r="CM252" s="241"/>
      <c r="CN252" s="241"/>
      <c r="CO252" s="241"/>
      <c r="CP252" s="241"/>
      <c r="CQ252" s="241"/>
      <c r="CR252" s="241"/>
      <c r="CS252" s="241"/>
      <c r="CT252" s="241"/>
      <c r="CU252" s="241"/>
      <c r="CV252" s="241"/>
      <c r="CW252" s="241"/>
      <c r="CX252" s="241"/>
      <c r="CY252" s="241"/>
      <c r="CZ252" s="241"/>
      <c r="DA252" s="241"/>
      <c r="DB252" s="241"/>
      <c r="DC252" s="241"/>
      <c r="DD252" s="241"/>
      <c r="DE252" s="241"/>
      <c r="DF252" s="241"/>
      <c r="DG252" s="241"/>
      <c r="DH252" s="241"/>
      <c r="DT252" s="241"/>
      <c r="DU252" s="395"/>
      <c r="DV252" s="395"/>
      <c r="DW252" s="395"/>
      <c r="DX252" s="395"/>
      <c r="DY252" s="395"/>
      <c r="DZ252" s="395"/>
      <c r="EA252" s="395"/>
      <c r="EB252" s="392"/>
      <c r="EC252" s="392"/>
      <c r="ED252" s="392"/>
      <c r="EE252" s="392"/>
      <c r="EF252" s="392"/>
      <c r="EG252" s="392"/>
      <c r="EH252" s="392"/>
      <c r="EI252" s="392"/>
      <c r="EJ252" s="392"/>
      <c r="EK252" s="392"/>
      <c r="EL252" s="392"/>
      <c r="FB252" s="241"/>
    </row>
    <row r="253" spans="3:158" s="182" customFormat="1" ht="4.5" customHeight="1" x14ac:dyDescent="0.25">
      <c r="C253" s="395"/>
      <c r="D253" s="241"/>
      <c r="E253" s="241"/>
      <c r="F253" s="241"/>
      <c r="G253" s="241"/>
      <c r="H253" s="241"/>
      <c r="I253" s="242"/>
      <c r="J253" s="241"/>
      <c r="K253" s="241"/>
      <c r="L253" s="241"/>
      <c r="M253" s="241"/>
      <c r="N253" s="242"/>
      <c r="O253" s="242"/>
      <c r="P253" s="242"/>
      <c r="Q253" s="242"/>
      <c r="R253" s="241"/>
      <c r="S253" s="241"/>
      <c r="T253" s="241"/>
      <c r="U253" s="241"/>
      <c r="V253" s="241"/>
      <c r="W253" s="241"/>
      <c r="X253" s="241"/>
      <c r="Y253" s="241"/>
      <c r="Z253" s="242"/>
      <c r="AA253" s="242"/>
      <c r="AB253" s="241"/>
      <c r="AC253" s="241"/>
      <c r="AD253" s="241"/>
      <c r="AE253" s="241"/>
      <c r="AF253" s="241"/>
      <c r="AG253" s="241"/>
      <c r="AH253" s="241"/>
      <c r="AI253" s="241"/>
      <c r="AJ253" s="274"/>
      <c r="AK253" s="241"/>
      <c r="AL253" s="241"/>
      <c r="AM253" s="241"/>
      <c r="AN253" s="241"/>
      <c r="AO253" s="241"/>
      <c r="AP253" s="241"/>
      <c r="AQ253" s="241"/>
      <c r="AR253" s="241"/>
      <c r="AS253" s="241"/>
      <c r="AT253" s="241"/>
      <c r="AU253" s="241"/>
      <c r="AV253" s="241"/>
      <c r="AW253" s="241"/>
      <c r="AX253" s="241"/>
      <c r="AY253" s="241"/>
      <c r="AZ253" s="241"/>
      <c r="BA253" s="241"/>
      <c r="BB253" s="241"/>
      <c r="BC253" s="241"/>
      <c r="BD253" s="241"/>
      <c r="BE253" s="241"/>
      <c r="BF253" s="241"/>
      <c r="BG253" s="241"/>
      <c r="BH253" s="241"/>
      <c r="BI253" s="241"/>
      <c r="BJ253" s="241"/>
      <c r="BK253" s="241"/>
      <c r="BL253" s="241"/>
      <c r="BM253" s="241"/>
      <c r="BN253" s="241"/>
      <c r="BO253" s="241"/>
      <c r="BP253" s="241"/>
      <c r="BQ253" s="241"/>
      <c r="BR253" s="241"/>
      <c r="BS253" s="241"/>
      <c r="BT253" s="241"/>
      <c r="BU253" s="241"/>
      <c r="BV253" s="241"/>
      <c r="BW253" s="241"/>
      <c r="BX253" s="241"/>
      <c r="BY253" s="241"/>
      <c r="BZ253" s="241"/>
      <c r="CA253" s="241"/>
      <c r="CB253" s="241"/>
      <c r="CC253" s="241"/>
      <c r="CD253" s="241"/>
      <c r="CE253" s="241"/>
      <c r="CF253" s="241"/>
      <c r="CG253" s="241"/>
      <c r="CH253" s="241"/>
      <c r="CI253" s="241"/>
      <c r="CJ253" s="241"/>
      <c r="CK253" s="241"/>
      <c r="CL253" s="241"/>
      <c r="CM253" s="241"/>
      <c r="CN253" s="241"/>
      <c r="CO253" s="241"/>
      <c r="CP253" s="241"/>
      <c r="CQ253" s="241"/>
      <c r="CR253" s="241"/>
      <c r="CS253" s="241"/>
      <c r="CT253" s="241"/>
      <c r="CU253" s="241"/>
      <c r="CV253" s="241"/>
      <c r="CW253" s="241"/>
      <c r="CX253" s="241"/>
      <c r="CY253" s="241"/>
      <c r="CZ253" s="241"/>
      <c r="DA253" s="241"/>
      <c r="DB253" s="241"/>
      <c r="DC253" s="241"/>
      <c r="DD253" s="241"/>
      <c r="DE253" s="241"/>
      <c r="DF253" s="241"/>
      <c r="DG253" s="241"/>
      <c r="DH253" s="241"/>
      <c r="DT253" s="241"/>
      <c r="DU253" s="395"/>
      <c r="DV253" s="395"/>
      <c r="DW253" s="395"/>
      <c r="DX253" s="395"/>
      <c r="DY253" s="395"/>
      <c r="DZ253" s="395"/>
      <c r="EA253" s="395"/>
      <c r="EB253" s="392"/>
      <c r="EC253" s="392"/>
      <c r="ED253" s="392"/>
      <c r="EE253" s="392"/>
      <c r="EF253" s="392"/>
      <c r="EG253" s="392"/>
      <c r="EH253" s="392"/>
      <c r="EI253" s="392"/>
      <c r="EJ253" s="392"/>
      <c r="EK253" s="392"/>
      <c r="EL253" s="392"/>
      <c r="FB253" s="241"/>
    </row>
    <row r="254" spans="3:158" s="182" customFormat="1" x14ac:dyDescent="0.25">
      <c r="C254" s="395"/>
      <c r="D254" s="241"/>
      <c r="E254" s="241"/>
      <c r="F254" s="241"/>
      <c r="G254" s="241"/>
      <c r="H254" s="241"/>
      <c r="I254" s="242"/>
      <c r="J254" s="241"/>
      <c r="K254" s="241"/>
      <c r="L254" s="241"/>
      <c r="M254" s="241"/>
      <c r="N254" s="242"/>
      <c r="O254" s="242"/>
      <c r="P254" s="242"/>
      <c r="Q254" s="242"/>
      <c r="R254" s="241"/>
      <c r="S254" s="241"/>
      <c r="T254" s="241"/>
      <c r="U254" s="241"/>
      <c r="V254" s="241"/>
      <c r="W254" s="241"/>
      <c r="X254" s="241"/>
      <c r="Y254" s="241"/>
      <c r="Z254" s="242"/>
      <c r="AA254" s="242"/>
      <c r="AB254" s="241"/>
      <c r="AC254" s="241"/>
      <c r="AD254" s="241"/>
      <c r="AE254" s="241"/>
      <c r="AF254" s="241"/>
      <c r="AG254" s="241"/>
      <c r="AH254" s="241"/>
      <c r="AI254" s="241"/>
      <c r="AJ254" s="274"/>
      <c r="AK254" s="241"/>
      <c r="AL254" s="241"/>
      <c r="AM254" s="241"/>
      <c r="AN254" s="241"/>
      <c r="AO254" s="241"/>
      <c r="AP254" s="241"/>
      <c r="AQ254" s="241"/>
      <c r="AR254" s="241"/>
      <c r="AS254" s="241"/>
      <c r="AT254" s="241"/>
      <c r="AU254" s="241"/>
      <c r="AV254" s="241"/>
      <c r="AW254" s="241"/>
      <c r="AX254" s="241"/>
      <c r="AY254" s="241"/>
      <c r="AZ254" s="241"/>
      <c r="BA254" s="241"/>
      <c r="BB254" s="241"/>
      <c r="BC254" s="241"/>
      <c r="BD254" s="241"/>
      <c r="BE254" s="241"/>
      <c r="BF254" s="241"/>
      <c r="BG254" s="241"/>
      <c r="BH254" s="241"/>
      <c r="BI254" s="241"/>
      <c r="BJ254" s="241"/>
      <c r="BK254" s="241"/>
      <c r="BL254" s="241"/>
      <c r="BM254" s="241"/>
      <c r="BN254" s="241"/>
      <c r="BO254" s="241"/>
      <c r="BP254" s="241"/>
      <c r="BQ254" s="241"/>
      <c r="BR254" s="241"/>
      <c r="BS254" s="241"/>
      <c r="BT254" s="241"/>
      <c r="BU254" s="241"/>
      <c r="BV254" s="241"/>
      <c r="BW254" s="241"/>
      <c r="BX254" s="241"/>
      <c r="BY254" s="241"/>
      <c r="BZ254" s="241"/>
      <c r="CA254" s="241"/>
      <c r="CB254" s="241"/>
      <c r="CC254" s="241"/>
      <c r="CD254" s="241"/>
      <c r="CE254" s="241"/>
      <c r="CF254" s="241"/>
      <c r="CG254" s="241"/>
      <c r="CH254" s="241"/>
      <c r="CI254" s="241"/>
      <c r="CJ254" s="241"/>
      <c r="CK254" s="241"/>
      <c r="CL254" s="241"/>
      <c r="CM254" s="241"/>
      <c r="CN254" s="241"/>
      <c r="CO254" s="241"/>
      <c r="CP254" s="241"/>
      <c r="CQ254" s="241"/>
      <c r="CR254" s="241"/>
      <c r="CS254" s="241"/>
      <c r="CT254" s="241"/>
      <c r="CU254" s="241"/>
      <c r="CV254" s="241"/>
      <c r="CW254" s="241"/>
      <c r="CX254" s="241"/>
      <c r="CY254" s="241"/>
      <c r="CZ254" s="241"/>
      <c r="DA254" s="241"/>
      <c r="DB254" s="241"/>
      <c r="DC254" s="241"/>
      <c r="DD254" s="241"/>
      <c r="DE254" s="241"/>
      <c r="DF254" s="241"/>
      <c r="DG254" s="241"/>
      <c r="DH254" s="241"/>
      <c r="DT254" s="241"/>
      <c r="DU254" s="395"/>
      <c r="DV254" s="395"/>
      <c r="DW254" s="395"/>
      <c r="DX254" s="395"/>
      <c r="DY254" s="395"/>
      <c r="DZ254" s="395"/>
      <c r="EA254" s="395"/>
      <c r="EB254" s="392"/>
      <c r="EC254" s="392"/>
      <c r="ED254" s="392"/>
      <c r="EE254" s="392"/>
      <c r="EF254" s="392"/>
      <c r="EG254" s="392"/>
      <c r="EH254" s="392"/>
      <c r="EI254" s="392"/>
      <c r="EJ254" s="392"/>
      <c r="EK254" s="392"/>
      <c r="EL254" s="392"/>
      <c r="FB254" s="241"/>
    </row>
    <row r="255" spans="3:158" s="182" customFormat="1" ht="10.5" customHeight="1" x14ac:dyDescent="0.25">
      <c r="C255" s="395"/>
      <c r="D255" s="241"/>
      <c r="E255" s="241"/>
      <c r="F255" s="241"/>
      <c r="G255" s="241"/>
      <c r="H255" s="241"/>
      <c r="I255" s="242"/>
      <c r="J255" s="241"/>
      <c r="K255" s="241"/>
      <c r="L255" s="241"/>
      <c r="M255" s="241"/>
      <c r="N255" s="242"/>
      <c r="O255" s="242"/>
      <c r="P255" s="242"/>
      <c r="Q255" s="242"/>
      <c r="R255" s="241"/>
      <c r="S255" s="241"/>
      <c r="T255" s="241"/>
      <c r="U255" s="241"/>
      <c r="V255" s="241"/>
      <c r="W255" s="241"/>
      <c r="X255" s="241"/>
      <c r="Y255" s="241"/>
      <c r="Z255" s="242"/>
      <c r="AA255" s="242"/>
      <c r="AB255" s="241"/>
      <c r="AC255" s="241"/>
      <c r="AD255" s="241"/>
      <c r="AE255" s="241"/>
      <c r="AF255" s="241"/>
      <c r="AG255" s="241"/>
      <c r="AH255" s="241"/>
      <c r="AI255" s="241"/>
      <c r="AJ255" s="274"/>
      <c r="AK255" s="241"/>
      <c r="AL255" s="241"/>
      <c r="AM255" s="241"/>
      <c r="AN255" s="241"/>
      <c r="AO255" s="241"/>
      <c r="AP255" s="241"/>
      <c r="AQ255" s="241"/>
      <c r="AR255" s="241"/>
      <c r="AS255" s="241"/>
      <c r="AT255" s="241"/>
      <c r="AU255" s="241"/>
      <c r="AV255" s="241"/>
      <c r="AW255" s="241"/>
      <c r="AX255" s="241"/>
      <c r="AY255" s="241"/>
      <c r="AZ255" s="241"/>
      <c r="BA255" s="241"/>
      <c r="BB255" s="241"/>
      <c r="BC255" s="241"/>
      <c r="BD255" s="241"/>
      <c r="BE255" s="241"/>
      <c r="BF255" s="241"/>
      <c r="BG255" s="241"/>
      <c r="BH255" s="241"/>
      <c r="BI255" s="241"/>
      <c r="BJ255" s="241"/>
      <c r="BK255" s="241"/>
      <c r="BL255" s="241"/>
      <c r="BM255" s="241"/>
      <c r="BN255" s="241"/>
      <c r="BO255" s="241"/>
      <c r="BP255" s="241"/>
      <c r="BQ255" s="241"/>
      <c r="BR255" s="241"/>
      <c r="BS255" s="241"/>
      <c r="BT255" s="241"/>
      <c r="BU255" s="241"/>
      <c r="BV255" s="241"/>
      <c r="BW255" s="241"/>
      <c r="BX255" s="241"/>
      <c r="BY255" s="241"/>
      <c r="BZ255" s="241"/>
      <c r="CA255" s="241"/>
      <c r="CB255" s="241"/>
      <c r="CC255" s="241"/>
      <c r="CD255" s="241"/>
      <c r="CE255" s="241"/>
      <c r="CF255" s="241"/>
      <c r="CG255" s="241"/>
      <c r="CH255" s="241"/>
      <c r="CI255" s="241"/>
      <c r="CJ255" s="241"/>
      <c r="CK255" s="241"/>
      <c r="CL255" s="241"/>
      <c r="CM255" s="241"/>
      <c r="CN255" s="241"/>
      <c r="CO255" s="241"/>
      <c r="CP255" s="241"/>
      <c r="CQ255" s="241"/>
      <c r="CR255" s="241"/>
      <c r="CS255" s="241"/>
      <c r="CT255" s="241"/>
      <c r="CU255" s="241"/>
      <c r="CV255" s="241"/>
      <c r="CW255" s="241"/>
      <c r="CX255" s="241"/>
      <c r="CY255" s="241"/>
      <c r="CZ255" s="241"/>
      <c r="DA255" s="241"/>
      <c r="DB255" s="241"/>
      <c r="DC255" s="241"/>
      <c r="DD255" s="241"/>
      <c r="DE255" s="241"/>
      <c r="DF255" s="241"/>
      <c r="DG255" s="241"/>
      <c r="DH255" s="241"/>
      <c r="DT255" s="241"/>
      <c r="DU255" s="395"/>
      <c r="DV255" s="395"/>
      <c r="DW255" s="395"/>
      <c r="DX255" s="395"/>
      <c r="DY255" s="395"/>
      <c r="DZ255" s="395"/>
      <c r="EA255" s="395"/>
      <c r="EB255" s="392"/>
      <c r="EC255" s="392"/>
      <c r="ED255" s="392"/>
      <c r="EE255" s="392"/>
      <c r="EF255" s="392"/>
      <c r="EG255" s="392"/>
      <c r="EH255" s="392"/>
      <c r="EI255" s="392"/>
      <c r="EJ255" s="392"/>
      <c r="EK255" s="392"/>
      <c r="EL255" s="392"/>
      <c r="FB255" s="241"/>
    </row>
    <row r="256" spans="3:158" s="182" customFormat="1" ht="6" customHeight="1" x14ac:dyDescent="0.25">
      <c r="C256" s="395"/>
      <c r="D256" s="241"/>
      <c r="E256" s="241"/>
      <c r="F256" s="241"/>
      <c r="G256" s="241"/>
      <c r="H256" s="241"/>
      <c r="I256" s="242"/>
      <c r="J256" s="241"/>
      <c r="K256" s="241"/>
      <c r="L256" s="241"/>
      <c r="M256" s="241"/>
      <c r="N256" s="242"/>
      <c r="O256" s="242"/>
      <c r="P256" s="242"/>
      <c r="Q256" s="242"/>
      <c r="R256" s="241"/>
      <c r="S256" s="241"/>
      <c r="T256" s="241"/>
      <c r="U256" s="241"/>
      <c r="V256" s="241"/>
      <c r="W256" s="241"/>
      <c r="X256" s="241"/>
      <c r="Y256" s="241"/>
      <c r="Z256" s="242"/>
      <c r="AA256" s="242"/>
      <c r="AB256" s="241"/>
      <c r="AC256" s="241"/>
      <c r="AD256" s="241"/>
      <c r="AE256" s="241"/>
      <c r="AF256" s="241"/>
      <c r="AG256" s="241"/>
      <c r="AH256" s="241"/>
      <c r="AI256" s="241"/>
      <c r="AJ256" s="274"/>
      <c r="AK256" s="241"/>
      <c r="AL256" s="241"/>
      <c r="AM256" s="241"/>
      <c r="AN256" s="241"/>
      <c r="AO256" s="241"/>
      <c r="AP256" s="241"/>
      <c r="AQ256" s="241"/>
      <c r="AR256" s="241"/>
      <c r="AS256" s="241"/>
      <c r="AT256" s="241"/>
      <c r="AU256" s="241"/>
      <c r="AV256" s="241"/>
      <c r="AW256" s="241"/>
      <c r="AX256" s="241"/>
      <c r="AY256" s="241"/>
      <c r="AZ256" s="241"/>
      <c r="BA256" s="241"/>
      <c r="BB256" s="241"/>
      <c r="BC256" s="241"/>
      <c r="BD256" s="241"/>
      <c r="BE256" s="241"/>
      <c r="BF256" s="241"/>
      <c r="BG256" s="241"/>
      <c r="BH256" s="241"/>
      <c r="BI256" s="241"/>
      <c r="BJ256" s="241"/>
      <c r="BK256" s="241"/>
      <c r="BL256" s="241"/>
      <c r="BM256" s="241"/>
      <c r="BN256" s="241"/>
      <c r="BO256" s="241"/>
      <c r="BP256" s="241"/>
      <c r="BQ256" s="241"/>
      <c r="BR256" s="241"/>
      <c r="BS256" s="241"/>
      <c r="BT256" s="241"/>
      <c r="BU256" s="241"/>
      <c r="BV256" s="241"/>
      <c r="BW256" s="241"/>
      <c r="BX256" s="241"/>
      <c r="BY256" s="241"/>
      <c r="BZ256" s="241"/>
      <c r="CA256" s="241"/>
      <c r="CB256" s="241"/>
      <c r="CC256" s="241"/>
      <c r="CD256" s="241"/>
      <c r="CE256" s="241"/>
      <c r="CF256" s="241"/>
      <c r="CG256" s="241"/>
      <c r="CH256" s="241"/>
      <c r="CI256" s="241"/>
      <c r="CJ256" s="241"/>
      <c r="CK256" s="241"/>
      <c r="CL256" s="241"/>
      <c r="CM256" s="241"/>
      <c r="CN256" s="241"/>
      <c r="CO256" s="241"/>
      <c r="CP256" s="241"/>
      <c r="CQ256" s="241"/>
      <c r="CR256" s="241"/>
      <c r="CS256" s="241"/>
      <c r="CT256" s="241"/>
      <c r="CU256" s="241"/>
      <c r="CV256" s="241"/>
      <c r="CW256" s="241"/>
      <c r="CX256" s="241"/>
      <c r="CY256" s="241"/>
      <c r="CZ256" s="241"/>
      <c r="DA256" s="241"/>
      <c r="DB256" s="241"/>
      <c r="DC256" s="241"/>
      <c r="DD256" s="241"/>
      <c r="DE256" s="241"/>
      <c r="DF256" s="241"/>
      <c r="DG256" s="241"/>
      <c r="DH256" s="241"/>
      <c r="DT256" s="241"/>
      <c r="DU256" s="395"/>
      <c r="DV256" s="395"/>
      <c r="DW256" s="395"/>
      <c r="DX256" s="395"/>
      <c r="DY256" s="395"/>
      <c r="DZ256" s="395"/>
      <c r="EA256" s="395"/>
      <c r="EB256" s="392"/>
      <c r="EC256" s="392"/>
      <c r="ED256" s="392"/>
      <c r="EE256" s="392"/>
      <c r="EF256" s="392"/>
      <c r="EG256" s="392"/>
      <c r="EH256" s="392"/>
      <c r="EI256" s="392"/>
      <c r="EJ256" s="392"/>
      <c r="EK256" s="392"/>
      <c r="EL256" s="392"/>
      <c r="FB256" s="241"/>
    </row>
    <row r="257" spans="3:158" s="182" customFormat="1" ht="3" customHeight="1" x14ac:dyDescent="0.25">
      <c r="C257" s="395"/>
      <c r="D257" s="241"/>
      <c r="E257" s="241"/>
      <c r="F257" s="241"/>
      <c r="G257" s="241"/>
      <c r="H257" s="241"/>
      <c r="I257" s="242"/>
      <c r="J257" s="241"/>
      <c r="K257" s="241"/>
      <c r="L257" s="241"/>
      <c r="M257" s="241"/>
      <c r="N257" s="242"/>
      <c r="O257" s="242"/>
      <c r="P257" s="242"/>
      <c r="Q257" s="242"/>
      <c r="R257" s="241"/>
      <c r="S257" s="241"/>
      <c r="T257" s="241"/>
      <c r="U257" s="241"/>
      <c r="V257" s="241"/>
      <c r="W257" s="241"/>
      <c r="X257" s="241"/>
      <c r="Y257" s="241"/>
      <c r="Z257" s="242"/>
      <c r="AA257" s="242"/>
      <c r="AB257" s="241"/>
      <c r="AC257" s="241"/>
      <c r="AD257" s="241"/>
      <c r="AE257" s="241"/>
      <c r="AF257" s="241"/>
      <c r="AG257" s="241"/>
      <c r="AH257" s="241"/>
      <c r="AI257" s="241"/>
      <c r="AJ257" s="274"/>
      <c r="AK257" s="241"/>
      <c r="AL257" s="241"/>
      <c r="AM257" s="241"/>
      <c r="AN257" s="241"/>
      <c r="AO257" s="241"/>
      <c r="AP257" s="241"/>
      <c r="AQ257" s="241"/>
      <c r="AR257" s="241"/>
      <c r="AS257" s="241"/>
      <c r="AT257" s="241"/>
      <c r="AU257" s="241"/>
      <c r="AV257" s="241"/>
      <c r="AW257" s="241"/>
      <c r="AX257" s="241"/>
      <c r="AY257" s="241"/>
      <c r="AZ257" s="241"/>
      <c r="BA257" s="241"/>
      <c r="BB257" s="241"/>
      <c r="BC257" s="241"/>
      <c r="BD257" s="241"/>
      <c r="BE257" s="241"/>
      <c r="BF257" s="241"/>
      <c r="BG257" s="241"/>
      <c r="BH257" s="241"/>
      <c r="BI257" s="241"/>
      <c r="BJ257" s="241"/>
      <c r="BK257" s="241"/>
      <c r="BL257" s="241"/>
      <c r="BM257" s="241"/>
      <c r="BN257" s="241"/>
      <c r="BO257" s="241"/>
      <c r="BP257" s="241"/>
      <c r="BQ257" s="241"/>
      <c r="BR257" s="241"/>
      <c r="BS257" s="241"/>
      <c r="BT257" s="241"/>
      <c r="BU257" s="241"/>
      <c r="BV257" s="241"/>
      <c r="BW257" s="241"/>
      <c r="BX257" s="241"/>
      <c r="BY257" s="241"/>
      <c r="BZ257" s="241"/>
      <c r="CA257" s="241"/>
      <c r="CB257" s="241"/>
      <c r="CC257" s="241"/>
      <c r="CD257" s="241"/>
      <c r="CE257" s="241"/>
      <c r="CF257" s="241"/>
      <c r="CG257" s="241"/>
      <c r="CH257" s="241"/>
      <c r="CI257" s="241"/>
      <c r="CJ257" s="241"/>
      <c r="CK257" s="241"/>
      <c r="CL257" s="241"/>
      <c r="CM257" s="241"/>
      <c r="CN257" s="241"/>
      <c r="CO257" s="241"/>
      <c r="CP257" s="241"/>
      <c r="CQ257" s="241"/>
      <c r="CR257" s="241"/>
      <c r="CS257" s="241"/>
      <c r="CT257" s="241"/>
      <c r="CU257" s="241"/>
      <c r="CV257" s="241"/>
      <c r="CW257" s="241"/>
      <c r="CX257" s="241"/>
      <c r="CY257" s="241"/>
      <c r="CZ257" s="241"/>
      <c r="DA257" s="241"/>
      <c r="DB257" s="241"/>
      <c r="DC257" s="241"/>
      <c r="DD257" s="241"/>
      <c r="DE257" s="241"/>
      <c r="DF257" s="241"/>
      <c r="DG257" s="241"/>
      <c r="DH257" s="241"/>
      <c r="DT257" s="241"/>
      <c r="DU257" s="395"/>
      <c r="DV257" s="395"/>
      <c r="DW257" s="395"/>
      <c r="DX257" s="395"/>
      <c r="DY257" s="395"/>
      <c r="DZ257" s="395"/>
      <c r="EA257" s="395"/>
      <c r="EB257" s="392"/>
      <c r="EC257" s="392"/>
      <c r="ED257" s="392"/>
      <c r="EE257" s="392"/>
      <c r="EF257" s="392"/>
      <c r="EG257" s="392"/>
      <c r="EH257" s="392"/>
      <c r="EI257" s="392"/>
      <c r="EJ257" s="392"/>
      <c r="EK257" s="392"/>
      <c r="EL257" s="392"/>
      <c r="FB257" s="241"/>
    </row>
    <row r="258" spans="3:158" s="182" customFormat="1" x14ac:dyDescent="0.25">
      <c r="C258" s="395"/>
      <c r="D258" s="241"/>
      <c r="E258" s="241"/>
      <c r="F258" s="241"/>
      <c r="G258" s="241"/>
      <c r="H258" s="241"/>
      <c r="I258" s="242"/>
      <c r="J258" s="241"/>
      <c r="K258" s="241"/>
      <c r="L258" s="241"/>
      <c r="M258" s="241"/>
      <c r="N258" s="242"/>
      <c r="O258" s="242"/>
      <c r="P258" s="242"/>
      <c r="Q258" s="242"/>
      <c r="R258" s="241"/>
      <c r="S258" s="241"/>
      <c r="T258" s="241"/>
      <c r="U258" s="241"/>
      <c r="V258" s="241"/>
      <c r="W258" s="241"/>
      <c r="X258" s="241"/>
      <c r="Y258" s="241"/>
      <c r="Z258" s="242"/>
      <c r="AA258" s="242"/>
      <c r="AB258" s="241"/>
      <c r="AC258" s="241"/>
      <c r="AD258" s="241"/>
      <c r="AE258" s="241"/>
      <c r="AF258" s="241"/>
      <c r="AG258" s="241"/>
      <c r="AH258" s="241"/>
      <c r="AI258" s="241"/>
      <c r="AJ258" s="274"/>
      <c r="AK258" s="241"/>
      <c r="AL258" s="241"/>
      <c r="AM258" s="241"/>
      <c r="AN258" s="241"/>
      <c r="AO258" s="241"/>
      <c r="AP258" s="241"/>
      <c r="AQ258" s="241"/>
      <c r="AR258" s="241"/>
      <c r="AS258" s="241"/>
      <c r="AT258" s="241"/>
      <c r="AU258" s="241"/>
      <c r="AV258" s="241"/>
      <c r="AW258" s="241"/>
      <c r="AX258" s="241"/>
      <c r="AY258" s="241"/>
      <c r="AZ258" s="241"/>
      <c r="BA258" s="241"/>
      <c r="BB258" s="241"/>
      <c r="BC258" s="241"/>
      <c r="BD258" s="241"/>
      <c r="BE258" s="241"/>
      <c r="BF258" s="241"/>
      <c r="BG258" s="241"/>
      <c r="BH258" s="241"/>
      <c r="BI258" s="241"/>
      <c r="BJ258" s="241"/>
      <c r="BK258" s="241"/>
      <c r="BL258" s="241"/>
      <c r="BM258" s="241"/>
      <c r="BN258" s="241"/>
      <c r="BO258" s="241"/>
      <c r="BP258" s="241"/>
      <c r="BQ258" s="241"/>
      <c r="BR258" s="241"/>
      <c r="BS258" s="241"/>
      <c r="BT258" s="241"/>
      <c r="BU258" s="241"/>
      <c r="BV258" s="241"/>
      <c r="BW258" s="241"/>
      <c r="BX258" s="241"/>
      <c r="BY258" s="241"/>
      <c r="BZ258" s="241"/>
      <c r="CA258" s="241"/>
      <c r="CB258" s="241"/>
      <c r="CC258" s="241"/>
      <c r="CD258" s="241"/>
      <c r="CE258" s="241"/>
      <c r="CF258" s="241"/>
      <c r="CG258" s="241"/>
      <c r="CH258" s="241"/>
      <c r="CI258" s="241"/>
      <c r="CJ258" s="241"/>
      <c r="CK258" s="241"/>
      <c r="CL258" s="241"/>
      <c r="CM258" s="241"/>
      <c r="CN258" s="241"/>
      <c r="CO258" s="241"/>
      <c r="CP258" s="241"/>
      <c r="CQ258" s="241"/>
      <c r="CR258" s="241"/>
      <c r="CS258" s="241"/>
      <c r="CT258" s="241"/>
      <c r="CU258" s="241"/>
      <c r="CV258" s="241"/>
      <c r="CW258" s="241"/>
      <c r="CX258" s="241"/>
      <c r="CY258" s="241"/>
      <c r="CZ258" s="241"/>
      <c r="DA258" s="241"/>
      <c r="DB258" s="241"/>
      <c r="DC258" s="241"/>
      <c r="DD258" s="241"/>
      <c r="DE258" s="241"/>
      <c r="DF258" s="241"/>
      <c r="DG258" s="241"/>
      <c r="DH258" s="241"/>
      <c r="DT258" s="241"/>
      <c r="DU258" s="395"/>
      <c r="DV258" s="395"/>
      <c r="DW258" s="395"/>
      <c r="DX258" s="395"/>
      <c r="DY258" s="395"/>
      <c r="DZ258" s="395"/>
      <c r="EA258" s="395"/>
      <c r="EB258" s="392"/>
      <c r="EC258" s="392"/>
      <c r="ED258" s="392"/>
      <c r="EE258" s="392"/>
      <c r="EF258" s="392"/>
      <c r="EG258" s="392"/>
      <c r="EH258" s="392"/>
      <c r="EI258" s="392"/>
      <c r="EJ258" s="392"/>
      <c r="EK258" s="392"/>
      <c r="EL258" s="392"/>
      <c r="FB258" s="241"/>
    </row>
    <row r="259" spans="3:158" s="182" customFormat="1" x14ac:dyDescent="0.25">
      <c r="C259" s="395"/>
      <c r="D259" s="241"/>
      <c r="E259" s="241"/>
      <c r="F259" s="241"/>
      <c r="G259" s="241"/>
      <c r="H259" s="241"/>
      <c r="I259" s="242"/>
      <c r="J259" s="241"/>
      <c r="K259" s="241"/>
      <c r="L259" s="241"/>
      <c r="M259" s="241"/>
      <c r="N259" s="242"/>
      <c r="O259" s="242"/>
      <c r="P259" s="242"/>
      <c r="Q259" s="242"/>
      <c r="R259" s="241"/>
      <c r="S259" s="241"/>
      <c r="T259" s="241"/>
      <c r="U259" s="241"/>
      <c r="V259" s="241"/>
      <c r="W259" s="241"/>
      <c r="X259" s="241"/>
      <c r="Y259" s="241"/>
      <c r="Z259" s="242"/>
      <c r="AA259" s="242"/>
      <c r="AB259" s="241"/>
      <c r="AC259" s="241"/>
      <c r="AD259" s="241"/>
      <c r="AE259" s="241"/>
      <c r="AF259" s="241"/>
      <c r="AG259" s="241"/>
      <c r="AH259" s="241"/>
      <c r="AI259" s="241"/>
      <c r="AJ259" s="274"/>
      <c r="AK259" s="241"/>
      <c r="AL259" s="241"/>
      <c r="AM259" s="241"/>
      <c r="AN259" s="241"/>
      <c r="AO259" s="241"/>
      <c r="AP259" s="241"/>
      <c r="AQ259" s="241"/>
      <c r="AR259" s="241"/>
      <c r="AS259" s="241"/>
      <c r="AT259" s="241"/>
      <c r="AU259" s="241"/>
      <c r="AV259" s="241"/>
      <c r="AW259" s="241"/>
      <c r="AX259" s="241"/>
      <c r="AY259" s="241"/>
      <c r="AZ259" s="241"/>
      <c r="BA259" s="241"/>
      <c r="BB259" s="241"/>
      <c r="BC259" s="241"/>
      <c r="BD259" s="241"/>
      <c r="BE259" s="241"/>
      <c r="BF259" s="241"/>
      <c r="BG259" s="241"/>
      <c r="BH259" s="241"/>
      <c r="BI259" s="241"/>
      <c r="BJ259" s="241"/>
      <c r="BK259" s="241"/>
      <c r="BL259" s="241"/>
      <c r="BM259" s="241"/>
      <c r="BN259" s="241"/>
      <c r="BO259" s="241"/>
      <c r="BP259" s="241"/>
      <c r="BQ259" s="241"/>
      <c r="BR259" s="241"/>
      <c r="BS259" s="241"/>
      <c r="BT259" s="241"/>
      <c r="BU259" s="241"/>
      <c r="BV259" s="241"/>
      <c r="BW259" s="241"/>
      <c r="BX259" s="241"/>
      <c r="BY259" s="241"/>
      <c r="BZ259" s="241"/>
      <c r="CA259" s="241"/>
      <c r="CB259" s="241"/>
      <c r="CC259" s="241"/>
      <c r="CD259" s="241"/>
      <c r="CE259" s="241"/>
      <c r="CF259" s="241"/>
      <c r="CG259" s="241"/>
      <c r="CH259" s="241"/>
      <c r="CI259" s="241"/>
      <c r="CJ259" s="241"/>
      <c r="CK259" s="241"/>
      <c r="CL259" s="241"/>
      <c r="CM259" s="241"/>
      <c r="CN259" s="241"/>
      <c r="CO259" s="241"/>
      <c r="CP259" s="241"/>
      <c r="CQ259" s="241"/>
      <c r="CR259" s="241"/>
      <c r="CS259" s="241"/>
      <c r="CT259" s="241"/>
      <c r="CU259" s="241"/>
      <c r="CV259" s="241"/>
      <c r="CW259" s="241"/>
      <c r="CX259" s="241"/>
      <c r="CY259" s="241"/>
      <c r="CZ259" s="241"/>
      <c r="DA259" s="241"/>
      <c r="DB259" s="241"/>
      <c r="DC259" s="241"/>
      <c r="DD259" s="241"/>
      <c r="DE259" s="241"/>
      <c r="DF259" s="241"/>
      <c r="DG259" s="241"/>
      <c r="DH259" s="241"/>
      <c r="DT259" s="241"/>
      <c r="DU259" s="395"/>
      <c r="DV259" s="395"/>
      <c r="DW259" s="395"/>
      <c r="DX259" s="395"/>
      <c r="DY259" s="395"/>
      <c r="DZ259" s="395"/>
      <c r="EA259" s="395"/>
      <c r="EB259" s="392"/>
      <c r="EC259" s="392"/>
      <c r="ED259" s="392"/>
      <c r="EE259" s="392"/>
      <c r="EF259" s="392"/>
      <c r="EG259" s="392"/>
      <c r="EH259" s="392"/>
      <c r="EI259" s="392"/>
      <c r="EJ259" s="392"/>
      <c r="EK259" s="392"/>
      <c r="EL259" s="392"/>
      <c r="FB259" s="241"/>
    </row>
    <row r="260" spans="3:158" s="182" customFormat="1" x14ac:dyDescent="0.25">
      <c r="C260" s="395"/>
      <c r="D260" s="241"/>
      <c r="E260" s="241"/>
      <c r="F260" s="241"/>
      <c r="G260" s="241"/>
      <c r="H260" s="241"/>
      <c r="I260" s="242"/>
      <c r="J260" s="241"/>
      <c r="K260" s="241"/>
      <c r="L260" s="241"/>
      <c r="M260" s="241"/>
      <c r="N260" s="241"/>
      <c r="O260" s="241"/>
      <c r="P260" s="241"/>
      <c r="Q260" s="241"/>
      <c r="R260" s="241"/>
      <c r="S260" s="241"/>
      <c r="T260" s="241"/>
      <c r="U260" s="241"/>
      <c r="V260" s="241"/>
      <c r="W260" s="241"/>
      <c r="X260" s="241"/>
      <c r="Y260" s="241"/>
      <c r="Z260" s="242"/>
      <c r="AA260" s="242"/>
      <c r="AB260" s="241"/>
      <c r="AC260" s="241"/>
      <c r="AD260" s="241"/>
      <c r="AE260" s="241"/>
      <c r="AF260" s="241"/>
      <c r="AG260" s="241"/>
      <c r="AH260" s="241"/>
      <c r="AI260" s="241"/>
      <c r="AJ260" s="274"/>
      <c r="AK260" s="241"/>
      <c r="AL260" s="241"/>
      <c r="AM260" s="241"/>
      <c r="AN260" s="241"/>
      <c r="AO260" s="241"/>
      <c r="AP260" s="241"/>
      <c r="AQ260" s="241"/>
      <c r="AR260" s="241"/>
      <c r="AS260" s="241"/>
      <c r="AT260" s="241"/>
      <c r="AU260" s="241"/>
      <c r="AV260" s="241"/>
      <c r="AW260" s="241"/>
      <c r="AX260" s="241"/>
      <c r="AY260" s="241"/>
      <c r="AZ260" s="241"/>
      <c r="BA260" s="241"/>
      <c r="BB260" s="241"/>
      <c r="BC260" s="241"/>
      <c r="BD260" s="241"/>
      <c r="BE260" s="241"/>
      <c r="BF260" s="241"/>
      <c r="BG260" s="241"/>
      <c r="BH260" s="241"/>
      <c r="BI260" s="241"/>
      <c r="BJ260" s="241"/>
      <c r="BK260" s="241"/>
      <c r="BL260" s="241"/>
      <c r="BM260" s="241"/>
      <c r="BN260" s="241"/>
      <c r="BO260" s="241"/>
      <c r="BP260" s="241"/>
      <c r="BQ260" s="241"/>
      <c r="BR260" s="241"/>
      <c r="BS260" s="241"/>
      <c r="BT260" s="241"/>
      <c r="BU260" s="241"/>
      <c r="BV260" s="241"/>
      <c r="BW260" s="241"/>
      <c r="BX260" s="241"/>
      <c r="BY260" s="241"/>
      <c r="BZ260" s="241"/>
      <c r="CA260" s="241"/>
      <c r="CB260" s="241"/>
      <c r="CC260" s="241"/>
      <c r="CD260" s="241"/>
      <c r="CE260" s="241"/>
      <c r="CF260" s="241"/>
      <c r="CG260" s="241"/>
      <c r="CH260" s="241"/>
      <c r="CI260" s="241"/>
      <c r="CJ260" s="241"/>
      <c r="CK260" s="241"/>
      <c r="CL260" s="241"/>
      <c r="CM260" s="241"/>
      <c r="CN260" s="241"/>
      <c r="CO260" s="241"/>
      <c r="CP260" s="241"/>
      <c r="CQ260" s="241"/>
      <c r="CR260" s="241"/>
      <c r="CS260" s="241"/>
      <c r="CT260" s="241"/>
      <c r="CU260" s="241"/>
      <c r="CV260" s="241"/>
      <c r="CW260" s="241"/>
      <c r="CX260" s="241"/>
      <c r="CY260" s="241"/>
      <c r="CZ260" s="241"/>
      <c r="DA260" s="241"/>
      <c r="DB260" s="241"/>
      <c r="DC260" s="241"/>
      <c r="DD260" s="241"/>
      <c r="DE260" s="241"/>
      <c r="DF260" s="241"/>
      <c r="DG260" s="241"/>
      <c r="DH260" s="241"/>
      <c r="DT260" s="241"/>
      <c r="DU260" s="395"/>
      <c r="DV260" s="395"/>
      <c r="DW260" s="395"/>
      <c r="DX260" s="395"/>
      <c r="DY260" s="395"/>
      <c r="DZ260" s="395"/>
      <c r="EA260" s="395"/>
      <c r="EB260" s="392"/>
      <c r="EC260" s="392"/>
      <c r="ED260" s="392"/>
      <c r="EE260" s="392"/>
      <c r="EF260" s="392"/>
      <c r="EG260" s="392"/>
      <c r="EH260" s="392"/>
      <c r="EI260" s="392"/>
      <c r="EJ260" s="392"/>
      <c r="EK260" s="392"/>
      <c r="EL260" s="392"/>
      <c r="FB260" s="241"/>
    </row>
    <row r="261" spans="3:158" s="182" customFormat="1" x14ac:dyDescent="0.25">
      <c r="C261" s="395"/>
      <c r="D261" s="241"/>
      <c r="E261" s="241"/>
      <c r="F261" s="241"/>
      <c r="G261" s="241"/>
      <c r="H261" s="241"/>
      <c r="I261" s="242"/>
      <c r="J261" s="241"/>
      <c r="K261" s="241"/>
      <c r="L261" s="241"/>
      <c r="M261" s="241"/>
      <c r="N261" s="242"/>
      <c r="O261" s="242"/>
      <c r="P261" s="242"/>
      <c r="Q261" s="242"/>
      <c r="R261" s="241"/>
      <c r="S261" s="241"/>
      <c r="T261" s="241"/>
      <c r="U261" s="241"/>
      <c r="V261" s="241"/>
      <c r="W261" s="241"/>
      <c r="X261" s="241"/>
      <c r="Y261" s="241"/>
      <c r="Z261" s="242"/>
      <c r="AA261" s="242"/>
      <c r="AB261" s="241"/>
      <c r="AC261" s="241"/>
      <c r="AD261" s="241"/>
      <c r="AE261" s="241"/>
      <c r="AF261" s="241"/>
      <c r="AG261" s="241"/>
      <c r="AH261" s="241"/>
      <c r="AI261" s="241"/>
      <c r="AJ261" s="274"/>
      <c r="AK261" s="241"/>
      <c r="AL261" s="241"/>
      <c r="AM261" s="241"/>
      <c r="AN261" s="241"/>
      <c r="AO261" s="241"/>
      <c r="AP261" s="241"/>
      <c r="AQ261" s="241"/>
      <c r="AR261" s="241"/>
      <c r="AS261" s="241"/>
      <c r="AT261" s="241"/>
      <c r="AU261" s="241"/>
      <c r="AV261" s="241"/>
      <c r="AW261" s="241"/>
      <c r="AX261" s="241"/>
      <c r="AY261" s="241"/>
      <c r="AZ261" s="241"/>
      <c r="BA261" s="241"/>
      <c r="BB261" s="241"/>
      <c r="BC261" s="241"/>
      <c r="BD261" s="241"/>
      <c r="BE261" s="241"/>
      <c r="BF261" s="241"/>
      <c r="BG261" s="241"/>
      <c r="BH261" s="241"/>
      <c r="BI261" s="241"/>
      <c r="BJ261" s="241"/>
      <c r="BK261" s="241"/>
      <c r="BL261" s="241"/>
      <c r="BM261" s="241"/>
      <c r="BN261" s="241"/>
      <c r="BO261" s="241"/>
      <c r="BP261" s="241"/>
      <c r="BQ261" s="241"/>
      <c r="BR261" s="241"/>
      <c r="BS261" s="241"/>
      <c r="BT261" s="241"/>
      <c r="BU261" s="241"/>
      <c r="BV261" s="241"/>
      <c r="BW261" s="241"/>
      <c r="BX261" s="241"/>
      <c r="BY261" s="241"/>
      <c r="BZ261" s="241"/>
      <c r="CA261" s="241"/>
      <c r="CB261" s="241"/>
      <c r="CC261" s="241"/>
      <c r="CD261" s="241"/>
      <c r="CE261" s="241"/>
      <c r="CF261" s="241"/>
      <c r="CG261" s="241"/>
      <c r="CH261" s="241"/>
      <c r="CI261" s="241"/>
      <c r="CJ261" s="241"/>
      <c r="CK261" s="241"/>
      <c r="CL261" s="241"/>
      <c r="CM261" s="241"/>
      <c r="CN261" s="241"/>
      <c r="CO261" s="241"/>
      <c r="CP261" s="241"/>
      <c r="CQ261" s="241"/>
      <c r="CR261" s="241"/>
      <c r="CS261" s="241"/>
      <c r="CT261" s="241"/>
      <c r="CU261" s="241"/>
      <c r="CV261" s="241"/>
      <c r="CW261" s="241"/>
      <c r="CX261" s="241"/>
      <c r="CY261" s="241"/>
      <c r="CZ261" s="241"/>
      <c r="DA261" s="241"/>
      <c r="DB261" s="241"/>
      <c r="DC261" s="241"/>
      <c r="DD261" s="241"/>
      <c r="DE261" s="241"/>
      <c r="DF261" s="241"/>
      <c r="DG261" s="241"/>
      <c r="DH261" s="241"/>
      <c r="DT261" s="241"/>
      <c r="DU261" s="395"/>
      <c r="DV261" s="395"/>
      <c r="DW261" s="395"/>
      <c r="DX261" s="395"/>
      <c r="DY261" s="395"/>
      <c r="DZ261" s="395"/>
      <c r="EA261" s="395"/>
      <c r="EB261" s="392"/>
      <c r="EC261" s="392"/>
      <c r="ED261" s="392"/>
      <c r="EE261" s="392"/>
      <c r="EF261" s="392"/>
      <c r="EG261" s="392"/>
      <c r="EH261" s="392"/>
      <c r="EI261" s="392"/>
      <c r="EJ261" s="392"/>
      <c r="EK261" s="392"/>
      <c r="EL261" s="392"/>
      <c r="FB261" s="241"/>
    </row>
    <row r="262" spans="3:158" s="182" customFormat="1" x14ac:dyDescent="0.25">
      <c r="C262" s="395"/>
      <c r="D262" s="241"/>
      <c r="E262" s="241"/>
      <c r="F262" s="241"/>
      <c r="G262" s="241"/>
      <c r="H262" s="241"/>
      <c r="I262" s="242"/>
      <c r="J262" s="241"/>
      <c r="K262" s="241"/>
      <c r="L262" s="241"/>
      <c r="M262" s="241"/>
      <c r="N262" s="242"/>
      <c r="O262" s="242"/>
      <c r="P262" s="242"/>
      <c r="Q262" s="242"/>
      <c r="R262" s="241"/>
      <c r="S262" s="241"/>
      <c r="T262" s="241"/>
      <c r="U262" s="241"/>
      <c r="V262" s="241"/>
      <c r="W262" s="241"/>
      <c r="X262" s="241"/>
      <c r="Y262" s="241"/>
      <c r="Z262" s="242"/>
      <c r="AA262" s="242"/>
      <c r="AB262" s="241"/>
      <c r="AC262" s="241"/>
      <c r="AD262" s="241"/>
      <c r="AE262" s="241"/>
      <c r="AF262" s="241"/>
      <c r="AG262" s="241"/>
      <c r="AH262" s="241"/>
      <c r="AI262" s="241"/>
      <c r="AJ262" s="274"/>
      <c r="AK262" s="241"/>
      <c r="AL262" s="241"/>
      <c r="AM262" s="241"/>
      <c r="AN262" s="241"/>
      <c r="AO262" s="241"/>
      <c r="AP262" s="241"/>
      <c r="AQ262" s="241"/>
      <c r="AR262" s="241"/>
      <c r="AS262" s="241"/>
      <c r="AT262" s="241"/>
      <c r="AU262" s="241"/>
      <c r="AV262" s="241"/>
      <c r="AW262" s="241"/>
      <c r="AX262" s="241"/>
      <c r="AY262" s="241"/>
      <c r="AZ262" s="241"/>
      <c r="BA262" s="241"/>
      <c r="BB262" s="241"/>
      <c r="BC262" s="241"/>
      <c r="BD262" s="241"/>
      <c r="BE262" s="241"/>
      <c r="BF262" s="241"/>
      <c r="BG262" s="241"/>
      <c r="BH262" s="241"/>
      <c r="BI262" s="241"/>
      <c r="BJ262" s="241"/>
      <c r="BK262" s="241"/>
      <c r="BL262" s="241"/>
      <c r="BM262" s="241"/>
      <c r="BN262" s="241"/>
      <c r="BO262" s="241"/>
      <c r="BP262" s="241"/>
      <c r="BQ262" s="241"/>
      <c r="BR262" s="241"/>
      <c r="BS262" s="241"/>
      <c r="BT262" s="241"/>
      <c r="BU262" s="241"/>
      <c r="BV262" s="241"/>
      <c r="BW262" s="241"/>
      <c r="BX262" s="241"/>
      <c r="BY262" s="241"/>
      <c r="BZ262" s="241"/>
      <c r="CA262" s="241"/>
      <c r="CB262" s="241"/>
      <c r="CC262" s="241"/>
      <c r="CD262" s="241"/>
      <c r="CE262" s="241"/>
      <c r="CF262" s="241"/>
      <c r="CG262" s="241"/>
      <c r="CH262" s="241"/>
      <c r="CI262" s="241"/>
      <c r="CJ262" s="241"/>
      <c r="CK262" s="241"/>
      <c r="CL262" s="241"/>
      <c r="CM262" s="241"/>
      <c r="CN262" s="241"/>
      <c r="CO262" s="241"/>
      <c r="CP262" s="241"/>
      <c r="CQ262" s="241"/>
      <c r="CR262" s="241"/>
      <c r="CS262" s="241"/>
      <c r="CT262" s="241"/>
      <c r="CU262" s="241"/>
      <c r="CV262" s="241"/>
      <c r="CW262" s="241"/>
      <c r="CX262" s="241"/>
      <c r="CY262" s="241"/>
      <c r="CZ262" s="241"/>
      <c r="DA262" s="241"/>
      <c r="DB262" s="241"/>
      <c r="DC262" s="241"/>
      <c r="DD262" s="241"/>
      <c r="DE262" s="241"/>
      <c r="DF262" s="241"/>
      <c r="DG262" s="241"/>
      <c r="DH262" s="241"/>
      <c r="DT262" s="241"/>
      <c r="DU262" s="395"/>
      <c r="DV262" s="395"/>
      <c r="DW262" s="395"/>
      <c r="DX262" s="395"/>
      <c r="DY262" s="395"/>
      <c r="DZ262" s="395"/>
      <c r="EA262" s="395"/>
      <c r="EB262" s="392"/>
      <c r="EC262" s="392"/>
      <c r="ED262" s="392"/>
      <c r="EE262" s="392"/>
      <c r="EF262" s="392"/>
      <c r="EG262" s="392"/>
      <c r="EH262" s="392"/>
      <c r="EI262" s="392"/>
      <c r="EJ262" s="392"/>
      <c r="EK262" s="392"/>
      <c r="EL262" s="392"/>
      <c r="FB262" s="241"/>
    </row>
    <row r="263" spans="3:158" s="182" customFormat="1" x14ac:dyDescent="0.25">
      <c r="C263" s="395"/>
      <c r="D263" s="241"/>
      <c r="E263" s="241"/>
      <c r="F263" s="241"/>
      <c r="G263" s="241"/>
      <c r="H263" s="241"/>
      <c r="I263" s="242"/>
      <c r="J263" s="241"/>
      <c r="K263" s="241"/>
      <c r="L263" s="241"/>
      <c r="M263" s="241"/>
      <c r="N263" s="242"/>
      <c r="O263" s="242"/>
      <c r="P263" s="242"/>
      <c r="Q263" s="242"/>
      <c r="R263" s="241"/>
      <c r="S263" s="241"/>
      <c r="T263" s="241"/>
      <c r="U263" s="241"/>
      <c r="V263" s="241"/>
      <c r="W263" s="241"/>
      <c r="X263" s="241"/>
      <c r="Y263" s="241"/>
      <c r="Z263" s="242"/>
      <c r="AA263" s="242"/>
      <c r="AB263" s="241"/>
      <c r="AC263" s="241"/>
      <c r="AD263" s="241"/>
      <c r="AE263" s="241"/>
      <c r="AF263" s="241"/>
      <c r="AG263" s="241"/>
      <c r="AH263" s="241"/>
      <c r="AI263" s="241"/>
      <c r="AJ263" s="274"/>
      <c r="AK263" s="241"/>
      <c r="AL263" s="241"/>
      <c r="AM263" s="241"/>
      <c r="AN263" s="241"/>
      <c r="AO263" s="241"/>
      <c r="AP263" s="241"/>
      <c r="AQ263" s="241"/>
      <c r="AR263" s="241"/>
      <c r="AS263" s="241"/>
      <c r="AT263" s="241"/>
      <c r="AU263" s="241"/>
      <c r="AV263" s="241"/>
      <c r="AW263" s="241"/>
      <c r="AX263" s="241"/>
      <c r="AY263" s="241"/>
      <c r="AZ263" s="241"/>
      <c r="BA263" s="241"/>
      <c r="BB263" s="241"/>
      <c r="BC263" s="241"/>
      <c r="BD263" s="241"/>
      <c r="BE263" s="241"/>
      <c r="BF263" s="241"/>
      <c r="BG263" s="241"/>
      <c r="BH263" s="241"/>
      <c r="BI263" s="241"/>
      <c r="BJ263" s="241"/>
      <c r="BK263" s="241"/>
      <c r="BL263" s="241"/>
      <c r="BM263" s="241"/>
      <c r="BN263" s="241"/>
      <c r="BO263" s="241"/>
      <c r="BP263" s="241"/>
      <c r="BQ263" s="241"/>
      <c r="BR263" s="241"/>
      <c r="BS263" s="241"/>
      <c r="BT263" s="241"/>
      <c r="BU263" s="241"/>
      <c r="BV263" s="241"/>
      <c r="BW263" s="241"/>
      <c r="BX263" s="241"/>
      <c r="BY263" s="241"/>
      <c r="BZ263" s="241"/>
      <c r="CA263" s="241"/>
      <c r="CB263" s="241"/>
      <c r="CC263" s="241"/>
      <c r="CD263" s="241"/>
      <c r="CE263" s="241"/>
      <c r="CF263" s="241"/>
      <c r="CG263" s="241"/>
      <c r="CH263" s="241"/>
      <c r="CI263" s="241"/>
      <c r="CJ263" s="241"/>
      <c r="CK263" s="241"/>
      <c r="CL263" s="241"/>
      <c r="CM263" s="241"/>
      <c r="CN263" s="241"/>
      <c r="CO263" s="241"/>
      <c r="CP263" s="241"/>
      <c r="CQ263" s="241"/>
      <c r="CR263" s="241"/>
      <c r="CS263" s="241"/>
      <c r="CT263" s="241"/>
      <c r="CU263" s="241"/>
      <c r="CV263" s="241"/>
      <c r="CW263" s="241"/>
      <c r="CX263" s="241"/>
      <c r="CY263" s="241"/>
      <c r="CZ263" s="241"/>
      <c r="DA263" s="241"/>
      <c r="DB263" s="241"/>
      <c r="DC263" s="241"/>
      <c r="DD263" s="241"/>
      <c r="DE263" s="241"/>
      <c r="DF263" s="241"/>
      <c r="DG263" s="241"/>
      <c r="DH263" s="241"/>
      <c r="DT263" s="241"/>
      <c r="DU263" s="395"/>
      <c r="DV263" s="395"/>
      <c r="DW263" s="395"/>
      <c r="DX263" s="395"/>
      <c r="DY263" s="395"/>
      <c r="DZ263" s="395"/>
      <c r="EA263" s="395"/>
      <c r="EB263" s="392"/>
      <c r="EC263" s="392"/>
      <c r="ED263" s="392"/>
      <c r="EE263" s="392"/>
      <c r="EF263" s="392"/>
      <c r="EG263" s="392"/>
      <c r="EH263" s="392"/>
      <c r="EI263" s="392"/>
      <c r="EJ263" s="392"/>
      <c r="EK263" s="392"/>
      <c r="EL263" s="392"/>
      <c r="FB263" s="241"/>
    </row>
    <row r="264" spans="3:158" s="182" customFormat="1" x14ac:dyDescent="0.25">
      <c r="C264" s="395"/>
      <c r="D264" s="241"/>
      <c r="E264" s="241"/>
      <c r="F264" s="241"/>
      <c r="G264" s="241"/>
      <c r="H264" s="241"/>
      <c r="I264" s="242"/>
      <c r="J264" s="241"/>
      <c r="K264" s="241"/>
      <c r="L264" s="241"/>
      <c r="M264" s="241"/>
      <c r="N264" s="242"/>
      <c r="O264" s="242"/>
      <c r="P264" s="242"/>
      <c r="Q264" s="242"/>
      <c r="R264" s="241"/>
      <c r="S264" s="241"/>
      <c r="T264" s="241"/>
      <c r="U264" s="241"/>
      <c r="V264" s="241"/>
      <c r="W264" s="241"/>
      <c r="X264" s="241"/>
      <c r="Y264" s="241"/>
      <c r="Z264" s="242"/>
      <c r="AA264" s="242"/>
      <c r="AB264" s="241"/>
      <c r="AC264" s="241"/>
      <c r="AD264" s="241"/>
      <c r="AE264" s="241"/>
      <c r="AF264" s="241"/>
      <c r="AG264" s="241"/>
      <c r="AH264" s="241"/>
      <c r="AI264" s="241"/>
      <c r="AJ264" s="274"/>
      <c r="AK264" s="241"/>
      <c r="AL264" s="241"/>
      <c r="AM264" s="241"/>
      <c r="AN264" s="241"/>
      <c r="AO264" s="241"/>
      <c r="AP264" s="241"/>
      <c r="AQ264" s="241"/>
      <c r="AR264" s="241"/>
      <c r="AS264" s="241"/>
      <c r="AT264" s="241"/>
      <c r="AU264" s="241"/>
      <c r="AV264" s="241"/>
      <c r="AW264" s="241"/>
      <c r="AX264" s="241"/>
      <c r="AY264" s="241"/>
      <c r="AZ264" s="241"/>
      <c r="BA264" s="241"/>
      <c r="BB264" s="241"/>
      <c r="BC264" s="241"/>
      <c r="BD264" s="241"/>
      <c r="BE264" s="241"/>
      <c r="BF264" s="241"/>
      <c r="BG264" s="241"/>
      <c r="BH264" s="241"/>
      <c r="BI264" s="241"/>
      <c r="BJ264" s="241"/>
      <c r="BK264" s="241"/>
      <c r="BL264" s="241"/>
      <c r="BM264" s="241"/>
      <c r="BN264" s="241"/>
      <c r="BO264" s="241"/>
      <c r="BP264" s="241"/>
      <c r="BQ264" s="241"/>
      <c r="BR264" s="241"/>
      <c r="BS264" s="241"/>
      <c r="BT264" s="241"/>
      <c r="BU264" s="241"/>
      <c r="BV264" s="241"/>
      <c r="BW264" s="241"/>
      <c r="BX264" s="241"/>
      <c r="BY264" s="241"/>
      <c r="BZ264" s="241"/>
      <c r="CA264" s="241"/>
      <c r="CB264" s="241"/>
      <c r="CC264" s="241"/>
      <c r="CD264" s="241"/>
      <c r="CE264" s="241"/>
      <c r="CF264" s="241"/>
      <c r="CG264" s="241"/>
      <c r="CH264" s="241"/>
      <c r="CI264" s="241"/>
      <c r="CJ264" s="241"/>
      <c r="CK264" s="241"/>
      <c r="CL264" s="241"/>
      <c r="CM264" s="241"/>
      <c r="CN264" s="241"/>
      <c r="CO264" s="241"/>
      <c r="CP264" s="241"/>
      <c r="CQ264" s="241"/>
      <c r="CR264" s="241"/>
      <c r="CS264" s="241"/>
      <c r="CT264" s="241"/>
      <c r="CU264" s="241"/>
      <c r="CV264" s="241"/>
      <c r="CW264" s="241"/>
      <c r="CX264" s="241"/>
      <c r="CY264" s="241"/>
      <c r="CZ264" s="241"/>
      <c r="DA264" s="241"/>
      <c r="DB264" s="241"/>
      <c r="DC264" s="241"/>
      <c r="DD264" s="241"/>
      <c r="DE264" s="241"/>
      <c r="DF264" s="241"/>
      <c r="DG264" s="241"/>
      <c r="DH264" s="241"/>
      <c r="DT264" s="241"/>
      <c r="DU264" s="395"/>
      <c r="DV264" s="395"/>
      <c r="DW264" s="395"/>
      <c r="DX264" s="395"/>
      <c r="DY264" s="395"/>
      <c r="DZ264" s="395"/>
      <c r="EA264" s="395"/>
      <c r="EB264" s="392"/>
      <c r="EC264" s="392"/>
      <c r="ED264" s="392"/>
      <c r="EE264" s="392"/>
      <c r="EF264" s="392"/>
      <c r="EG264" s="392"/>
      <c r="EH264" s="392"/>
      <c r="EI264" s="392"/>
      <c r="EJ264" s="392"/>
      <c r="EK264" s="392"/>
      <c r="EL264" s="392"/>
      <c r="FB264" s="241"/>
    </row>
    <row r="265" spans="3:158" s="182" customFormat="1" x14ac:dyDescent="0.25">
      <c r="C265" s="395"/>
      <c r="D265" s="241"/>
      <c r="E265" s="241"/>
      <c r="F265" s="241"/>
      <c r="G265" s="241"/>
      <c r="H265" s="241"/>
      <c r="I265" s="242"/>
      <c r="J265" s="241"/>
      <c r="K265" s="241"/>
      <c r="L265" s="241"/>
      <c r="M265" s="241"/>
      <c r="N265" s="242"/>
      <c r="O265" s="242"/>
      <c r="P265" s="242"/>
      <c r="Q265" s="242"/>
      <c r="R265" s="241"/>
      <c r="S265" s="241"/>
      <c r="T265" s="241"/>
      <c r="U265" s="241"/>
      <c r="V265" s="241"/>
      <c r="W265" s="241"/>
      <c r="X265" s="241"/>
      <c r="Y265" s="241"/>
      <c r="Z265" s="242"/>
      <c r="AA265" s="242"/>
      <c r="AB265" s="241"/>
      <c r="AC265" s="241"/>
      <c r="AD265" s="241"/>
      <c r="AE265" s="241"/>
      <c r="AF265" s="241"/>
      <c r="AG265" s="241"/>
      <c r="AH265" s="241"/>
      <c r="AI265" s="241"/>
      <c r="AJ265" s="274"/>
      <c r="AK265" s="241"/>
      <c r="AL265" s="241"/>
      <c r="AM265" s="241"/>
      <c r="AN265" s="241"/>
      <c r="AO265" s="241"/>
      <c r="AP265" s="241"/>
      <c r="AQ265" s="241"/>
      <c r="AR265" s="241"/>
      <c r="AS265" s="241"/>
      <c r="AT265" s="241"/>
      <c r="AU265" s="241"/>
      <c r="AV265" s="241"/>
      <c r="AW265" s="241"/>
      <c r="AX265" s="241"/>
      <c r="AY265" s="241"/>
      <c r="AZ265" s="241"/>
      <c r="BA265" s="241"/>
      <c r="BB265" s="241"/>
      <c r="BC265" s="241"/>
      <c r="BD265" s="241"/>
      <c r="BE265" s="241"/>
      <c r="BF265" s="241"/>
      <c r="BG265" s="241"/>
      <c r="BH265" s="241"/>
      <c r="BI265" s="241"/>
      <c r="BJ265" s="241"/>
      <c r="BK265" s="241"/>
      <c r="BL265" s="241"/>
      <c r="BM265" s="241"/>
      <c r="BN265" s="241"/>
      <c r="BO265" s="241"/>
      <c r="BP265" s="241"/>
      <c r="BQ265" s="241"/>
      <c r="BR265" s="241"/>
      <c r="BS265" s="241"/>
      <c r="BT265" s="241"/>
      <c r="BU265" s="241"/>
      <c r="BV265" s="241"/>
      <c r="BW265" s="241"/>
      <c r="BX265" s="241"/>
      <c r="BY265" s="241"/>
      <c r="BZ265" s="241"/>
      <c r="CA265" s="241"/>
      <c r="CB265" s="241"/>
      <c r="CC265" s="241"/>
      <c r="CD265" s="241"/>
      <c r="CE265" s="241"/>
      <c r="CF265" s="241"/>
      <c r="CG265" s="241"/>
      <c r="CH265" s="241"/>
      <c r="CI265" s="241"/>
      <c r="CJ265" s="241"/>
      <c r="CK265" s="241"/>
      <c r="CL265" s="241"/>
      <c r="CM265" s="241"/>
      <c r="CN265" s="241"/>
      <c r="CO265" s="241"/>
      <c r="CP265" s="241"/>
      <c r="CQ265" s="241"/>
      <c r="CR265" s="241"/>
      <c r="CS265" s="241"/>
      <c r="CT265" s="241"/>
      <c r="CU265" s="241"/>
      <c r="CV265" s="241"/>
      <c r="CW265" s="241"/>
      <c r="CX265" s="241"/>
      <c r="CY265" s="241"/>
      <c r="CZ265" s="241"/>
      <c r="DA265" s="241"/>
      <c r="DB265" s="241"/>
      <c r="DC265" s="241"/>
      <c r="DD265" s="241"/>
      <c r="DE265" s="241"/>
      <c r="DF265" s="241"/>
      <c r="DG265" s="241"/>
      <c r="DH265" s="241"/>
      <c r="DT265" s="241"/>
      <c r="DU265" s="395"/>
      <c r="DV265" s="395"/>
      <c r="DW265" s="395"/>
      <c r="DX265" s="395"/>
      <c r="DY265" s="395"/>
      <c r="DZ265" s="395"/>
      <c r="EA265" s="395"/>
      <c r="EB265" s="392"/>
      <c r="EC265" s="392"/>
      <c r="ED265" s="392"/>
      <c r="EE265" s="392"/>
      <c r="EF265" s="392"/>
      <c r="EG265" s="392"/>
      <c r="EH265" s="392"/>
      <c r="EI265" s="392"/>
      <c r="EJ265" s="392"/>
      <c r="EK265" s="392"/>
      <c r="EL265" s="392"/>
      <c r="FB265" s="241"/>
    </row>
    <row r="266" spans="3:158" s="182" customFormat="1" ht="11.25" customHeight="1" x14ac:dyDescent="0.25">
      <c r="C266" s="395"/>
      <c r="D266" s="241"/>
      <c r="E266" s="241"/>
      <c r="F266" s="241"/>
      <c r="G266" s="241"/>
      <c r="H266" s="241"/>
      <c r="I266" s="242"/>
      <c r="J266" s="241"/>
      <c r="K266" s="241"/>
      <c r="L266" s="241"/>
      <c r="M266" s="241"/>
      <c r="N266" s="242"/>
      <c r="O266" s="242"/>
      <c r="P266" s="242"/>
      <c r="Q266" s="242"/>
      <c r="R266" s="241"/>
      <c r="S266" s="241"/>
      <c r="T266" s="241"/>
      <c r="U266" s="241"/>
      <c r="V266" s="241"/>
      <c r="W266" s="241"/>
      <c r="X266" s="241"/>
      <c r="Y266" s="241"/>
      <c r="Z266" s="242"/>
      <c r="AA266" s="242"/>
      <c r="AB266" s="241"/>
      <c r="AC266" s="241"/>
      <c r="AD266" s="241"/>
      <c r="AE266" s="241"/>
      <c r="AF266" s="241"/>
      <c r="AG266" s="241"/>
      <c r="AH266" s="241"/>
      <c r="AI266" s="241"/>
      <c r="AJ266" s="274"/>
      <c r="AK266" s="241"/>
      <c r="AL266" s="241"/>
      <c r="AM266" s="241"/>
      <c r="AN266" s="241"/>
      <c r="AO266" s="241"/>
      <c r="AP266" s="241"/>
      <c r="AQ266" s="241"/>
      <c r="AR266" s="241"/>
      <c r="AS266" s="241"/>
      <c r="AT266" s="241"/>
      <c r="AU266" s="241"/>
      <c r="AV266" s="241"/>
      <c r="AW266" s="241"/>
      <c r="AX266" s="241"/>
      <c r="AY266" s="241"/>
      <c r="AZ266" s="241"/>
      <c r="BA266" s="241"/>
      <c r="BB266" s="241"/>
      <c r="BC266" s="241"/>
      <c r="BD266" s="241"/>
      <c r="BE266" s="241"/>
      <c r="BF266" s="241"/>
      <c r="BG266" s="241"/>
      <c r="BH266" s="241"/>
      <c r="BI266" s="241"/>
      <c r="BJ266" s="241"/>
      <c r="BK266" s="241"/>
      <c r="BL266" s="241"/>
      <c r="BM266" s="241"/>
      <c r="BN266" s="241"/>
      <c r="BO266" s="241"/>
      <c r="BP266" s="241"/>
      <c r="BQ266" s="241"/>
      <c r="BR266" s="241"/>
      <c r="BS266" s="241"/>
      <c r="BT266" s="241"/>
      <c r="BU266" s="241"/>
      <c r="BV266" s="241"/>
      <c r="BW266" s="241"/>
      <c r="BX266" s="241"/>
      <c r="BY266" s="241"/>
      <c r="BZ266" s="241"/>
      <c r="CA266" s="241"/>
      <c r="CB266" s="241"/>
      <c r="CC266" s="241"/>
      <c r="CD266" s="241"/>
      <c r="CE266" s="241"/>
      <c r="CF266" s="241"/>
      <c r="CG266" s="241"/>
      <c r="CH266" s="241"/>
      <c r="CI266" s="241"/>
      <c r="CJ266" s="241"/>
      <c r="CK266" s="241"/>
      <c r="CL266" s="241"/>
      <c r="CM266" s="241"/>
      <c r="CN266" s="241"/>
      <c r="CO266" s="241"/>
      <c r="CP266" s="241"/>
      <c r="CQ266" s="241"/>
      <c r="CR266" s="241"/>
      <c r="CS266" s="241"/>
      <c r="CT266" s="241"/>
      <c r="CU266" s="241"/>
      <c r="CV266" s="241"/>
      <c r="CW266" s="241"/>
      <c r="CX266" s="241"/>
      <c r="CY266" s="241"/>
      <c r="CZ266" s="241"/>
      <c r="DA266" s="241"/>
      <c r="DB266" s="241"/>
      <c r="DC266" s="241"/>
      <c r="DD266" s="241"/>
      <c r="DE266" s="241"/>
      <c r="DF266" s="241"/>
      <c r="DG266" s="241"/>
      <c r="DH266" s="241"/>
      <c r="DT266" s="241"/>
      <c r="DU266" s="395"/>
      <c r="DV266" s="395"/>
      <c r="DW266" s="395"/>
      <c r="DX266" s="395"/>
      <c r="DY266" s="395"/>
      <c r="DZ266" s="395"/>
      <c r="EA266" s="395"/>
      <c r="EB266" s="392"/>
      <c r="EC266" s="392"/>
      <c r="ED266" s="392"/>
      <c r="EE266" s="392"/>
      <c r="EF266" s="392"/>
      <c r="EG266" s="392"/>
      <c r="EH266" s="392"/>
      <c r="EI266" s="392"/>
      <c r="EJ266" s="392"/>
      <c r="EK266" s="392"/>
      <c r="EL266" s="392"/>
      <c r="FB266" s="241"/>
    </row>
    <row r="267" spans="3:158" s="182" customFormat="1" ht="9" hidden="1" customHeight="1" x14ac:dyDescent="0.25">
      <c r="C267" s="395"/>
      <c r="D267" s="241"/>
      <c r="E267" s="241"/>
      <c r="F267" s="241"/>
      <c r="G267" s="241"/>
      <c r="H267" s="241"/>
      <c r="I267" s="242"/>
      <c r="J267" s="241"/>
      <c r="K267" s="241"/>
      <c r="L267" s="241"/>
      <c r="M267" s="241"/>
      <c r="N267" s="242"/>
      <c r="O267" s="242"/>
      <c r="P267" s="242"/>
      <c r="Q267" s="242"/>
      <c r="R267" s="241"/>
      <c r="S267" s="241"/>
      <c r="T267" s="241"/>
      <c r="U267" s="241"/>
      <c r="V267" s="241"/>
      <c r="W267" s="241"/>
      <c r="X267" s="241"/>
      <c r="Y267" s="241"/>
      <c r="Z267" s="242"/>
      <c r="AA267" s="242"/>
      <c r="AB267" s="241"/>
      <c r="AC267" s="241"/>
      <c r="AD267" s="241"/>
      <c r="AE267" s="241"/>
      <c r="AF267" s="241"/>
      <c r="AG267" s="241"/>
      <c r="AH267" s="241"/>
      <c r="AI267" s="241"/>
      <c r="AJ267" s="274"/>
      <c r="AK267" s="241"/>
      <c r="AL267" s="241"/>
      <c r="AM267" s="241"/>
      <c r="AN267" s="241"/>
      <c r="AO267" s="241"/>
      <c r="AP267" s="241"/>
      <c r="AQ267" s="241"/>
      <c r="AR267" s="241"/>
      <c r="AS267" s="241"/>
      <c r="AT267" s="241"/>
      <c r="AU267" s="241"/>
      <c r="AV267" s="241"/>
      <c r="AW267" s="241"/>
      <c r="AX267" s="241"/>
      <c r="AY267" s="241"/>
      <c r="AZ267" s="241"/>
      <c r="BA267" s="241"/>
      <c r="BB267" s="241"/>
      <c r="BC267" s="241"/>
      <c r="BD267" s="241"/>
      <c r="BE267" s="241"/>
      <c r="BF267" s="241"/>
      <c r="BG267" s="241"/>
      <c r="BH267" s="241"/>
      <c r="BI267" s="241"/>
      <c r="BJ267" s="241"/>
      <c r="BK267" s="241"/>
      <c r="BL267" s="241"/>
      <c r="BM267" s="241"/>
      <c r="BN267" s="241"/>
      <c r="BO267" s="241"/>
      <c r="BP267" s="241"/>
      <c r="BQ267" s="241"/>
      <c r="BR267" s="241"/>
      <c r="BS267" s="241"/>
      <c r="BT267" s="241"/>
      <c r="BU267" s="241"/>
      <c r="BV267" s="241"/>
      <c r="BW267" s="241"/>
      <c r="BX267" s="241"/>
      <c r="BY267" s="241"/>
      <c r="BZ267" s="241"/>
      <c r="CA267" s="241"/>
      <c r="CB267" s="241"/>
      <c r="CC267" s="241"/>
      <c r="CD267" s="241"/>
      <c r="CE267" s="241"/>
      <c r="CF267" s="241"/>
      <c r="CG267" s="241"/>
      <c r="CH267" s="241"/>
      <c r="CI267" s="241"/>
      <c r="CJ267" s="241"/>
      <c r="CK267" s="241"/>
      <c r="CL267" s="241"/>
      <c r="CM267" s="241"/>
      <c r="CN267" s="241"/>
      <c r="CO267" s="241"/>
      <c r="CP267" s="241"/>
      <c r="CQ267" s="241"/>
      <c r="CR267" s="241"/>
      <c r="CS267" s="241"/>
      <c r="CT267" s="241"/>
      <c r="CU267" s="241"/>
      <c r="CV267" s="241"/>
      <c r="CW267" s="241"/>
      <c r="CX267" s="241"/>
      <c r="CY267" s="241"/>
      <c r="CZ267" s="241"/>
      <c r="DA267" s="241"/>
      <c r="DB267" s="241"/>
      <c r="DC267" s="241"/>
      <c r="DD267" s="241"/>
      <c r="DE267" s="241"/>
      <c r="DF267" s="241"/>
      <c r="DG267" s="241"/>
      <c r="DH267" s="241"/>
      <c r="DU267" s="395"/>
      <c r="DV267" s="395"/>
      <c r="DW267" s="395"/>
      <c r="DX267" s="395"/>
      <c r="DY267" s="395"/>
      <c r="DZ267" s="395"/>
      <c r="EA267" s="395"/>
      <c r="EB267" s="392"/>
      <c r="EC267" s="392"/>
      <c r="ED267" s="392"/>
      <c r="EE267" s="392"/>
      <c r="EF267" s="392"/>
      <c r="EG267" s="392"/>
      <c r="EH267" s="392"/>
      <c r="EI267" s="392"/>
      <c r="EJ267" s="392"/>
      <c r="EK267" s="392"/>
      <c r="EL267" s="392"/>
    </row>
    <row r="268" spans="3:158" s="182" customFormat="1" hidden="1" x14ac:dyDescent="0.25">
      <c r="C268" s="395"/>
      <c r="I268" s="184"/>
      <c r="N268" s="184"/>
      <c r="O268" s="184"/>
      <c r="P268" s="184"/>
      <c r="Q268" s="184"/>
      <c r="Z268" s="184"/>
      <c r="AA268" s="184"/>
      <c r="AJ268" s="185"/>
      <c r="DU268" s="395"/>
      <c r="DV268" s="395"/>
      <c r="DW268" s="395"/>
      <c r="DX268" s="395"/>
      <c r="DY268" s="395"/>
      <c r="DZ268" s="395"/>
      <c r="EA268" s="395"/>
      <c r="EB268" s="392"/>
      <c r="EC268" s="392"/>
      <c r="ED268" s="392"/>
      <c r="EE268" s="392"/>
      <c r="EF268" s="392"/>
      <c r="EG268" s="392"/>
      <c r="EH268" s="392"/>
      <c r="EI268" s="392"/>
      <c r="EJ268" s="392"/>
      <c r="EK268" s="392"/>
      <c r="EL268" s="392"/>
    </row>
    <row r="269" spans="3:158" s="182" customFormat="1" hidden="1" x14ac:dyDescent="0.25">
      <c r="C269" s="395"/>
      <c r="I269" s="184"/>
      <c r="N269" s="184"/>
      <c r="O269" s="184"/>
      <c r="P269" s="184"/>
      <c r="Q269" s="184"/>
      <c r="Z269" s="184"/>
      <c r="AA269" s="184"/>
      <c r="AJ269" s="185"/>
      <c r="DU269" s="395"/>
      <c r="DV269" s="395"/>
      <c r="DW269" s="395"/>
      <c r="DX269" s="395"/>
      <c r="DY269" s="395"/>
      <c r="DZ269" s="395"/>
      <c r="EA269" s="395"/>
      <c r="EB269" s="392"/>
      <c r="EC269" s="392"/>
      <c r="ED269" s="392"/>
      <c r="EE269" s="392"/>
      <c r="EF269" s="392"/>
      <c r="EG269" s="392"/>
      <c r="EH269" s="392"/>
      <c r="EI269" s="392"/>
      <c r="EJ269" s="392"/>
      <c r="EK269" s="392"/>
      <c r="EL269" s="392"/>
    </row>
    <row r="270" spans="3:158" s="182" customFormat="1" hidden="1" x14ac:dyDescent="0.25">
      <c r="C270" s="395"/>
      <c r="I270" s="184"/>
      <c r="M270" s="414" t="s">
        <v>40</v>
      </c>
      <c r="N270" s="414"/>
      <c r="O270" s="414"/>
      <c r="P270" s="414"/>
      <c r="Q270" s="411" t="s">
        <v>10</v>
      </c>
      <c r="R270" s="412"/>
      <c r="S270" s="412"/>
      <c r="T270" s="413"/>
      <c r="Z270" s="184"/>
      <c r="AA270" s="184"/>
      <c r="AJ270" s="185"/>
      <c r="DU270" s="395"/>
      <c r="DV270" s="395"/>
      <c r="DW270" s="395"/>
      <c r="DX270" s="395"/>
      <c r="DY270" s="395"/>
      <c r="DZ270" s="395"/>
      <c r="EA270" s="395"/>
      <c r="EB270" s="392"/>
      <c r="EC270" s="392"/>
      <c r="ED270" s="392"/>
      <c r="EE270" s="392"/>
      <c r="EF270" s="392"/>
      <c r="EG270" s="392"/>
      <c r="EH270" s="392"/>
      <c r="EI270" s="392"/>
      <c r="EJ270" s="392"/>
      <c r="EK270" s="392"/>
      <c r="EL270" s="392"/>
    </row>
    <row r="271" spans="3:158" s="182" customFormat="1" hidden="1" x14ac:dyDescent="0.25">
      <c r="C271" s="395"/>
      <c r="I271" s="184"/>
      <c r="N271" s="184"/>
      <c r="O271" s="184"/>
      <c r="P271" s="184"/>
      <c r="Q271" s="184"/>
      <c r="Z271" s="184"/>
      <c r="AA271" s="184"/>
      <c r="AJ271" s="185"/>
      <c r="DU271" s="395"/>
      <c r="DV271" s="395"/>
      <c r="DW271" s="395"/>
      <c r="DX271" s="395"/>
      <c r="DY271" s="395"/>
      <c r="DZ271" s="395"/>
      <c r="EA271" s="395"/>
      <c r="EB271" s="392"/>
      <c r="EC271" s="392"/>
      <c r="ED271" s="392"/>
      <c r="EE271" s="392"/>
      <c r="EF271" s="392"/>
      <c r="EG271" s="392"/>
      <c r="EH271" s="392"/>
      <c r="EI271" s="392"/>
      <c r="EJ271" s="392"/>
      <c r="EK271" s="392"/>
      <c r="EL271" s="392"/>
    </row>
    <row r="272" spans="3:158" s="182" customFormat="1" hidden="1" x14ac:dyDescent="0.25">
      <c r="C272" s="395"/>
      <c r="E272" s="437" t="s">
        <v>138</v>
      </c>
      <c r="F272" s="438"/>
      <c r="G272" s="438"/>
      <c r="H272" s="438"/>
      <c r="I272" s="439"/>
      <c r="J272" s="260">
        <f>AM32</f>
        <v>0</v>
      </c>
      <c r="N272" s="184"/>
      <c r="O272" s="184"/>
      <c r="P272" s="184"/>
      <c r="Q272" s="184"/>
      <c r="Z272" s="184"/>
      <c r="AA272" s="184"/>
      <c r="AJ272" s="185"/>
      <c r="DU272" s="395"/>
      <c r="DV272" s="395"/>
      <c r="DW272" s="395"/>
      <c r="DX272" s="395"/>
      <c r="DY272" s="395"/>
      <c r="DZ272" s="395"/>
      <c r="EA272" s="395"/>
      <c r="EB272" s="392"/>
      <c r="EC272" s="392"/>
      <c r="ED272" s="392"/>
      <c r="EE272" s="392"/>
      <c r="EF272" s="392"/>
      <c r="EG272" s="392"/>
      <c r="EH272" s="392"/>
      <c r="EI272" s="392"/>
      <c r="EJ272" s="392"/>
      <c r="EK272" s="392"/>
      <c r="EL272" s="392"/>
    </row>
    <row r="273" spans="3:142" s="182" customFormat="1" hidden="1" x14ac:dyDescent="0.25">
      <c r="C273" s="395"/>
      <c r="I273" s="184"/>
      <c r="N273" s="184"/>
      <c r="O273" s="184"/>
      <c r="P273" s="184"/>
      <c r="Q273" s="184"/>
      <c r="Z273" s="184"/>
      <c r="AA273" s="184"/>
      <c r="AJ273" s="185"/>
      <c r="DU273" s="395"/>
      <c r="DV273" s="395"/>
      <c r="DW273" s="395"/>
      <c r="DX273" s="395"/>
      <c r="DY273" s="395"/>
      <c r="DZ273" s="395"/>
      <c r="EA273" s="395"/>
      <c r="EB273" s="392"/>
      <c r="EC273" s="392"/>
      <c r="ED273" s="392"/>
      <c r="EE273" s="392"/>
      <c r="EF273" s="392"/>
      <c r="EG273" s="392"/>
      <c r="EH273" s="392"/>
      <c r="EI273" s="392"/>
      <c r="EJ273" s="392"/>
      <c r="EK273" s="392"/>
      <c r="EL273" s="392"/>
    </row>
    <row r="274" spans="3:142" s="182" customFormat="1" hidden="1" x14ac:dyDescent="0.25">
      <c r="C274" s="395"/>
      <c r="I274" s="184"/>
      <c r="N274" s="184"/>
      <c r="O274" s="184"/>
      <c r="P274" s="184"/>
      <c r="Q274" s="184"/>
      <c r="Z274" s="184"/>
      <c r="AA274" s="184"/>
      <c r="AJ274" s="185"/>
      <c r="DU274" s="395"/>
      <c r="DV274" s="395"/>
      <c r="DW274" s="395"/>
      <c r="DX274" s="395"/>
      <c r="DY274" s="395"/>
      <c r="DZ274" s="395"/>
      <c r="EA274" s="395"/>
      <c r="EB274" s="392"/>
      <c r="EC274" s="392"/>
      <c r="ED274" s="392"/>
      <c r="EE274" s="392"/>
      <c r="EF274" s="392"/>
      <c r="EG274" s="392"/>
      <c r="EH274" s="392"/>
      <c r="EI274" s="392"/>
      <c r="EJ274" s="392"/>
      <c r="EK274" s="392"/>
      <c r="EL274" s="392"/>
    </row>
    <row r="275" spans="3:142" s="182" customFormat="1" hidden="1" x14ac:dyDescent="0.25">
      <c r="C275" s="395"/>
      <c r="I275" s="184"/>
      <c r="N275" s="184"/>
      <c r="O275" s="184"/>
      <c r="P275" s="184"/>
      <c r="Q275" s="184"/>
      <c r="Z275" s="184"/>
      <c r="AA275" s="184"/>
      <c r="AJ275" s="185"/>
      <c r="DU275" s="395"/>
      <c r="DV275" s="395"/>
      <c r="DW275" s="395"/>
      <c r="DX275" s="395"/>
      <c r="DY275" s="395"/>
      <c r="DZ275" s="395"/>
      <c r="EA275" s="395"/>
      <c r="EB275" s="392"/>
      <c r="EC275" s="392"/>
      <c r="ED275" s="392"/>
      <c r="EE275" s="392"/>
      <c r="EF275" s="392"/>
      <c r="EG275" s="392"/>
      <c r="EH275" s="392"/>
      <c r="EI275" s="392"/>
      <c r="EJ275" s="392"/>
      <c r="EK275" s="392"/>
      <c r="EL275" s="392"/>
    </row>
    <row r="276" spans="3:142" s="182" customFormat="1" hidden="1" x14ac:dyDescent="0.25">
      <c r="C276" s="395"/>
      <c r="I276" s="184"/>
      <c r="N276" s="184"/>
      <c r="O276" s="184"/>
      <c r="P276" s="184"/>
      <c r="Q276" s="184"/>
      <c r="Z276" s="184"/>
      <c r="AA276" s="184"/>
      <c r="AJ276" s="185"/>
      <c r="DU276" s="395"/>
      <c r="DV276" s="395"/>
      <c r="DW276" s="395"/>
      <c r="DX276" s="395"/>
      <c r="DY276" s="395"/>
      <c r="DZ276" s="395"/>
      <c r="EA276" s="395"/>
      <c r="EB276" s="392"/>
      <c r="EC276" s="392"/>
      <c r="ED276" s="392"/>
      <c r="EE276" s="392"/>
      <c r="EF276" s="392"/>
      <c r="EG276" s="392"/>
      <c r="EH276" s="392"/>
      <c r="EI276" s="392"/>
      <c r="EJ276" s="392"/>
      <c r="EK276" s="392"/>
      <c r="EL276" s="392"/>
    </row>
    <row r="277" spans="3:142" s="182" customFormat="1" hidden="1" x14ac:dyDescent="0.25">
      <c r="C277" s="395"/>
      <c r="E277" s="240">
        <f>Hoja9!C23</f>
        <v>3837695.1727245916</v>
      </c>
      <c r="I277" s="184"/>
      <c r="N277" s="184"/>
      <c r="O277" s="184"/>
      <c r="P277" s="184"/>
      <c r="Q277" s="184"/>
      <c r="Z277" s="184"/>
      <c r="AA277" s="184"/>
      <c r="AJ277" s="185"/>
      <c r="DU277" s="395"/>
      <c r="DV277" s="395"/>
      <c r="DW277" s="395"/>
      <c r="DX277" s="395"/>
      <c r="DY277" s="395"/>
      <c r="DZ277" s="395"/>
      <c r="EA277" s="395"/>
      <c r="EB277" s="392"/>
      <c r="EC277" s="392"/>
      <c r="ED277" s="392"/>
      <c r="EE277" s="392"/>
      <c r="EF277" s="392"/>
      <c r="EG277" s="392"/>
      <c r="EH277" s="392"/>
      <c r="EI277" s="392"/>
      <c r="EJ277" s="392"/>
      <c r="EK277" s="392"/>
      <c r="EL277" s="392"/>
    </row>
    <row r="278" spans="3:142" s="182" customFormat="1" hidden="1" x14ac:dyDescent="0.25">
      <c r="C278" s="395"/>
      <c r="E278" s="329">
        <f>Hoja5!G11+R7+Hoja5!M21</f>
        <v>-101584.14558567852</v>
      </c>
      <c r="I278" s="184"/>
      <c r="N278" s="184"/>
      <c r="O278" s="184"/>
      <c r="P278" s="184"/>
      <c r="Q278" s="184"/>
      <c r="Z278" s="184"/>
      <c r="AA278" s="184"/>
      <c r="AJ278" s="185"/>
      <c r="DU278" s="395"/>
      <c r="DV278" s="395"/>
      <c r="DW278" s="395"/>
      <c r="DX278" s="395"/>
      <c r="DY278" s="395"/>
      <c r="DZ278" s="395"/>
      <c r="EA278" s="395"/>
      <c r="EB278" s="392"/>
      <c r="EC278" s="392"/>
      <c r="ED278" s="392"/>
      <c r="EE278" s="392"/>
      <c r="EF278" s="392"/>
      <c r="EG278" s="392"/>
      <c r="EH278" s="392"/>
      <c r="EI278" s="392"/>
      <c r="EJ278" s="392"/>
      <c r="EK278" s="392"/>
      <c r="EL278" s="392"/>
    </row>
    <row r="279" spans="3:142" s="182" customFormat="1" hidden="1" x14ac:dyDescent="0.25">
      <c r="C279" s="395"/>
      <c r="I279" s="184"/>
      <c r="N279" s="184"/>
      <c r="O279" s="184"/>
      <c r="P279" s="184"/>
      <c r="Q279" s="184"/>
      <c r="Z279" s="184"/>
      <c r="AA279" s="184"/>
      <c r="AJ279" s="185"/>
      <c r="DU279" s="395"/>
      <c r="DV279" s="395"/>
      <c r="DW279" s="395"/>
      <c r="DX279" s="395"/>
      <c r="DY279" s="395"/>
      <c r="DZ279" s="395"/>
      <c r="EA279" s="395"/>
      <c r="EB279" s="392"/>
      <c r="EC279" s="392"/>
      <c r="ED279" s="392"/>
      <c r="EE279" s="392"/>
      <c r="EF279" s="392"/>
      <c r="EG279" s="392"/>
      <c r="EH279" s="392"/>
      <c r="EI279" s="392"/>
      <c r="EJ279" s="392"/>
      <c r="EK279" s="392"/>
      <c r="EL279" s="392"/>
    </row>
    <row r="280" spans="3:142" s="182" customFormat="1" hidden="1" x14ac:dyDescent="0.25">
      <c r="C280" s="395"/>
      <c r="I280" s="184"/>
      <c r="N280" s="184"/>
      <c r="O280" s="184"/>
      <c r="P280" s="184"/>
      <c r="Q280" s="184"/>
      <c r="Z280" s="184"/>
      <c r="AA280" s="184"/>
      <c r="AJ280" s="185"/>
      <c r="DU280" s="395"/>
      <c r="DV280" s="395"/>
      <c r="DW280" s="395"/>
      <c r="DX280" s="395"/>
      <c r="DY280" s="395"/>
      <c r="DZ280" s="395"/>
      <c r="EA280" s="395"/>
      <c r="EB280" s="392"/>
      <c r="EC280" s="392"/>
      <c r="ED280" s="392"/>
      <c r="EE280" s="392"/>
      <c r="EF280" s="392"/>
      <c r="EG280" s="392"/>
      <c r="EH280" s="392"/>
      <c r="EI280" s="392"/>
      <c r="EJ280" s="392"/>
      <c r="EK280" s="392"/>
      <c r="EL280" s="392"/>
    </row>
    <row r="281" spans="3:142" s="182" customFormat="1" hidden="1" x14ac:dyDescent="0.25">
      <c r="C281" s="395"/>
      <c r="I281" s="184"/>
      <c r="N281" s="184"/>
      <c r="O281" s="184"/>
      <c r="P281" s="184"/>
      <c r="Q281" s="184"/>
      <c r="Z281" s="184"/>
      <c r="AA281" s="184"/>
      <c r="AJ281" s="185"/>
      <c r="DU281" s="395"/>
      <c r="DV281" s="395"/>
      <c r="DW281" s="395"/>
      <c r="DX281" s="395"/>
      <c r="DY281" s="395"/>
      <c r="DZ281" s="395"/>
      <c r="EA281" s="395"/>
      <c r="EB281" s="392"/>
      <c r="EC281" s="392"/>
      <c r="ED281" s="392"/>
      <c r="EE281" s="392"/>
      <c r="EF281" s="392"/>
      <c r="EG281" s="392"/>
      <c r="EH281" s="392"/>
      <c r="EI281" s="392"/>
      <c r="EJ281" s="392"/>
      <c r="EK281" s="392"/>
      <c r="EL281" s="392"/>
    </row>
    <row r="282" spans="3:142" s="182" customFormat="1" hidden="1" x14ac:dyDescent="0.25">
      <c r="C282" s="395"/>
      <c r="I282" s="184"/>
      <c r="N282" s="184"/>
      <c r="O282" s="184"/>
      <c r="P282" s="184"/>
      <c r="Q282" s="184"/>
      <c r="Z282" s="184"/>
      <c r="AA282" s="184"/>
      <c r="AJ282" s="185"/>
      <c r="DU282" s="395"/>
      <c r="DV282" s="395"/>
      <c r="DW282" s="395"/>
      <c r="DX282" s="395"/>
      <c r="DY282" s="395"/>
      <c r="DZ282" s="395"/>
      <c r="EA282" s="395"/>
      <c r="EB282" s="392"/>
      <c r="EC282" s="392"/>
      <c r="ED282" s="392"/>
      <c r="EE282" s="392"/>
      <c r="EF282" s="392"/>
      <c r="EG282" s="392"/>
      <c r="EH282" s="392"/>
      <c r="EI282" s="392"/>
      <c r="EJ282" s="392"/>
      <c r="EK282" s="392"/>
      <c r="EL282" s="392"/>
    </row>
    <row r="283" spans="3:142" s="182" customFormat="1" hidden="1" x14ac:dyDescent="0.25">
      <c r="C283" s="395"/>
      <c r="I283" s="184"/>
      <c r="N283" s="184"/>
      <c r="O283" s="184"/>
      <c r="P283" s="184"/>
      <c r="Q283" s="184"/>
      <c r="Z283" s="184"/>
      <c r="AA283" s="184"/>
      <c r="AJ283" s="185"/>
      <c r="DU283" s="395"/>
      <c r="DV283" s="395"/>
      <c r="DW283" s="395"/>
      <c r="DX283" s="395"/>
      <c r="DY283" s="395"/>
      <c r="DZ283" s="395"/>
      <c r="EA283" s="395"/>
      <c r="EB283" s="392"/>
      <c r="EC283" s="392"/>
      <c r="ED283" s="392"/>
      <c r="EE283" s="392"/>
      <c r="EF283" s="392"/>
      <c r="EG283" s="392"/>
      <c r="EH283" s="392"/>
      <c r="EI283" s="392"/>
      <c r="EJ283" s="392"/>
      <c r="EK283" s="392"/>
      <c r="EL283" s="392"/>
    </row>
    <row r="284" spans="3:142" s="182" customFormat="1" hidden="1" x14ac:dyDescent="0.25">
      <c r="C284" s="395"/>
      <c r="I284" s="184"/>
      <c r="N284" s="184"/>
      <c r="O284" s="184"/>
      <c r="P284" s="184"/>
      <c r="Q284" s="184"/>
      <c r="Z284" s="184"/>
      <c r="AA284" s="184"/>
      <c r="AJ284" s="185"/>
      <c r="DU284" s="395"/>
      <c r="DV284" s="395"/>
      <c r="DW284" s="395"/>
      <c r="DX284" s="395"/>
      <c r="DY284" s="395"/>
      <c r="DZ284" s="395"/>
      <c r="EA284" s="395"/>
      <c r="EB284" s="392"/>
      <c r="EC284" s="392"/>
      <c r="ED284" s="392"/>
      <c r="EE284" s="392"/>
      <c r="EF284" s="392"/>
      <c r="EG284" s="392"/>
      <c r="EH284" s="392"/>
      <c r="EI284" s="392"/>
      <c r="EJ284" s="392"/>
      <c r="EK284" s="392"/>
      <c r="EL284" s="392"/>
    </row>
    <row r="285" spans="3:142" s="182" customFormat="1" hidden="1" x14ac:dyDescent="0.25">
      <c r="C285" s="395"/>
      <c r="I285" s="184"/>
      <c r="N285" s="184"/>
      <c r="O285" s="184"/>
      <c r="P285" s="184"/>
      <c r="Q285" s="184"/>
      <c r="Z285" s="184"/>
      <c r="AA285" s="184"/>
      <c r="AJ285" s="185"/>
      <c r="DU285" s="395"/>
      <c r="DV285" s="395"/>
      <c r="DW285" s="395"/>
      <c r="DX285" s="395"/>
      <c r="DY285" s="395"/>
      <c r="DZ285" s="395"/>
      <c r="EA285" s="395"/>
      <c r="EB285" s="392"/>
      <c r="EC285" s="392"/>
      <c r="ED285" s="392"/>
      <c r="EE285" s="392"/>
      <c r="EF285" s="392"/>
      <c r="EG285" s="392"/>
      <c r="EH285" s="392"/>
      <c r="EI285" s="392"/>
      <c r="EJ285" s="392"/>
      <c r="EK285" s="392"/>
      <c r="EL285" s="392"/>
    </row>
    <row r="286" spans="3:142" s="182" customFormat="1" hidden="1" x14ac:dyDescent="0.25">
      <c r="C286" s="395"/>
      <c r="I286" s="184"/>
      <c r="N286" s="184"/>
      <c r="O286" s="184"/>
      <c r="P286" s="184"/>
      <c r="Q286" s="184"/>
      <c r="Z286" s="184"/>
      <c r="AA286" s="184"/>
      <c r="AJ286" s="185"/>
      <c r="DU286" s="395"/>
      <c r="DV286" s="395"/>
      <c r="DW286" s="395"/>
      <c r="DX286" s="395"/>
      <c r="DY286" s="395"/>
      <c r="DZ286" s="395"/>
      <c r="EA286" s="395"/>
      <c r="EB286" s="392"/>
      <c r="EC286" s="392"/>
      <c r="ED286" s="392"/>
      <c r="EE286" s="392"/>
      <c r="EF286" s="392"/>
      <c r="EG286" s="392"/>
      <c r="EH286" s="392"/>
      <c r="EI286" s="392"/>
      <c r="EJ286" s="392"/>
      <c r="EK286" s="392"/>
      <c r="EL286" s="392"/>
    </row>
    <row r="287" spans="3:142" s="182" customFormat="1" hidden="1" x14ac:dyDescent="0.25">
      <c r="C287" s="395"/>
      <c r="I287" s="184"/>
      <c r="N287" s="184"/>
      <c r="O287" s="184"/>
      <c r="P287" s="184"/>
      <c r="Q287" s="184"/>
      <c r="Z287" s="184"/>
      <c r="AA287" s="184"/>
      <c r="AJ287" s="185"/>
      <c r="DU287" s="395"/>
      <c r="DV287" s="395"/>
      <c r="DW287" s="395"/>
      <c r="DX287" s="395"/>
      <c r="DY287" s="395"/>
      <c r="DZ287" s="395"/>
      <c r="EA287" s="395"/>
      <c r="EB287" s="392"/>
      <c r="EC287" s="392"/>
      <c r="ED287" s="392"/>
      <c r="EE287" s="392"/>
      <c r="EF287" s="392"/>
      <c r="EG287" s="392"/>
      <c r="EH287" s="392"/>
      <c r="EI287" s="392"/>
      <c r="EJ287" s="392"/>
      <c r="EK287" s="392"/>
      <c r="EL287" s="392"/>
    </row>
    <row r="288" spans="3:142" s="182" customFormat="1" hidden="1" x14ac:dyDescent="0.25">
      <c r="C288" s="395"/>
      <c r="I288" s="184"/>
      <c r="N288" s="184"/>
      <c r="O288" s="184"/>
      <c r="P288" s="184"/>
      <c r="Q288" s="184"/>
      <c r="Z288" s="184"/>
      <c r="AA288" s="184"/>
      <c r="AJ288" s="185"/>
      <c r="DU288" s="395"/>
      <c r="DV288" s="395"/>
      <c r="DW288" s="395"/>
      <c r="DX288" s="395"/>
      <c r="DY288" s="395"/>
      <c r="DZ288" s="395"/>
      <c r="EA288" s="395"/>
      <c r="EB288" s="392"/>
      <c r="EC288" s="392"/>
      <c r="ED288" s="392"/>
      <c r="EE288" s="392"/>
      <c r="EF288" s="392"/>
      <c r="EG288" s="392"/>
      <c r="EH288" s="392"/>
      <c r="EI288" s="392"/>
      <c r="EJ288" s="392"/>
      <c r="EK288" s="392"/>
      <c r="EL288" s="392"/>
    </row>
    <row r="289" spans="3:142" s="182" customFormat="1" hidden="1" x14ac:dyDescent="0.25">
      <c r="C289" s="395"/>
      <c r="I289" s="184"/>
      <c r="N289" s="184"/>
      <c r="O289" s="184"/>
      <c r="P289" s="184"/>
      <c r="Q289" s="184"/>
      <c r="Z289" s="184"/>
      <c r="AA289" s="184"/>
      <c r="AJ289" s="185"/>
      <c r="DU289" s="395"/>
      <c r="DV289" s="395"/>
      <c r="DW289" s="395"/>
      <c r="DX289" s="395"/>
      <c r="DY289" s="395"/>
      <c r="DZ289" s="395"/>
      <c r="EA289" s="395"/>
      <c r="EB289" s="392"/>
      <c r="EC289" s="392"/>
      <c r="ED289" s="392"/>
      <c r="EE289" s="392"/>
      <c r="EF289" s="392"/>
      <c r="EG289" s="392"/>
      <c r="EH289" s="392"/>
      <c r="EI289" s="392"/>
      <c r="EJ289" s="392"/>
      <c r="EK289" s="392"/>
      <c r="EL289" s="392"/>
    </row>
    <row r="290" spans="3:142" s="182" customFormat="1" hidden="1" x14ac:dyDescent="0.25">
      <c r="C290" s="395"/>
      <c r="I290" s="184"/>
      <c r="N290" s="184"/>
      <c r="O290" s="184"/>
      <c r="P290" s="184"/>
      <c r="Q290" s="184"/>
      <c r="Z290" s="184"/>
      <c r="AA290" s="184"/>
      <c r="AJ290" s="185"/>
      <c r="DU290" s="395"/>
      <c r="DV290" s="395"/>
      <c r="DW290" s="395"/>
      <c r="DX290" s="395"/>
      <c r="DY290" s="395"/>
      <c r="DZ290" s="395"/>
      <c r="EA290" s="395"/>
      <c r="EB290" s="392"/>
      <c r="EC290" s="392"/>
      <c r="ED290" s="392"/>
      <c r="EE290" s="392"/>
      <c r="EF290" s="392"/>
      <c r="EG290" s="392"/>
      <c r="EH290" s="392"/>
      <c r="EI290" s="392"/>
      <c r="EJ290" s="392"/>
      <c r="EK290" s="392"/>
      <c r="EL290" s="392"/>
    </row>
    <row r="291" spans="3:142" s="182" customFormat="1" hidden="1" x14ac:dyDescent="0.25">
      <c r="C291" s="395"/>
      <c r="I291" s="184"/>
      <c r="N291" s="184"/>
      <c r="O291" s="184"/>
      <c r="P291" s="184"/>
      <c r="Q291" s="184"/>
      <c r="Z291" s="184"/>
      <c r="AA291" s="184"/>
      <c r="AJ291" s="185"/>
      <c r="DU291" s="395"/>
      <c r="DV291" s="395"/>
      <c r="DW291" s="395"/>
      <c r="DX291" s="395"/>
      <c r="DY291" s="395"/>
      <c r="DZ291" s="395"/>
      <c r="EA291" s="395"/>
      <c r="EB291" s="392"/>
      <c r="EC291" s="392"/>
      <c r="ED291" s="392"/>
      <c r="EE291" s="392"/>
      <c r="EF291" s="392"/>
      <c r="EG291" s="392"/>
      <c r="EH291" s="392"/>
      <c r="EI291" s="392"/>
      <c r="EJ291" s="392"/>
      <c r="EK291" s="392"/>
      <c r="EL291" s="392"/>
    </row>
    <row r="292" spans="3:142" s="182" customFormat="1" hidden="1" x14ac:dyDescent="0.25">
      <c r="C292" s="395"/>
      <c r="I292" s="184"/>
      <c r="N292" s="184"/>
      <c r="O292" s="184"/>
      <c r="P292" s="184"/>
      <c r="Q292" s="184"/>
      <c r="Z292" s="184"/>
      <c r="AA292" s="184"/>
      <c r="AJ292" s="185"/>
      <c r="DU292" s="395"/>
      <c r="DV292" s="395"/>
      <c r="DW292" s="395"/>
      <c r="DX292" s="395"/>
      <c r="DY292" s="395"/>
      <c r="DZ292" s="395"/>
      <c r="EA292" s="395"/>
      <c r="EB292" s="392"/>
      <c r="EC292" s="392"/>
      <c r="ED292" s="392"/>
      <c r="EE292" s="392"/>
      <c r="EF292" s="392"/>
      <c r="EG292" s="392"/>
      <c r="EH292" s="392"/>
      <c r="EI292" s="392"/>
      <c r="EJ292" s="392"/>
      <c r="EK292" s="392"/>
      <c r="EL292" s="392"/>
    </row>
    <row r="293" spans="3:142" s="182" customFormat="1" hidden="1" x14ac:dyDescent="0.25">
      <c r="C293" s="395"/>
      <c r="I293" s="184"/>
      <c r="N293" s="184"/>
      <c r="O293" s="184"/>
      <c r="P293" s="184"/>
      <c r="Q293" s="184"/>
      <c r="Z293" s="184"/>
      <c r="AA293" s="184"/>
      <c r="AJ293" s="185"/>
      <c r="DU293" s="395"/>
      <c r="DV293" s="395"/>
      <c r="DW293" s="395"/>
      <c r="DX293" s="395"/>
      <c r="DY293" s="395"/>
      <c r="DZ293" s="395"/>
      <c r="EA293" s="395"/>
      <c r="EB293" s="392"/>
      <c r="EC293" s="392"/>
      <c r="ED293" s="392"/>
      <c r="EE293" s="392"/>
      <c r="EF293" s="392"/>
      <c r="EG293" s="392"/>
      <c r="EH293" s="392"/>
      <c r="EI293" s="392"/>
      <c r="EJ293" s="392"/>
      <c r="EK293" s="392"/>
      <c r="EL293" s="392"/>
    </row>
    <row r="294" spans="3:142" s="182" customFormat="1" hidden="1" x14ac:dyDescent="0.25">
      <c r="C294" s="395"/>
      <c r="I294" s="184"/>
      <c r="N294" s="184"/>
      <c r="O294" s="184"/>
      <c r="P294" s="184"/>
      <c r="Q294" s="184"/>
      <c r="Z294" s="184"/>
      <c r="AA294" s="184"/>
      <c r="AJ294" s="185"/>
      <c r="DU294" s="395"/>
      <c r="DV294" s="395"/>
      <c r="DW294" s="395"/>
      <c r="DX294" s="395"/>
      <c r="DY294" s="395"/>
      <c r="DZ294" s="395"/>
      <c r="EA294" s="395"/>
      <c r="EB294" s="392"/>
      <c r="EC294" s="392"/>
      <c r="ED294" s="392"/>
      <c r="EE294" s="392"/>
      <c r="EF294" s="392"/>
      <c r="EG294" s="392"/>
      <c r="EH294" s="392"/>
      <c r="EI294" s="392"/>
      <c r="EJ294" s="392"/>
      <c r="EK294" s="392"/>
      <c r="EL294" s="392"/>
    </row>
    <row r="295" spans="3:142" s="182" customFormat="1" hidden="1" x14ac:dyDescent="0.25">
      <c r="C295" s="395"/>
      <c r="I295" s="184"/>
      <c r="N295" s="184"/>
      <c r="O295" s="184"/>
      <c r="P295" s="184"/>
      <c r="Q295" s="184"/>
      <c r="Z295" s="184"/>
      <c r="AA295" s="184"/>
      <c r="AJ295" s="185"/>
      <c r="DU295" s="395"/>
      <c r="DV295" s="395"/>
      <c r="DW295" s="395"/>
      <c r="DX295" s="395"/>
      <c r="DY295" s="395"/>
      <c r="DZ295" s="395"/>
      <c r="EA295" s="395"/>
      <c r="EB295" s="392"/>
      <c r="EC295" s="392"/>
      <c r="ED295" s="392"/>
      <c r="EE295" s="392"/>
      <c r="EF295" s="392"/>
      <c r="EG295" s="392"/>
      <c r="EH295" s="392"/>
      <c r="EI295" s="392"/>
      <c r="EJ295" s="392"/>
      <c r="EK295" s="392"/>
      <c r="EL295" s="392"/>
    </row>
    <row r="296" spans="3:142" s="182" customFormat="1" hidden="1" x14ac:dyDescent="0.25">
      <c r="C296" s="395"/>
      <c r="I296" s="184"/>
      <c r="N296" s="184"/>
      <c r="O296" s="184"/>
      <c r="P296" s="184"/>
      <c r="Q296" s="184"/>
      <c r="Z296" s="184"/>
      <c r="AA296" s="184"/>
      <c r="AJ296" s="185"/>
      <c r="DU296" s="395"/>
      <c r="DV296" s="395"/>
      <c r="DW296" s="395"/>
      <c r="DX296" s="395"/>
      <c r="DY296" s="395"/>
      <c r="DZ296" s="395"/>
      <c r="EA296" s="395"/>
      <c r="EB296" s="392"/>
      <c r="EC296" s="392"/>
      <c r="ED296" s="392"/>
      <c r="EE296" s="392"/>
      <c r="EF296" s="392"/>
      <c r="EG296" s="392"/>
      <c r="EH296" s="392"/>
      <c r="EI296" s="392"/>
      <c r="EJ296" s="392"/>
      <c r="EK296" s="392"/>
      <c r="EL296" s="392"/>
    </row>
    <row r="297" spans="3:142" s="182" customFormat="1" hidden="1" x14ac:dyDescent="0.25">
      <c r="C297" s="395"/>
      <c r="I297" s="184"/>
      <c r="N297" s="184"/>
      <c r="O297" s="184"/>
      <c r="P297" s="184"/>
      <c r="Q297" s="184"/>
      <c r="Z297" s="184"/>
      <c r="AA297" s="184"/>
      <c r="AJ297" s="185"/>
      <c r="DU297" s="395"/>
      <c r="DV297" s="395"/>
      <c r="DW297" s="395"/>
      <c r="DX297" s="395"/>
      <c r="DY297" s="395"/>
      <c r="DZ297" s="395"/>
      <c r="EA297" s="395"/>
      <c r="EB297" s="392"/>
      <c r="EC297" s="392"/>
      <c r="ED297" s="392"/>
      <c r="EE297" s="392"/>
      <c r="EF297" s="392"/>
      <c r="EG297" s="392"/>
      <c r="EH297" s="392"/>
      <c r="EI297" s="392"/>
      <c r="EJ297" s="392"/>
      <c r="EK297" s="392"/>
      <c r="EL297" s="392"/>
    </row>
    <row r="298" spans="3:142" s="182" customFormat="1" hidden="1" x14ac:dyDescent="0.25">
      <c r="C298" s="395"/>
      <c r="I298" s="184"/>
      <c r="N298" s="184"/>
      <c r="O298" s="184"/>
      <c r="P298" s="184"/>
      <c r="Q298" s="184"/>
      <c r="Z298" s="184"/>
      <c r="AA298" s="184"/>
      <c r="AJ298" s="185"/>
      <c r="DU298" s="395"/>
      <c r="DV298" s="395"/>
      <c r="DW298" s="395"/>
      <c r="DX298" s="395"/>
      <c r="DY298" s="395"/>
      <c r="DZ298" s="395"/>
      <c r="EA298" s="395"/>
      <c r="EB298" s="392"/>
      <c r="EC298" s="392"/>
      <c r="ED298" s="392"/>
      <c r="EE298" s="392"/>
      <c r="EF298" s="392"/>
      <c r="EG298" s="392"/>
      <c r="EH298" s="392"/>
      <c r="EI298" s="392"/>
      <c r="EJ298" s="392"/>
      <c r="EK298" s="392"/>
      <c r="EL298" s="392"/>
    </row>
    <row r="299" spans="3:142" s="182" customFormat="1" hidden="1" x14ac:dyDescent="0.25">
      <c r="C299" s="395"/>
      <c r="I299" s="184"/>
      <c r="N299" s="184"/>
      <c r="O299" s="184"/>
      <c r="P299" s="184"/>
      <c r="Q299" s="184"/>
      <c r="Z299" s="184"/>
      <c r="AA299" s="184"/>
      <c r="AJ299" s="185"/>
      <c r="DU299" s="395"/>
      <c r="DV299" s="395"/>
      <c r="DW299" s="395"/>
      <c r="DX299" s="395"/>
      <c r="DY299" s="395"/>
      <c r="DZ299" s="395"/>
      <c r="EA299" s="395"/>
      <c r="EB299" s="392"/>
      <c r="EC299" s="392"/>
      <c r="ED299" s="392"/>
      <c r="EE299" s="392"/>
      <c r="EF299" s="392"/>
      <c r="EG299" s="392"/>
      <c r="EH299" s="392"/>
      <c r="EI299" s="392"/>
      <c r="EJ299" s="392"/>
      <c r="EK299" s="392"/>
      <c r="EL299" s="392"/>
    </row>
    <row r="300" spans="3:142" s="182" customFormat="1" hidden="1" x14ac:dyDescent="0.25">
      <c r="C300" s="395"/>
      <c r="I300" s="184"/>
      <c r="N300" s="184"/>
      <c r="O300" s="184"/>
      <c r="P300" s="184"/>
      <c r="Q300" s="184"/>
      <c r="Z300" s="184"/>
      <c r="AA300" s="184"/>
      <c r="AJ300" s="185"/>
      <c r="DU300" s="395"/>
      <c r="DV300" s="395"/>
      <c r="DW300" s="395"/>
      <c r="DX300" s="395"/>
      <c r="DY300" s="395"/>
      <c r="DZ300" s="395"/>
      <c r="EA300" s="395"/>
      <c r="EB300" s="392"/>
      <c r="EC300" s="392"/>
      <c r="ED300" s="392"/>
      <c r="EE300" s="392"/>
      <c r="EF300" s="392"/>
      <c r="EG300" s="392"/>
      <c r="EH300" s="392"/>
      <c r="EI300" s="392"/>
      <c r="EJ300" s="392"/>
      <c r="EK300" s="392"/>
      <c r="EL300" s="392"/>
    </row>
    <row r="301" spans="3:142" s="182" customFormat="1" hidden="1" x14ac:dyDescent="0.25">
      <c r="C301" s="395"/>
      <c r="I301" s="184"/>
      <c r="N301" s="184"/>
      <c r="O301" s="184"/>
      <c r="P301" s="184"/>
      <c r="Q301" s="184"/>
      <c r="Z301" s="184"/>
      <c r="AA301" s="184"/>
      <c r="AJ301" s="185"/>
      <c r="DU301" s="395"/>
      <c r="DV301" s="395"/>
      <c r="DW301" s="395"/>
      <c r="DX301" s="395"/>
      <c r="DY301" s="395"/>
      <c r="DZ301" s="395"/>
      <c r="EA301" s="395"/>
      <c r="EB301" s="392"/>
      <c r="EC301" s="392"/>
      <c r="ED301" s="392"/>
      <c r="EE301" s="392"/>
      <c r="EF301" s="392"/>
      <c r="EG301" s="392"/>
      <c r="EH301" s="392"/>
      <c r="EI301" s="392"/>
      <c r="EJ301" s="392"/>
      <c r="EK301" s="392"/>
      <c r="EL301" s="392"/>
    </row>
    <row r="302" spans="3:142" s="182" customFormat="1" hidden="1" x14ac:dyDescent="0.25">
      <c r="C302" s="395"/>
      <c r="I302" s="184"/>
      <c r="N302" s="184"/>
      <c r="O302" s="184"/>
      <c r="P302" s="184"/>
      <c r="Q302" s="184"/>
      <c r="Z302" s="184"/>
      <c r="AA302" s="184"/>
      <c r="AJ302" s="185"/>
      <c r="DU302" s="395"/>
      <c r="DV302" s="395"/>
      <c r="DW302" s="395"/>
      <c r="DX302" s="395"/>
      <c r="DY302" s="395"/>
      <c r="DZ302" s="395"/>
      <c r="EA302" s="395"/>
      <c r="EB302" s="392"/>
      <c r="EC302" s="392"/>
      <c r="ED302" s="392"/>
      <c r="EE302" s="392"/>
      <c r="EF302" s="392"/>
      <c r="EG302" s="392"/>
      <c r="EH302" s="392"/>
      <c r="EI302" s="392"/>
      <c r="EJ302" s="392"/>
      <c r="EK302" s="392"/>
      <c r="EL302" s="392"/>
    </row>
    <row r="303" spans="3:142" s="182" customFormat="1" hidden="1" x14ac:dyDescent="0.25">
      <c r="C303" s="395"/>
      <c r="I303" s="184"/>
      <c r="N303" s="184"/>
      <c r="O303" s="184"/>
      <c r="P303" s="184"/>
      <c r="Q303" s="184"/>
      <c r="Z303" s="184"/>
      <c r="AA303" s="184"/>
      <c r="AJ303" s="185"/>
      <c r="DU303" s="395"/>
      <c r="DV303" s="395"/>
      <c r="DW303" s="395"/>
      <c r="DX303" s="395"/>
      <c r="DY303" s="395"/>
      <c r="DZ303" s="395"/>
      <c r="EA303" s="395"/>
      <c r="EB303" s="392"/>
      <c r="EC303" s="392"/>
      <c r="ED303" s="392"/>
      <c r="EE303" s="392"/>
      <c r="EF303" s="392"/>
      <c r="EG303" s="392"/>
      <c r="EH303" s="392"/>
      <c r="EI303" s="392"/>
      <c r="EJ303" s="392"/>
      <c r="EK303" s="392"/>
      <c r="EL303" s="392"/>
    </row>
    <row r="304" spans="3:142" s="182" customFormat="1" hidden="1" x14ac:dyDescent="0.25">
      <c r="C304" s="395"/>
      <c r="I304" s="184"/>
      <c r="N304" s="184"/>
      <c r="O304" s="184"/>
      <c r="P304" s="184"/>
      <c r="Q304" s="184"/>
      <c r="Z304" s="184"/>
      <c r="AA304" s="184"/>
      <c r="AJ304" s="185"/>
      <c r="DU304" s="395"/>
      <c r="DV304" s="395"/>
      <c r="DW304" s="395"/>
      <c r="DX304" s="395"/>
      <c r="DY304" s="395"/>
      <c r="DZ304" s="395"/>
      <c r="EA304" s="395"/>
      <c r="EB304" s="392"/>
      <c r="EC304" s="392"/>
      <c r="ED304" s="392"/>
      <c r="EE304" s="392"/>
      <c r="EF304" s="392"/>
      <c r="EG304" s="392"/>
      <c r="EH304" s="392"/>
      <c r="EI304" s="392"/>
      <c r="EJ304" s="392"/>
      <c r="EK304" s="392"/>
      <c r="EL304" s="392"/>
    </row>
    <row r="305" spans="3:142" s="182" customFormat="1" hidden="1" x14ac:dyDescent="0.25">
      <c r="C305" s="395"/>
      <c r="I305" s="184"/>
      <c r="N305" s="184"/>
      <c r="O305" s="184"/>
      <c r="P305" s="184"/>
      <c r="Q305" s="184"/>
      <c r="Z305" s="184"/>
      <c r="AA305" s="184"/>
      <c r="AJ305" s="185"/>
      <c r="DU305" s="395"/>
      <c r="DV305" s="395"/>
      <c r="DW305" s="395"/>
      <c r="DX305" s="395"/>
      <c r="DY305" s="395"/>
      <c r="DZ305" s="395"/>
      <c r="EA305" s="395"/>
      <c r="EB305" s="392"/>
      <c r="EC305" s="392"/>
      <c r="ED305" s="392"/>
      <c r="EE305" s="392"/>
      <c r="EF305" s="392"/>
      <c r="EG305" s="392"/>
      <c r="EH305" s="392"/>
      <c r="EI305" s="392"/>
      <c r="EJ305" s="392"/>
      <c r="EK305" s="392"/>
      <c r="EL305" s="392"/>
    </row>
    <row r="306" spans="3:142" s="182" customFormat="1" hidden="1" x14ac:dyDescent="0.25">
      <c r="C306" s="395"/>
      <c r="I306" s="184"/>
      <c r="N306" s="184"/>
      <c r="O306" s="184"/>
      <c r="P306" s="184"/>
      <c r="Q306" s="184"/>
      <c r="Z306" s="184"/>
      <c r="AA306" s="184"/>
      <c r="AJ306" s="185"/>
      <c r="DU306" s="395"/>
      <c r="DV306" s="395"/>
      <c r="DW306" s="395"/>
      <c r="DX306" s="395"/>
      <c r="DY306" s="395"/>
      <c r="DZ306" s="395"/>
      <c r="EA306" s="395"/>
      <c r="EB306" s="392"/>
      <c r="EC306" s="392"/>
      <c r="ED306" s="392"/>
      <c r="EE306" s="392"/>
      <c r="EF306" s="392"/>
      <c r="EG306" s="392"/>
      <c r="EH306" s="392"/>
      <c r="EI306" s="392"/>
      <c r="EJ306" s="392"/>
      <c r="EK306" s="392"/>
      <c r="EL306" s="392"/>
    </row>
    <row r="307" spans="3:142" s="182" customFormat="1" hidden="1" x14ac:dyDescent="0.25">
      <c r="C307" s="395"/>
      <c r="I307" s="184"/>
      <c r="N307" s="184"/>
      <c r="O307" s="184"/>
      <c r="P307" s="184"/>
      <c r="Q307" s="184"/>
      <c r="Z307" s="184"/>
      <c r="AA307" s="184"/>
      <c r="AJ307" s="185"/>
      <c r="DU307" s="395"/>
      <c r="DV307" s="395"/>
      <c r="DW307" s="395"/>
      <c r="DX307" s="395"/>
      <c r="DY307" s="395"/>
      <c r="DZ307" s="395"/>
      <c r="EA307" s="395"/>
      <c r="EB307" s="392"/>
      <c r="EC307" s="392"/>
      <c r="ED307" s="392"/>
      <c r="EE307" s="392"/>
      <c r="EF307" s="392"/>
      <c r="EG307" s="392"/>
      <c r="EH307" s="392"/>
      <c r="EI307" s="392"/>
      <c r="EJ307" s="392"/>
      <c r="EK307" s="392"/>
      <c r="EL307" s="392"/>
    </row>
    <row r="308" spans="3:142" s="182" customFormat="1" hidden="1" x14ac:dyDescent="0.25">
      <c r="C308" s="395"/>
      <c r="I308" s="184"/>
      <c r="N308" s="184"/>
      <c r="O308" s="184"/>
      <c r="P308" s="184"/>
      <c r="Q308" s="184"/>
      <c r="Z308" s="184"/>
      <c r="AA308" s="184"/>
      <c r="AJ308" s="185"/>
      <c r="DU308" s="395"/>
      <c r="DV308" s="395"/>
      <c r="DW308" s="395"/>
      <c r="DX308" s="395"/>
      <c r="DY308" s="395"/>
      <c r="DZ308" s="395"/>
      <c r="EA308" s="395"/>
      <c r="EB308" s="392"/>
      <c r="EC308" s="392"/>
      <c r="ED308" s="392"/>
      <c r="EE308" s="392"/>
      <c r="EF308" s="392"/>
      <c r="EG308" s="392"/>
      <c r="EH308" s="392"/>
      <c r="EI308" s="392"/>
      <c r="EJ308" s="392"/>
      <c r="EK308" s="392"/>
      <c r="EL308" s="392"/>
    </row>
    <row r="309" spans="3:142" s="182" customFormat="1" hidden="1" x14ac:dyDescent="0.25">
      <c r="C309" s="395"/>
      <c r="I309" s="184"/>
      <c r="N309" s="184"/>
      <c r="O309" s="184"/>
      <c r="P309" s="184"/>
      <c r="Q309" s="184"/>
      <c r="Z309" s="184"/>
      <c r="AA309" s="184"/>
      <c r="AJ309" s="185"/>
      <c r="DU309" s="395"/>
      <c r="DV309" s="395"/>
      <c r="DW309" s="395"/>
      <c r="DX309" s="395"/>
      <c r="DY309" s="395"/>
      <c r="DZ309" s="395"/>
      <c r="EA309" s="395"/>
      <c r="EB309" s="392"/>
      <c r="EC309" s="392"/>
      <c r="ED309" s="392"/>
      <c r="EE309" s="392"/>
      <c r="EF309" s="392"/>
      <c r="EG309" s="392"/>
      <c r="EH309" s="392"/>
      <c r="EI309" s="392"/>
      <c r="EJ309" s="392"/>
      <c r="EK309" s="392"/>
      <c r="EL309" s="392"/>
    </row>
    <row r="310" spans="3:142" s="182" customFormat="1" hidden="1" x14ac:dyDescent="0.25">
      <c r="C310" s="395"/>
      <c r="I310" s="184"/>
      <c r="N310" s="184"/>
      <c r="O310" s="184"/>
      <c r="P310" s="184"/>
      <c r="Q310" s="184"/>
      <c r="Z310" s="184"/>
      <c r="AA310" s="184"/>
      <c r="AJ310" s="185"/>
      <c r="DU310" s="395"/>
      <c r="DV310" s="395"/>
      <c r="DW310" s="395"/>
      <c r="DX310" s="395"/>
      <c r="DY310" s="395"/>
      <c r="DZ310" s="395"/>
      <c r="EA310" s="395"/>
      <c r="EB310" s="392"/>
      <c r="EC310" s="392"/>
      <c r="ED310" s="392"/>
      <c r="EE310" s="392"/>
      <c r="EF310" s="392"/>
      <c r="EG310" s="392"/>
      <c r="EH310" s="392"/>
      <c r="EI310" s="392"/>
      <c r="EJ310" s="392"/>
      <c r="EK310" s="392"/>
      <c r="EL310" s="392"/>
    </row>
    <row r="311" spans="3:142" s="182" customFormat="1" hidden="1" x14ac:dyDescent="0.25">
      <c r="C311" s="395"/>
      <c r="I311" s="184"/>
      <c r="N311" s="184"/>
      <c r="O311" s="184"/>
      <c r="P311" s="184"/>
      <c r="Q311" s="184"/>
      <c r="Z311" s="184"/>
      <c r="AA311" s="184"/>
      <c r="AJ311" s="185"/>
      <c r="DU311" s="395"/>
      <c r="DV311" s="395"/>
      <c r="DW311" s="395"/>
      <c r="DX311" s="395"/>
      <c r="DY311" s="395"/>
      <c r="DZ311" s="395"/>
      <c r="EA311" s="395"/>
      <c r="EB311" s="392"/>
      <c r="EC311" s="392"/>
      <c r="ED311" s="392"/>
      <c r="EE311" s="392"/>
      <c r="EF311" s="392"/>
      <c r="EG311" s="392"/>
      <c r="EH311" s="392"/>
      <c r="EI311" s="392"/>
      <c r="EJ311" s="392"/>
      <c r="EK311" s="392"/>
      <c r="EL311" s="392"/>
    </row>
    <row r="312" spans="3:142" s="182" customFormat="1" hidden="1" x14ac:dyDescent="0.25">
      <c r="C312" s="395"/>
      <c r="I312" s="184"/>
      <c r="N312" s="184"/>
      <c r="O312" s="184"/>
      <c r="P312" s="184"/>
      <c r="Q312" s="184"/>
      <c r="Z312" s="184"/>
      <c r="AA312" s="184"/>
      <c r="AJ312" s="185"/>
      <c r="DU312" s="395"/>
      <c r="DV312" s="395"/>
      <c r="DW312" s="395"/>
      <c r="DX312" s="395"/>
      <c r="DY312" s="395"/>
      <c r="DZ312" s="395"/>
      <c r="EA312" s="395"/>
      <c r="EB312" s="392"/>
      <c r="EC312" s="392"/>
      <c r="ED312" s="392"/>
      <c r="EE312" s="392"/>
      <c r="EF312" s="392"/>
      <c r="EG312" s="392"/>
      <c r="EH312" s="392"/>
      <c r="EI312" s="392"/>
      <c r="EJ312" s="392"/>
      <c r="EK312" s="392"/>
      <c r="EL312" s="392"/>
    </row>
    <row r="313" spans="3:142" s="182" customFormat="1" hidden="1" x14ac:dyDescent="0.25">
      <c r="C313" s="395"/>
      <c r="I313" s="184"/>
      <c r="N313" s="184"/>
      <c r="O313" s="184"/>
      <c r="P313" s="184"/>
      <c r="Q313" s="184"/>
      <c r="Z313" s="184"/>
      <c r="AA313" s="184"/>
      <c r="AJ313" s="185"/>
      <c r="DU313" s="395"/>
      <c r="DV313" s="395"/>
      <c r="DW313" s="395"/>
      <c r="DX313" s="395"/>
      <c r="DY313" s="395"/>
      <c r="DZ313" s="395"/>
      <c r="EA313" s="395"/>
      <c r="EB313" s="392"/>
      <c r="EC313" s="392"/>
      <c r="ED313" s="392"/>
      <c r="EE313" s="392"/>
      <c r="EF313" s="392"/>
      <c r="EG313" s="392"/>
      <c r="EH313" s="392"/>
      <c r="EI313" s="392"/>
      <c r="EJ313" s="392"/>
      <c r="EK313" s="392"/>
      <c r="EL313" s="392"/>
    </row>
    <row r="314" spans="3:142" s="182" customFormat="1" hidden="1" x14ac:dyDescent="0.25">
      <c r="C314" s="395"/>
      <c r="I314" s="184"/>
      <c r="N314" s="184"/>
      <c r="O314" s="184"/>
      <c r="P314" s="184"/>
      <c r="Q314" s="184"/>
      <c r="Z314" s="184"/>
      <c r="AA314" s="184"/>
      <c r="AJ314" s="185"/>
      <c r="DU314" s="395"/>
      <c r="DV314" s="395"/>
      <c r="DW314" s="395"/>
      <c r="DX314" s="395"/>
      <c r="DY314" s="395"/>
      <c r="DZ314" s="395"/>
      <c r="EA314" s="395"/>
      <c r="EB314" s="392"/>
      <c r="EC314" s="392"/>
      <c r="ED314" s="392"/>
      <c r="EE314" s="392"/>
      <c r="EF314" s="392"/>
      <c r="EG314" s="392"/>
      <c r="EH314" s="392"/>
      <c r="EI314" s="392"/>
      <c r="EJ314" s="392"/>
      <c r="EK314" s="392"/>
      <c r="EL314" s="392"/>
    </row>
    <row r="315" spans="3:142" s="182" customFormat="1" hidden="1" x14ac:dyDescent="0.25">
      <c r="C315" s="395"/>
      <c r="I315" s="184"/>
      <c r="N315" s="184"/>
      <c r="O315" s="184"/>
      <c r="P315" s="184"/>
      <c r="Q315" s="184"/>
      <c r="Z315" s="184"/>
      <c r="AA315" s="184"/>
      <c r="AJ315" s="185"/>
      <c r="DU315" s="395"/>
      <c r="DV315" s="395"/>
      <c r="DW315" s="395"/>
      <c r="DX315" s="395"/>
      <c r="DY315" s="395"/>
      <c r="DZ315" s="395"/>
      <c r="EA315" s="395"/>
      <c r="EB315" s="392"/>
      <c r="EC315" s="392"/>
      <c r="ED315" s="392"/>
      <c r="EE315" s="392"/>
      <c r="EF315" s="392"/>
      <c r="EG315" s="392"/>
      <c r="EH315" s="392"/>
      <c r="EI315" s="392"/>
      <c r="EJ315" s="392"/>
      <c r="EK315" s="392"/>
      <c r="EL315" s="392"/>
    </row>
    <row r="316" spans="3:142" s="182" customFormat="1" hidden="1" x14ac:dyDescent="0.25">
      <c r="C316" s="395"/>
      <c r="I316" s="184"/>
      <c r="N316" s="184"/>
      <c r="O316" s="184"/>
      <c r="P316" s="184"/>
      <c r="Q316" s="184"/>
      <c r="Z316" s="184"/>
      <c r="AA316" s="184"/>
      <c r="AJ316" s="185"/>
      <c r="DU316" s="395"/>
      <c r="DV316" s="395"/>
      <c r="DW316" s="395"/>
      <c r="DX316" s="395"/>
      <c r="DY316" s="395"/>
      <c r="DZ316" s="395"/>
      <c r="EA316" s="395"/>
      <c r="EB316" s="392"/>
      <c r="EC316" s="392"/>
      <c r="ED316" s="392"/>
      <c r="EE316" s="392"/>
      <c r="EF316" s="392"/>
      <c r="EG316" s="392"/>
      <c r="EH316" s="392"/>
      <c r="EI316" s="392"/>
      <c r="EJ316" s="392"/>
      <c r="EK316" s="392"/>
      <c r="EL316" s="392"/>
    </row>
    <row r="317" spans="3:142" s="182" customFormat="1" hidden="1" x14ac:dyDescent="0.25">
      <c r="C317" s="395"/>
      <c r="I317" s="184"/>
      <c r="N317" s="184"/>
      <c r="O317" s="184"/>
      <c r="P317" s="184"/>
      <c r="Q317" s="184"/>
      <c r="Z317" s="184"/>
      <c r="AA317" s="184"/>
      <c r="AJ317" s="185"/>
      <c r="DU317" s="395"/>
      <c r="DV317" s="395"/>
      <c r="DW317" s="395"/>
      <c r="DX317" s="395"/>
      <c r="DY317" s="395"/>
      <c r="DZ317" s="395"/>
      <c r="EA317" s="395"/>
      <c r="EB317" s="392"/>
      <c r="EC317" s="392"/>
      <c r="ED317" s="392"/>
      <c r="EE317" s="392"/>
      <c r="EF317" s="392"/>
      <c r="EG317" s="392"/>
      <c r="EH317" s="392"/>
      <c r="EI317" s="392"/>
      <c r="EJ317" s="392"/>
      <c r="EK317" s="392"/>
      <c r="EL317" s="392"/>
    </row>
    <row r="318" spans="3:142" s="182" customFormat="1" hidden="1" x14ac:dyDescent="0.25">
      <c r="C318" s="395"/>
      <c r="I318" s="184"/>
      <c r="N318" s="184"/>
      <c r="O318" s="184"/>
      <c r="P318" s="184"/>
      <c r="Q318" s="184"/>
      <c r="Z318" s="184"/>
      <c r="AA318" s="184"/>
      <c r="AJ318" s="185"/>
      <c r="DU318" s="395"/>
      <c r="DV318" s="395"/>
      <c r="DW318" s="395"/>
      <c r="DX318" s="395"/>
      <c r="DY318" s="395"/>
      <c r="DZ318" s="395"/>
      <c r="EA318" s="395"/>
      <c r="EB318" s="392"/>
      <c r="EC318" s="392"/>
      <c r="ED318" s="392"/>
      <c r="EE318" s="392"/>
      <c r="EF318" s="392"/>
      <c r="EG318" s="392"/>
      <c r="EH318" s="392"/>
      <c r="EI318" s="392"/>
      <c r="EJ318" s="392"/>
      <c r="EK318" s="392"/>
      <c r="EL318" s="392"/>
    </row>
    <row r="319" spans="3:142" s="182" customFormat="1" hidden="1" x14ac:dyDescent="0.25">
      <c r="C319" s="395"/>
      <c r="I319" s="184"/>
      <c r="N319" s="184"/>
      <c r="O319" s="184"/>
      <c r="P319" s="184"/>
      <c r="Q319" s="184"/>
      <c r="Z319" s="184"/>
      <c r="AA319" s="184"/>
      <c r="AJ319" s="185"/>
      <c r="DU319" s="395"/>
      <c r="DV319" s="395"/>
      <c r="DW319" s="395"/>
      <c r="DX319" s="395"/>
      <c r="DY319" s="395"/>
      <c r="DZ319" s="395"/>
      <c r="EA319" s="395"/>
      <c r="EB319" s="392"/>
      <c r="EC319" s="392"/>
      <c r="ED319" s="392"/>
      <c r="EE319" s="392"/>
      <c r="EF319" s="392"/>
      <c r="EG319" s="392"/>
      <c r="EH319" s="392"/>
      <c r="EI319" s="392"/>
      <c r="EJ319" s="392"/>
      <c r="EK319" s="392"/>
      <c r="EL319" s="392"/>
    </row>
    <row r="320" spans="3:142" s="182" customFormat="1" hidden="1" x14ac:dyDescent="0.25">
      <c r="C320" s="395"/>
      <c r="I320" s="184"/>
      <c r="N320" s="184"/>
      <c r="O320" s="184"/>
      <c r="P320" s="184"/>
      <c r="Q320" s="184"/>
      <c r="Z320" s="184"/>
      <c r="AA320" s="184"/>
      <c r="AJ320" s="185"/>
      <c r="DU320" s="395"/>
      <c r="DV320" s="395"/>
      <c r="DW320" s="395"/>
      <c r="DX320" s="395"/>
      <c r="DY320" s="395"/>
      <c r="DZ320" s="395"/>
      <c r="EA320" s="395"/>
      <c r="EB320" s="392"/>
      <c r="EC320" s="392"/>
      <c r="ED320" s="392"/>
      <c r="EE320" s="392"/>
      <c r="EF320" s="392"/>
      <c r="EG320" s="392"/>
      <c r="EH320" s="392"/>
      <c r="EI320" s="392"/>
      <c r="EJ320" s="392"/>
      <c r="EK320" s="392"/>
      <c r="EL320" s="392"/>
    </row>
    <row r="321" spans="3:142" s="182" customFormat="1" hidden="1" x14ac:dyDescent="0.25">
      <c r="C321" s="395"/>
      <c r="I321" s="184"/>
      <c r="N321" s="184"/>
      <c r="O321" s="184"/>
      <c r="P321" s="184"/>
      <c r="Q321" s="184"/>
      <c r="Z321" s="184"/>
      <c r="AA321" s="184"/>
      <c r="AJ321" s="185"/>
      <c r="DU321" s="395"/>
      <c r="DV321" s="395"/>
      <c r="DW321" s="395"/>
      <c r="DX321" s="395"/>
      <c r="DY321" s="395"/>
      <c r="DZ321" s="395"/>
      <c r="EA321" s="395"/>
      <c r="EB321" s="392"/>
      <c r="EC321" s="392"/>
      <c r="ED321" s="392"/>
      <c r="EE321" s="392"/>
      <c r="EF321" s="392"/>
      <c r="EG321" s="392"/>
      <c r="EH321" s="392"/>
      <c r="EI321" s="392"/>
      <c r="EJ321" s="392"/>
      <c r="EK321" s="392"/>
      <c r="EL321" s="392"/>
    </row>
    <row r="322" spans="3:142" s="182" customFormat="1" hidden="1" x14ac:dyDescent="0.25">
      <c r="C322" s="395"/>
      <c r="I322" s="184"/>
      <c r="N322" s="184"/>
      <c r="O322" s="184"/>
      <c r="P322" s="184"/>
      <c r="Q322" s="184"/>
      <c r="Z322" s="184"/>
      <c r="AA322" s="184"/>
      <c r="AJ322" s="185"/>
      <c r="DU322" s="395"/>
      <c r="DV322" s="395"/>
      <c r="DW322" s="395"/>
      <c r="DX322" s="395"/>
      <c r="DY322" s="395"/>
      <c r="DZ322" s="395"/>
      <c r="EA322" s="395"/>
      <c r="EB322" s="392"/>
      <c r="EC322" s="392"/>
      <c r="ED322" s="392"/>
      <c r="EE322" s="392"/>
      <c r="EF322" s="392"/>
      <c r="EG322" s="392"/>
      <c r="EH322" s="392"/>
      <c r="EI322" s="392"/>
      <c r="EJ322" s="392"/>
      <c r="EK322" s="392"/>
      <c r="EL322" s="392"/>
    </row>
    <row r="323" spans="3:142" s="182" customFormat="1" hidden="1" x14ac:dyDescent="0.25">
      <c r="C323" s="395"/>
      <c r="I323" s="184"/>
      <c r="N323" s="184"/>
      <c r="O323" s="184"/>
      <c r="P323" s="184"/>
      <c r="Q323" s="184"/>
      <c r="Z323" s="184"/>
      <c r="AA323" s="184"/>
      <c r="AJ323" s="185"/>
      <c r="DU323" s="395"/>
      <c r="DV323" s="395"/>
      <c r="DW323" s="395"/>
      <c r="DX323" s="395"/>
      <c r="DY323" s="395"/>
      <c r="DZ323" s="395"/>
      <c r="EA323" s="395"/>
      <c r="EB323" s="392"/>
      <c r="EC323" s="392"/>
      <c r="ED323" s="392"/>
      <c r="EE323" s="392"/>
      <c r="EF323" s="392"/>
      <c r="EG323" s="392"/>
      <c r="EH323" s="392"/>
      <c r="EI323" s="392"/>
      <c r="EJ323" s="392"/>
      <c r="EK323" s="392"/>
      <c r="EL323" s="392"/>
    </row>
    <row r="324" spans="3:142" s="182" customFormat="1" hidden="1" x14ac:dyDescent="0.25">
      <c r="C324" s="395"/>
      <c r="I324" s="184"/>
      <c r="N324" s="184"/>
      <c r="O324" s="184"/>
      <c r="P324" s="184"/>
      <c r="Q324" s="184"/>
      <c r="Z324" s="184"/>
      <c r="AA324" s="184"/>
      <c r="AJ324" s="185"/>
      <c r="DU324" s="395"/>
      <c r="DV324" s="395"/>
      <c r="DW324" s="395"/>
      <c r="DX324" s="395"/>
      <c r="DY324" s="395"/>
      <c r="DZ324" s="395"/>
      <c r="EA324" s="395"/>
      <c r="EB324" s="392"/>
      <c r="EC324" s="392"/>
      <c r="ED324" s="392"/>
      <c r="EE324" s="392"/>
      <c r="EF324" s="392"/>
      <c r="EG324" s="392"/>
      <c r="EH324" s="392"/>
      <c r="EI324" s="392"/>
      <c r="EJ324" s="392"/>
      <c r="EK324" s="392"/>
      <c r="EL324" s="392"/>
    </row>
    <row r="325" spans="3:142" s="182" customFormat="1" hidden="1" x14ac:dyDescent="0.25">
      <c r="C325" s="395"/>
      <c r="I325" s="184"/>
      <c r="N325" s="184"/>
      <c r="O325" s="184"/>
      <c r="P325" s="184"/>
      <c r="Q325" s="184"/>
      <c r="Z325" s="184"/>
      <c r="AA325" s="184"/>
      <c r="AJ325" s="185"/>
      <c r="DU325" s="395"/>
      <c r="DV325" s="395"/>
      <c r="DW325" s="395"/>
      <c r="DX325" s="395"/>
      <c r="DY325" s="395"/>
      <c r="DZ325" s="395"/>
      <c r="EA325" s="395"/>
      <c r="EB325" s="392"/>
      <c r="EC325" s="392"/>
      <c r="ED325" s="392"/>
      <c r="EE325" s="392"/>
      <c r="EF325" s="392"/>
      <c r="EG325" s="392"/>
      <c r="EH325" s="392"/>
      <c r="EI325" s="392"/>
      <c r="EJ325" s="392"/>
      <c r="EK325" s="392"/>
      <c r="EL325" s="392"/>
    </row>
    <row r="326" spans="3:142" s="182" customFormat="1" hidden="1" x14ac:dyDescent="0.25">
      <c r="C326" s="395"/>
      <c r="I326" s="184"/>
      <c r="N326" s="184"/>
      <c r="O326" s="184"/>
      <c r="P326" s="184"/>
      <c r="Q326" s="184"/>
      <c r="Z326" s="184"/>
      <c r="AA326" s="184"/>
      <c r="AJ326" s="185"/>
      <c r="DU326" s="395"/>
      <c r="DV326" s="395"/>
      <c r="DW326" s="395"/>
      <c r="DX326" s="395"/>
      <c r="DY326" s="395"/>
      <c r="DZ326" s="395"/>
      <c r="EA326" s="395"/>
      <c r="EB326" s="392"/>
      <c r="EC326" s="392"/>
      <c r="ED326" s="392"/>
      <c r="EE326" s="392"/>
      <c r="EF326" s="392"/>
      <c r="EG326" s="392"/>
      <c r="EH326" s="392"/>
      <c r="EI326" s="392"/>
      <c r="EJ326" s="392"/>
      <c r="EK326" s="392"/>
      <c r="EL326" s="392"/>
    </row>
    <row r="327" spans="3:142" s="182" customFormat="1" hidden="1" x14ac:dyDescent="0.25">
      <c r="C327" s="395"/>
      <c r="I327" s="184"/>
      <c r="N327" s="184"/>
      <c r="O327" s="184"/>
      <c r="P327" s="184"/>
      <c r="Q327" s="184"/>
      <c r="Z327" s="184"/>
      <c r="AA327" s="184"/>
      <c r="AJ327" s="185"/>
      <c r="DU327" s="395"/>
      <c r="DV327" s="395"/>
      <c r="DW327" s="395"/>
      <c r="DX327" s="395"/>
      <c r="DY327" s="395"/>
      <c r="DZ327" s="395"/>
      <c r="EA327" s="395"/>
      <c r="EB327" s="392"/>
      <c r="EC327" s="392"/>
      <c r="ED327" s="392"/>
      <c r="EE327" s="392"/>
      <c r="EF327" s="392"/>
      <c r="EG327" s="392"/>
      <c r="EH327" s="392"/>
      <c r="EI327" s="392"/>
      <c r="EJ327" s="392"/>
      <c r="EK327" s="392"/>
      <c r="EL327" s="392"/>
    </row>
    <row r="328" spans="3:142" s="182" customFormat="1" hidden="1" x14ac:dyDescent="0.25">
      <c r="C328" s="395"/>
      <c r="I328" s="184"/>
      <c r="N328" s="184"/>
      <c r="O328" s="184"/>
      <c r="P328" s="184"/>
      <c r="Q328" s="184"/>
      <c r="Z328" s="184"/>
      <c r="AA328" s="184"/>
      <c r="AJ328" s="185"/>
      <c r="DU328" s="395"/>
      <c r="DV328" s="395"/>
      <c r="DW328" s="395"/>
      <c r="DX328" s="395"/>
      <c r="DY328" s="395"/>
      <c r="DZ328" s="395"/>
      <c r="EA328" s="395"/>
      <c r="EB328" s="392"/>
      <c r="EC328" s="392"/>
      <c r="ED328" s="392"/>
      <c r="EE328" s="392"/>
      <c r="EF328" s="392"/>
      <c r="EG328" s="392"/>
      <c r="EH328" s="392"/>
      <c r="EI328" s="392"/>
      <c r="EJ328" s="392"/>
      <c r="EK328" s="392"/>
      <c r="EL328" s="392"/>
    </row>
    <row r="329" spans="3:142" s="182" customFormat="1" hidden="1" x14ac:dyDescent="0.25">
      <c r="C329" s="395"/>
      <c r="I329" s="184"/>
      <c r="N329" s="184"/>
      <c r="O329" s="184"/>
      <c r="P329" s="184"/>
      <c r="Q329" s="184"/>
      <c r="Z329" s="184"/>
      <c r="AA329" s="184"/>
      <c r="AJ329" s="185"/>
      <c r="DU329" s="395"/>
      <c r="DV329" s="395"/>
      <c r="DW329" s="395"/>
      <c r="DX329" s="395"/>
      <c r="DY329" s="395"/>
      <c r="DZ329" s="395"/>
      <c r="EA329" s="395"/>
      <c r="EB329" s="392"/>
      <c r="EC329" s="392"/>
      <c r="ED329" s="392"/>
      <c r="EE329" s="392"/>
      <c r="EF329" s="392"/>
      <c r="EG329" s="392"/>
      <c r="EH329" s="392"/>
      <c r="EI329" s="392"/>
      <c r="EJ329" s="392"/>
      <c r="EK329" s="392"/>
      <c r="EL329" s="392"/>
    </row>
    <row r="330" spans="3:142" s="182" customFormat="1" hidden="1" x14ac:dyDescent="0.25">
      <c r="C330" s="395"/>
      <c r="I330" s="184"/>
      <c r="N330" s="184"/>
      <c r="O330" s="184"/>
      <c r="P330" s="184"/>
      <c r="Q330" s="184"/>
      <c r="Z330" s="184"/>
      <c r="AA330" s="184"/>
      <c r="AJ330" s="185"/>
      <c r="DU330" s="395"/>
      <c r="DV330" s="395"/>
      <c r="DW330" s="395"/>
      <c r="DX330" s="395"/>
      <c r="DY330" s="395"/>
      <c r="DZ330" s="395"/>
      <c r="EA330" s="395"/>
      <c r="EB330" s="392"/>
      <c r="EC330" s="392"/>
      <c r="ED330" s="392"/>
      <c r="EE330" s="392"/>
      <c r="EF330" s="392"/>
      <c r="EG330" s="392"/>
      <c r="EH330" s="392"/>
      <c r="EI330" s="392"/>
      <c r="EJ330" s="392"/>
      <c r="EK330" s="392"/>
      <c r="EL330" s="392"/>
    </row>
    <row r="331" spans="3:142" s="182" customFormat="1" hidden="1" x14ac:dyDescent="0.25">
      <c r="C331" s="395"/>
      <c r="I331" s="184"/>
      <c r="N331" s="184"/>
      <c r="O331" s="184"/>
      <c r="P331" s="184"/>
      <c r="Q331" s="184"/>
      <c r="Z331" s="184"/>
      <c r="AA331" s="184"/>
      <c r="AJ331" s="185"/>
      <c r="DU331" s="395"/>
      <c r="DV331" s="395"/>
      <c r="DW331" s="395"/>
      <c r="DX331" s="395"/>
      <c r="DY331" s="395"/>
      <c r="DZ331" s="395"/>
      <c r="EA331" s="395"/>
      <c r="EB331" s="392"/>
      <c r="EC331" s="392"/>
      <c r="ED331" s="392"/>
      <c r="EE331" s="392"/>
      <c r="EF331" s="392"/>
      <c r="EG331" s="392"/>
      <c r="EH331" s="392"/>
      <c r="EI331" s="392"/>
      <c r="EJ331" s="392"/>
      <c r="EK331" s="392"/>
      <c r="EL331" s="392"/>
    </row>
    <row r="332" spans="3:142" s="182" customFormat="1" hidden="1" x14ac:dyDescent="0.25">
      <c r="C332" s="395"/>
      <c r="I332" s="184"/>
      <c r="N332" s="184"/>
      <c r="O332" s="184"/>
      <c r="P332" s="184"/>
      <c r="Q332" s="184"/>
      <c r="Z332" s="184"/>
      <c r="AA332" s="184"/>
      <c r="AJ332" s="185"/>
      <c r="DU332" s="395"/>
      <c r="DV332" s="395"/>
      <c r="DW332" s="395"/>
      <c r="DX332" s="395"/>
      <c r="DY332" s="395"/>
      <c r="DZ332" s="395"/>
      <c r="EA332" s="395"/>
      <c r="EB332" s="392"/>
      <c r="EC332" s="392"/>
      <c r="ED332" s="392"/>
      <c r="EE332" s="392"/>
      <c r="EF332" s="392"/>
      <c r="EG332" s="392"/>
      <c r="EH332" s="392"/>
      <c r="EI332" s="392"/>
      <c r="EJ332" s="392"/>
      <c r="EK332" s="392"/>
      <c r="EL332" s="392"/>
    </row>
    <row r="333" spans="3:142" s="182" customFormat="1" hidden="1" x14ac:dyDescent="0.25">
      <c r="C333" s="395"/>
      <c r="I333" s="184"/>
      <c r="N333" s="184"/>
      <c r="O333" s="184"/>
      <c r="P333" s="184"/>
      <c r="Q333" s="184"/>
      <c r="Z333" s="184"/>
      <c r="AA333" s="184"/>
      <c r="AJ333" s="185"/>
      <c r="DU333" s="395"/>
      <c r="DV333" s="395"/>
      <c r="DW333" s="395"/>
      <c r="DX333" s="395"/>
      <c r="DY333" s="395"/>
      <c r="DZ333" s="395"/>
      <c r="EA333" s="395"/>
      <c r="EB333" s="392"/>
      <c r="EC333" s="392"/>
      <c r="ED333" s="392"/>
      <c r="EE333" s="392"/>
      <c r="EF333" s="392"/>
      <c r="EG333" s="392"/>
      <c r="EH333" s="392"/>
      <c r="EI333" s="392"/>
      <c r="EJ333" s="392"/>
      <c r="EK333" s="392"/>
      <c r="EL333" s="392"/>
    </row>
    <row r="334" spans="3:142" s="182" customFormat="1" hidden="1" x14ac:dyDescent="0.25">
      <c r="C334" s="395"/>
      <c r="I334" s="184"/>
      <c r="N334" s="184"/>
      <c r="O334" s="184"/>
      <c r="P334" s="184"/>
      <c r="Q334" s="184"/>
      <c r="Z334" s="184"/>
      <c r="AA334" s="184"/>
      <c r="AJ334" s="185"/>
      <c r="DU334" s="395"/>
      <c r="DV334" s="395"/>
      <c r="DW334" s="395"/>
      <c r="DX334" s="395"/>
      <c r="DY334" s="395"/>
      <c r="DZ334" s="395"/>
      <c r="EA334" s="395"/>
      <c r="EB334" s="392"/>
      <c r="EC334" s="392"/>
      <c r="ED334" s="392"/>
      <c r="EE334" s="392"/>
      <c r="EF334" s="392"/>
      <c r="EG334" s="392"/>
      <c r="EH334" s="392"/>
      <c r="EI334" s="392"/>
      <c r="EJ334" s="392"/>
      <c r="EK334" s="392"/>
      <c r="EL334" s="392"/>
    </row>
    <row r="335" spans="3:142" s="182" customFormat="1" hidden="1" x14ac:dyDescent="0.25">
      <c r="C335" s="395"/>
      <c r="I335" s="184"/>
      <c r="N335" s="184"/>
      <c r="O335" s="184"/>
      <c r="P335" s="184"/>
      <c r="Q335" s="184"/>
      <c r="Z335" s="184"/>
      <c r="AA335" s="184"/>
      <c r="AJ335" s="185"/>
      <c r="DU335" s="395"/>
      <c r="DV335" s="395"/>
      <c r="DW335" s="395"/>
      <c r="DX335" s="395"/>
      <c r="DY335" s="395"/>
      <c r="DZ335" s="395"/>
      <c r="EA335" s="395"/>
      <c r="EB335" s="392"/>
      <c r="EC335" s="392"/>
      <c r="ED335" s="392"/>
      <c r="EE335" s="392"/>
      <c r="EF335" s="392"/>
      <c r="EG335" s="392"/>
      <c r="EH335" s="392"/>
      <c r="EI335" s="392"/>
      <c r="EJ335" s="392"/>
      <c r="EK335" s="392"/>
      <c r="EL335" s="392"/>
    </row>
    <row r="336" spans="3:142" s="182" customFormat="1" hidden="1" x14ac:dyDescent="0.25">
      <c r="C336" s="395"/>
      <c r="I336" s="184"/>
      <c r="N336" s="184"/>
      <c r="O336" s="184"/>
      <c r="P336" s="184"/>
      <c r="Q336" s="184"/>
      <c r="Z336" s="184"/>
      <c r="AA336" s="184"/>
      <c r="AJ336" s="185"/>
      <c r="DU336" s="395"/>
      <c r="DV336" s="395"/>
      <c r="DW336" s="395"/>
      <c r="DX336" s="395"/>
      <c r="DY336" s="395"/>
      <c r="DZ336" s="395"/>
      <c r="EA336" s="395"/>
      <c r="EB336" s="392"/>
      <c r="EC336" s="392"/>
      <c r="ED336" s="392"/>
      <c r="EE336" s="392"/>
      <c r="EF336" s="392"/>
      <c r="EG336" s="392"/>
      <c r="EH336" s="392"/>
      <c r="EI336" s="392"/>
      <c r="EJ336" s="392"/>
      <c r="EK336" s="392"/>
      <c r="EL336" s="392"/>
    </row>
    <row r="337" spans="3:142" s="182" customFormat="1" hidden="1" x14ac:dyDescent="0.25">
      <c r="C337" s="395"/>
      <c r="I337" s="184"/>
      <c r="N337" s="184"/>
      <c r="O337" s="184"/>
      <c r="P337" s="184"/>
      <c r="Q337" s="184"/>
      <c r="Z337" s="184"/>
      <c r="AA337" s="184"/>
      <c r="AJ337" s="185"/>
      <c r="DU337" s="395"/>
      <c r="DV337" s="395"/>
      <c r="DW337" s="395"/>
      <c r="DX337" s="395"/>
      <c r="DY337" s="395"/>
      <c r="DZ337" s="395"/>
      <c r="EA337" s="395"/>
      <c r="EB337" s="392"/>
      <c r="EC337" s="392"/>
      <c r="ED337" s="392"/>
      <c r="EE337" s="392"/>
      <c r="EF337" s="392"/>
      <c r="EG337" s="392"/>
      <c r="EH337" s="392"/>
      <c r="EI337" s="392"/>
      <c r="EJ337" s="392"/>
      <c r="EK337" s="392"/>
      <c r="EL337" s="392"/>
    </row>
    <row r="338" spans="3:142" s="182" customFormat="1" hidden="1" x14ac:dyDescent="0.25">
      <c r="C338" s="395"/>
      <c r="I338" s="184"/>
      <c r="N338" s="184"/>
      <c r="O338" s="184"/>
      <c r="P338" s="184"/>
      <c r="Q338" s="184"/>
      <c r="Z338" s="184"/>
      <c r="AA338" s="184"/>
      <c r="AJ338" s="185"/>
      <c r="DU338" s="395"/>
      <c r="DV338" s="395"/>
      <c r="DW338" s="395"/>
      <c r="DX338" s="395"/>
      <c r="DY338" s="395"/>
      <c r="DZ338" s="395"/>
      <c r="EA338" s="395"/>
      <c r="EB338" s="392"/>
      <c r="EC338" s="392"/>
      <c r="ED338" s="392"/>
      <c r="EE338" s="392"/>
      <c r="EF338" s="392"/>
      <c r="EG338" s="392"/>
      <c r="EH338" s="392"/>
      <c r="EI338" s="392"/>
      <c r="EJ338" s="392"/>
      <c r="EK338" s="392"/>
      <c r="EL338" s="392"/>
    </row>
    <row r="339" spans="3:142" s="182" customFormat="1" hidden="1" x14ac:dyDescent="0.25">
      <c r="C339" s="395"/>
      <c r="I339" s="184"/>
      <c r="N339" s="184"/>
      <c r="O339" s="184"/>
      <c r="P339" s="184"/>
      <c r="Q339" s="184"/>
      <c r="Z339" s="184"/>
      <c r="AA339" s="184"/>
      <c r="AJ339" s="185"/>
      <c r="DU339" s="395"/>
      <c r="DV339" s="395"/>
      <c r="DW339" s="395"/>
      <c r="DX339" s="395"/>
      <c r="DY339" s="395"/>
      <c r="DZ339" s="395"/>
      <c r="EA339" s="395"/>
      <c r="EB339" s="392"/>
      <c r="EC339" s="392"/>
      <c r="ED339" s="392"/>
      <c r="EE339" s="392"/>
      <c r="EF339" s="392"/>
      <c r="EG339" s="392"/>
      <c r="EH339" s="392"/>
      <c r="EI339" s="392"/>
      <c r="EJ339" s="392"/>
      <c r="EK339" s="392"/>
      <c r="EL339" s="392"/>
    </row>
    <row r="340" spans="3:142" s="182" customFormat="1" hidden="1" x14ac:dyDescent="0.25">
      <c r="C340" s="395"/>
      <c r="I340" s="184"/>
      <c r="N340" s="184"/>
      <c r="O340" s="184"/>
      <c r="P340" s="184"/>
      <c r="Q340" s="184"/>
      <c r="Z340" s="184"/>
      <c r="AA340" s="184"/>
      <c r="AJ340" s="185"/>
      <c r="DU340" s="395"/>
      <c r="DV340" s="395"/>
      <c r="DW340" s="395"/>
      <c r="DX340" s="395"/>
      <c r="DY340" s="395"/>
      <c r="DZ340" s="395"/>
      <c r="EA340" s="395"/>
      <c r="EB340" s="392"/>
      <c r="EC340" s="392"/>
      <c r="ED340" s="392"/>
      <c r="EE340" s="392"/>
      <c r="EF340" s="392"/>
      <c r="EG340" s="392"/>
      <c r="EH340" s="392"/>
      <c r="EI340" s="392"/>
      <c r="EJ340" s="392"/>
      <c r="EK340" s="392"/>
      <c r="EL340" s="392"/>
    </row>
    <row r="341" spans="3:142" s="182" customFormat="1" hidden="1" x14ac:dyDescent="0.25">
      <c r="C341" s="395"/>
      <c r="I341" s="184"/>
      <c r="N341" s="184"/>
      <c r="O341" s="184"/>
      <c r="P341" s="184"/>
      <c r="Q341" s="184"/>
      <c r="Z341" s="184"/>
      <c r="AA341" s="184"/>
      <c r="AJ341" s="185"/>
      <c r="DU341" s="395"/>
      <c r="DV341" s="395"/>
      <c r="DW341" s="395"/>
      <c r="DX341" s="395"/>
      <c r="DY341" s="395"/>
      <c r="DZ341" s="395"/>
      <c r="EA341" s="395"/>
      <c r="EB341" s="392"/>
      <c r="EC341" s="392"/>
      <c r="ED341" s="392"/>
      <c r="EE341" s="392"/>
      <c r="EF341" s="392"/>
      <c r="EG341" s="392"/>
      <c r="EH341" s="392"/>
      <c r="EI341" s="392"/>
      <c r="EJ341" s="392"/>
      <c r="EK341" s="392"/>
      <c r="EL341" s="392"/>
    </row>
    <row r="342" spans="3:142" s="182" customFormat="1" hidden="1" x14ac:dyDescent="0.25">
      <c r="C342" s="395"/>
      <c r="I342" s="184"/>
      <c r="N342" s="184"/>
      <c r="O342" s="184"/>
      <c r="P342" s="184"/>
      <c r="Q342" s="184"/>
      <c r="Z342" s="184"/>
      <c r="AA342" s="184"/>
      <c r="AJ342" s="185"/>
      <c r="DU342" s="395"/>
      <c r="DV342" s="395"/>
      <c r="DW342" s="395"/>
      <c r="DX342" s="395"/>
      <c r="DY342" s="395"/>
      <c r="DZ342" s="395"/>
      <c r="EA342" s="395"/>
      <c r="EB342" s="392"/>
      <c r="EC342" s="392"/>
      <c r="ED342" s="392"/>
      <c r="EE342" s="392"/>
      <c r="EF342" s="392"/>
      <c r="EG342" s="392"/>
      <c r="EH342" s="392"/>
      <c r="EI342" s="392"/>
      <c r="EJ342" s="392"/>
      <c r="EK342" s="392"/>
      <c r="EL342" s="392"/>
    </row>
    <row r="343" spans="3:142" s="182" customFormat="1" hidden="1" x14ac:dyDescent="0.25">
      <c r="C343" s="395"/>
      <c r="I343" s="184"/>
      <c r="N343" s="184"/>
      <c r="O343" s="184"/>
      <c r="P343" s="184"/>
      <c r="Q343" s="184"/>
      <c r="Z343" s="184"/>
      <c r="AA343" s="184"/>
      <c r="AJ343" s="185"/>
      <c r="DU343" s="395"/>
      <c r="DV343" s="395"/>
      <c r="DW343" s="395"/>
      <c r="DX343" s="395"/>
      <c r="DY343" s="395"/>
      <c r="DZ343" s="395"/>
      <c r="EA343" s="395"/>
      <c r="EB343" s="392"/>
      <c r="EC343" s="392"/>
      <c r="ED343" s="392"/>
      <c r="EE343" s="392"/>
      <c r="EF343" s="392"/>
      <c r="EG343" s="392"/>
      <c r="EH343" s="392"/>
      <c r="EI343" s="392"/>
      <c r="EJ343" s="392"/>
      <c r="EK343" s="392"/>
      <c r="EL343" s="392"/>
    </row>
    <row r="344" spans="3:142" s="182" customFormat="1" hidden="1" x14ac:dyDescent="0.25">
      <c r="C344" s="395"/>
      <c r="I344" s="184"/>
      <c r="N344" s="184"/>
      <c r="O344" s="184"/>
      <c r="P344" s="184"/>
      <c r="Q344" s="184"/>
      <c r="Z344" s="184"/>
      <c r="AA344" s="184"/>
      <c r="AJ344" s="185"/>
      <c r="DU344" s="395"/>
      <c r="DV344" s="395"/>
      <c r="DW344" s="395"/>
      <c r="DX344" s="395"/>
      <c r="DY344" s="395"/>
      <c r="DZ344" s="395"/>
      <c r="EA344" s="395"/>
      <c r="EB344" s="392"/>
      <c r="EC344" s="392"/>
      <c r="ED344" s="392"/>
      <c r="EE344" s="392"/>
      <c r="EF344" s="392"/>
      <c r="EG344" s="392"/>
      <c r="EH344" s="392"/>
      <c r="EI344" s="392"/>
      <c r="EJ344" s="392"/>
      <c r="EK344" s="392"/>
      <c r="EL344" s="392"/>
    </row>
    <row r="345" spans="3:142" s="182" customFormat="1" hidden="1" x14ac:dyDescent="0.25">
      <c r="C345" s="395"/>
      <c r="I345" s="184"/>
      <c r="N345" s="184"/>
      <c r="O345" s="184"/>
      <c r="P345" s="184"/>
      <c r="Q345" s="184"/>
      <c r="Z345" s="184"/>
      <c r="AA345" s="184"/>
      <c r="AJ345" s="185"/>
      <c r="DU345" s="395"/>
      <c r="DV345" s="395"/>
      <c r="DW345" s="395"/>
      <c r="DX345" s="395"/>
      <c r="DY345" s="395"/>
      <c r="DZ345" s="395"/>
      <c r="EA345" s="395"/>
      <c r="EB345" s="392"/>
      <c r="EC345" s="392"/>
      <c r="ED345" s="392"/>
      <c r="EE345" s="392"/>
      <c r="EF345" s="392"/>
      <c r="EG345" s="392"/>
      <c r="EH345" s="392"/>
      <c r="EI345" s="392"/>
      <c r="EJ345" s="392"/>
      <c r="EK345" s="392"/>
      <c r="EL345" s="392"/>
    </row>
    <row r="346" spans="3:142" s="182" customFormat="1" hidden="1" x14ac:dyDescent="0.25">
      <c r="C346" s="395"/>
      <c r="I346" s="184"/>
      <c r="N346" s="184"/>
      <c r="O346" s="184"/>
      <c r="P346" s="184"/>
      <c r="Q346" s="184"/>
      <c r="Z346" s="184"/>
      <c r="AA346" s="184"/>
      <c r="AJ346" s="185"/>
      <c r="DU346" s="395"/>
      <c r="DV346" s="395"/>
      <c r="DW346" s="395"/>
      <c r="DX346" s="395"/>
      <c r="DY346" s="395"/>
      <c r="DZ346" s="395"/>
      <c r="EA346" s="395"/>
      <c r="EB346" s="392"/>
      <c r="EC346" s="392"/>
      <c r="ED346" s="392"/>
      <c r="EE346" s="392"/>
      <c r="EF346" s="392"/>
      <c r="EG346" s="392"/>
      <c r="EH346" s="392"/>
      <c r="EI346" s="392"/>
      <c r="EJ346" s="392"/>
      <c r="EK346" s="392"/>
      <c r="EL346" s="392"/>
    </row>
    <row r="347" spans="3:142" s="182" customFormat="1" hidden="1" x14ac:dyDescent="0.25">
      <c r="C347" s="395"/>
      <c r="I347" s="184"/>
      <c r="N347" s="184"/>
      <c r="O347" s="184"/>
      <c r="P347" s="184"/>
      <c r="Q347" s="184"/>
      <c r="Z347" s="184"/>
      <c r="AA347" s="184"/>
      <c r="AJ347" s="185"/>
      <c r="DU347" s="395"/>
      <c r="DV347" s="395"/>
      <c r="DW347" s="395"/>
      <c r="DX347" s="395"/>
      <c r="DY347" s="395"/>
      <c r="DZ347" s="395"/>
      <c r="EA347" s="395"/>
      <c r="EB347" s="392"/>
      <c r="EC347" s="392"/>
      <c r="ED347" s="392"/>
      <c r="EE347" s="392"/>
      <c r="EF347" s="392"/>
      <c r="EG347" s="392"/>
      <c r="EH347" s="392"/>
      <c r="EI347" s="392"/>
      <c r="EJ347" s="392"/>
      <c r="EK347" s="392"/>
      <c r="EL347" s="392"/>
    </row>
    <row r="348" spans="3:142" s="182" customFormat="1" hidden="1" x14ac:dyDescent="0.25">
      <c r="C348" s="395"/>
      <c r="I348" s="184"/>
      <c r="N348" s="184"/>
      <c r="O348" s="184"/>
      <c r="P348" s="184"/>
      <c r="Q348" s="184"/>
      <c r="Z348" s="184"/>
      <c r="AA348" s="184"/>
      <c r="AJ348" s="185"/>
      <c r="DU348" s="395"/>
      <c r="DV348" s="395"/>
      <c r="DW348" s="395"/>
      <c r="DX348" s="395"/>
      <c r="DY348" s="395"/>
      <c r="DZ348" s="395"/>
      <c r="EA348" s="395"/>
      <c r="EB348" s="392"/>
      <c r="EC348" s="392"/>
      <c r="ED348" s="392"/>
      <c r="EE348" s="392"/>
      <c r="EF348" s="392"/>
      <c r="EG348" s="392"/>
      <c r="EH348" s="392"/>
      <c r="EI348" s="392"/>
      <c r="EJ348" s="392"/>
      <c r="EK348" s="392"/>
      <c r="EL348" s="392"/>
    </row>
    <row r="349" spans="3:142" s="182" customFormat="1" hidden="1" x14ac:dyDescent="0.25">
      <c r="C349" s="395"/>
      <c r="I349" s="184"/>
      <c r="N349" s="184"/>
      <c r="O349" s="184"/>
      <c r="P349" s="184"/>
      <c r="Q349" s="184"/>
      <c r="Z349" s="184"/>
      <c r="AA349" s="184"/>
      <c r="AJ349" s="185"/>
      <c r="DU349" s="395"/>
      <c r="DV349" s="395"/>
      <c r="DW349" s="395"/>
      <c r="DX349" s="395"/>
      <c r="DY349" s="395"/>
      <c r="DZ349" s="395"/>
      <c r="EA349" s="395"/>
      <c r="EB349" s="392"/>
      <c r="EC349" s="392"/>
      <c r="ED349" s="392"/>
      <c r="EE349" s="392"/>
      <c r="EF349" s="392"/>
      <c r="EG349" s="392"/>
      <c r="EH349" s="392"/>
      <c r="EI349" s="392"/>
      <c r="EJ349" s="392"/>
      <c r="EK349" s="392"/>
      <c r="EL349" s="392"/>
    </row>
    <row r="350" spans="3:142" s="182" customFormat="1" hidden="1" x14ac:dyDescent="0.25">
      <c r="C350" s="395"/>
      <c r="I350" s="184"/>
      <c r="N350" s="184"/>
      <c r="O350" s="184"/>
      <c r="P350" s="184"/>
      <c r="Q350" s="184"/>
      <c r="Z350" s="184"/>
      <c r="AA350" s="184"/>
      <c r="AJ350" s="185"/>
      <c r="DU350" s="395"/>
      <c r="DV350" s="395"/>
      <c r="DW350" s="395"/>
      <c r="DX350" s="395"/>
      <c r="DY350" s="395"/>
      <c r="DZ350" s="395"/>
      <c r="EA350" s="395"/>
      <c r="EB350" s="392"/>
      <c r="EC350" s="392"/>
      <c r="ED350" s="392"/>
      <c r="EE350" s="392"/>
      <c r="EF350" s="392"/>
      <c r="EG350" s="392"/>
      <c r="EH350" s="392"/>
      <c r="EI350" s="392"/>
      <c r="EJ350" s="392"/>
      <c r="EK350" s="392"/>
      <c r="EL350" s="392"/>
    </row>
    <row r="351" spans="3:142" s="182" customFormat="1" hidden="1" x14ac:dyDescent="0.25">
      <c r="C351" s="395"/>
      <c r="I351" s="184"/>
      <c r="N351" s="184"/>
      <c r="O351" s="184"/>
      <c r="P351" s="184"/>
      <c r="Q351" s="184"/>
      <c r="Z351" s="184"/>
      <c r="AA351" s="184"/>
      <c r="AJ351" s="185"/>
      <c r="DU351" s="395"/>
      <c r="DV351" s="395"/>
      <c r="DW351" s="395"/>
      <c r="DX351" s="395"/>
      <c r="DY351" s="395"/>
      <c r="DZ351" s="395"/>
      <c r="EA351" s="395"/>
      <c r="EB351" s="392"/>
      <c r="EC351" s="392"/>
      <c r="ED351" s="392"/>
      <c r="EE351" s="392"/>
      <c r="EF351" s="392"/>
      <c r="EG351" s="392"/>
      <c r="EH351" s="392"/>
      <c r="EI351" s="392"/>
      <c r="EJ351" s="392"/>
      <c r="EK351" s="392"/>
      <c r="EL351" s="392"/>
    </row>
    <row r="352" spans="3:142" s="182" customFormat="1" hidden="1" x14ac:dyDescent="0.25">
      <c r="C352" s="395"/>
      <c r="I352" s="184"/>
      <c r="N352" s="184"/>
      <c r="O352" s="184"/>
      <c r="P352" s="184"/>
      <c r="Q352" s="184"/>
      <c r="Z352" s="184"/>
      <c r="AA352" s="184"/>
      <c r="AJ352" s="185"/>
      <c r="DU352" s="395"/>
      <c r="DV352" s="395"/>
      <c r="DW352" s="395"/>
      <c r="DX352" s="395"/>
      <c r="DY352" s="395"/>
      <c r="DZ352" s="395"/>
      <c r="EA352" s="395"/>
      <c r="EB352" s="392"/>
      <c r="EC352" s="392"/>
      <c r="ED352" s="392"/>
      <c r="EE352" s="392"/>
      <c r="EF352" s="392"/>
      <c r="EG352" s="392"/>
      <c r="EH352" s="392"/>
      <c r="EI352" s="392"/>
      <c r="EJ352" s="392"/>
      <c r="EK352" s="392"/>
      <c r="EL352" s="392"/>
    </row>
    <row r="353" spans="3:142" s="182" customFormat="1" hidden="1" x14ac:dyDescent="0.25">
      <c r="C353" s="395"/>
      <c r="I353" s="184"/>
      <c r="N353" s="184"/>
      <c r="O353" s="184"/>
      <c r="P353" s="184"/>
      <c r="Q353" s="184"/>
      <c r="Z353" s="184"/>
      <c r="AA353" s="184"/>
      <c r="AJ353" s="185"/>
      <c r="DU353" s="395"/>
      <c r="DV353" s="395"/>
      <c r="DW353" s="395"/>
      <c r="DX353" s="395"/>
      <c r="DY353" s="395"/>
      <c r="DZ353" s="395"/>
      <c r="EA353" s="395"/>
      <c r="EB353" s="392"/>
      <c r="EC353" s="392"/>
      <c r="ED353" s="392"/>
      <c r="EE353" s="392"/>
      <c r="EF353" s="392"/>
      <c r="EG353" s="392"/>
      <c r="EH353" s="392"/>
      <c r="EI353" s="392"/>
      <c r="EJ353" s="392"/>
      <c r="EK353" s="392"/>
      <c r="EL353" s="392"/>
    </row>
    <row r="354" spans="3:142" s="182" customFormat="1" hidden="1" x14ac:dyDescent="0.25">
      <c r="C354" s="395"/>
      <c r="I354" s="184"/>
      <c r="N354" s="184"/>
      <c r="O354" s="184"/>
      <c r="P354" s="184"/>
      <c r="Q354" s="184"/>
      <c r="Z354" s="184"/>
      <c r="AA354" s="184"/>
      <c r="AJ354" s="185"/>
      <c r="DU354" s="395"/>
      <c r="DV354" s="395"/>
      <c r="DW354" s="395"/>
      <c r="DX354" s="395"/>
      <c r="DY354" s="395"/>
      <c r="DZ354" s="395"/>
      <c r="EA354" s="395"/>
      <c r="EB354" s="392"/>
      <c r="EC354" s="392"/>
      <c r="ED354" s="392"/>
      <c r="EE354" s="392"/>
      <c r="EF354" s="392"/>
      <c r="EG354" s="392"/>
      <c r="EH354" s="392"/>
      <c r="EI354" s="392"/>
      <c r="EJ354" s="392"/>
      <c r="EK354" s="392"/>
      <c r="EL354" s="392"/>
    </row>
    <row r="355" spans="3:142" s="182" customFormat="1" hidden="1" x14ac:dyDescent="0.25">
      <c r="C355" s="395"/>
      <c r="I355" s="184"/>
      <c r="N355" s="184"/>
      <c r="O355" s="184"/>
      <c r="P355" s="184"/>
      <c r="Q355" s="184"/>
      <c r="Z355" s="184"/>
      <c r="AA355" s="184"/>
      <c r="AJ355" s="185"/>
      <c r="DU355" s="395"/>
      <c r="DV355" s="395"/>
      <c r="DW355" s="395"/>
      <c r="DX355" s="395"/>
      <c r="DY355" s="395"/>
      <c r="DZ355" s="395"/>
      <c r="EA355" s="395"/>
      <c r="EB355" s="392"/>
      <c r="EC355" s="392"/>
      <c r="ED355" s="392"/>
      <c r="EE355" s="392"/>
      <c r="EF355" s="392"/>
      <c r="EG355" s="392"/>
      <c r="EH355" s="392"/>
      <c r="EI355" s="392"/>
      <c r="EJ355" s="392"/>
      <c r="EK355" s="392"/>
      <c r="EL355" s="392"/>
    </row>
    <row r="356" spans="3:142" s="182" customFormat="1" hidden="1" x14ac:dyDescent="0.25">
      <c r="C356" s="395"/>
      <c r="I356" s="184"/>
      <c r="N356" s="184"/>
      <c r="O356" s="184"/>
      <c r="P356" s="184"/>
      <c r="Q356" s="184"/>
      <c r="Z356" s="184"/>
      <c r="AA356" s="184"/>
      <c r="AJ356" s="185"/>
      <c r="DU356" s="395"/>
      <c r="DV356" s="395"/>
      <c r="DW356" s="395"/>
      <c r="DX356" s="395"/>
      <c r="DY356" s="395"/>
      <c r="DZ356" s="395"/>
      <c r="EA356" s="395"/>
      <c r="EB356" s="392"/>
      <c r="EC356" s="392"/>
      <c r="ED356" s="392"/>
      <c r="EE356" s="392"/>
      <c r="EF356" s="392"/>
      <c r="EG356" s="392"/>
      <c r="EH356" s="392"/>
      <c r="EI356" s="392"/>
      <c r="EJ356" s="392"/>
      <c r="EK356" s="392"/>
      <c r="EL356" s="392"/>
    </row>
    <row r="357" spans="3:142" s="182" customFormat="1" hidden="1" x14ac:dyDescent="0.25">
      <c r="C357" s="395"/>
      <c r="I357" s="184"/>
      <c r="N357" s="184"/>
      <c r="O357" s="184"/>
      <c r="P357" s="184"/>
      <c r="Q357" s="184"/>
      <c r="Z357" s="184"/>
      <c r="AA357" s="184"/>
      <c r="AJ357" s="185"/>
      <c r="DU357" s="395"/>
      <c r="DV357" s="395"/>
      <c r="DW357" s="395"/>
      <c r="DX357" s="395"/>
      <c r="DY357" s="395"/>
      <c r="DZ357" s="395"/>
      <c r="EA357" s="395"/>
      <c r="EB357" s="392"/>
      <c r="EC357" s="392"/>
      <c r="ED357" s="392"/>
      <c r="EE357" s="392"/>
      <c r="EF357" s="392"/>
      <c r="EG357" s="392"/>
      <c r="EH357" s="392"/>
      <c r="EI357" s="392"/>
      <c r="EJ357" s="392"/>
      <c r="EK357" s="392"/>
      <c r="EL357" s="392"/>
    </row>
    <row r="358" spans="3:142" s="182" customFormat="1" hidden="1" x14ac:dyDescent="0.25">
      <c r="C358" s="395"/>
      <c r="I358" s="184"/>
      <c r="N358" s="184"/>
      <c r="O358" s="184"/>
      <c r="P358" s="184"/>
      <c r="Q358" s="184"/>
      <c r="Z358" s="184"/>
      <c r="AA358" s="184"/>
      <c r="AJ358" s="185"/>
      <c r="DU358" s="395"/>
      <c r="DV358" s="395"/>
      <c r="DW358" s="395"/>
      <c r="DX358" s="395"/>
      <c r="DY358" s="395"/>
      <c r="DZ358" s="395"/>
      <c r="EA358" s="395"/>
      <c r="EB358" s="392"/>
      <c r="EC358" s="392"/>
      <c r="ED358" s="392"/>
      <c r="EE358" s="392"/>
      <c r="EF358" s="392"/>
      <c r="EG358" s="392"/>
      <c r="EH358" s="392"/>
      <c r="EI358" s="392"/>
      <c r="EJ358" s="392"/>
      <c r="EK358" s="392"/>
      <c r="EL358" s="392"/>
    </row>
    <row r="359" spans="3:142" s="182" customFormat="1" hidden="1" x14ac:dyDescent="0.25">
      <c r="C359" s="395"/>
      <c r="I359" s="184"/>
      <c r="N359" s="184"/>
      <c r="O359" s="184"/>
      <c r="P359" s="184"/>
      <c r="Q359" s="184"/>
      <c r="Z359" s="184"/>
      <c r="AA359" s="184"/>
      <c r="AJ359" s="185"/>
      <c r="DU359" s="395"/>
      <c r="DV359" s="395"/>
      <c r="DW359" s="395"/>
      <c r="DX359" s="395"/>
      <c r="DY359" s="395"/>
      <c r="DZ359" s="395"/>
      <c r="EA359" s="395"/>
      <c r="EB359" s="392"/>
      <c r="EC359" s="392"/>
      <c r="ED359" s="392"/>
      <c r="EE359" s="392"/>
      <c r="EF359" s="392"/>
      <c r="EG359" s="392"/>
      <c r="EH359" s="392"/>
      <c r="EI359" s="392"/>
      <c r="EJ359" s="392"/>
      <c r="EK359" s="392"/>
      <c r="EL359" s="392"/>
    </row>
    <row r="360" spans="3:142" s="182" customFormat="1" hidden="1" x14ac:dyDescent="0.25">
      <c r="C360" s="395"/>
      <c r="I360" s="184"/>
      <c r="N360" s="184"/>
      <c r="O360" s="184"/>
      <c r="P360" s="184"/>
      <c r="Q360" s="184"/>
      <c r="Z360" s="184"/>
      <c r="AA360" s="184"/>
      <c r="AJ360" s="185"/>
      <c r="DU360" s="395"/>
      <c r="DV360" s="395"/>
      <c r="DW360" s="395"/>
      <c r="DX360" s="395"/>
      <c r="DY360" s="395"/>
      <c r="DZ360" s="395"/>
      <c r="EA360" s="395"/>
      <c r="EB360" s="392"/>
      <c r="EC360" s="392"/>
      <c r="ED360" s="392"/>
      <c r="EE360" s="392"/>
      <c r="EF360" s="392"/>
      <c r="EG360" s="392"/>
      <c r="EH360" s="392"/>
      <c r="EI360" s="392"/>
      <c r="EJ360" s="392"/>
      <c r="EK360" s="392"/>
      <c r="EL360" s="392"/>
    </row>
    <row r="361" spans="3:142" s="182" customFormat="1" hidden="1" x14ac:dyDescent="0.25">
      <c r="C361" s="395"/>
      <c r="I361" s="184"/>
      <c r="N361" s="184"/>
      <c r="O361" s="184"/>
      <c r="P361" s="184"/>
      <c r="Q361" s="184"/>
      <c r="Z361" s="184"/>
      <c r="AA361" s="184"/>
      <c r="AJ361" s="185"/>
      <c r="DU361" s="395"/>
      <c r="DV361" s="395"/>
      <c r="DW361" s="395"/>
      <c r="DX361" s="395"/>
      <c r="DY361" s="395"/>
      <c r="DZ361" s="395"/>
      <c r="EA361" s="395"/>
      <c r="EB361" s="392"/>
      <c r="EC361" s="392"/>
      <c r="ED361" s="392"/>
      <c r="EE361" s="392"/>
      <c r="EF361" s="392"/>
      <c r="EG361" s="392"/>
      <c r="EH361" s="392"/>
      <c r="EI361" s="392"/>
      <c r="EJ361" s="392"/>
      <c r="EK361" s="392"/>
      <c r="EL361" s="392"/>
    </row>
    <row r="362" spans="3:142" s="182" customFormat="1" hidden="1" x14ac:dyDescent="0.25">
      <c r="C362" s="395"/>
      <c r="I362" s="184"/>
      <c r="N362" s="184"/>
      <c r="O362" s="184"/>
      <c r="P362" s="184"/>
      <c r="Q362" s="184"/>
      <c r="Z362" s="184"/>
      <c r="AA362" s="184"/>
      <c r="AJ362" s="185"/>
      <c r="DU362" s="395"/>
      <c r="DV362" s="395"/>
      <c r="DW362" s="395"/>
      <c r="DX362" s="395"/>
      <c r="DY362" s="395"/>
      <c r="DZ362" s="395"/>
      <c r="EA362" s="395"/>
      <c r="EB362" s="392"/>
      <c r="EC362" s="392"/>
      <c r="ED362" s="392"/>
      <c r="EE362" s="392"/>
      <c r="EF362" s="392"/>
      <c r="EG362" s="392"/>
      <c r="EH362" s="392"/>
      <c r="EI362" s="392"/>
      <c r="EJ362" s="392"/>
      <c r="EK362" s="392"/>
      <c r="EL362" s="392"/>
    </row>
    <row r="363" spans="3:142" s="182" customFormat="1" hidden="1" x14ac:dyDescent="0.25">
      <c r="C363" s="395"/>
      <c r="I363" s="184"/>
      <c r="N363" s="184"/>
      <c r="O363" s="184"/>
      <c r="P363" s="184"/>
      <c r="Q363" s="184"/>
      <c r="Z363" s="184"/>
      <c r="AA363" s="184"/>
      <c r="AJ363" s="185"/>
      <c r="DU363" s="395"/>
      <c r="DV363" s="395"/>
      <c r="DW363" s="395"/>
      <c r="DX363" s="395"/>
      <c r="DY363" s="395"/>
      <c r="DZ363" s="395"/>
      <c r="EA363" s="395"/>
      <c r="EB363" s="392"/>
      <c r="EC363" s="392"/>
      <c r="ED363" s="392"/>
      <c r="EE363" s="392"/>
      <c r="EF363" s="392"/>
      <c r="EG363" s="392"/>
      <c r="EH363" s="392"/>
      <c r="EI363" s="392"/>
      <c r="EJ363" s="392"/>
      <c r="EK363" s="392"/>
      <c r="EL363" s="392"/>
    </row>
    <row r="364" spans="3:142" s="182" customFormat="1" hidden="1" x14ac:dyDescent="0.25">
      <c r="C364" s="395"/>
      <c r="I364" s="184"/>
      <c r="N364" s="184"/>
      <c r="O364" s="184"/>
      <c r="P364" s="184"/>
      <c r="Q364" s="184"/>
      <c r="Z364" s="184"/>
      <c r="AA364" s="184"/>
      <c r="AJ364" s="185"/>
      <c r="DU364" s="395"/>
      <c r="DV364" s="395"/>
      <c r="DW364" s="395"/>
      <c r="DX364" s="395"/>
      <c r="DY364" s="395"/>
      <c r="DZ364" s="395"/>
      <c r="EA364" s="395"/>
      <c r="EB364" s="392"/>
      <c r="EC364" s="392"/>
      <c r="ED364" s="392"/>
      <c r="EE364" s="392"/>
      <c r="EF364" s="392"/>
      <c r="EG364" s="392"/>
      <c r="EH364" s="392"/>
      <c r="EI364" s="392"/>
      <c r="EJ364" s="392"/>
      <c r="EK364" s="392"/>
      <c r="EL364" s="392"/>
    </row>
    <row r="365" spans="3:142" s="182" customFormat="1" hidden="1" x14ac:dyDescent="0.25">
      <c r="C365" s="395"/>
      <c r="I365" s="184"/>
      <c r="N365" s="184"/>
      <c r="O365" s="184"/>
      <c r="P365" s="184"/>
      <c r="Q365" s="184"/>
      <c r="Z365" s="184"/>
      <c r="AA365" s="184"/>
      <c r="AJ365" s="185"/>
      <c r="DU365" s="395"/>
      <c r="DV365" s="395"/>
      <c r="DW365" s="395"/>
      <c r="DX365" s="395"/>
      <c r="DY365" s="395"/>
      <c r="DZ365" s="395"/>
      <c r="EA365" s="395"/>
      <c r="EB365" s="392"/>
      <c r="EC365" s="392"/>
      <c r="ED365" s="392"/>
      <c r="EE365" s="392"/>
      <c r="EF365" s="392"/>
      <c r="EG365" s="392"/>
      <c r="EH365" s="392"/>
      <c r="EI365" s="392"/>
      <c r="EJ365" s="392"/>
      <c r="EK365" s="392"/>
      <c r="EL365" s="392"/>
    </row>
    <row r="366" spans="3:142" s="182" customFormat="1" hidden="1" x14ac:dyDescent="0.25">
      <c r="C366" s="395"/>
      <c r="I366" s="184"/>
      <c r="N366" s="184"/>
      <c r="O366" s="184"/>
      <c r="P366" s="184"/>
      <c r="Q366" s="184"/>
      <c r="Z366" s="184"/>
      <c r="AA366" s="184"/>
      <c r="AJ366" s="185"/>
      <c r="DU366" s="395"/>
      <c r="DV366" s="395"/>
      <c r="DW366" s="395"/>
      <c r="DX366" s="395"/>
      <c r="DY366" s="395"/>
      <c r="DZ366" s="395"/>
      <c r="EA366" s="395"/>
      <c r="EB366" s="392"/>
      <c r="EC366" s="392"/>
      <c r="ED366" s="392"/>
      <c r="EE366" s="392"/>
      <c r="EF366" s="392"/>
      <c r="EG366" s="392"/>
      <c r="EH366" s="392"/>
      <c r="EI366" s="392"/>
      <c r="EJ366" s="392"/>
      <c r="EK366" s="392"/>
      <c r="EL366" s="392"/>
    </row>
    <row r="367" spans="3:142" s="182" customFormat="1" hidden="1" x14ac:dyDescent="0.25">
      <c r="C367" s="395"/>
      <c r="I367" s="184"/>
      <c r="N367" s="184"/>
      <c r="O367" s="184"/>
      <c r="P367" s="184"/>
      <c r="Q367" s="184"/>
      <c r="Z367" s="184"/>
      <c r="AA367" s="184"/>
      <c r="AJ367" s="185"/>
      <c r="DU367" s="395"/>
      <c r="DV367" s="395"/>
      <c r="DW367" s="395"/>
      <c r="DX367" s="395"/>
      <c r="DY367" s="395"/>
      <c r="DZ367" s="395"/>
      <c r="EA367" s="395"/>
      <c r="EB367" s="392"/>
      <c r="EC367" s="392"/>
      <c r="ED367" s="392"/>
      <c r="EE367" s="392"/>
      <c r="EF367" s="392"/>
      <c r="EG367" s="392"/>
      <c r="EH367" s="392"/>
      <c r="EI367" s="392"/>
      <c r="EJ367" s="392"/>
      <c r="EK367" s="392"/>
      <c r="EL367" s="392"/>
    </row>
    <row r="368" spans="3:142" s="182" customFormat="1" hidden="1" x14ac:dyDescent="0.25">
      <c r="C368" s="395"/>
      <c r="I368" s="184"/>
      <c r="N368" s="184"/>
      <c r="O368" s="184"/>
      <c r="P368" s="184"/>
      <c r="Q368" s="184"/>
      <c r="Z368" s="184"/>
      <c r="AA368" s="184"/>
      <c r="AJ368" s="185"/>
      <c r="DU368" s="395"/>
      <c r="DV368" s="395"/>
      <c r="DW368" s="395"/>
      <c r="DX368" s="395"/>
      <c r="DY368" s="395"/>
      <c r="DZ368" s="395"/>
      <c r="EA368" s="395"/>
      <c r="EB368" s="392"/>
      <c r="EC368" s="392"/>
      <c r="ED368" s="392"/>
      <c r="EE368" s="392"/>
      <c r="EF368" s="392"/>
      <c r="EG368" s="392"/>
      <c r="EH368" s="392"/>
      <c r="EI368" s="392"/>
      <c r="EJ368" s="392"/>
      <c r="EK368" s="392"/>
      <c r="EL368" s="392"/>
    </row>
    <row r="369" spans="3:142" s="182" customFormat="1" hidden="1" x14ac:dyDescent="0.25">
      <c r="C369" s="395"/>
      <c r="I369" s="184"/>
      <c r="N369" s="184"/>
      <c r="O369" s="184"/>
      <c r="P369" s="184"/>
      <c r="Q369" s="184"/>
      <c r="Z369" s="184"/>
      <c r="AA369" s="184"/>
      <c r="AJ369" s="185"/>
      <c r="DU369" s="395"/>
      <c r="DV369" s="395"/>
      <c r="DW369" s="395"/>
      <c r="DX369" s="395"/>
      <c r="DY369" s="395"/>
      <c r="DZ369" s="395"/>
      <c r="EA369" s="395"/>
      <c r="EB369" s="392"/>
      <c r="EC369" s="392"/>
      <c r="ED369" s="392"/>
      <c r="EE369" s="392"/>
      <c r="EF369" s="392"/>
      <c r="EG369" s="392"/>
      <c r="EH369" s="392"/>
      <c r="EI369" s="392"/>
      <c r="EJ369" s="392"/>
      <c r="EK369" s="392"/>
      <c r="EL369" s="392"/>
    </row>
    <row r="370" spans="3:142" s="182" customFormat="1" hidden="1" x14ac:dyDescent="0.25">
      <c r="C370" s="395"/>
      <c r="I370" s="184"/>
      <c r="N370" s="184"/>
      <c r="O370" s="184"/>
      <c r="P370" s="184"/>
      <c r="Q370" s="184"/>
      <c r="Z370" s="184"/>
      <c r="AA370" s="184"/>
      <c r="AJ370" s="185"/>
      <c r="DU370" s="395"/>
      <c r="DV370" s="395"/>
      <c r="DW370" s="395"/>
      <c r="DX370" s="395"/>
      <c r="DY370" s="395"/>
      <c r="DZ370" s="395"/>
      <c r="EA370" s="395"/>
      <c r="EB370" s="392"/>
      <c r="EC370" s="392"/>
      <c r="ED370" s="392"/>
      <c r="EE370" s="392"/>
      <c r="EF370" s="392"/>
      <c r="EG370" s="392"/>
      <c r="EH370" s="392"/>
      <c r="EI370" s="392"/>
      <c r="EJ370" s="392"/>
      <c r="EK370" s="392"/>
      <c r="EL370" s="392"/>
    </row>
    <row r="371" spans="3:142" s="182" customFormat="1" hidden="1" x14ac:dyDescent="0.25">
      <c r="C371" s="395"/>
      <c r="I371" s="184"/>
      <c r="N371" s="184"/>
      <c r="O371" s="184"/>
      <c r="P371" s="184"/>
      <c r="Q371" s="184"/>
      <c r="Z371" s="184"/>
      <c r="AA371" s="184"/>
      <c r="AJ371" s="185"/>
      <c r="DU371" s="395"/>
      <c r="DV371" s="395"/>
      <c r="DW371" s="395"/>
      <c r="DX371" s="395"/>
      <c r="DY371" s="395"/>
      <c r="DZ371" s="395"/>
      <c r="EA371" s="395"/>
      <c r="EB371" s="392"/>
      <c r="EC371" s="392"/>
      <c r="ED371" s="392"/>
      <c r="EE371" s="392"/>
      <c r="EF371" s="392"/>
      <c r="EG371" s="392"/>
      <c r="EH371" s="392"/>
      <c r="EI371" s="392"/>
      <c r="EJ371" s="392"/>
      <c r="EK371" s="392"/>
      <c r="EL371" s="392"/>
    </row>
    <row r="372" spans="3:142" s="182" customFormat="1" hidden="1" x14ac:dyDescent="0.25">
      <c r="C372" s="395"/>
      <c r="I372" s="184"/>
      <c r="N372" s="184"/>
      <c r="O372" s="184"/>
      <c r="P372" s="184"/>
      <c r="Q372" s="184"/>
      <c r="Z372" s="184"/>
      <c r="AA372" s="184"/>
      <c r="AJ372" s="185"/>
      <c r="DU372" s="395"/>
      <c r="DV372" s="395"/>
      <c r="DW372" s="395"/>
      <c r="DX372" s="395"/>
      <c r="DY372" s="395"/>
      <c r="DZ372" s="395"/>
      <c r="EA372" s="395"/>
      <c r="EB372" s="392"/>
      <c r="EC372" s="392"/>
      <c r="ED372" s="392"/>
      <c r="EE372" s="392"/>
      <c r="EF372" s="392"/>
      <c r="EG372" s="392"/>
      <c r="EH372" s="392"/>
      <c r="EI372" s="392"/>
      <c r="EJ372" s="392"/>
      <c r="EK372" s="392"/>
      <c r="EL372" s="392"/>
    </row>
    <row r="373" spans="3:142" s="182" customFormat="1" hidden="1" x14ac:dyDescent="0.25">
      <c r="C373" s="395"/>
      <c r="I373" s="184"/>
      <c r="N373" s="184"/>
      <c r="O373" s="184"/>
      <c r="P373" s="184"/>
      <c r="Q373" s="184"/>
      <c r="Z373" s="184"/>
      <c r="AA373" s="184"/>
      <c r="AJ373" s="185"/>
      <c r="DU373" s="395"/>
      <c r="DV373" s="395"/>
      <c r="DW373" s="395"/>
      <c r="DX373" s="395"/>
      <c r="DY373" s="395"/>
      <c r="DZ373" s="395"/>
      <c r="EA373" s="395"/>
      <c r="EB373" s="392"/>
      <c r="EC373" s="392"/>
      <c r="ED373" s="392"/>
      <c r="EE373" s="392"/>
      <c r="EF373" s="392"/>
      <c r="EG373" s="392"/>
      <c r="EH373" s="392"/>
      <c r="EI373" s="392"/>
      <c r="EJ373" s="392"/>
      <c r="EK373" s="392"/>
      <c r="EL373" s="392"/>
    </row>
    <row r="374" spans="3:142" s="182" customFormat="1" hidden="1" x14ac:dyDescent="0.25">
      <c r="C374" s="395"/>
      <c r="I374" s="184"/>
      <c r="N374" s="184"/>
      <c r="O374" s="184"/>
      <c r="P374" s="184"/>
      <c r="Q374" s="184"/>
      <c r="Z374" s="184"/>
      <c r="AA374" s="184"/>
      <c r="AJ374" s="185"/>
      <c r="DU374" s="395"/>
      <c r="DV374" s="395"/>
      <c r="DW374" s="395"/>
      <c r="DX374" s="395"/>
      <c r="DY374" s="395"/>
      <c r="DZ374" s="395"/>
      <c r="EA374" s="395"/>
      <c r="EB374" s="392"/>
      <c r="EC374" s="392"/>
      <c r="ED374" s="392"/>
      <c r="EE374" s="392"/>
      <c r="EF374" s="392"/>
      <c r="EG374" s="392"/>
      <c r="EH374" s="392"/>
      <c r="EI374" s="392"/>
      <c r="EJ374" s="392"/>
      <c r="EK374" s="392"/>
      <c r="EL374" s="392"/>
    </row>
    <row r="375" spans="3:142" s="182" customFormat="1" hidden="1" x14ac:dyDescent="0.25">
      <c r="C375" s="395"/>
      <c r="I375" s="184"/>
      <c r="N375" s="184"/>
      <c r="O375" s="184"/>
      <c r="P375" s="184"/>
      <c r="Q375" s="184"/>
      <c r="Z375" s="184"/>
      <c r="AA375" s="184"/>
      <c r="AJ375" s="185"/>
      <c r="DU375" s="395"/>
      <c r="DV375" s="395"/>
      <c r="DW375" s="395"/>
      <c r="DX375" s="395"/>
      <c r="DY375" s="395"/>
      <c r="DZ375" s="395"/>
      <c r="EA375" s="395"/>
      <c r="EB375" s="392"/>
      <c r="EC375" s="392"/>
      <c r="ED375" s="392"/>
      <c r="EE375" s="392"/>
      <c r="EF375" s="392"/>
      <c r="EG375" s="392"/>
      <c r="EH375" s="392"/>
      <c r="EI375" s="392"/>
      <c r="EJ375" s="392"/>
      <c r="EK375" s="392"/>
      <c r="EL375" s="392"/>
    </row>
    <row r="376" spans="3:142" s="182" customFormat="1" hidden="1" x14ac:dyDescent="0.25">
      <c r="C376" s="395"/>
      <c r="I376" s="184"/>
      <c r="N376" s="184"/>
      <c r="O376" s="184"/>
      <c r="P376" s="184"/>
      <c r="Q376" s="184"/>
      <c r="Z376" s="184"/>
      <c r="AA376" s="184"/>
      <c r="AJ376" s="185"/>
      <c r="DU376" s="395"/>
      <c r="DV376" s="395"/>
      <c r="DW376" s="395"/>
      <c r="DX376" s="395"/>
      <c r="DY376" s="395"/>
      <c r="DZ376" s="395"/>
      <c r="EA376" s="395"/>
      <c r="EB376" s="392"/>
      <c r="EC376" s="392"/>
      <c r="ED376" s="392"/>
      <c r="EE376" s="392"/>
      <c r="EF376" s="392"/>
      <c r="EG376" s="392"/>
      <c r="EH376" s="392"/>
      <c r="EI376" s="392"/>
      <c r="EJ376" s="392"/>
      <c r="EK376" s="392"/>
      <c r="EL376" s="392"/>
    </row>
    <row r="377" spans="3:142" s="182" customFormat="1" hidden="1" x14ac:dyDescent="0.25">
      <c r="C377" s="395"/>
      <c r="I377" s="184"/>
      <c r="N377" s="184"/>
      <c r="O377" s="184"/>
      <c r="P377" s="184"/>
      <c r="Q377" s="184"/>
      <c r="Z377" s="184"/>
      <c r="AA377" s="184"/>
      <c r="AJ377" s="185"/>
      <c r="DU377" s="395"/>
      <c r="DV377" s="395"/>
      <c r="DW377" s="395"/>
      <c r="DX377" s="395"/>
      <c r="DY377" s="395"/>
      <c r="DZ377" s="395"/>
      <c r="EA377" s="395"/>
      <c r="EB377" s="392"/>
      <c r="EC377" s="392"/>
      <c r="ED377" s="392"/>
      <c r="EE377" s="392"/>
      <c r="EF377" s="392"/>
      <c r="EG377" s="392"/>
      <c r="EH377" s="392"/>
      <c r="EI377" s="392"/>
      <c r="EJ377" s="392"/>
      <c r="EK377" s="392"/>
      <c r="EL377" s="392"/>
    </row>
    <row r="378" spans="3:142" s="182" customFormat="1" hidden="1" x14ac:dyDescent="0.25">
      <c r="C378" s="395"/>
      <c r="I378" s="184"/>
      <c r="N378" s="184"/>
      <c r="O378" s="184"/>
      <c r="P378" s="184"/>
      <c r="Q378" s="184"/>
      <c r="Z378" s="184"/>
      <c r="AA378" s="184"/>
      <c r="AJ378" s="185"/>
      <c r="DU378" s="395"/>
      <c r="DV378" s="395"/>
      <c r="DW378" s="395"/>
      <c r="DX378" s="395"/>
      <c r="DY378" s="395"/>
      <c r="DZ378" s="395"/>
      <c r="EA378" s="395"/>
      <c r="EB378" s="392"/>
      <c r="EC378" s="392"/>
      <c r="ED378" s="392"/>
      <c r="EE378" s="392"/>
      <c r="EF378" s="392"/>
      <c r="EG378" s="392"/>
      <c r="EH378" s="392"/>
      <c r="EI378" s="392"/>
      <c r="EJ378" s="392"/>
      <c r="EK378" s="392"/>
      <c r="EL378" s="392"/>
    </row>
    <row r="379" spans="3:142" s="182" customFormat="1" hidden="1" x14ac:dyDescent="0.25">
      <c r="C379" s="395"/>
      <c r="I379" s="184"/>
      <c r="N379" s="184"/>
      <c r="O379" s="184"/>
      <c r="P379" s="184"/>
      <c r="Q379" s="184"/>
      <c r="Z379" s="184"/>
      <c r="AA379" s="184"/>
      <c r="AJ379" s="185"/>
      <c r="DU379" s="395"/>
      <c r="DV379" s="395"/>
      <c r="DW379" s="395"/>
      <c r="DX379" s="395"/>
      <c r="DY379" s="395"/>
      <c r="DZ379" s="395"/>
      <c r="EA379" s="395"/>
      <c r="EB379" s="392"/>
      <c r="EC379" s="392"/>
      <c r="ED379" s="392"/>
      <c r="EE379" s="392"/>
      <c r="EF379" s="392"/>
      <c r="EG379" s="392"/>
      <c r="EH379" s="392"/>
      <c r="EI379" s="392"/>
      <c r="EJ379" s="392"/>
      <c r="EK379" s="392"/>
      <c r="EL379" s="392"/>
    </row>
    <row r="380" spans="3:142" s="182" customFormat="1" hidden="1" x14ac:dyDescent="0.25">
      <c r="C380" s="395"/>
      <c r="I380" s="184"/>
      <c r="N380" s="184"/>
      <c r="O380" s="184"/>
      <c r="P380" s="184"/>
      <c r="Q380" s="184"/>
      <c r="Z380" s="184"/>
      <c r="AA380" s="184"/>
      <c r="AJ380" s="185"/>
      <c r="DU380" s="395"/>
      <c r="DV380" s="395"/>
      <c r="DW380" s="395"/>
      <c r="DX380" s="395"/>
      <c r="DY380" s="395"/>
      <c r="DZ380" s="395"/>
      <c r="EA380" s="395"/>
      <c r="EB380" s="392"/>
      <c r="EC380" s="392"/>
      <c r="ED380" s="392"/>
      <c r="EE380" s="392"/>
      <c r="EF380" s="392"/>
      <c r="EG380" s="392"/>
      <c r="EH380" s="392"/>
      <c r="EI380" s="392"/>
      <c r="EJ380" s="392"/>
      <c r="EK380" s="392"/>
      <c r="EL380" s="392"/>
    </row>
    <row r="381" spans="3:142" s="182" customFormat="1" hidden="1" x14ac:dyDescent="0.25">
      <c r="C381" s="395"/>
      <c r="I381" s="184"/>
      <c r="N381" s="184"/>
      <c r="O381" s="184"/>
      <c r="P381" s="184"/>
      <c r="Q381" s="184"/>
      <c r="Z381" s="184"/>
      <c r="AA381" s="184"/>
      <c r="AJ381" s="185"/>
      <c r="DU381" s="395"/>
      <c r="DV381" s="395"/>
      <c r="DW381" s="395"/>
      <c r="DX381" s="395"/>
      <c r="DY381" s="395"/>
      <c r="DZ381" s="395"/>
      <c r="EA381" s="395"/>
      <c r="EB381" s="392"/>
      <c r="EC381" s="392"/>
      <c r="ED381" s="392"/>
      <c r="EE381" s="392"/>
      <c r="EF381" s="392"/>
      <c r="EG381" s="392"/>
      <c r="EH381" s="392"/>
      <c r="EI381" s="392"/>
      <c r="EJ381" s="392"/>
      <c r="EK381" s="392"/>
      <c r="EL381" s="392"/>
    </row>
    <row r="382" spans="3:142" s="182" customFormat="1" hidden="1" x14ac:dyDescent="0.25">
      <c r="C382" s="395"/>
      <c r="I382" s="184"/>
      <c r="N382" s="184"/>
      <c r="O382" s="184"/>
      <c r="P382" s="184"/>
      <c r="Q382" s="184"/>
      <c r="Z382" s="184"/>
      <c r="AA382" s="184"/>
      <c r="AJ382" s="185"/>
      <c r="DU382" s="395"/>
      <c r="DV382" s="395"/>
      <c r="DW382" s="395"/>
      <c r="DX382" s="395"/>
      <c r="DY382" s="395"/>
      <c r="DZ382" s="395"/>
      <c r="EA382" s="395"/>
      <c r="EB382" s="392"/>
      <c r="EC382" s="392"/>
      <c r="ED382" s="392"/>
      <c r="EE382" s="392"/>
      <c r="EF382" s="392"/>
      <c r="EG382" s="392"/>
      <c r="EH382" s="392"/>
      <c r="EI382" s="392"/>
      <c r="EJ382" s="392"/>
      <c r="EK382" s="392"/>
      <c r="EL382" s="392"/>
    </row>
    <row r="383" spans="3:142" s="182" customFormat="1" hidden="1" x14ac:dyDescent="0.25">
      <c r="C383" s="395"/>
      <c r="I383" s="184"/>
      <c r="N383" s="184"/>
      <c r="O383" s="184"/>
      <c r="P383" s="184"/>
      <c r="Q383" s="184"/>
      <c r="Z383" s="184"/>
      <c r="AA383" s="184"/>
      <c r="AJ383" s="185"/>
      <c r="DU383" s="395"/>
      <c r="DV383" s="395"/>
      <c r="DW383" s="395"/>
      <c r="DX383" s="395"/>
      <c r="DY383" s="395"/>
      <c r="DZ383" s="395"/>
      <c r="EA383" s="395"/>
      <c r="EB383" s="392"/>
      <c r="EC383" s="392"/>
      <c r="ED383" s="392"/>
      <c r="EE383" s="392"/>
      <c r="EF383" s="392"/>
      <c r="EG383" s="392"/>
      <c r="EH383" s="392"/>
      <c r="EI383" s="392"/>
      <c r="EJ383" s="392"/>
      <c r="EK383" s="392"/>
      <c r="EL383" s="392"/>
    </row>
    <row r="384" spans="3:142" s="182" customFormat="1" hidden="1" x14ac:dyDescent="0.25">
      <c r="C384" s="395"/>
      <c r="I384" s="184"/>
      <c r="N384" s="184"/>
      <c r="O384" s="184"/>
      <c r="P384" s="184"/>
      <c r="Q384" s="184"/>
      <c r="Z384" s="184"/>
      <c r="AA384" s="184"/>
      <c r="AJ384" s="185"/>
      <c r="DU384" s="395"/>
      <c r="DV384" s="395"/>
      <c r="DW384" s="395"/>
      <c r="DX384" s="395"/>
      <c r="DY384" s="395"/>
      <c r="DZ384" s="395"/>
      <c r="EA384" s="395"/>
      <c r="EB384" s="392"/>
      <c r="EC384" s="392"/>
      <c r="ED384" s="392"/>
      <c r="EE384" s="392"/>
      <c r="EF384" s="392"/>
      <c r="EG384" s="392"/>
      <c r="EH384" s="392"/>
      <c r="EI384" s="392"/>
      <c r="EJ384" s="392"/>
      <c r="EK384" s="392"/>
      <c r="EL384" s="392"/>
    </row>
    <row r="385" spans="3:142" s="182" customFormat="1" hidden="1" x14ac:dyDescent="0.25">
      <c r="C385" s="395"/>
      <c r="I385" s="184"/>
      <c r="N385" s="184"/>
      <c r="O385" s="184"/>
      <c r="P385" s="184"/>
      <c r="Q385" s="184"/>
      <c r="Z385" s="184"/>
      <c r="AA385" s="184"/>
      <c r="AJ385" s="185"/>
      <c r="DU385" s="395"/>
      <c r="DV385" s="395"/>
      <c r="DW385" s="395"/>
      <c r="DX385" s="395"/>
      <c r="DY385" s="395"/>
      <c r="DZ385" s="395"/>
      <c r="EA385" s="395"/>
      <c r="EB385" s="392"/>
      <c r="EC385" s="392"/>
      <c r="ED385" s="392"/>
      <c r="EE385" s="392"/>
      <c r="EF385" s="392"/>
      <c r="EG385" s="392"/>
      <c r="EH385" s="392"/>
      <c r="EI385" s="392"/>
      <c r="EJ385" s="392"/>
      <c r="EK385" s="392"/>
      <c r="EL385" s="392"/>
    </row>
    <row r="386" spans="3:142" s="182" customFormat="1" hidden="1" x14ac:dyDescent="0.25">
      <c r="C386" s="395"/>
      <c r="I386" s="184"/>
      <c r="N386" s="184"/>
      <c r="O386" s="184"/>
      <c r="P386" s="184"/>
      <c r="Q386" s="184"/>
      <c r="Z386" s="184"/>
      <c r="AA386" s="184"/>
      <c r="AJ386" s="185"/>
      <c r="DU386" s="395"/>
      <c r="DV386" s="395"/>
      <c r="DW386" s="395"/>
      <c r="DX386" s="395"/>
      <c r="DY386" s="395"/>
      <c r="DZ386" s="395"/>
      <c r="EA386" s="395"/>
      <c r="EB386" s="392"/>
      <c r="EC386" s="392"/>
      <c r="ED386" s="392"/>
      <c r="EE386" s="392"/>
      <c r="EF386" s="392"/>
      <c r="EG386" s="392"/>
      <c r="EH386" s="392"/>
      <c r="EI386" s="392"/>
      <c r="EJ386" s="392"/>
      <c r="EK386" s="392"/>
      <c r="EL386" s="392"/>
    </row>
    <row r="387" spans="3:142" s="182" customFormat="1" hidden="1" x14ac:dyDescent="0.25">
      <c r="C387" s="395"/>
      <c r="I387" s="184"/>
      <c r="N387" s="184"/>
      <c r="O387" s="184"/>
      <c r="P387" s="184"/>
      <c r="Q387" s="184"/>
      <c r="Z387" s="184"/>
      <c r="AA387" s="184"/>
      <c r="AJ387" s="185"/>
      <c r="DU387" s="395"/>
      <c r="DV387" s="395"/>
      <c r="DW387" s="395"/>
      <c r="DX387" s="395"/>
      <c r="DY387" s="395"/>
      <c r="DZ387" s="395"/>
      <c r="EA387" s="395"/>
      <c r="EB387" s="392"/>
      <c r="EC387" s="392"/>
      <c r="ED387" s="392"/>
      <c r="EE387" s="392"/>
      <c r="EF387" s="392"/>
      <c r="EG387" s="392"/>
      <c r="EH387" s="392"/>
      <c r="EI387" s="392"/>
      <c r="EJ387" s="392"/>
      <c r="EK387" s="392"/>
      <c r="EL387" s="392"/>
    </row>
    <row r="388" spans="3:142" s="182" customFormat="1" hidden="1" x14ac:dyDescent="0.25">
      <c r="C388" s="395"/>
      <c r="I388" s="184"/>
      <c r="N388" s="184"/>
      <c r="O388" s="184"/>
      <c r="P388" s="184"/>
      <c r="Q388" s="184"/>
      <c r="Z388" s="184"/>
      <c r="AA388" s="184"/>
      <c r="AJ388" s="185"/>
      <c r="DU388" s="395"/>
      <c r="DV388" s="395"/>
      <c r="DW388" s="395"/>
      <c r="DX388" s="395"/>
      <c r="DY388" s="395"/>
      <c r="DZ388" s="395"/>
      <c r="EA388" s="395"/>
      <c r="EB388" s="392"/>
      <c r="EC388" s="392"/>
      <c r="ED388" s="392"/>
      <c r="EE388" s="392"/>
      <c r="EF388" s="392"/>
      <c r="EG388" s="392"/>
      <c r="EH388" s="392"/>
      <c r="EI388" s="392"/>
      <c r="EJ388" s="392"/>
      <c r="EK388" s="392"/>
      <c r="EL388" s="392"/>
    </row>
    <row r="389" spans="3:142" s="182" customFormat="1" hidden="1" x14ac:dyDescent="0.25">
      <c r="C389" s="395"/>
      <c r="I389" s="184"/>
      <c r="N389" s="184"/>
      <c r="O389" s="184"/>
      <c r="P389" s="184"/>
      <c r="Q389" s="184"/>
      <c r="Z389" s="184"/>
      <c r="AA389" s="184"/>
      <c r="AJ389" s="185"/>
      <c r="DU389" s="395"/>
      <c r="DV389" s="395"/>
      <c r="DW389" s="395"/>
      <c r="DX389" s="395"/>
      <c r="DY389" s="395"/>
      <c r="DZ389" s="395"/>
      <c r="EA389" s="395"/>
      <c r="EB389" s="392"/>
      <c r="EC389" s="392"/>
      <c r="ED389" s="392"/>
      <c r="EE389" s="392"/>
      <c r="EF389" s="392"/>
      <c r="EG389" s="392"/>
      <c r="EH389" s="392"/>
      <c r="EI389" s="392"/>
      <c r="EJ389" s="392"/>
      <c r="EK389" s="392"/>
      <c r="EL389" s="392"/>
    </row>
    <row r="390" spans="3:142" s="182" customFormat="1" hidden="1" x14ac:dyDescent="0.25">
      <c r="C390" s="395"/>
      <c r="I390" s="184"/>
      <c r="N390" s="184"/>
      <c r="O390" s="184"/>
      <c r="P390" s="184"/>
      <c r="Q390" s="184"/>
      <c r="Z390" s="184"/>
      <c r="AA390" s="184"/>
      <c r="AJ390" s="185"/>
      <c r="DU390" s="395"/>
      <c r="DV390" s="395"/>
      <c r="DW390" s="395"/>
      <c r="DX390" s="395"/>
      <c r="DY390" s="395"/>
      <c r="DZ390" s="395"/>
      <c r="EA390" s="395"/>
      <c r="EB390" s="392"/>
      <c r="EC390" s="392"/>
      <c r="ED390" s="392"/>
      <c r="EE390" s="392"/>
      <c r="EF390" s="392"/>
      <c r="EG390" s="392"/>
      <c r="EH390" s="392"/>
      <c r="EI390" s="392"/>
      <c r="EJ390" s="392"/>
      <c r="EK390" s="392"/>
      <c r="EL390" s="392"/>
    </row>
    <row r="391" spans="3:142" s="182" customFormat="1" hidden="1" x14ac:dyDescent="0.25">
      <c r="C391" s="395"/>
      <c r="I391" s="184"/>
      <c r="N391" s="184"/>
      <c r="O391" s="184"/>
      <c r="P391" s="184"/>
      <c r="Q391" s="184"/>
      <c r="Z391" s="184"/>
      <c r="AA391" s="184"/>
      <c r="AJ391" s="185"/>
      <c r="DU391" s="395"/>
      <c r="DV391" s="395"/>
      <c r="DW391" s="395"/>
      <c r="DX391" s="395"/>
      <c r="DY391" s="395"/>
      <c r="DZ391" s="395"/>
      <c r="EA391" s="395"/>
      <c r="EB391" s="392"/>
      <c r="EC391" s="392"/>
      <c r="ED391" s="392"/>
      <c r="EE391" s="392"/>
      <c r="EF391" s="392"/>
      <c r="EG391" s="392"/>
      <c r="EH391" s="392"/>
      <c r="EI391" s="392"/>
      <c r="EJ391" s="392"/>
      <c r="EK391" s="392"/>
      <c r="EL391" s="392"/>
    </row>
    <row r="392" spans="3:142" s="182" customFormat="1" hidden="1" x14ac:dyDescent="0.25">
      <c r="C392" s="395"/>
      <c r="I392" s="184"/>
      <c r="N392" s="184"/>
      <c r="O392" s="184"/>
      <c r="P392" s="184"/>
      <c r="Q392" s="184"/>
      <c r="Z392" s="184"/>
      <c r="AA392" s="184"/>
      <c r="AJ392" s="185"/>
      <c r="DU392" s="395"/>
      <c r="DV392" s="395"/>
      <c r="DW392" s="395"/>
      <c r="DX392" s="395"/>
      <c r="DY392" s="395"/>
      <c r="DZ392" s="395"/>
      <c r="EA392" s="395"/>
      <c r="EB392" s="392"/>
      <c r="EC392" s="392"/>
      <c r="ED392" s="392"/>
      <c r="EE392" s="392"/>
      <c r="EF392" s="392"/>
      <c r="EG392" s="392"/>
      <c r="EH392" s="392"/>
      <c r="EI392" s="392"/>
      <c r="EJ392" s="392"/>
      <c r="EK392" s="392"/>
      <c r="EL392" s="392"/>
    </row>
    <row r="393" spans="3:142" s="182" customFormat="1" hidden="1" x14ac:dyDescent="0.25">
      <c r="C393" s="395"/>
      <c r="I393" s="184"/>
      <c r="N393" s="184"/>
      <c r="O393" s="184"/>
      <c r="P393" s="184"/>
      <c r="Q393" s="184"/>
      <c r="Z393" s="184"/>
      <c r="AA393" s="184"/>
      <c r="AJ393" s="185"/>
      <c r="DU393" s="395"/>
      <c r="DV393" s="395"/>
      <c r="DW393" s="395"/>
      <c r="DX393" s="395"/>
      <c r="DY393" s="395"/>
      <c r="DZ393" s="395"/>
      <c r="EA393" s="395"/>
      <c r="EB393" s="392"/>
      <c r="EC393" s="392"/>
      <c r="ED393" s="392"/>
      <c r="EE393" s="392"/>
      <c r="EF393" s="392"/>
      <c r="EG393" s="392"/>
      <c r="EH393" s="392"/>
      <c r="EI393" s="392"/>
      <c r="EJ393" s="392"/>
      <c r="EK393" s="392"/>
      <c r="EL393" s="392"/>
    </row>
    <row r="394" spans="3:142" s="182" customFormat="1" hidden="1" x14ac:dyDescent="0.25">
      <c r="C394" s="395"/>
      <c r="I394" s="184"/>
      <c r="N394" s="184"/>
      <c r="O394" s="184"/>
      <c r="P394" s="184"/>
      <c r="Q394" s="184"/>
      <c r="Z394" s="184"/>
      <c r="AA394" s="184"/>
      <c r="AJ394" s="185"/>
      <c r="DU394" s="395"/>
      <c r="DV394" s="395"/>
      <c r="DW394" s="395"/>
      <c r="DX394" s="395"/>
      <c r="DY394" s="395"/>
      <c r="DZ394" s="395"/>
      <c r="EA394" s="395"/>
      <c r="EB394" s="392"/>
      <c r="EC394" s="392"/>
      <c r="ED394" s="392"/>
      <c r="EE394" s="392"/>
      <c r="EF394" s="392"/>
      <c r="EG394" s="392"/>
      <c r="EH394" s="392"/>
      <c r="EI394" s="392"/>
      <c r="EJ394" s="392"/>
      <c r="EK394" s="392"/>
      <c r="EL394" s="392"/>
    </row>
    <row r="395" spans="3:142" s="182" customFormat="1" hidden="1" x14ac:dyDescent="0.25">
      <c r="C395" s="395"/>
      <c r="I395" s="184"/>
      <c r="N395" s="184"/>
      <c r="O395" s="184"/>
      <c r="P395" s="184"/>
      <c r="Q395" s="184"/>
      <c r="Z395" s="184"/>
      <c r="AA395" s="184"/>
      <c r="AJ395" s="185"/>
      <c r="DU395" s="395"/>
      <c r="DV395" s="395"/>
      <c r="DW395" s="395"/>
      <c r="DX395" s="395"/>
      <c r="DY395" s="395"/>
      <c r="DZ395" s="395"/>
      <c r="EA395" s="395"/>
      <c r="EB395" s="392"/>
      <c r="EC395" s="392"/>
      <c r="ED395" s="392"/>
      <c r="EE395" s="392"/>
      <c r="EF395" s="392"/>
      <c r="EG395" s="392"/>
      <c r="EH395" s="392"/>
      <c r="EI395" s="392"/>
      <c r="EJ395" s="392"/>
      <c r="EK395" s="392"/>
      <c r="EL395" s="392"/>
    </row>
    <row r="396" spans="3:142" s="182" customFormat="1" hidden="1" x14ac:dyDescent="0.25">
      <c r="C396" s="395"/>
      <c r="I396" s="184"/>
      <c r="N396" s="184"/>
      <c r="O396" s="184"/>
      <c r="P396" s="184"/>
      <c r="Q396" s="184"/>
      <c r="Z396" s="184"/>
      <c r="AA396" s="184"/>
      <c r="AJ396" s="185"/>
      <c r="DU396" s="395"/>
      <c r="DV396" s="395"/>
      <c r="DW396" s="395"/>
      <c r="DX396" s="395"/>
      <c r="DY396" s="395"/>
      <c r="DZ396" s="395"/>
      <c r="EA396" s="395"/>
      <c r="EB396" s="392"/>
      <c r="EC396" s="392"/>
      <c r="ED396" s="392"/>
      <c r="EE396" s="392"/>
      <c r="EF396" s="392"/>
      <c r="EG396" s="392"/>
      <c r="EH396" s="392"/>
      <c r="EI396" s="392"/>
      <c r="EJ396" s="392"/>
      <c r="EK396" s="392"/>
      <c r="EL396" s="392"/>
    </row>
    <row r="397" spans="3:142" s="182" customFormat="1" hidden="1" x14ac:dyDescent="0.25">
      <c r="C397" s="395"/>
      <c r="I397" s="184"/>
      <c r="N397" s="184"/>
      <c r="O397" s="184"/>
      <c r="P397" s="184"/>
      <c r="Q397" s="184"/>
      <c r="Z397" s="184"/>
      <c r="AA397" s="184"/>
      <c r="AJ397" s="185"/>
      <c r="DU397" s="395"/>
      <c r="DV397" s="395"/>
      <c r="DW397" s="395"/>
      <c r="DX397" s="395"/>
      <c r="DY397" s="395"/>
      <c r="DZ397" s="395"/>
      <c r="EA397" s="395"/>
      <c r="EB397" s="392"/>
      <c r="EC397" s="392"/>
      <c r="ED397" s="392"/>
      <c r="EE397" s="392"/>
      <c r="EF397" s="392"/>
      <c r="EG397" s="392"/>
      <c r="EH397" s="392"/>
      <c r="EI397" s="392"/>
      <c r="EJ397" s="392"/>
      <c r="EK397" s="392"/>
      <c r="EL397" s="392"/>
    </row>
    <row r="398" spans="3:142" s="182" customFormat="1" hidden="1" x14ac:dyDescent="0.25">
      <c r="C398" s="395"/>
      <c r="I398" s="184"/>
      <c r="N398" s="184"/>
      <c r="O398" s="184"/>
      <c r="P398" s="184"/>
      <c r="Q398" s="184"/>
      <c r="Z398" s="184"/>
      <c r="AA398" s="184"/>
      <c r="AJ398" s="185"/>
      <c r="DU398" s="395"/>
      <c r="DV398" s="395"/>
      <c r="DW398" s="395"/>
      <c r="DX398" s="395"/>
      <c r="DY398" s="395"/>
      <c r="DZ398" s="395"/>
      <c r="EA398" s="395"/>
      <c r="EB398" s="392"/>
      <c r="EC398" s="392"/>
      <c r="ED398" s="392"/>
      <c r="EE398" s="392"/>
      <c r="EF398" s="392"/>
      <c r="EG398" s="392"/>
      <c r="EH398" s="392"/>
      <c r="EI398" s="392"/>
      <c r="EJ398" s="392"/>
      <c r="EK398" s="392"/>
      <c r="EL398" s="392"/>
    </row>
    <row r="399" spans="3:142" s="182" customFormat="1" hidden="1" x14ac:dyDescent="0.25">
      <c r="C399" s="395"/>
      <c r="I399" s="184"/>
      <c r="N399" s="184"/>
      <c r="O399" s="184"/>
      <c r="P399" s="184"/>
      <c r="Q399" s="184"/>
      <c r="Z399" s="184"/>
      <c r="AA399" s="184"/>
      <c r="AJ399" s="185"/>
      <c r="DU399" s="395"/>
      <c r="DV399" s="395"/>
      <c r="DW399" s="395"/>
      <c r="DX399" s="395"/>
      <c r="DY399" s="395"/>
      <c r="DZ399" s="395"/>
      <c r="EA399" s="395"/>
      <c r="EB399" s="392"/>
      <c r="EC399" s="392"/>
      <c r="ED399" s="392"/>
      <c r="EE399" s="392"/>
      <c r="EF399" s="392"/>
      <c r="EG399" s="392"/>
      <c r="EH399" s="392"/>
      <c r="EI399" s="392"/>
      <c r="EJ399" s="392"/>
      <c r="EK399" s="392"/>
      <c r="EL399" s="392"/>
    </row>
    <row r="400" spans="3:142" s="182" customFormat="1" hidden="1" x14ac:dyDescent="0.25">
      <c r="C400" s="395"/>
      <c r="I400" s="184"/>
      <c r="N400" s="184"/>
      <c r="O400" s="184"/>
      <c r="P400" s="184"/>
      <c r="Q400" s="184"/>
      <c r="Z400" s="184"/>
      <c r="AA400" s="184"/>
      <c r="AJ400" s="185"/>
      <c r="DU400" s="395"/>
      <c r="DV400" s="395"/>
      <c r="DW400" s="395"/>
      <c r="DX400" s="395"/>
      <c r="DY400" s="395"/>
      <c r="DZ400" s="395"/>
      <c r="EA400" s="395"/>
      <c r="EB400" s="392"/>
      <c r="EC400" s="392"/>
      <c r="ED400" s="392"/>
      <c r="EE400" s="392"/>
      <c r="EF400" s="392"/>
      <c r="EG400" s="392"/>
      <c r="EH400" s="392"/>
      <c r="EI400" s="392"/>
      <c r="EJ400" s="392"/>
      <c r="EK400" s="392"/>
      <c r="EL400" s="392"/>
    </row>
    <row r="401" spans="3:142" s="182" customFormat="1" hidden="1" x14ac:dyDescent="0.25">
      <c r="C401" s="395"/>
      <c r="I401" s="184"/>
      <c r="N401" s="184"/>
      <c r="O401" s="184"/>
      <c r="P401" s="184"/>
      <c r="Q401" s="184"/>
      <c r="Z401" s="184"/>
      <c r="AA401" s="184"/>
      <c r="AJ401" s="185"/>
      <c r="DU401" s="395"/>
      <c r="DV401" s="395"/>
      <c r="DW401" s="395"/>
      <c r="DX401" s="395"/>
      <c r="DY401" s="395"/>
      <c r="DZ401" s="395"/>
      <c r="EA401" s="395"/>
      <c r="EB401" s="392"/>
      <c r="EC401" s="392"/>
      <c r="ED401" s="392"/>
      <c r="EE401" s="392"/>
      <c r="EF401" s="392"/>
      <c r="EG401" s="392"/>
      <c r="EH401" s="392"/>
      <c r="EI401" s="392"/>
      <c r="EJ401" s="392"/>
      <c r="EK401" s="392"/>
      <c r="EL401" s="392"/>
    </row>
    <row r="402" spans="3:142" s="182" customFormat="1" hidden="1" x14ac:dyDescent="0.25">
      <c r="C402" s="395"/>
      <c r="I402" s="184"/>
      <c r="N402" s="184"/>
      <c r="O402" s="184"/>
      <c r="P402" s="184"/>
      <c r="Q402" s="184"/>
      <c r="Z402" s="184"/>
      <c r="AA402" s="184"/>
      <c r="AJ402" s="185"/>
      <c r="DU402" s="395"/>
      <c r="DV402" s="395"/>
      <c r="DW402" s="395"/>
      <c r="DX402" s="395"/>
      <c r="DY402" s="395"/>
      <c r="DZ402" s="395"/>
      <c r="EA402" s="395"/>
      <c r="EB402" s="392"/>
      <c r="EC402" s="392"/>
      <c r="ED402" s="392"/>
      <c r="EE402" s="392"/>
      <c r="EF402" s="392"/>
      <c r="EG402" s="392"/>
      <c r="EH402" s="392"/>
      <c r="EI402" s="392"/>
      <c r="EJ402" s="392"/>
      <c r="EK402" s="392"/>
      <c r="EL402" s="392"/>
    </row>
    <row r="403" spans="3:142" s="182" customFormat="1" hidden="1" x14ac:dyDescent="0.25">
      <c r="C403" s="395"/>
      <c r="I403" s="184"/>
      <c r="N403" s="184"/>
      <c r="O403" s="184"/>
      <c r="P403" s="184"/>
      <c r="Q403" s="184"/>
      <c r="Z403" s="184"/>
      <c r="AA403" s="184"/>
      <c r="AJ403" s="185"/>
      <c r="DU403" s="395"/>
      <c r="DV403" s="395"/>
      <c r="DW403" s="395"/>
      <c r="DX403" s="395"/>
      <c r="DY403" s="395"/>
      <c r="DZ403" s="395"/>
      <c r="EA403" s="395"/>
      <c r="EB403" s="392"/>
      <c r="EC403" s="392"/>
      <c r="ED403" s="392"/>
      <c r="EE403" s="392"/>
      <c r="EF403" s="392"/>
      <c r="EG403" s="392"/>
      <c r="EH403" s="392"/>
      <c r="EI403" s="392"/>
      <c r="EJ403" s="392"/>
      <c r="EK403" s="392"/>
      <c r="EL403" s="392"/>
    </row>
    <row r="404" spans="3:142" s="182" customFormat="1" hidden="1" x14ac:dyDescent="0.25">
      <c r="C404" s="395"/>
      <c r="I404" s="184"/>
      <c r="N404" s="184"/>
      <c r="O404" s="184"/>
      <c r="P404" s="184"/>
      <c r="Q404" s="184"/>
      <c r="Z404" s="184"/>
      <c r="AA404" s="184"/>
      <c r="AJ404" s="185"/>
      <c r="DU404" s="395"/>
      <c r="DV404" s="395"/>
      <c r="DW404" s="395"/>
      <c r="DX404" s="395"/>
      <c r="DY404" s="395"/>
      <c r="DZ404" s="395"/>
      <c r="EA404" s="395"/>
      <c r="EB404" s="392"/>
      <c r="EC404" s="392"/>
      <c r="ED404" s="392"/>
      <c r="EE404" s="392"/>
      <c r="EF404" s="392"/>
      <c r="EG404" s="392"/>
      <c r="EH404" s="392"/>
      <c r="EI404" s="392"/>
      <c r="EJ404" s="392"/>
      <c r="EK404" s="392"/>
      <c r="EL404" s="392"/>
    </row>
    <row r="405" spans="3:142" s="182" customFormat="1" hidden="1" x14ac:dyDescent="0.25">
      <c r="C405" s="395"/>
      <c r="I405" s="184"/>
      <c r="N405" s="184"/>
      <c r="O405" s="184"/>
      <c r="P405" s="184"/>
      <c r="Q405" s="184"/>
      <c r="Z405" s="184"/>
      <c r="AA405" s="184"/>
      <c r="AJ405" s="185"/>
      <c r="DU405" s="395"/>
      <c r="DV405" s="395"/>
      <c r="DW405" s="395"/>
      <c r="DX405" s="395"/>
      <c r="DY405" s="395"/>
      <c r="DZ405" s="395"/>
      <c r="EA405" s="395"/>
      <c r="EB405" s="392"/>
      <c r="EC405" s="392"/>
      <c r="ED405" s="392"/>
      <c r="EE405" s="392"/>
      <c r="EF405" s="392"/>
      <c r="EG405" s="392"/>
      <c r="EH405" s="392"/>
      <c r="EI405" s="392"/>
      <c r="EJ405" s="392"/>
      <c r="EK405" s="392"/>
      <c r="EL405" s="392"/>
    </row>
    <row r="406" spans="3:142" s="182" customFormat="1" hidden="1" x14ac:dyDescent="0.25">
      <c r="C406" s="395"/>
      <c r="I406" s="184"/>
      <c r="N406" s="184"/>
      <c r="O406" s="184"/>
      <c r="P406" s="184"/>
      <c r="Q406" s="184"/>
      <c r="Z406" s="184"/>
      <c r="AA406" s="184"/>
      <c r="AJ406" s="185"/>
      <c r="DU406" s="395"/>
      <c r="DV406" s="395"/>
      <c r="DW406" s="395"/>
      <c r="DX406" s="395"/>
      <c r="DY406" s="395"/>
      <c r="DZ406" s="395"/>
      <c r="EA406" s="395"/>
      <c r="EB406" s="392"/>
      <c r="EC406" s="392"/>
      <c r="ED406" s="392"/>
      <c r="EE406" s="392"/>
      <c r="EF406" s="392"/>
      <c r="EG406" s="392"/>
      <c r="EH406" s="392"/>
      <c r="EI406" s="392"/>
      <c r="EJ406" s="392"/>
      <c r="EK406" s="392"/>
      <c r="EL406" s="392"/>
    </row>
    <row r="407" spans="3:142" s="182" customFormat="1" hidden="1" x14ac:dyDescent="0.25">
      <c r="C407" s="395"/>
      <c r="I407" s="184"/>
      <c r="N407" s="184"/>
      <c r="O407" s="184"/>
      <c r="P407" s="184"/>
      <c r="Q407" s="184"/>
      <c r="Z407" s="184"/>
      <c r="AA407" s="184"/>
      <c r="AJ407" s="185"/>
      <c r="DU407" s="395"/>
      <c r="DV407" s="395"/>
      <c r="DW407" s="395"/>
      <c r="DX407" s="395"/>
      <c r="DY407" s="395"/>
      <c r="DZ407" s="395"/>
      <c r="EA407" s="395"/>
      <c r="EB407" s="392"/>
      <c r="EC407" s="392"/>
      <c r="ED407" s="392"/>
      <c r="EE407" s="392"/>
      <c r="EF407" s="392"/>
      <c r="EG407" s="392"/>
      <c r="EH407" s="392"/>
      <c r="EI407" s="392"/>
      <c r="EJ407" s="392"/>
      <c r="EK407" s="392"/>
      <c r="EL407" s="392"/>
    </row>
    <row r="408" spans="3:142" s="182" customFormat="1" hidden="1" x14ac:dyDescent="0.25">
      <c r="C408" s="395"/>
      <c r="I408" s="184"/>
      <c r="N408" s="184"/>
      <c r="O408" s="184"/>
      <c r="P408" s="184"/>
      <c r="Q408" s="184"/>
      <c r="Z408" s="184"/>
      <c r="AA408" s="184"/>
      <c r="AJ408" s="185"/>
      <c r="DU408" s="395"/>
      <c r="DV408" s="395"/>
      <c r="DW408" s="395"/>
      <c r="DX408" s="395"/>
      <c r="DY408" s="395"/>
      <c r="DZ408" s="395"/>
      <c r="EA408" s="395"/>
      <c r="EB408" s="392"/>
      <c r="EC408" s="392"/>
      <c r="ED408" s="392"/>
      <c r="EE408" s="392"/>
      <c r="EF408" s="392"/>
      <c r="EG408" s="392"/>
      <c r="EH408" s="392"/>
      <c r="EI408" s="392"/>
      <c r="EJ408" s="392"/>
      <c r="EK408" s="392"/>
      <c r="EL408" s="392"/>
    </row>
    <row r="409" spans="3:142" s="182" customFormat="1" hidden="1" x14ac:dyDescent="0.25">
      <c r="C409" s="395"/>
      <c r="I409" s="184"/>
      <c r="N409" s="184"/>
      <c r="O409" s="184"/>
      <c r="P409" s="184"/>
      <c r="Q409" s="184"/>
      <c r="Z409" s="184"/>
      <c r="AA409" s="184"/>
      <c r="AJ409" s="185"/>
      <c r="DU409" s="395"/>
      <c r="DV409" s="395"/>
      <c r="DW409" s="395"/>
      <c r="DX409" s="395"/>
      <c r="DY409" s="395"/>
      <c r="DZ409" s="395"/>
      <c r="EA409" s="395"/>
      <c r="EB409" s="392"/>
      <c r="EC409" s="392"/>
      <c r="ED409" s="392"/>
      <c r="EE409" s="392"/>
      <c r="EF409" s="392"/>
      <c r="EG409" s="392"/>
      <c r="EH409" s="392"/>
      <c r="EI409" s="392"/>
      <c r="EJ409" s="392"/>
      <c r="EK409" s="392"/>
      <c r="EL409" s="392"/>
    </row>
    <row r="410" spans="3:142" s="182" customFormat="1" hidden="1" x14ac:dyDescent="0.25">
      <c r="C410" s="395"/>
      <c r="I410" s="184"/>
      <c r="N410" s="184"/>
      <c r="O410" s="184"/>
      <c r="P410" s="184"/>
      <c r="Q410" s="184"/>
      <c r="Z410" s="184"/>
      <c r="AA410" s="184"/>
      <c r="AJ410" s="185"/>
      <c r="DU410" s="395"/>
      <c r="DV410" s="395"/>
      <c r="DW410" s="395"/>
      <c r="DX410" s="395"/>
      <c r="DY410" s="395"/>
      <c r="DZ410" s="395"/>
      <c r="EA410" s="395"/>
      <c r="EB410" s="392"/>
      <c r="EC410" s="392"/>
      <c r="ED410" s="392"/>
      <c r="EE410" s="392"/>
      <c r="EF410" s="392"/>
      <c r="EG410" s="392"/>
      <c r="EH410" s="392"/>
      <c r="EI410" s="392"/>
      <c r="EJ410" s="392"/>
      <c r="EK410" s="392"/>
      <c r="EL410" s="392"/>
    </row>
    <row r="411" spans="3:142" s="182" customFormat="1" hidden="1" x14ac:dyDescent="0.25">
      <c r="C411" s="395"/>
      <c r="I411" s="184"/>
      <c r="N411" s="184"/>
      <c r="O411" s="184"/>
      <c r="P411" s="184"/>
      <c r="Q411" s="184"/>
      <c r="Z411" s="184"/>
      <c r="AA411" s="184"/>
      <c r="AJ411" s="185"/>
      <c r="DU411" s="395"/>
      <c r="DV411" s="395"/>
      <c r="DW411" s="395"/>
      <c r="DX411" s="395"/>
      <c r="DY411" s="395"/>
      <c r="DZ411" s="395"/>
      <c r="EA411" s="395"/>
      <c r="EB411" s="392"/>
      <c r="EC411" s="392"/>
      <c r="ED411" s="392"/>
      <c r="EE411" s="392"/>
      <c r="EF411" s="392"/>
      <c r="EG411" s="392"/>
      <c r="EH411" s="392"/>
      <c r="EI411" s="392"/>
      <c r="EJ411" s="392"/>
      <c r="EK411" s="392"/>
      <c r="EL411" s="392"/>
    </row>
    <row r="412" spans="3:142" s="182" customFormat="1" hidden="1" x14ac:dyDescent="0.25">
      <c r="C412" s="395"/>
      <c r="I412" s="184"/>
      <c r="N412" s="184"/>
      <c r="O412" s="184"/>
      <c r="P412" s="184"/>
      <c r="Q412" s="184"/>
      <c r="Z412" s="184"/>
      <c r="AA412" s="184"/>
      <c r="AJ412" s="185"/>
      <c r="DU412" s="395"/>
      <c r="DV412" s="395"/>
      <c r="DW412" s="395"/>
      <c r="DX412" s="395"/>
      <c r="DY412" s="395"/>
      <c r="DZ412" s="395"/>
      <c r="EA412" s="395"/>
      <c r="EB412" s="392"/>
      <c r="EC412" s="392"/>
      <c r="ED412" s="392"/>
      <c r="EE412" s="392"/>
      <c r="EF412" s="392"/>
      <c r="EG412" s="392"/>
      <c r="EH412" s="392"/>
      <c r="EI412" s="392"/>
      <c r="EJ412" s="392"/>
      <c r="EK412" s="392"/>
      <c r="EL412" s="392"/>
    </row>
    <row r="413" spans="3:142" s="182" customFormat="1" hidden="1" x14ac:dyDescent="0.25">
      <c r="C413" s="395"/>
      <c r="I413" s="184"/>
      <c r="N413" s="184"/>
      <c r="O413" s="184"/>
      <c r="P413" s="184"/>
      <c r="Q413" s="184"/>
      <c r="Z413" s="184"/>
      <c r="AA413" s="184"/>
      <c r="AJ413" s="185"/>
      <c r="DU413" s="395"/>
      <c r="DV413" s="395"/>
      <c r="DW413" s="395"/>
      <c r="DX413" s="395"/>
      <c r="DY413" s="395"/>
      <c r="DZ413" s="395"/>
      <c r="EA413" s="395"/>
      <c r="EB413" s="392"/>
      <c r="EC413" s="392"/>
      <c r="ED413" s="392"/>
      <c r="EE413" s="392"/>
      <c r="EF413" s="392"/>
      <c r="EG413" s="392"/>
      <c r="EH413" s="392"/>
      <c r="EI413" s="392"/>
      <c r="EJ413" s="392"/>
      <c r="EK413" s="392"/>
      <c r="EL413" s="392"/>
    </row>
    <row r="414" spans="3:142" s="182" customFormat="1" hidden="1" x14ac:dyDescent="0.25">
      <c r="C414" s="395"/>
      <c r="I414" s="184"/>
      <c r="N414" s="184"/>
      <c r="O414" s="184"/>
      <c r="P414" s="184"/>
      <c r="Q414" s="184"/>
      <c r="Z414" s="184"/>
      <c r="AA414" s="184"/>
      <c r="AJ414" s="185"/>
      <c r="DU414" s="395"/>
      <c r="DV414" s="395"/>
      <c r="DW414" s="395"/>
      <c r="DX414" s="395"/>
      <c r="DY414" s="395"/>
      <c r="DZ414" s="395"/>
      <c r="EA414" s="395"/>
      <c r="EB414" s="392"/>
      <c r="EC414" s="392"/>
      <c r="ED414" s="392"/>
      <c r="EE414" s="392"/>
      <c r="EF414" s="392"/>
      <c r="EG414" s="392"/>
      <c r="EH414" s="392"/>
      <c r="EI414" s="392"/>
      <c r="EJ414" s="392"/>
      <c r="EK414" s="392"/>
      <c r="EL414" s="392"/>
    </row>
    <row r="415" spans="3:142" s="182" customFormat="1" hidden="1" x14ac:dyDescent="0.25">
      <c r="C415" s="395"/>
      <c r="I415" s="184"/>
      <c r="N415" s="184"/>
      <c r="O415" s="184"/>
      <c r="P415" s="184"/>
      <c r="Q415" s="184"/>
      <c r="Z415" s="184"/>
      <c r="AA415" s="184"/>
      <c r="AJ415" s="185"/>
      <c r="DU415" s="395"/>
      <c r="DV415" s="395"/>
      <c r="DW415" s="395"/>
      <c r="DX415" s="395"/>
      <c r="DY415" s="395"/>
      <c r="DZ415" s="395"/>
      <c r="EA415" s="395"/>
      <c r="EB415" s="392"/>
      <c r="EC415" s="392"/>
      <c r="ED415" s="392"/>
      <c r="EE415" s="392"/>
      <c r="EF415" s="392"/>
      <c r="EG415" s="392"/>
      <c r="EH415" s="392"/>
      <c r="EI415" s="392"/>
      <c r="EJ415" s="392"/>
      <c r="EK415" s="392"/>
      <c r="EL415" s="392"/>
    </row>
    <row r="416" spans="3:142" s="182" customFormat="1" hidden="1" x14ac:dyDescent="0.25">
      <c r="C416" s="395"/>
      <c r="I416" s="184"/>
      <c r="N416" s="184"/>
      <c r="O416" s="184"/>
      <c r="P416" s="184"/>
      <c r="Q416" s="184"/>
      <c r="Z416" s="184"/>
      <c r="AA416" s="184"/>
      <c r="AJ416" s="185"/>
      <c r="DU416" s="395"/>
      <c r="DV416" s="395"/>
      <c r="DW416" s="395"/>
      <c r="DX416" s="395"/>
      <c r="DY416" s="395"/>
      <c r="DZ416" s="395"/>
      <c r="EA416" s="395"/>
      <c r="EB416" s="392"/>
      <c r="EC416" s="392"/>
      <c r="ED416" s="392"/>
      <c r="EE416" s="392"/>
      <c r="EF416" s="392"/>
      <c r="EG416" s="392"/>
      <c r="EH416" s="392"/>
      <c r="EI416" s="392"/>
      <c r="EJ416" s="392"/>
      <c r="EK416" s="392"/>
      <c r="EL416" s="392"/>
    </row>
    <row r="417" spans="3:142" s="182" customFormat="1" hidden="1" x14ac:dyDescent="0.25">
      <c r="C417" s="395"/>
      <c r="I417" s="184"/>
      <c r="N417" s="184"/>
      <c r="O417" s="184"/>
      <c r="P417" s="184"/>
      <c r="Q417" s="184"/>
      <c r="Z417" s="184"/>
      <c r="AA417" s="184"/>
      <c r="AJ417" s="185"/>
      <c r="DU417" s="395"/>
      <c r="DV417" s="395"/>
      <c r="DW417" s="395"/>
      <c r="DX417" s="395"/>
      <c r="DY417" s="395"/>
      <c r="DZ417" s="395"/>
      <c r="EA417" s="395"/>
      <c r="EB417" s="392"/>
      <c r="EC417" s="392"/>
      <c r="ED417" s="392"/>
      <c r="EE417" s="392"/>
      <c r="EF417" s="392"/>
      <c r="EG417" s="392"/>
      <c r="EH417" s="392"/>
      <c r="EI417" s="392"/>
      <c r="EJ417" s="392"/>
      <c r="EK417" s="392"/>
      <c r="EL417" s="392"/>
    </row>
    <row r="418" spans="3:142" s="182" customFormat="1" hidden="1" x14ac:dyDescent="0.25">
      <c r="C418" s="395"/>
      <c r="I418" s="184"/>
      <c r="N418" s="184"/>
      <c r="O418" s="184"/>
      <c r="P418" s="184"/>
      <c r="Q418" s="184"/>
      <c r="Z418" s="184"/>
      <c r="AA418" s="184"/>
      <c r="AJ418" s="185"/>
      <c r="DU418" s="395"/>
      <c r="DV418" s="395"/>
      <c r="DW418" s="395"/>
      <c r="DX418" s="395"/>
      <c r="DY418" s="395"/>
      <c r="DZ418" s="395"/>
      <c r="EA418" s="395"/>
      <c r="EB418" s="392"/>
      <c r="EC418" s="392"/>
      <c r="ED418" s="392"/>
      <c r="EE418" s="392"/>
      <c r="EF418" s="392"/>
      <c r="EG418" s="392"/>
      <c r="EH418" s="392"/>
      <c r="EI418" s="392"/>
      <c r="EJ418" s="392"/>
      <c r="EK418" s="392"/>
      <c r="EL418" s="392"/>
    </row>
    <row r="419" spans="3:142" s="182" customFormat="1" hidden="1" x14ac:dyDescent="0.25">
      <c r="C419" s="395"/>
      <c r="I419" s="184"/>
      <c r="N419" s="184"/>
      <c r="O419" s="184"/>
      <c r="P419" s="184"/>
      <c r="Q419" s="184"/>
      <c r="Z419" s="184"/>
      <c r="AA419" s="184"/>
      <c r="AJ419" s="185"/>
      <c r="DU419" s="395"/>
      <c r="DV419" s="395"/>
      <c r="DW419" s="395"/>
      <c r="DX419" s="395"/>
      <c r="DY419" s="395"/>
      <c r="DZ419" s="395"/>
      <c r="EA419" s="395"/>
      <c r="EB419" s="392"/>
      <c r="EC419" s="392"/>
      <c r="ED419" s="392"/>
      <c r="EE419" s="392"/>
      <c r="EF419" s="392"/>
      <c r="EG419" s="392"/>
      <c r="EH419" s="392"/>
      <c r="EI419" s="392"/>
      <c r="EJ419" s="392"/>
      <c r="EK419" s="392"/>
      <c r="EL419" s="392"/>
    </row>
    <row r="420" spans="3:142" s="182" customFormat="1" hidden="1" x14ac:dyDescent="0.25">
      <c r="C420" s="395"/>
      <c r="I420" s="184"/>
      <c r="N420" s="184"/>
      <c r="O420" s="184"/>
      <c r="P420" s="184"/>
      <c r="Q420" s="184"/>
      <c r="Z420" s="184"/>
      <c r="AA420" s="184"/>
      <c r="AJ420" s="185"/>
      <c r="DU420" s="395"/>
      <c r="DV420" s="395"/>
      <c r="DW420" s="395"/>
      <c r="DX420" s="395"/>
      <c r="DY420" s="395"/>
      <c r="DZ420" s="395"/>
      <c r="EA420" s="395"/>
      <c r="EB420" s="392"/>
      <c r="EC420" s="392"/>
      <c r="ED420" s="392"/>
      <c r="EE420" s="392"/>
      <c r="EF420" s="392"/>
      <c r="EG420" s="392"/>
      <c r="EH420" s="392"/>
      <c r="EI420" s="392"/>
      <c r="EJ420" s="392"/>
      <c r="EK420" s="392"/>
      <c r="EL420" s="392"/>
    </row>
    <row r="421" spans="3:142" s="182" customFormat="1" hidden="1" x14ac:dyDescent="0.25">
      <c r="C421" s="395"/>
      <c r="I421" s="184"/>
      <c r="N421" s="184"/>
      <c r="O421" s="184"/>
      <c r="P421" s="184"/>
      <c r="Q421" s="184"/>
      <c r="Z421" s="184"/>
      <c r="AA421" s="184"/>
      <c r="AJ421" s="185"/>
      <c r="DU421" s="395"/>
      <c r="DV421" s="395"/>
      <c r="DW421" s="395"/>
      <c r="DX421" s="395"/>
      <c r="DY421" s="395"/>
      <c r="DZ421" s="395"/>
      <c r="EA421" s="395"/>
      <c r="EB421" s="392"/>
      <c r="EC421" s="392"/>
      <c r="ED421" s="392"/>
      <c r="EE421" s="392"/>
      <c r="EF421" s="392"/>
      <c r="EG421" s="392"/>
      <c r="EH421" s="392"/>
      <c r="EI421" s="392"/>
      <c r="EJ421" s="392"/>
      <c r="EK421" s="392"/>
      <c r="EL421" s="392"/>
    </row>
    <row r="422" spans="3:142" s="182" customFormat="1" hidden="1" x14ac:dyDescent="0.25">
      <c r="C422" s="395"/>
      <c r="I422" s="184"/>
      <c r="N422" s="184"/>
      <c r="O422" s="184"/>
      <c r="P422" s="184"/>
      <c r="Q422" s="184"/>
      <c r="Z422" s="184"/>
      <c r="AA422" s="184"/>
      <c r="AJ422" s="185"/>
      <c r="DU422" s="395"/>
      <c r="DV422" s="395"/>
      <c r="DW422" s="395"/>
      <c r="DX422" s="395"/>
      <c r="DY422" s="395"/>
      <c r="DZ422" s="395"/>
      <c r="EA422" s="395"/>
      <c r="EB422" s="392"/>
      <c r="EC422" s="392"/>
      <c r="ED422" s="392"/>
      <c r="EE422" s="392"/>
      <c r="EF422" s="392"/>
      <c r="EG422" s="392"/>
      <c r="EH422" s="392"/>
      <c r="EI422" s="392"/>
      <c r="EJ422" s="392"/>
      <c r="EK422" s="392"/>
      <c r="EL422" s="392"/>
    </row>
    <row r="423" spans="3:142" s="182" customFormat="1" hidden="1" x14ac:dyDescent="0.25">
      <c r="C423" s="395"/>
      <c r="I423" s="184"/>
      <c r="N423" s="184"/>
      <c r="O423" s="184"/>
      <c r="P423" s="184"/>
      <c r="Q423" s="184"/>
      <c r="Z423" s="184"/>
      <c r="AA423" s="184"/>
      <c r="AJ423" s="185"/>
      <c r="DU423" s="395"/>
      <c r="DV423" s="395"/>
      <c r="DW423" s="395"/>
      <c r="DX423" s="395"/>
      <c r="DY423" s="395"/>
      <c r="DZ423" s="395"/>
      <c r="EA423" s="395"/>
      <c r="EB423" s="392"/>
      <c r="EC423" s="392"/>
      <c r="ED423" s="392"/>
      <c r="EE423" s="392"/>
      <c r="EF423" s="392"/>
      <c r="EG423" s="392"/>
      <c r="EH423" s="392"/>
      <c r="EI423" s="392"/>
      <c r="EJ423" s="392"/>
      <c r="EK423" s="392"/>
      <c r="EL423" s="392"/>
    </row>
    <row r="424" spans="3:142" s="182" customFormat="1" hidden="1" x14ac:dyDescent="0.25">
      <c r="C424" s="395"/>
      <c r="I424" s="184"/>
      <c r="N424" s="184"/>
      <c r="O424" s="184"/>
      <c r="P424" s="184"/>
      <c r="Q424" s="184"/>
      <c r="Z424" s="184"/>
      <c r="AA424" s="184"/>
      <c r="AJ424" s="185"/>
      <c r="DU424" s="395"/>
      <c r="DV424" s="395"/>
      <c r="DW424" s="395"/>
      <c r="DX424" s="395"/>
      <c r="DY424" s="395"/>
      <c r="DZ424" s="395"/>
      <c r="EA424" s="395"/>
      <c r="EB424" s="392"/>
      <c r="EC424" s="392"/>
      <c r="ED424" s="392"/>
      <c r="EE424" s="392"/>
      <c r="EF424" s="392"/>
      <c r="EG424" s="392"/>
      <c r="EH424" s="392"/>
      <c r="EI424" s="392"/>
      <c r="EJ424" s="392"/>
      <c r="EK424" s="392"/>
      <c r="EL424" s="392"/>
    </row>
    <row r="425" spans="3:142" s="182" customFormat="1" hidden="1" x14ac:dyDescent="0.25">
      <c r="C425" s="395"/>
      <c r="I425" s="184"/>
      <c r="N425" s="184"/>
      <c r="O425" s="184"/>
      <c r="P425" s="184"/>
      <c r="Q425" s="184"/>
      <c r="Z425" s="184"/>
      <c r="AA425" s="184"/>
      <c r="AJ425" s="185"/>
      <c r="DU425" s="395"/>
      <c r="DV425" s="395"/>
      <c r="DW425" s="395"/>
      <c r="DX425" s="395"/>
      <c r="DY425" s="395"/>
      <c r="DZ425" s="395"/>
      <c r="EA425" s="395"/>
      <c r="EB425" s="392"/>
      <c r="EC425" s="392"/>
      <c r="ED425" s="392"/>
      <c r="EE425" s="392"/>
      <c r="EF425" s="392"/>
      <c r="EG425" s="392"/>
      <c r="EH425" s="392"/>
      <c r="EI425" s="392"/>
      <c r="EJ425" s="392"/>
      <c r="EK425" s="392"/>
      <c r="EL425" s="392"/>
    </row>
    <row r="426" spans="3:142" s="182" customFormat="1" hidden="1" x14ac:dyDescent="0.25">
      <c r="C426" s="395"/>
      <c r="I426" s="184"/>
      <c r="N426" s="184"/>
      <c r="O426" s="184"/>
      <c r="P426" s="184"/>
      <c r="Q426" s="184"/>
      <c r="Z426" s="184"/>
      <c r="AA426" s="184"/>
      <c r="AJ426" s="185"/>
      <c r="DU426" s="395"/>
      <c r="DV426" s="395"/>
      <c r="DW426" s="395"/>
      <c r="DX426" s="395"/>
      <c r="DY426" s="395"/>
      <c r="DZ426" s="395"/>
      <c r="EA426" s="395"/>
      <c r="EB426" s="392"/>
      <c r="EC426" s="392"/>
      <c r="ED426" s="392"/>
      <c r="EE426" s="392"/>
      <c r="EF426" s="392"/>
      <c r="EG426" s="392"/>
      <c r="EH426" s="392"/>
      <c r="EI426" s="392"/>
      <c r="EJ426" s="392"/>
      <c r="EK426" s="392"/>
      <c r="EL426" s="392"/>
    </row>
    <row r="427" spans="3:142" s="182" customFormat="1" hidden="1" x14ac:dyDescent="0.25">
      <c r="C427" s="395"/>
      <c r="I427" s="184"/>
      <c r="N427" s="184"/>
      <c r="O427" s="184"/>
      <c r="P427" s="184"/>
      <c r="Q427" s="184"/>
      <c r="Z427" s="184"/>
      <c r="AA427" s="184"/>
      <c r="AJ427" s="185"/>
      <c r="DU427" s="395"/>
      <c r="DV427" s="395"/>
      <c r="DW427" s="395"/>
      <c r="DX427" s="395"/>
      <c r="DY427" s="395"/>
      <c r="DZ427" s="395"/>
      <c r="EA427" s="395"/>
      <c r="EB427" s="392"/>
      <c r="EC427" s="392"/>
      <c r="ED427" s="392"/>
      <c r="EE427" s="392"/>
      <c r="EF427" s="392"/>
      <c r="EG427" s="392"/>
      <c r="EH427" s="392"/>
      <c r="EI427" s="392"/>
      <c r="EJ427" s="392"/>
      <c r="EK427" s="392"/>
      <c r="EL427" s="392"/>
    </row>
    <row r="428" spans="3:142" s="182" customFormat="1" hidden="1" x14ac:dyDescent="0.25">
      <c r="C428" s="395"/>
      <c r="I428" s="184"/>
      <c r="N428" s="184"/>
      <c r="O428" s="184"/>
      <c r="P428" s="184"/>
      <c r="Q428" s="184"/>
      <c r="Z428" s="184"/>
      <c r="AA428" s="184"/>
      <c r="AJ428" s="185"/>
      <c r="DU428" s="395"/>
      <c r="DV428" s="395"/>
      <c r="DW428" s="395"/>
      <c r="DX428" s="395"/>
      <c r="DY428" s="395"/>
      <c r="DZ428" s="395"/>
      <c r="EA428" s="395"/>
      <c r="EB428" s="392"/>
      <c r="EC428" s="392"/>
      <c r="ED428" s="392"/>
      <c r="EE428" s="392"/>
      <c r="EF428" s="392"/>
      <c r="EG428" s="392"/>
      <c r="EH428" s="392"/>
      <c r="EI428" s="392"/>
      <c r="EJ428" s="392"/>
      <c r="EK428" s="392"/>
      <c r="EL428" s="392"/>
    </row>
    <row r="429" spans="3:142" s="182" customFormat="1" hidden="1" x14ac:dyDescent="0.25">
      <c r="C429" s="395"/>
      <c r="I429" s="184"/>
      <c r="N429" s="184"/>
      <c r="O429" s="184"/>
      <c r="P429" s="184"/>
      <c r="Q429" s="184"/>
      <c r="Z429" s="184"/>
      <c r="AA429" s="184"/>
      <c r="AJ429" s="185"/>
      <c r="DU429" s="395"/>
      <c r="DV429" s="395"/>
      <c r="DW429" s="395"/>
      <c r="DX429" s="395"/>
      <c r="DY429" s="395"/>
      <c r="DZ429" s="395"/>
      <c r="EA429" s="395"/>
      <c r="EB429" s="392"/>
      <c r="EC429" s="392"/>
      <c r="ED429" s="392"/>
      <c r="EE429" s="392"/>
      <c r="EF429" s="392"/>
      <c r="EG429" s="392"/>
      <c r="EH429" s="392"/>
      <c r="EI429" s="392"/>
      <c r="EJ429" s="392"/>
      <c r="EK429" s="392"/>
      <c r="EL429" s="392"/>
    </row>
    <row r="430" spans="3:142" s="182" customFormat="1" hidden="1" x14ac:dyDescent="0.25">
      <c r="C430" s="395"/>
      <c r="I430" s="184"/>
      <c r="N430" s="184"/>
      <c r="O430" s="184"/>
      <c r="P430" s="184"/>
      <c r="Q430" s="184"/>
      <c r="Z430" s="184"/>
      <c r="AA430" s="184"/>
      <c r="AJ430" s="185"/>
      <c r="DU430" s="395"/>
      <c r="DV430" s="395"/>
      <c r="DW430" s="395"/>
      <c r="DX430" s="395"/>
      <c r="DY430" s="395"/>
      <c r="DZ430" s="395"/>
      <c r="EA430" s="395"/>
      <c r="EB430" s="392"/>
      <c r="EC430" s="392"/>
      <c r="ED430" s="392"/>
      <c r="EE430" s="392"/>
      <c r="EF430" s="392"/>
      <c r="EG430" s="392"/>
      <c r="EH430" s="392"/>
      <c r="EI430" s="392"/>
      <c r="EJ430" s="392"/>
      <c r="EK430" s="392"/>
      <c r="EL430" s="392"/>
    </row>
    <row r="431" spans="3:142" s="182" customFormat="1" hidden="1" x14ac:dyDescent="0.25">
      <c r="C431" s="395"/>
      <c r="I431" s="184"/>
      <c r="N431" s="184"/>
      <c r="O431" s="184"/>
      <c r="P431" s="184"/>
      <c r="Q431" s="184"/>
      <c r="Z431" s="184"/>
      <c r="AA431" s="184"/>
      <c r="AJ431" s="185"/>
      <c r="DU431" s="395"/>
      <c r="DV431" s="395"/>
      <c r="DW431" s="395"/>
      <c r="DX431" s="395"/>
      <c r="DY431" s="395"/>
      <c r="DZ431" s="395"/>
      <c r="EA431" s="395"/>
      <c r="EB431" s="392"/>
      <c r="EC431" s="392"/>
      <c r="ED431" s="392"/>
      <c r="EE431" s="392"/>
      <c r="EF431" s="392"/>
      <c r="EG431" s="392"/>
      <c r="EH431" s="392"/>
      <c r="EI431" s="392"/>
      <c r="EJ431" s="392"/>
      <c r="EK431" s="392"/>
      <c r="EL431" s="392"/>
    </row>
    <row r="432" spans="3:142" s="182" customFormat="1" hidden="1" x14ac:dyDescent="0.25">
      <c r="C432" s="395"/>
      <c r="I432" s="184"/>
      <c r="N432" s="184"/>
      <c r="O432" s="184"/>
      <c r="P432" s="184"/>
      <c r="Q432" s="184"/>
      <c r="Z432" s="184"/>
      <c r="AA432" s="184"/>
      <c r="AJ432" s="185"/>
      <c r="DU432" s="395"/>
      <c r="DV432" s="395"/>
      <c r="DW432" s="395"/>
      <c r="DX432" s="395"/>
      <c r="DY432" s="395"/>
      <c r="DZ432" s="395"/>
      <c r="EA432" s="395"/>
      <c r="EB432" s="392"/>
      <c r="EC432" s="392"/>
      <c r="ED432" s="392"/>
      <c r="EE432" s="392"/>
      <c r="EF432" s="392"/>
      <c r="EG432" s="392"/>
      <c r="EH432" s="392"/>
      <c r="EI432" s="392"/>
      <c r="EJ432" s="392"/>
      <c r="EK432" s="392"/>
      <c r="EL432" s="392"/>
    </row>
    <row r="433" spans="3:142" s="182" customFormat="1" hidden="1" x14ac:dyDescent="0.25">
      <c r="C433" s="395"/>
      <c r="I433" s="184"/>
      <c r="N433" s="184"/>
      <c r="O433" s="184"/>
      <c r="P433" s="184"/>
      <c r="Q433" s="184"/>
      <c r="Z433" s="184"/>
      <c r="AA433" s="184"/>
      <c r="AJ433" s="185"/>
      <c r="DU433" s="395"/>
      <c r="DV433" s="395"/>
      <c r="DW433" s="395"/>
      <c r="DX433" s="395"/>
      <c r="DY433" s="395"/>
      <c r="DZ433" s="395"/>
      <c r="EA433" s="395"/>
      <c r="EB433" s="392"/>
      <c r="EC433" s="392"/>
      <c r="ED433" s="392"/>
      <c r="EE433" s="392"/>
      <c r="EF433" s="392"/>
      <c r="EG433" s="392"/>
      <c r="EH433" s="392"/>
      <c r="EI433" s="392"/>
      <c r="EJ433" s="392"/>
      <c r="EK433" s="392"/>
      <c r="EL433" s="392"/>
    </row>
    <row r="434" spans="3:142" s="182" customFormat="1" hidden="1" x14ac:dyDescent="0.25">
      <c r="C434" s="395"/>
      <c r="I434" s="184"/>
      <c r="N434" s="184"/>
      <c r="O434" s="184"/>
      <c r="P434" s="184"/>
      <c r="Q434" s="184"/>
      <c r="Z434" s="184"/>
      <c r="AA434" s="184"/>
      <c r="AJ434" s="185"/>
      <c r="DU434" s="395"/>
      <c r="DV434" s="395"/>
      <c r="DW434" s="395"/>
      <c r="DX434" s="395"/>
      <c r="DY434" s="395"/>
      <c r="DZ434" s="395"/>
      <c r="EA434" s="395"/>
      <c r="EB434" s="392"/>
      <c r="EC434" s="392"/>
      <c r="ED434" s="392"/>
      <c r="EE434" s="392"/>
      <c r="EF434" s="392"/>
      <c r="EG434" s="392"/>
      <c r="EH434" s="392"/>
      <c r="EI434" s="392"/>
      <c r="EJ434" s="392"/>
      <c r="EK434" s="392"/>
      <c r="EL434" s="392"/>
    </row>
    <row r="435" spans="3:142" s="182" customFormat="1" hidden="1" x14ac:dyDescent="0.25">
      <c r="C435" s="395"/>
      <c r="I435" s="184"/>
      <c r="N435" s="184"/>
      <c r="O435" s="184"/>
      <c r="P435" s="184"/>
      <c r="Q435" s="184"/>
      <c r="Z435" s="184"/>
      <c r="AA435" s="184"/>
      <c r="AJ435" s="185"/>
      <c r="DU435" s="395"/>
      <c r="DV435" s="395"/>
      <c r="DW435" s="395"/>
      <c r="DX435" s="395"/>
      <c r="DY435" s="395"/>
      <c r="DZ435" s="395"/>
      <c r="EA435" s="395"/>
      <c r="EB435" s="392"/>
      <c r="EC435" s="392"/>
      <c r="ED435" s="392"/>
      <c r="EE435" s="392"/>
      <c r="EF435" s="392"/>
      <c r="EG435" s="392"/>
      <c r="EH435" s="392"/>
      <c r="EI435" s="392"/>
      <c r="EJ435" s="392"/>
      <c r="EK435" s="392"/>
      <c r="EL435" s="392"/>
    </row>
    <row r="436" spans="3:142" s="182" customFormat="1" hidden="1" x14ac:dyDescent="0.25">
      <c r="C436" s="395"/>
      <c r="I436" s="184"/>
      <c r="N436" s="184"/>
      <c r="O436" s="184"/>
      <c r="P436" s="184"/>
      <c r="Q436" s="184"/>
      <c r="Z436" s="184"/>
      <c r="AA436" s="184"/>
      <c r="AJ436" s="185"/>
      <c r="DU436" s="395"/>
      <c r="DV436" s="395"/>
      <c r="DW436" s="395"/>
      <c r="DX436" s="395"/>
      <c r="DY436" s="395"/>
      <c r="DZ436" s="395"/>
      <c r="EA436" s="395"/>
      <c r="EB436" s="392"/>
      <c r="EC436" s="392"/>
      <c r="ED436" s="392"/>
      <c r="EE436" s="392"/>
      <c r="EF436" s="392"/>
      <c r="EG436" s="392"/>
      <c r="EH436" s="392"/>
      <c r="EI436" s="392"/>
      <c r="EJ436" s="392"/>
      <c r="EK436" s="392"/>
      <c r="EL436" s="392"/>
    </row>
    <row r="437" spans="3:142" s="182" customFormat="1" hidden="1" x14ac:dyDescent="0.25">
      <c r="C437" s="395"/>
      <c r="I437" s="184"/>
      <c r="N437" s="184"/>
      <c r="O437" s="184"/>
      <c r="P437" s="184"/>
      <c r="Q437" s="184"/>
      <c r="Z437" s="184"/>
      <c r="AA437" s="184"/>
      <c r="AJ437" s="185"/>
      <c r="DU437" s="395"/>
      <c r="DV437" s="395"/>
      <c r="DW437" s="395"/>
      <c r="DX437" s="395"/>
      <c r="DY437" s="395"/>
      <c r="DZ437" s="395"/>
      <c r="EA437" s="395"/>
      <c r="EB437" s="392"/>
      <c r="EC437" s="392"/>
      <c r="ED437" s="392"/>
      <c r="EE437" s="392"/>
      <c r="EF437" s="392"/>
      <c r="EG437" s="392"/>
      <c r="EH437" s="392"/>
      <c r="EI437" s="392"/>
      <c r="EJ437" s="392"/>
      <c r="EK437" s="392"/>
      <c r="EL437" s="392"/>
    </row>
    <row r="438" spans="3:142" s="182" customFormat="1" hidden="1" x14ac:dyDescent="0.25">
      <c r="C438" s="395"/>
      <c r="I438" s="184"/>
      <c r="N438" s="184"/>
      <c r="O438" s="184"/>
      <c r="P438" s="184"/>
      <c r="Q438" s="184"/>
      <c r="Z438" s="184"/>
      <c r="AA438" s="184"/>
      <c r="AJ438" s="185"/>
      <c r="DU438" s="395"/>
      <c r="DV438" s="395"/>
      <c r="DW438" s="395"/>
      <c r="DX438" s="395"/>
      <c r="DY438" s="395"/>
      <c r="DZ438" s="395"/>
      <c r="EA438" s="395"/>
      <c r="EB438" s="392"/>
      <c r="EC438" s="392"/>
      <c r="ED438" s="392"/>
      <c r="EE438" s="392"/>
      <c r="EF438" s="392"/>
      <c r="EG438" s="392"/>
      <c r="EH438" s="392"/>
      <c r="EI438" s="392"/>
      <c r="EJ438" s="392"/>
      <c r="EK438" s="392"/>
      <c r="EL438" s="392"/>
    </row>
    <row r="439" spans="3:142" s="182" customFormat="1" hidden="1" x14ac:dyDescent="0.25">
      <c r="C439" s="395"/>
      <c r="I439" s="184"/>
      <c r="N439" s="184"/>
      <c r="O439" s="184"/>
      <c r="P439" s="184"/>
      <c r="Q439" s="184"/>
      <c r="Z439" s="184"/>
      <c r="AA439" s="184"/>
      <c r="AJ439" s="185"/>
      <c r="DU439" s="395"/>
      <c r="DV439" s="395"/>
      <c r="DW439" s="395"/>
      <c r="DX439" s="395"/>
      <c r="DY439" s="395"/>
      <c r="DZ439" s="395"/>
      <c r="EA439" s="395"/>
      <c r="EB439" s="392"/>
      <c r="EC439" s="392"/>
      <c r="ED439" s="392"/>
      <c r="EE439" s="392"/>
      <c r="EF439" s="392"/>
      <c r="EG439" s="392"/>
      <c r="EH439" s="392"/>
      <c r="EI439" s="392"/>
      <c r="EJ439" s="392"/>
      <c r="EK439" s="392"/>
      <c r="EL439" s="392"/>
    </row>
    <row r="440" spans="3:142" s="182" customFormat="1" hidden="1" x14ac:dyDescent="0.25">
      <c r="C440" s="395"/>
      <c r="I440" s="184"/>
      <c r="N440" s="184"/>
      <c r="O440" s="184"/>
      <c r="P440" s="184"/>
      <c r="Q440" s="184"/>
      <c r="Z440" s="184"/>
      <c r="AA440" s="184"/>
      <c r="AJ440" s="185"/>
      <c r="DU440" s="395"/>
      <c r="DV440" s="395"/>
      <c r="DW440" s="395"/>
      <c r="DX440" s="395"/>
      <c r="DY440" s="395"/>
      <c r="DZ440" s="395"/>
      <c r="EA440" s="395"/>
      <c r="EB440" s="392"/>
      <c r="EC440" s="392"/>
      <c r="ED440" s="392"/>
      <c r="EE440" s="392"/>
      <c r="EF440" s="392"/>
      <c r="EG440" s="392"/>
      <c r="EH440" s="392"/>
      <c r="EI440" s="392"/>
      <c r="EJ440" s="392"/>
      <c r="EK440" s="392"/>
      <c r="EL440" s="392"/>
    </row>
    <row r="441" spans="3:142" s="182" customFormat="1" hidden="1" x14ac:dyDescent="0.25">
      <c r="C441" s="395"/>
      <c r="I441" s="184"/>
      <c r="N441" s="184"/>
      <c r="O441" s="184"/>
      <c r="P441" s="184"/>
      <c r="Q441" s="184"/>
      <c r="Z441" s="184"/>
      <c r="AA441" s="184"/>
      <c r="AJ441" s="185"/>
      <c r="DU441" s="395"/>
      <c r="DV441" s="395"/>
      <c r="DW441" s="395"/>
      <c r="DX441" s="395"/>
      <c r="DY441" s="395"/>
      <c r="DZ441" s="395"/>
      <c r="EA441" s="395"/>
      <c r="EB441" s="392"/>
      <c r="EC441" s="392"/>
      <c r="ED441" s="392"/>
      <c r="EE441" s="392"/>
      <c r="EF441" s="392"/>
      <c r="EG441" s="392"/>
      <c r="EH441" s="392"/>
      <c r="EI441" s="392"/>
      <c r="EJ441" s="392"/>
      <c r="EK441" s="392"/>
      <c r="EL441" s="392"/>
    </row>
    <row r="442" spans="3:142" s="182" customFormat="1" hidden="1" x14ac:dyDescent="0.25">
      <c r="C442" s="395"/>
      <c r="I442" s="184"/>
      <c r="N442" s="184"/>
      <c r="O442" s="184"/>
      <c r="P442" s="184"/>
      <c r="Q442" s="184"/>
      <c r="Z442" s="184"/>
      <c r="AA442" s="184"/>
      <c r="AJ442" s="185"/>
      <c r="DU442" s="395"/>
      <c r="DV442" s="395"/>
      <c r="DW442" s="395"/>
      <c r="DX442" s="395"/>
      <c r="DY442" s="395"/>
      <c r="DZ442" s="395"/>
      <c r="EA442" s="395"/>
      <c r="EB442" s="392"/>
      <c r="EC442" s="392"/>
      <c r="ED442" s="392"/>
      <c r="EE442" s="392"/>
      <c r="EF442" s="392"/>
      <c r="EG442" s="392"/>
      <c r="EH442" s="392"/>
      <c r="EI442" s="392"/>
      <c r="EJ442" s="392"/>
      <c r="EK442" s="392"/>
      <c r="EL442" s="392"/>
    </row>
    <row r="443" spans="3:142" s="182" customFormat="1" hidden="1" x14ac:dyDescent="0.25">
      <c r="C443" s="395"/>
      <c r="I443" s="184"/>
      <c r="N443" s="184"/>
      <c r="O443" s="184"/>
      <c r="P443" s="184"/>
      <c r="Q443" s="184"/>
      <c r="Z443" s="184"/>
      <c r="AA443" s="184"/>
      <c r="AJ443" s="185"/>
      <c r="DU443" s="395"/>
      <c r="DV443" s="395"/>
      <c r="DW443" s="395"/>
      <c r="DX443" s="395"/>
      <c r="DY443" s="395"/>
      <c r="DZ443" s="395"/>
      <c r="EA443" s="395"/>
      <c r="EB443" s="392"/>
      <c r="EC443" s="392"/>
      <c r="ED443" s="392"/>
      <c r="EE443" s="392"/>
      <c r="EF443" s="392"/>
      <c r="EG443" s="392"/>
      <c r="EH443" s="392"/>
      <c r="EI443" s="392"/>
      <c r="EJ443" s="392"/>
      <c r="EK443" s="392"/>
      <c r="EL443" s="392"/>
    </row>
    <row r="444" spans="3:142" s="182" customFormat="1" hidden="1" x14ac:dyDescent="0.25">
      <c r="C444" s="395"/>
      <c r="I444" s="184"/>
      <c r="N444" s="184"/>
      <c r="O444" s="184"/>
      <c r="P444" s="184"/>
      <c r="Q444" s="184"/>
      <c r="Z444" s="184"/>
      <c r="AA444" s="184"/>
      <c r="AJ444" s="185"/>
      <c r="DU444" s="395"/>
      <c r="DV444" s="395"/>
      <c r="DW444" s="395"/>
      <c r="DX444" s="395"/>
      <c r="DY444" s="395"/>
      <c r="DZ444" s="395"/>
      <c r="EA444" s="395"/>
      <c r="EB444" s="392"/>
      <c r="EC444" s="392"/>
      <c r="ED444" s="392"/>
      <c r="EE444" s="392"/>
      <c r="EF444" s="392"/>
      <c r="EG444" s="392"/>
      <c r="EH444" s="392"/>
      <c r="EI444" s="392"/>
      <c r="EJ444" s="392"/>
      <c r="EK444" s="392"/>
      <c r="EL444" s="392"/>
    </row>
    <row r="445" spans="3:142" s="182" customFormat="1" hidden="1" x14ac:dyDescent="0.25">
      <c r="C445" s="395"/>
      <c r="I445" s="184"/>
      <c r="N445" s="184"/>
      <c r="O445" s="184"/>
      <c r="P445" s="184"/>
      <c r="Q445" s="184"/>
      <c r="Z445" s="184"/>
      <c r="AA445" s="184"/>
      <c r="AJ445" s="185"/>
      <c r="DU445" s="395"/>
      <c r="DV445" s="395"/>
      <c r="DW445" s="395"/>
      <c r="DX445" s="395"/>
      <c r="DY445" s="395"/>
      <c r="DZ445" s="395"/>
      <c r="EA445" s="395"/>
      <c r="EB445" s="392"/>
      <c r="EC445" s="392"/>
      <c r="ED445" s="392"/>
      <c r="EE445" s="392"/>
      <c r="EF445" s="392"/>
      <c r="EG445" s="392"/>
      <c r="EH445" s="392"/>
      <c r="EI445" s="392"/>
      <c r="EJ445" s="392"/>
      <c r="EK445" s="392"/>
      <c r="EL445" s="392"/>
    </row>
    <row r="446" spans="3:142" s="182" customFormat="1" hidden="1" x14ac:dyDescent="0.25">
      <c r="C446" s="395"/>
      <c r="I446" s="184"/>
      <c r="N446" s="184"/>
      <c r="O446" s="184"/>
      <c r="P446" s="184"/>
      <c r="Q446" s="184"/>
      <c r="Z446" s="184"/>
      <c r="AA446" s="184"/>
      <c r="AJ446" s="185"/>
      <c r="DU446" s="395"/>
      <c r="DV446" s="395"/>
      <c r="DW446" s="395"/>
      <c r="DX446" s="395"/>
      <c r="DY446" s="395"/>
      <c r="DZ446" s="395"/>
      <c r="EA446" s="395"/>
      <c r="EB446" s="392"/>
      <c r="EC446" s="392"/>
      <c r="ED446" s="392"/>
      <c r="EE446" s="392"/>
      <c r="EF446" s="392"/>
      <c r="EG446" s="392"/>
      <c r="EH446" s="392"/>
      <c r="EI446" s="392"/>
      <c r="EJ446" s="392"/>
      <c r="EK446" s="392"/>
      <c r="EL446" s="392"/>
    </row>
    <row r="447" spans="3:142" s="182" customFormat="1" hidden="1" x14ac:dyDescent="0.25">
      <c r="C447" s="395"/>
      <c r="I447" s="184"/>
      <c r="N447" s="184"/>
      <c r="O447" s="184"/>
      <c r="P447" s="184"/>
      <c r="Q447" s="184"/>
      <c r="Z447" s="184"/>
      <c r="AA447" s="184"/>
      <c r="AJ447" s="185"/>
      <c r="DU447" s="395"/>
      <c r="DV447" s="395"/>
      <c r="DW447" s="395"/>
      <c r="DX447" s="395"/>
      <c r="DY447" s="395"/>
      <c r="DZ447" s="395"/>
      <c r="EA447" s="395"/>
      <c r="EB447" s="392"/>
      <c r="EC447" s="392"/>
      <c r="ED447" s="392"/>
      <c r="EE447" s="392"/>
      <c r="EF447" s="392"/>
      <c r="EG447" s="392"/>
      <c r="EH447" s="392"/>
      <c r="EI447" s="392"/>
      <c r="EJ447" s="392"/>
      <c r="EK447" s="392"/>
      <c r="EL447" s="392"/>
    </row>
    <row r="448" spans="3:142" s="182" customFormat="1" hidden="1" x14ac:dyDescent="0.25">
      <c r="C448" s="395"/>
      <c r="I448" s="184"/>
      <c r="N448" s="184"/>
      <c r="O448" s="184"/>
      <c r="P448" s="184"/>
      <c r="Q448" s="184"/>
      <c r="Z448" s="184"/>
      <c r="AA448" s="184"/>
      <c r="AJ448" s="185"/>
      <c r="DU448" s="395"/>
      <c r="DV448" s="395"/>
      <c r="DW448" s="395"/>
      <c r="DX448" s="395"/>
      <c r="DY448" s="395"/>
      <c r="DZ448" s="395"/>
      <c r="EA448" s="395"/>
      <c r="EB448" s="392"/>
      <c r="EC448" s="392"/>
      <c r="ED448" s="392"/>
      <c r="EE448" s="392"/>
      <c r="EF448" s="392"/>
      <c r="EG448" s="392"/>
      <c r="EH448" s="392"/>
      <c r="EI448" s="392"/>
      <c r="EJ448" s="392"/>
      <c r="EK448" s="392"/>
      <c r="EL448" s="392"/>
    </row>
    <row r="449" spans="3:142" s="182" customFormat="1" hidden="1" x14ac:dyDescent="0.25">
      <c r="C449" s="395"/>
      <c r="I449" s="184"/>
      <c r="N449" s="184"/>
      <c r="O449" s="184"/>
      <c r="P449" s="184"/>
      <c r="Q449" s="184"/>
      <c r="Z449" s="184"/>
      <c r="AA449" s="184"/>
      <c r="AJ449" s="185"/>
      <c r="DU449" s="395"/>
      <c r="DV449" s="395"/>
      <c r="DW449" s="395"/>
      <c r="DX449" s="395"/>
      <c r="DY449" s="395"/>
      <c r="DZ449" s="395"/>
      <c r="EA449" s="395"/>
      <c r="EB449" s="392"/>
      <c r="EC449" s="392"/>
      <c r="ED449" s="392"/>
      <c r="EE449" s="392"/>
      <c r="EF449" s="392"/>
      <c r="EG449" s="392"/>
      <c r="EH449" s="392"/>
      <c r="EI449" s="392"/>
      <c r="EJ449" s="392"/>
      <c r="EK449" s="392"/>
      <c r="EL449" s="392"/>
    </row>
    <row r="450" spans="3:142" s="182" customFormat="1" hidden="1" x14ac:dyDescent="0.25">
      <c r="C450" s="395"/>
      <c r="I450" s="184"/>
      <c r="N450" s="184"/>
      <c r="O450" s="184"/>
      <c r="P450" s="184"/>
      <c r="Q450" s="184"/>
      <c r="Z450" s="184"/>
      <c r="AA450" s="184"/>
      <c r="AJ450" s="185"/>
      <c r="DU450" s="395"/>
      <c r="DV450" s="395"/>
      <c r="DW450" s="395"/>
      <c r="DX450" s="395"/>
      <c r="DY450" s="395"/>
      <c r="DZ450" s="395"/>
      <c r="EA450" s="395"/>
      <c r="EB450" s="392"/>
      <c r="EC450" s="392"/>
      <c r="ED450" s="392"/>
      <c r="EE450" s="392"/>
      <c r="EF450" s="392"/>
      <c r="EG450" s="392"/>
      <c r="EH450" s="392"/>
      <c r="EI450" s="392"/>
      <c r="EJ450" s="392"/>
      <c r="EK450" s="392"/>
      <c r="EL450" s="392"/>
    </row>
    <row r="451" spans="3:142" s="182" customFormat="1" hidden="1" x14ac:dyDescent="0.25">
      <c r="C451" s="395"/>
      <c r="I451" s="184"/>
      <c r="N451" s="184"/>
      <c r="O451" s="184"/>
      <c r="P451" s="184"/>
      <c r="Q451" s="184"/>
      <c r="Z451" s="184"/>
      <c r="AA451" s="184"/>
      <c r="AJ451" s="185"/>
      <c r="DU451" s="395"/>
      <c r="DV451" s="395"/>
      <c r="DW451" s="395"/>
      <c r="DX451" s="395"/>
      <c r="DY451" s="395"/>
      <c r="DZ451" s="395"/>
      <c r="EA451" s="395"/>
      <c r="EB451" s="392"/>
      <c r="EC451" s="392"/>
      <c r="ED451" s="392"/>
      <c r="EE451" s="392"/>
      <c r="EF451" s="392"/>
      <c r="EG451" s="392"/>
      <c r="EH451" s="392"/>
      <c r="EI451" s="392"/>
      <c r="EJ451" s="392"/>
      <c r="EK451" s="392"/>
      <c r="EL451" s="392"/>
    </row>
    <row r="452" spans="3:142" s="182" customFormat="1" hidden="1" x14ac:dyDescent="0.25">
      <c r="C452" s="395"/>
      <c r="I452" s="184"/>
      <c r="N452" s="184"/>
      <c r="O452" s="184"/>
      <c r="P452" s="184"/>
      <c r="Q452" s="184"/>
      <c r="Z452" s="184"/>
      <c r="AA452" s="184"/>
      <c r="AJ452" s="185"/>
      <c r="DU452" s="395"/>
      <c r="DV452" s="395"/>
      <c r="DW452" s="395"/>
      <c r="DX452" s="395"/>
      <c r="DY452" s="395"/>
      <c r="DZ452" s="395"/>
      <c r="EA452" s="395"/>
      <c r="EB452" s="392"/>
      <c r="EC452" s="392"/>
      <c r="ED452" s="392"/>
      <c r="EE452" s="392"/>
      <c r="EF452" s="392"/>
      <c r="EG452" s="392"/>
      <c r="EH452" s="392"/>
      <c r="EI452" s="392"/>
      <c r="EJ452" s="392"/>
      <c r="EK452" s="392"/>
      <c r="EL452" s="392"/>
    </row>
    <row r="453" spans="3:142" s="182" customFormat="1" hidden="1" x14ac:dyDescent="0.25">
      <c r="C453" s="395"/>
      <c r="I453" s="184"/>
      <c r="N453" s="184"/>
      <c r="O453" s="184"/>
      <c r="P453" s="184"/>
      <c r="Q453" s="184"/>
      <c r="Z453" s="184"/>
      <c r="AA453" s="184"/>
      <c r="AJ453" s="185"/>
      <c r="DU453" s="395"/>
      <c r="DV453" s="395"/>
      <c r="DW453" s="395"/>
      <c r="DX453" s="395"/>
      <c r="DY453" s="395"/>
      <c r="DZ453" s="395"/>
      <c r="EA453" s="395"/>
      <c r="EB453" s="392"/>
      <c r="EC453" s="392"/>
      <c r="ED453" s="392"/>
      <c r="EE453" s="392"/>
      <c r="EF453" s="392"/>
      <c r="EG453" s="392"/>
      <c r="EH453" s="392"/>
      <c r="EI453" s="392"/>
      <c r="EJ453" s="392"/>
      <c r="EK453" s="392"/>
      <c r="EL453" s="392"/>
    </row>
    <row r="454" spans="3:142" s="182" customFormat="1" hidden="1" x14ac:dyDescent="0.25">
      <c r="C454" s="395"/>
      <c r="I454" s="184"/>
      <c r="N454" s="184"/>
      <c r="O454" s="184"/>
      <c r="P454" s="184"/>
      <c r="Q454" s="184"/>
      <c r="Z454" s="184"/>
      <c r="AA454" s="184"/>
      <c r="AJ454" s="185"/>
      <c r="DU454" s="395"/>
      <c r="DV454" s="395"/>
      <c r="DW454" s="395"/>
      <c r="DX454" s="395"/>
      <c r="DY454" s="395"/>
      <c r="DZ454" s="395"/>
      <c r="EA454" s="395"/>
      <c r="EB454" s="392"/>
      <c r="EC454" s="392"/>
      <c r="ED454" s="392"/>
      <c r="EE454" s="392"/>
      <c r="EF454" s="392"/>
      <c r="EG454" s="392"/>
      <c r="EH454" s="392"/>
      <c r="EI454" s="392"/>
      <c r="EJ454" s="392"/>
      <c r="EK454" s="392"/>
      <c r="EL454" s="392"/>
    </row>
    <row r="455" spans="3:142" s="182" customFormat="1" hidden="1" x14ac:dyDescent="0.25">
      <c r="C455" s="395"/>
      <c r="I455" s="184"/>
      <c r="N455" s="184"/>
      <c r="O455" s="184"/>
      <c r="P455" s="184"/>
      <c r="Q455" s="184"/>
      <c r="Z455" s="184"/>
      <c r="AA455" s="184"/>
      <c r="AJ455" s="185"/>
      <c r="DU455" s="395"/>
      <c r="DV455" s="395"/>
      <c r="DW455" s="395"/>
      <c r="DX455" s="395"/>
      <c r="DY455" s="395"/>
      <c r="DZ455" s="395"/>
      <c r="EA455" s="395"/>
      <c r="EB455" s="392"/>
      <c r="EC455" s="392"/>
      <c r="ED455" s="392"/>
      <c r="EE455" s="392"/>
      <c r="EF455" s="392"/>
      <c r="EG455" s="392"/>
      <c r="EH455" s="392"/>
      <c r="EI455" s="392"/>
      <c r="EJ455" s="392"/>
      <c r="EK455" s="392"/>
      <c r="EL455" s="392"/>
    </row>
    <row r="456" spans="3:142" s="182" customFormat="1" hidden="1" x14ac:dyDescent="0.25">
      <c r="C456" s="395"/>
      <c r="I456" s="184"/>
      <c r="N456" s="184"/>
      <c r="O456" s="184"/>
      <c r="P456" s="184"/>
      <c r="Q456" s="184"/>
      <c r="Z456" s="184"/>
      <c r="AA456" s="184"/>
      <c r="AJ456" s="185"/>
      <c r="DU456" s="395"/>
      <c r="DV456" s="395"/>
      <c r="DW456" s="395"/>
      <c r="DX456" s="395"/>
      <c r="DY456" s="395"/>
      <c r="DZ456" s="395"/>
      <c r="EA456" s="395"/>
      <c r="EB456" s="392"/>
      <c r="EC456" s="392"/>
      <c r="ED456" s="392"/>
      <c r="EE456" s="392"/>
      <c r="EF456" s="392"/>
      <c r="EG456" s="392"/>
      <c r="EH456" s="392"/>
      <c r="EI456" s="392"/>
      <c r="EJ456" s="392"/>
      <c r="EK456" s="392"/>
      <c r="EL456" s="392"/>
    </row>
    <row r="457" spans="3:142" s="182" customFormat="1" hidden="1" x14ac:dyDescent="0.25">
      <c r="C457" s="395"/>
      <c r="I457" s="184"/>
      <c r="N457" s="184"/>
      <c r="O457" s="184"/>
      <c r="P457" s="184"/>
      <c r="Q457" s="184"/>
      <c r="Z457" s="184"/>
      <c r="AA457" s="184"/>
      <c r="AJ457" s="185"/>
      <c r="DU457" s="395"/>
      <c r="DV457" s="395"/>
      <c r="DW457" s="395"/>
      <c r="DX457" s="395"/>
      <c r="DY457" s="395"/>
      <c r="DZ457" s="395"/>
      <c r="EA457" s="395"/>
      <c r="EB457" s="392"/>
      <c r="EC457" s="392"/>
      <c r="ED457" s="392"/>
      <c r="EE457" s="392"/>
      <c r="EF457" s="392"/>
      <c r="EG457" s="392"/>
      <c r="EH457" s="392"/>
      <c r="EI457" s="392"/>
      <c r="EJ457" s="392"/>
      <c r="EK457" s="392"/>
      <c r="EL457" s="392"/>
    </row>
    <row r="458" spans="3:142" s="182" customFormat="1" hidden="1" x14ac:dyDescent="0.25">
      <c r="C458" s="395"/>
      <c r="I458" s="184"/>
      <c r="N458" s="184"/>
      <c r="O458" s="184"/>
      <c r="P458" s="184"/>
      <c r="Q458" s="184"/>
      <c r="Z458" s="184"/>
      <c r="AA458" s="184"/>
      <c r="AJ458" s="185"/>
      <c r="DU458" s="395"/>
      <c r="DV458" s="395"/>
      <c r="DW458" s="395"/>
      <c r="DX458" s="395"/>
      <c r="DY458" s="395"/>
      <c r="DZ458" s="395"/>
      <c r="EA458" s="395"/>
      <c r="EB458" s="392"/>
      <c r="EC458" s="392"/>
      <c r="ED458" s="392"/>
      <c r="EE458" s="392"/>
      <c r="EF458" s="392"/>
      <c r="EG458" s="392"/>
      <c r="EH458" s="392"/>
      <c r="EI458" s="392"/>
      <c r="EJ458" s="392"/>
      <c r="EK458" s="392"/>
      <c r="EL458" s="392"/>
    </row>
    <row r="459" spans="3:142" s="182" customFormat="1" hidden="1" x14ac:dyDescent="0.25">
      <c r="C459" s="395"/>
      <c r="I459" s="184"/>
      <c r="N459" s="184"/>
      <c r="O459" s="184"/>
      <c r="P459" s="184"/>
      <c r="Q459" s="184"/>
      <c r="Z459" s="184"/>
      <c r="AA459" s="184"/>
      <c r="AJ459" s="185"/>
      <c r="DU459" s="395"/>
      <c r="DV459" s="395"/>
      <c r="DW459" s="395"/>
      <c r="DX459" s="395"/>
      <c r="DY459" s="395"/>
      <c r="DZ459" s="395"/>
      <c r="EA459" s="395"/>
      <c r="EB459" s="392"/>
      <c r="EC459" s="392"/>
      <c r="ED459" s="392"/>
      <c r="EE459" s="392"/>
      <c r="EF459" s="392"/>
      <c r="EG459" s="392"/>
      <c r="EH459" s="392"/>
      <c r="EI459" s="392"/>
      <c r="EJ459" s="392"/>
      <c r="EK459" s="392"/>
      <c r="EL459" s="392"/>
    </row>
    <row r="460" spans="3:142" s="182" customFormat="1" hidden="1" x14ac:dyDescent="0.25">
      <c r="C460" s="395"/>
      <c r="I460" s="184"/>
      <c r="N460" s="184"/>
      <c r="O460" s="184"/>
      <c r="P460" s="184"/>
      <c r="Q460" s="184"/>
      <c r="Z460" s="184"/>
      <c r="AA460" s="184"/>
      <c r="AJ460" s="185"/>
      <c r="DU460" s="395"/>
      <c r="DV460" s="395"/>
      <c r="DW460" s="395"/>
      <c r="DX460" s="395"/>
      <c r="DY460" s="395"/>
      <c r="DZ460" s="395"/>
      <c r="EA460" s="395"/>
      <c r="EB460" s="392"/>
      <c r="EC460" s="392"/>
      <c r="ED460" s="392"/>
      <c r="EE460" s="392"/>
      <c r="EF460" s="392"/>
      <c r="EG460" s="392"/>
      <c r="EH460" s="392"/>
      <c r="EI460" s="392"/>
      <c r="EJ460" s="392"/>
      <c r="EK460" s="392"/>
      <c r="EL460" s="392"/>
    </row>
    <row r="461" spans="3:142" s="395" customFormat="1" x14ac:dyDescent="0.25">
      <c r="I461" s="396"/>
      <c r="N461" s="396"/>
      <c r="O461" s="396"/>
      <c r="P461" s="396"/>
      <c r="Q461" s="396"/>
      <c r="Z461" s="396"/>
      <c r="AA461" s="396"/>
      <c r="AJ461" s="397"/>
    </row>
    <row r="462" spans="3:142" s="395" customFormat="1" x14ac:dyDescent="0.25">
      <c r="I462" s="396"/>
      <c r="N462" s="396"/>
      <c r="O462" s="396"/>
      <c r="P462" s="396"/>
      <c r="Q462" s="396"/>
      <c r="Z462" s="396"/>
      <c r="AA462" s="396"/>
      <c r="AJ462" s="397"/>
    </row>
    <row r="463" spans="3:142" s="395" customFormat="1" x14ac:dyDescent="0.25">
      <c r="I463" s="396"/>
      <c r="N463" s="396"/>
      <c r="O463" s="396"/>
      <c r="P463" s="396"/>
      <c r="Q463" s="396"/>
      <c r="Z463" s="396"/>
      <c r="AA463" s="396"/>
      <c r="AJ463" s="397"/>
    </row>
    <row r="464" spans="3:142" s="395" customFormat="1" x14ac:dyDescent="0.25">
      <c r="I464" s="396"/>
      <c r="N464" s="396"/>
      <c r="O464" s="396"/>
      <c r="P464" s="396"/>
      <c r="Q464" s="396"/>
      <c r="Z464" s="396"/>
      <c r="AA464" s="396"/>
      <c r="AJ464" s="397"/>
    </row>
    <row r="465" spans="9:36" s="395" customFormat="1" x14ac:dyDescent="0.25">
      <c r="I465" s="396"/>
      <c r="N465" s="396"/>
      <c r="O465" s="396"/>
      <c r="P465" s="396"/>
      <c r="Q465" s="396"/>
      <c r="Z465" s="396"/>
      <c r="AA465" s="396"/>
      <c r="AJ465" s="397"/>
    </row>
    <row r="466" spans="9:36" s="395" customFormat="1" x14ac:dyDescent="0.25">
      <c r="I466" s="396"/>
      <c r="N466" s="396"/>
      <c r="O466" s="396"/>
      <c r="P466" s="396"/>
      <c r="Q466" s="396"/>
      <c r="Z466" s="396"/>
      <c r="AA466" s="396"/>
      <c r="AJ466" s="397"/>
    </row>
    <row r="467" spans="9:36" s="395" customFormat="1" x14ac:dyDescent="0.25">
      <c r="I467" s="396"/>
      <c r="N467" s="396"/>
      <c r="O467" s="396"/>
      <c r="P467" s="396"/>
      <c r="Q467" s="396"/>
      <c r="Z467" s="396"/>
      <c r="AA467" s="396"/>
      <c r="AJ467" s="397"/>
    </row>
    <row r="468" spans="9:36" s="395" customFormat="1" x14ac:dyDescent="0.25">
      <c r="I468" s="396"/>
      <c r="N468" s="396"/>
      <c r="O468" s="396"/>
      <c r="P468" s="396"/>
      <c r="Q468" s="396"/>
      <c r="Z468" s="396"/>
      <c r="AA468" s="396"/>
      <c r="AJ468" s="397"/>
    </row>
    <row r="469" spans="9:36" s="395" customFormat="1" x14ac:dyDescent="0.25">
      <c r="I469" s="396"/>
      <c r="N469" s="396"/>
      <c r="O469" s="396"/>
      <c r="P469" s="396"/>
      <c r="Q469" s="396"/>
      <c r="Z469" s="396"/>
      <c r="AA469" s="396"/>
      <c r="AJ469" s="397"/>
    </row>
    <row r="470" spans="9:36" s="395" customFormat="1" x14ac:dyDescent="0.25">
      <c r="I470" s="396"/>
      <c r="N470" s="396"/>
      <c r="O470" s="396"/>
      <c r="P470" s="396"/>
      <c r="Q470" s="396"/>
      <c r="Z470" s="396"/>
      <c r="AA470" s="396"/>
      <c r="AJ470" s="397"/>
    </row>
    <row r="471" spans="9:36" s="395" customFormat="1" x14ac:dyDescent="0.25">
      <c r="I471" s="396"/>
      <c r="N471" s="396"/>
      <c r="O471" s="396"/>
      <c r="P471" s="396"/>
      <c r="Q471" s="396"/>
      <c r="Z471" s="396"/>
      <c r="AA471" s="396"/>
      <c r="AJ471" s="397"/>
    </row>
    <row r="472" spans="9:36" s="395" customFormat="1" x14ac:dyDescent="0.25">
      <c r="I472" s="396"/>
      <c r="N472" s="396"/>
      <c r="O472" s="396"/>
      <c r="P472" s="396"/>
      <c r="Q472" s="396"/>
      <c r="Z472" s="396"/>
      <c r="AA472" s="396"/>
      <c r="AJ472" s="397"/>
    </row>
    <row r="473" spans="9:36" s="395" customFormat="1" x14ac:dyDescent="0.25">
      <c r="I473" s="396"/>
      <c r="N473" s="396"/>
      <c r="O473" s="396"/>
      <c r="P473" s="396"/>
      <c r="Q473" s="396"/>
      <c r="Z473" s="396"/>
      <c r="AA473" s="396"/>
      <c r="AJ473" s="397"/>
    </row>
    <row r="474" spans="9:36" s="395" customFormat="1" x14ac:dyDescent="0.25">
      <c r="I474" s="396"/>
      <c r="N474" s="396"/>
      <c r="O474" s="396"/>
      <c r="P474" s="396"/>
      <c r="Q474" s="396"/>
      <c r="Z474" s="396"/>
      <c r="AA474" s="396"/>
      <c r="AJ474" s="397"/>
    </row>
    <row r="475" spans="9:36" s="395" customFormat="1" x14ac:dyDescent="0.25">
      <c r="I475" s="396"/>
      <c r="N475" s="396"/>
      <c r="O475" s="396"/>
      <c r="P475" s="396"/>
      <c r="Q475" s="396"/>
      <c r="Z475" s="396"/>
      <c r="AA475" s="396"/>
      <c r="AJ475" s="397"/>
    </row>
    <row r="476" spans="9:36" s="395" customFormat="1" x14ac:dyDescent="0.25">
      <c r="I476" s="396"/>
      <c r="N476" s="396"/>
      <c r="O476" s="396"/>
      <c r="P476" s="396"/>
      <c r="Q476" s="396"/>
      <c r="Z476" s="396"/>
      <c r="AA476" s="396"/>
      <c r="AJ476" s="397"/>
    </row>
    <row r="477" spans="9:36" s="395" customFormat="1" x14ac:dyDescent="0.25">
      <c r="I477" s="396"/>
      <c r="N477" s="396"/>
      <c r="O477" s="396"/>
      <c r="P477" s="396"/>
      <c r="Q477" s="396"/>
      <c r="Z477" s="396"/>
      <c r="AA477" s="396"/>
      <c r="AJ477" s="397"/>
    </row>
    <row r="478" spans="9:36" s="395" customFormat="1" x14ac:dyDescent="0.25">
      <c r="I478" s="396"/>
      <c r="N478" s="396"/>
      <c r="O478" s="396"/>
      <c r="P478" s="396"/>
      <c r="Q478" s="396"/>
      <c r="Z478" s="396"/>
      <c r="AA478" s="396"/>
      <c r="AJ478" s="397"/>
    </row>
    <row r="479" spans="9:36" s="395" customFormat="1" x14ac:dyDescent="0.25">
      <c r="I479" s="396"/>
      <c r="N479" s="396"/>
      <c r="O479" s="396"/>
      <c r="P479" s="396"/>
      <c r="Q479" s="396"/>
      <c r="Z479" s="396"/>
      <c r="AA479" s="396"/>
      <c r="AJ479" s="397"/>
    </row>
    <row r="480" spans="9:36" s="395" customFormat="1" x14ac:dyDescent="0.25">
      <c r="I480" s="396"/>
      <c r="N480" s="396"/>
      <c r="O480" s="396"/>
      <c r="P480" s="396"/>
      <c r="Q480" s="396"/>
      <c r="Z480" s="396"/>
      <c r="AA480" s="396"/>
      <c r="AJ480" s="397"/>
    </row>
    <row r="481" spans="9:36" s="395" customFormat="1" x14ac:dyDescent="0.25">
      <c r="I481" s="396"/>
      <c r="N481" s="396"/>
      <c r="O481" s="396"/>
      <c r="P481" s="396"/>
      <c r="Q481" s="396"/>
      <c r="Z481" s="396"/>
      <c r="AA481" s="396"/>
      <c r="AJ481" s="397"/>
    </row>
    <row r="482" spans="9:36" s="395" customFormat="1" x14ac:dyDescent="0.25">
      <c r="I482" s="396"/>
      <c r="N482" s="396"/>
      <c r="O482" s="396"/>
      <c r="P482" s="396"/>
      <c r="Q482" s="396"/>
      <c r="Z482" s="396"/>
      <c r="AA482" s="396"/>
      <c r="AJ482" s="397"/>
    </row>
    <row r="483" spans="9:36" s="395" customFormat="1" x14ac:dyDescent="0.25">
      <c r="I483" s="396"/>
      <c r="N483" s="396"/>
      <c r="O483" s="396"/>
      <c r="P483" s="396"/>
      <c r="Q483" s="396"/>
      <c r="Z483" s="396"/>
      <c r="AA483" s="396"/>
      <c r="AJ483" s="397"/>
    </row>
    <row r="484" spans="9:36" s="395" customFormat="1" x14ac:dyDescent="0.25">
      <c r="I484" s="396"/>
      <c r="N484" s="396"/>
      <c r="O484" s="396"/>
      <c r="P484" s="396"/>
      <c r="Q484" s="396"/>
      <c r="Z484" s="396"/>
      <c r="AA484" s="396"/>
      <c r="AJ484" s="397"/>
    </row>
    <row r="485" spans="9:36" s="395" customFormat="1" x14ac:dyDescent="0.25">
      <c r="I485" s="396"/>
      <c r="N485" s="396"/>
      <c r="O485" s="396"/>
      <c r="P485" s="396"/>
      <c r="Q485" s="396"/>
      <c r="Z485" s="396"/>
      <c r="AA485" s="396"/>
      <c r="AJ485" s="397"/>
    </row>
    <row r="486" spans="9:36" s="395" customFormat="1" x14ac:dyDescent="0.25">
      <c r="I486" s="396"/>
      <c r="N486" s="396"/>
      <c r="O486" s="396"/>
      <c r="P486" s="396"/>
      <c r="Q486" s="396"/>
      <c r="Z486" s="396"/>
      <c r="AA486" s="396"/>
      <c r="AJ486" s="397"/>
    </row>
    <row r="487" spans="9:36" s="395" customFormat="1" x14ac:dyDescent="0.25">
      <c r="I487" s="396"/>
      <c r="N487" s="396"/>
      <c r="O487" s="396"/>
      <c r="P487" s="396"/>
      <c r="Q487" s="396"/>
      <c r="Z487" s="396"/>
      <c r="AA487" s="396"/>
      <c r="AJ487" s="397"/>
    </row>
    <row r="488" spans="9:36" s="395" customFormat="1" x14ac:dyDescent="0.25">
      <c r="I488" s="396"/>
      <c r="N488" s="396"/>
      <c r="O488" s="396"/>
      <c r="P488" s="396"/>
      <c r="Q488" s="396"/>
      <c r="Z488" s="396"/>
      <c r="AA488" s="396"/>
      <c r="AJ488" s="397"/>
    </row>
    <row r="489" spans="9:36" s="395" customFormat="1" x14ac:dyDescent="0.25">
      <c r="I489" s="396"/>
      <c r="N489" s="396"/>
      <c r="O489" s="396"/>
      <c r="P489" s="396"/>
      <c r="Q489" s="396"/>
      <c r="Z489" s="396"/>
      <c r="AA489" s="396"/>
      <c r="AJ489" s="397"/>
    </row>
    <row r="490" spans="9:36" s="395" customFormat="1" x14ac:dyDescent="0.25">
      <c r="I490" s="396"/>
      <c r="N490" s="396"/>
      <c r="O490" s="396"/>
      <c r="P490" s="396"/>
      <c r="Q490" s="396"/>
      <c r="Z490" s="396"/>
      <c r="AA490" s="396"/>
      <c r="AJ490" s="397"/>
    </row>
    <row r="491" spans="9:36" s="395" customFormat="1" x14ac:dyDescent="0.25">
      <c r="I491" s="396"/>
      <c r="N491" s="396"/>
      <c r="O491" s="396"/>
      <c r="P491" s="396"/>
      <c r="Q491" s="396"/>
      <c r="Z491" s="396"/>
      <c r="AA491" s="396"/>
      <c r="AJ491" s="397"/>
    </row>
    <row r="492" spans="9:36" s="395" customFormat="1" x14ac:dyDescent="0.25">
      <c r="I492" s="396"/>
      <c r="N492" s="396"/>
      <c r="O492" s="396"/>
      <c r="P492" s="396"/>
      <c r="Q492" s="396"/>
      <c r="Z492" s="396"/>
      <c r="AA492" s="396"/>
      <c r="AJ492" s="397"/>
    </row>
    <row r="493" spans="9:36" s="395" customFormat="1" x14ac:dyDescent="0.25">
      <c r="I493" s="396"/>
      <c r="N493" s="396"/>
      <c r="O493" s="396"/>
      <c r="P493" s="396"/>
      <c r="Q493" s="396"/>
      <c r="Z493" s="396"/>
      <c r="AA493" s="396"/>
      <c r="AJ493" s="397"/>
    </row>
    <row r="494" spans="9:36" s="395" customFormat="1" x14ac:dyDescent="0.25">
      <c r="I494" s="396"/>
      <c r="N494" s="396"/>
      <c r="O494" s="396"/>
      <c r="P494" s="396"/>
      <c r="Q494" s="396"/>
      <c r="Z494" s="396"/>
      <c r="AA494" s="396"/>
      <c r="AJ494" s="397"/>
    </row>
    <row r="495" spans="9:36" s="395" customFormat="1" x14ac:dyDescent="0.25">
      <c r="I495" s="396"/>
      <c r="N495" s="396"/>
      <c r="O495" s="396"/>
      <c r="P495" s="396"/>
      <c r="Q495" s="396"/>
      <c r="Z495" s="396"/>
      <c r="AA495" s="396"/>
      <c r="AJ495" s="397"/>
    </row>
    <row r="496" spans="9:36" s="395" customFormat="1" x14ac:dyDescent="0.25">
      <c r="I496" s="396"/>
      <c r="N496" s="396"/>
      <c r="O496" s="396"/>
      <c r="P496" s="396"/>
      <c r="Q496" s="396"/>
      <c r="Z496" s="396"/>
      <c r="AA496" s="396"/>
      <c r="AJ496" s="397"/>
    </row>
    <row r="497" spans="9:36" s="395" customFormat="1" x14ac:dyDescent="0.25">
      <c r="I497" s="396"/>
      <c r="N497" s="396"/>
      <c r="O497" s="396"/>
      <c r="P497" s="396"/>
      <c r="Q497" s="396"/>
      <c r="Z497" s="396"/>
      <c r="AA497" s="396"/>
      <c r="AJ497" s="397"/>
    </row>
    <row r="498" spans="9:36" s="395" customFormat="1" x14ac:dyDescent="0.25">
      <c r="I498" s="396"/>
      <c r="N498" s="396"/>
      <c r="O498" s="396"/>
      <c r="P498" s="396"/>
      <c r="Q498" s="396"/>
      <c r="Z498" s="396"/>
      <c r="AA498" s="396"/>
      <c r="AJ498" s="397"/>
    </row>
    <row r="499" spans="9:36" s="395" customFormat="1" x14ac:dyDescent="0.25">
      <c r="I499" s="396"/>
      <c r="N499" s="396"/>
      <c r="O499" s="396"/>
      <c r="P499" s="396"/>
      <c r="Q499" s="396"/>
      <c r="Z499" s="396"/>
      <c r="AA499" s="396"/>
      <c r="AJ499" s="397"/>
    </row>
    <row r="500" spans="9:36" s="395" customFormat="1" x14ac:dyDescent="0.25">
      <c r="I500" s="396"/>
      <c r="N500" s="396"/>
      <c r="O500" s="396"/>
      <c r="P500" s="396"/>
      <c r="Q500" s="396"/>
      <c r="Z500" s="396"/>
      <c r="AA500" s="396"/>
      <c r="AJ500" s="397"/>
    </row>
    <row r="501" spans="9:36" s="395" customFormat="1" x14ac:dyDescent="0.25">
      <c r="I501" s="396"/>
      <c r="N501" s="396"/>
      <c r="O501" s="396"/>
      <c r="P501" s="396"/>
      <c r="Q501" s="396"/>
      <c r="Z501" s="396"/>
      <c r="AA501" s="396"/>
      <c r="AJ501" s="397"/>
    </row>
    <row r="502" spans="9:36" s="395" customFormat="1" x14ac:dyDescent="0.25">
      <c r="I502" s="396"/>
      <c r="N502" s="396"/>
      <c r="O502" s="396"/>
      <c r="P502" s="396"/>
      <c r="Q502" s="396"/>
      <c r="Z502" s="396"/>
      <c r="AA502" s="396"/>
      <c r="AJ502" s="397"/>
    </row>
    <row r="503" spans="9:36" s="395" customFormat="1" x14ac:dyDescent="0.25">
      <c r="I503" s="396"/>
      <c r="N503" s="396"/>
      <c r="O503" s="396"/>
      <c r="P503" s="396"/>
      <c r="Q503" s="396"/>
      <c r="Z503" s="396"/>
      <c r="AA503" s="396"/>
      <c r="AJ503" s="397"/>
    </row>
    <row r="504" spans="9:36" s="395" customFormat="1" x14ac:dyDescent="0.25">
      <c r="I504" s="396"/>
      <c r="N504" s="396"/>
      <c r="O504" s="396"/>
      <c r="P504" s="396"/>
      <c r="Q504" s="396"/>
      <c r="Z504" s="396"/>
      <c r="AA504" s="396"/>
      <c r="AJ504" s="397"/>
    </row>
    <row r="505" spans="9:36" s="395" customFormat="1" x14ac:dyDescent="0.25">
      <c r="I505" s="396"/>
      <c r="N505" s="396"/>
      <c r="O505" s="396"/>
      <c r="P505" s="396"/>
      <c r="Q505" s="396"/>
      <c r="Z505" s="396"/>
      <c r="AA505" s="396"/>
      <c r="AJ505" s="397"/>
    </row>
    <row r="506" spans="9:36" s="395" customFormat="1" x14ac:dyDescent="0.25">
      <c r="I506" s="396"/>
      <c r="N506" s="396"/>
      <c r="O506" s="396"/>
      <c r="P506" s="396"/>
      <c r="Q506" s="396"/>
      <c r="Z506" s="396"/>
      <c r="AA506" s="396"/>
      <c r="AJ506" s="397"/>
    </row>
    <row r="507" spans="9:36" s="395" customFormat="1" x14ac:dyDescent="0.25">
      <c r="I507" s="396"/>
      <c r="N507" s="396"/>
      <c r="O507" s="396"/>
      <c r="P507" s="396"/>
      <c r="Q507" s="396"/>
      <c r="Z507" s="396"/>
      <c r="AA507" s="396"/>
      <c r="AJ507" s="397"/>
    </row>
    <row r="508" spans="9:36" s="395" customFormat="1" x14ac:dyDescent="0.25">
      <c r="I508" s="396"/>
      <c r="N508" s="396"/>
      <c r="O508" s="396"/>
      <c r="P508" s="396"/>
      <c r="Q508" s="396"/>
      <c r="Z508" s="396"/>
      <c r="AA508" s="396"/>
      <c r="AJ508" s="397"/>
    </row>
    <row r="509" spans="9:36" s="395" customFormat="1" x14ac:dyDescent="0.25">
      <c r="I509" s="396"/>
      <c r="N509" s="396"/>
      <c r="O509" s="396"/>
      <c r="P509" s="396"/>
      <c r="Q509" s="396"/>
      <c r="Z509" s="396"/>
      <c r="AA509" s="396"/>
      <c r="AJ509" s="397"/>
    </row>
    <row r="510" spans="9:36" s="395" customFormat="1" x14ac:dyDescent="0.25">
      <c r="I510" s="396"/>
      <c r="N510" s="396"/>
      <c r="O510" s="396"/>
      <c r="P510" s="396"/>
      <c r="Q510" s="396"/>
      <c r="Z510" s="396"/>
      <c r="AA510" s="396"/>
      <c r="AJ510" s="397"/>
    </row>
    <row r="511" spans="9:36" s="395" customFormat="1" x14ac:dyDescent="0.25">
      <c r="I511" s="396"/>
      <c r="N511" s="396"/>
      <c r="O511" s="396"/>
      <c r="P511" s="396"/>
      <c r="Q511" s="396"/>
      <c r="Z511" s="396"/>
      <c r="AA511" s="396"/>
      <c r="AJ511" s="397"/>
    </row>
    <row r="512" spans="9:36" s="395" customFormat="1" x14ac:dyDescent="0.25">
      <c r="I512" s="396"/>
      <c r="N512" s="396"/>
      <c r="O512" s="396"/>
      <c r="P512" s="396"/>
      <c r="Q512" s="396"/>
      <c r="Z512" s="396"/>
      <c r="AA512" s="396"/>
      <c r="AJ512" s="397"/>
    </row>
    <row r="513" spans="9:36" s="395" customFormat="1" x14ac:dyDescent="0.25">
      <c r="I513" s="396"/>
      <c r="N513" s="396"/>
      <c r="O513" s="396"/>
      <c r="P513" s="396"/>
      <c r="Q513" s="396"/>
      <c r="Z513" s="396"/>
      <c r="AA513" s="396"/>
      <c r="AJ513" s="397"/>
    </row>
    <row r="514" spans="9:36" s="395" customFormat="1" x14ac:dyDescent="0.25">
      <c r="I514" s="396"/>
      <c r="N514" s="396"/>
      <c r="O514" s="396"/>
      <c r="P514" s="396"/>
      <c r="Q514" s="396"/>
      <c r="Z514" s="396"/>
      <c r="AA514" s="396"/>
      <c r="AJ514" s="397"/>
    </row>
    <row r="515" spans="9:36" s="395" customFormat="1" x14ac:dyDescent="0.25">
      <c r="I515" s="396"/>
      <c r="N515" s="396"/>
      <c r="O515" s="396"/>
      <c r="P515" s="396"/>
      <c r="Q515" s="396"/>
      <c r="Z515" s="396"/>
      <c r="AA515" s="396"/>
      <c r="AJ515" s="397"/>
    </row>
    <row r="516" spans="9:36" s="395" customFormat="1" x14ac:dyDescent="0.25">
      <c r="I516" s="396"/>
      <c r="N516" s="396"/>
      <c r="O516" s="396"/>
      <c r="P516" s="396"/>
      <c r="Q516" s="396"/>
      <c r="Z516" s="396"/>
      <c r="AA516" s="396"/>
      <c r="AJ516" s="397"/>
    </row>
    <row r="517" spans="9:36" s="395" customFormat="1" x14ac:dyDescent="0.25">
      <c r="I517" s="396"/>
      <c r="N517" s="396"/>
      <c r="O517" s="396"/>
      <c r="P517" s="396"/>
      <c r="Q517" s="396"/>
      <c r="Z517" s="396"/>
      <c r="AA517" s="396"/>
      <c r="AJ517" s="397"/>
    </row>
    <row r="518" spans="9:36" s="395" customFormat="1" x14ac:dyDescent="0.25">
      <c r="I518" s="396"/>
      <c r="N518" s="396"/>
      <c r="O518" s="396"/>
      <c r="P518" s="396"/>
      <c r="Q518" s="396"/>
      <c r="Z518" s="396"/>
      <c r="AA518" s="396"/>
      <c r="AJ518" s="397"/>
    </row>
    <row r="519" spans="9:36" s="395" customFormat="1" x14ac:dyDescent="0.25">
      <c r="I519" s="396"/>
      <c r="N519" s="396"/>
      <c r="O519" s="396"/>
      <c r="P519" s="396"/>
      <c r="Q519" s="396"/>
      <c r="Z519" s="396"/>
      <c r="AA519" s="396"/>
      <c r="AJ519" s="397"/>
    </row>
    <row r="520" spans="9:36" s="395" customFormat="1" x14ac:dyDescent="0.25">
      <c r="I520" s="396"/>
      <c r="N520" s="396"/>
      <c r="O520" s="396"/>
      <c r="P520" s="396"/>
      <c r="Q520" s="396"/>
      <c r="Z520" s="396"/>
      <c r="AA520" s="396"/>
      <c r="AJ520" s="397"/>
    </row>
    <row r="521" spans="9:36" s="395" customFormat="1" x14ac:dyDescent="0.25">
      <c r="I521" s="396"/>
      <c r="N521" s="396"/>
      <c r="O521" s="396"/>
      <c r="P521" s="396"/>
      <c r="Q521" s="396"/>
      <c r="Z521" s="396"/>
      <c r="AA521" s="396"/>
      <c r="AJ521" s="397"/>
    </row>
    <row r="522" spans="9:36" s="395" customFormat="1" x14ac:dyDescent="0.25">
      <c r="I522" s="396"/>
      <c r="N522" s="396"/>
      <c r="O522" s="396"/>
      <c r="P522" s="396"/>
      <c r="Q522" s="396"/>
      <c r="Z522" s="396"/>
      <c r="AA522" s="396"/>
      <c r="AJ522" s="397"/>
    </row>
    <row r="523" spans="9:36" s="395" customFormat="1" x14ac:dyDescent="0.25">
      <c r="I523" s="396"/>
      <c r="N523" s="396"/>
      <c r="O523" s="396"/>
      <c r="P523" s="396"/>
      <c r="Q523" s="396"/>
      <c r="Z523" s="396"/>
      <c r="AA523" s="396"/>
      <c r="AJ523" s="397"/>
    </row>
    <row r="524" spans="9:36" s="395" customFormat="1" x14ac:dyDescent="0.25">
      <c r="I524" s="396"/>
      <c r="N524" s="396"/>
      <c r="O524" s="396"/>
      <c r="P524" s="396"/>
      <c r="Q524" s="396"/>
      <c r="Z524" s="396"/>
      <c r="AA524" s="396"/>
      <c r="AJ524" s="397"/>
    </row>
    <row r="525" spans="9:36" s="395" customFormat="1" x14ac:dyDescent="0.25">
      <c r="I525" s="396"/>
      <c r="N525" s="396"/>
      <c r="O525" s="396"/>
      <c r="P525" s="396"/>
      <c r="Q525" s="396"/>
      <c r="Z525" s="396"/>
      <c r="AA525" s="396"/>
      <c r="AJ525" s="397"/>
    </row>
    <row r="526" spans="9:36" s="395" customFormat="1" x14ac:dyDescent="0.25">
      <c r="I526" s="396"/>
      <c r="N526" s="396"/>
      <c r="O526" s="396"/>
      <c r="P526" s="396"/>
      <c r="Q526" s="396"/>
      <c r="Z526" s="396"/>
      <c r="AA526" s="396"/>
      <c r="AJ526" s="397"/>
    </row>
    <row r="527" spans="9:36" s="395" customFormat="1" x14ac:dyDescent="0.25">
      <c r="I527" s="396"/>
      <c r="N527" s="396"/>
      <c r="O527" s="396"/>
      <c r="P527" s="396"/>
      <c r="Q527" s="396"/>
      <c r="Z527" s="396"/>
      <c r="AA527" s="396"/>
      <c r="AJ527" s="397"/>
    </row>
    <row r="528" spans="9:36" s="395" customFormat="1" x14ac:dyDescent="0.25">
      <c r="I528" s="396"/>
      <c r="N528" s="396"/>
      <c r="O528" s="396"/>
      <c r="P528" s="396"/>
      <c r="Q528" s="396"/>
      <c r="Z528" s="396"/>
      <c r="AA528" s="396"/>
      <c r="AJ528" s="397"/>
    </row>
    <row r="529" spans="3:131" s="395" customFormat="1" x14ac:dyDescent="0.25">
      <c r="I529" s="396"/>
      <c r="N529" s="396"/>
      <c r="O529" s="396"/>
      <c r="P529" s="396"/>
      <c r="Q529" s="396"/>
      <c r="Z529" s="396"/>
      <c r="AA529" s="396"/>
      <c r="AJ529" s="397"/>
    </row>
    <row r="530" spans="3:131" s="395" customFormat="1" x14ac:dyDescent="0.25">
      <c r="I530" s="396"/>
      <c r="N530" s="396"/>
      <c r="O530" s="396"/>
      <c r="P530" s="396"/>
      <c r="Q530" s="396"/>
      <c r="Z530" s="396"/>
      <c r="AA530" s="396"/>
      <c r="AJ530" s="397"/>
    </row>
    <row r="531" spans="3:131" s="395" customFormat="1" x14ac:dyDescent="0.25">
      <c r="I531" s="396"/>
      <c r="N531" s="396"/>
      <c r="O531" s="396"/>
      <c r="P531" s="396"/>
      <c r="Q531" s="396"/>
      <c r="Z531" s="396"/>
      <c r="AA531" s="396"/>
      <c r="AJ531" s="397"/>
    </row>
    <row r="532" spans="3:131" s="395" customFormat="1" x14ac:dyDescent="0.25">
      <c r="I532" s="396"/>
      <c r="N532" s="396"/>
      <c r="O532" s="396"/>
      <c r="P532" s="396"/>
      <c r="Q532" s="396"/>
      <c r="Z532" s="396"/>
      <c r="AA532" s="396"/>
      <c r="AJ532" s="397"/>
    </row>
    <row r="533" spans="3:131" s="395" customFormat="1" x14ac:dyDescent="0.25">
      <c r="I533" s="396"/>
      <c r="N533" s="396"/>
      <c r="O533" s="396"/>
      <c r="P533" s="396"/>
      <c r="Q533" s="396"/>
      <c r="Z533" s="396"/>
      <c r="AA533" s="396"/>
      <c r="AJ533" s="397"/>
    </row>
    <row r="534" spans="3:131" s="395" customFormat="1" x14ac:dyDescent="0.25">
      <c r="I534" s="396"/>
      <c r="N534" s="396"/>
      <c r="O534" s="396"/>
      <c r="P534" s="396"/>
      <c r="Q534" s="396"/>
      <c r="Z534" s="396"/>
      <c r="AA534" s="396"/>
      <c r="AJ534" s="397"/>
    </row>
    <row r="535" spans="3:131" s="392" customFormat="1" x14ac:dyDescent="0.25">
      <c r="C535" s="395"/>
      <c r="I535" s="393"/>
      <c r="N535" s="393"/>
      <c r="O535" s="393"/>
      <c r="P535" s="393"/>
      <c r="Q535" s="393"/>
      <c r="Z535" s="393"/>
      <c r="AA535" s="393"/>
      <c r="AJ535" s="394"/>
      <c r="DU535" s="395"/>
      <c r="DV535" s="395"/>
      <c r="DW535" s="395"/>
      <c r="DX535" s="395"/>
      <c r="DY535" s="395"/>
      <c r="DZ535" s="395"/>
      <c r="EA535" s="395"/>
    </row>
    <row r="536" spans="3:131" s="392" customFormat="1" x14ac:dyDescent="0.25">
      <c r="C536" s="395"/>
      <c r="I536" s="393"/>
      <c r="N536" s="393"/>
      <c r="O536" s="393"/>
      <c r="P536" s="393"/>
      <c r="Q536" s="393"/>
      <c r="Z536" s="393"/>
      <c r="AA536" s="393"/>
      <c r="AJ536" s="394"/>
      <c r="DU536" s="395"/>
      <c r="DV536" s="395"/>
      <c r="DW536" s="395"/>
      <c r="DX536" s="395"/>
      <c r="DY536" s="395"/>
      <c r="DZ536" s="395"/>
      <c r="EA536" s="395"/>
    </row>
    <row r="537" spans="3:131" s="392" customFormat="1" x14ac:dyDescent="0.25">
      <c r="C537" s="395"/>
      <c r="I537" s="393"/>
      <c r="N537" s="393"/>
      <c r="O537" s="393"/>
      <c r="P537" s="393"/>
      <c r="Q537" s="393"/>
      <c r="Z537" s="393"/>
      <c r="AA537" s="393"/>
      <c r="AJ537" s="394"/>
      <c r="DU537" s="395"/>
      <c r="DV537" s="395"/>
      <c r="DW537" s="395"/>
      <c r="DX537" s="395"/>
      <c r="DY537" s="395"/>
      <c r="DZ537" s="395"/>
      <c r="EA537" s="395"/>
    </row>
    <row r="538" spans="3:131" s="392" customFormat="1" x14ac:dyDescent="0.25">
      <c r="C538" s="395"/>
      <c r="I538" s="393"/>
      <c r="N538" s="393"/>
      <c r="O538" s="393"/>
      <c r="P538" s="393"/>
      <c r="Q538" s="393"/>
      <c r="Z538" s="393"/>
      <c r="AA538" s="393"/>
      <c r="AJ538" s="394"/>
      <c r="DU538" s="395"/>
      <c r="DV538" s="395"/>
      <c r="DW538" s="395"/>
      <c r="DX538" s="395"/>
      <c r="DY538" s="395"/>
      <c r="DZ538" s="395"/>
      <c r="EA538" s="395"/>
    </row>
    <row r="539" spans="3:131" s="392" customFormat="1" x14ac:dyDescent="0.25">
      <c r="C539" s="395"/>
      <c r="I539" s="393"/>
      <c r="N539" s="393"/>
      <c r="O539" s="393"/>
      <c r="P539" s="393"/>
      <c r="Q539" s="393"/>
      <c r="Z539" s="393"/>
      <c r="AA539" s="393"/>
      <c r="AJ539" s="394"/>
      <c r="DU539" s="395"/>
      <c r="DV539" s="395"/>
      <c r="DW539" s="395"/>
      <c r="DX539" s="395"/>
      <c r="DY539" s="395"/>
      <c r="DZ539" s="395"/>
      <c r="EA539" s="395"/>
    </row>
    <row r="540" spans="3:131" s="392" customFormat="1" x14ac:dyDescent="0.25">
      <c r="C540" s="395"/>
      <c r="I540" s="393"/>
      <c r="N540" s="393"/>
      <c r="O540" s="393"/>
      <c r="P540" s="393"/>
      <c r="Q540" s="393"/>
      <c r="Z540" s="393"/>
      <c r="AA540" s="393"/>
      <c r="AJ540" s="394"/>
      <c r="DU540" s="395"/>
      <c r="DV540" s="395"/>
      <c r="DW540" s="395"/>
      <c r="DX540" s="395"/>
      <c r="DY540" s="395"/>
      <c r="DZ540" s="395"/>
      <c r="EA540" s="395"/>
    </row>
    <row r="541" spans="3:131" s="392" customFormat="1" x14ac:dyDescent="0.25">
      <c r="C541" s="395"/>
      <c r="I541" s="393"/>
      <c r="N541" s="393"/>
      <c r="O541" s="393"/>
      <c r="P541" s="393"/>
      <c r="Q541" s="393"/>
      <c r="Z541" s="393"/>
      <c r="AA541" s="393"/>
      <c r="AJ541" s="394"/>
      <c r="DU541" s="395"/>
      <c r="DV541" s="395"/>
      <c r="DW541" s="395"/>
      <c r="DX541" s="395"/>
      <c r="DY541" s="395"/>
      <c r="DZ541" s="395"/>
      <c r="EA541" s="395"/>
    </row>
    <row r="542" spans="3:131" s="392" customFormat="1" x14ac:dyDescent="0.25">
      <c r="C542" s="395"/>
      <c r="I542" s="393"/>
      <c r="N542" s="393"/>
      <c r="O542" s="393"/>
      <c r="P542" s="393"/>
      <c r="Q542" s="393"/>
      <c r="Z542" s="393"/>
      <c r="AA542" s="393"/>
      <c r="AJ542" s="394"/>
      <c r="DU542" s="395"/>
      <c r="DV542" s="395"/>
      <c r="DW542" s="395"/>
      <c r="DX542" s="395"/>
      <c r="DY542" s="395"/>
      <c r="DZ542" s="395"/>
      <c r="EA542" s="395"/>
    </row>
    <row r="543" spans="3:131" s="392" customFormat="1" x14ac:dyDescent="0.25">
      <c r="C543" s="395"/>
      <c r="I543" s="393"/>
      <c r="N543" s="393"/>
      <c r="O543" s="393"/>
      <c r="P543" s="393"/>
      <c r="Q543" s="393"/>
      <c r="Z543" s="393"/>
      <c r="AA543" s="393"/>
      <c r="AJ543" s="394"/>
      <c r="DU543" s="395"/>
      <c r="DV543" s="395"/>
      <c r="DW543" s="395"/>
      <c r="DX543" s="395"/>
      <c r="DY543" s="395"/>
      <c r="DZ543" s="395"/>
      <c r="EA543" s="395"/>
    </row>
    <row r="544" spans="3:131" s="392" customFormat="1" x14ac:dyDescent="0.25">
      <c r="C544" s="395"/>
      <c r="I544" s="393"/>
      <c r="N544" s="393"/>
      <c r="O544" s="393"/>
      <c r="P544" s="393"/>
      <c r="Q544" s="393"/>
      <c r="Z544" s="393"/>
      <c r="AA544" s="393"/>
      <c r="AJ544" s="394"/>
      <c r="DU544" s="395"/>
      <c r="DV544" s="395"/>
      <c r="DW544" s="395"/>
      <c r="DX544" s="395"/>
      <c r="DY544" s="395"/>
      <c r="DZ544" s="395"/>
      <c r="EA544" s="395"/>
    </row>
    <row r="545" spans="3:131" s="392" customFormat="1" x14ac:dyDescent="0.25">
      <c r="C545" s="395"/>
      <c r="I545" s="393"/>
      <c r="N545" s="393"/>
      <c r="O545" s="393"/>
      <c r="P545" s="393"/>
      <c r="Q545" s="393"/>
      <c r="Z545" s="393"/>
      <c r="AA545" s="393"/>
      <c r="AJ545" s="394"/>
      <c r="DU545" s="395"/>
      <c r="DV545" s="395"/>
      <c r="DW545" s="395"/>
      <c r="DX545" s="395"/>
      <c r="DY545" s="395"/>
      <c r="DZ545" s="395"/>
      <c r="EA545" s="395"/>
    </row>
    <row r="546" spans="3:131" s="392" customFormat="1" x14ac:dyDescent="0.25">
      <c r="C546" s="395"/>
      <c r="I546" s="393"/>
      <c r="N546" s="393"/>
      <c r="O546" s="393"/>
      <c r="P546" s="393"/>
      <c r="Q546" s="393"/>
      <c r="Z546" s="393"/>
      <c r="AA546" s="393"/>
      <c r="AJ546" s="394"/>
      <c r="DU546" s="395"/>
      <c r="DV546" s="395"/>
      <c r="DW546" s="395"/>
      <c r="DX546" s="395"/>
      <c r="DY546" s="395"/>
      <c r="DZ546" s="395"/>
      <c r="EA546" s="395"/>
    </row>
    <row r="547" spans="3:131" s="392" customFormat="1" x14ac:dyDescent="0.25">
      <c r="C547" s="395"/>
      <c r="I547" s="393"/>
      <c r="N547" s="393"/>
      <c r="O547" s="393"/>
      <c r="P547" s="393"/>
      <c r="Q547" s="393"/>
      <c r="Z547" s="393"/>
      <c r="AA547" s="393"/>
      <c r="AJ547" s="394"/>
      <c r="DU547" s="395"/>
      <c r="DV547" s="395"/>
      <c r="DW547" s="395"/>
      <c r="DX547" s="395"/>
      <c r="DY547" s="395"/>
      <c r="DZ547" s="395"/>
      <c r="EA547" s="395"/>
    </row>
    <row r="548" spans="3:131" s="392" customFormat="1" x14ac:dyDescent="0.25">
      <c r="C548" s="395"/>
      <c r="I548" s="393"/>
      <c r="N548" s="393"/>
      <c r="O548" s="393"/>
      <c r="P548" s="393"/>
      <c r="Q548" s="393"/>
      <c r="Z548" s="393"/>
      <c r="AA548" s="393"/>
      <c r="AJ548" s="394"/>
      <c r="DU548" s="395"/>
      <c r="DV548" s="395"/>
      <c r="DW548" s="395"/>
      <c r="DX548" s="395"/>
      <c r="DY548" s="395"/>
      <c r="DZ548" s="395"/>
      <c r="EA548" s="395"/>
    </row>
    <row r="549" spans="3:131" s="392" customFormat="1" x14ac:dyDescent="0.25">
      <c r="C549" s="395"/>
      <c r="I549" s="393"/>
      <c r="N549" s="393"/>
      <c r="O549" s="393"/>
      <c r="P549" s="393"/>
      <c r="Q549" s="393"/>
      <c r="Z549" s="393"/>
      <c r="AA549" s="393"/>
      <c r="AJ549" s="394"/>
      <c r="DU549" s="395"/>
      <c r="DV549" s="395"/>
      <c r="DW549" s="395"/>
      <c r="DX549" s="395"/>
      <c r="DY549" s="395"/>
      <c r="DZ549" s="395"/>
      <c r="EA549" s="395"/>
    </row>
    <row r="550" spans="3:131" s="392" customFormat="1" x14ac:dyDescent="0.25">
      <c r="C550" s="395"/>
      <c r="I550" s="393"/>
      <c r="N550" s="393"/>
      <c r="O550" s="393"/>
      <c r="P550" s="393"/>
      <c r="Q550" s="393"/>
      <c r="Z550" s="393"/>
      <c r="AA550" s="393"/>
      <c r="AJ550" s="394"/>
      <c r="DU550" s="395"/>
      <c r="DV550" s="395"/>
      <c r="DW550" s="395"/>
      <c r="DX550" s="395"/>
      <c r="DY550" s="395"/>
      <c r="DZ550" s="395"/>
      <c r="EA550" s="395"/>
    </row>
    <row r="551" spans="3:131" s="392" customFormat="1" x14ac:dyDescent="0.25">
      <c r="C551" s="395"/>
      <c r="I551" s="393"/>
      <c r="N551" s="393"/>
      <c r="O551" s="393"/>
      <c r="P551" s="393"/>
      <c r="Q551" s="393"/>
      <c r="Z551" s="393"/>
      <c r="AA551" s="393"/>
      <c r="AJ551" s="394"/>
      <c r="DU551" s="395"/>
      <c r="DV551" s="395"/>
      <c r="DW551" s="395"/>
      <c r="DX551" s="395"/>
      <c r="DY551" s="395"/>
      <c r="DZ551" s="395"/>
      <c r="EA551" s="395"/>
    </row>
    <row r="552" spans="3:131" s="392" customFormat="1" x14ac:dyDescent="0.25">
      <c r="C552" s="395"/>
      <c r="I552" s="393"/>
      <c r="N552" s="393"/>
      <c r="O552" s="393"/>
      <c r="P552" s="393"/>
      <c r="Q552" s="393"/>
      <c r="Z552" s="393"/>
      <c r="AA552" s="393"/>
      <c r="AJ552" s="394"/>
      <c r="DU552" s="395"/>
      <c r="DV552" s="395"/>
      <c r="DW552" s="395"/>
      <c r="DX552" s="395"/>
      <c r="DY552" s="395"/>
      <c r="DZ552" s="395"/>
      <c r="EA552" s="395"/>
    </row>
    <row r="553" spans="3:131" s="392" customFormat="1" x14ac:dyDescent="0.25">
      <c r="C553" s="395"/>
      <c r="I553" s="393"/>
      <c r="N553" s="393"/>
      <c r="O553" s="393"/>
      <c r="P553" s="393"/>
      <c r="Q553" s="393"/>
      <c r="Z553" s="393"/>
      <c r="AA553" s="393"/>
      <c r="AJ553" s="394"/>
      <c r="DU553" s="395"/>
      <c r="DV553" s="395"/>
      <c r="DW553" s="395"/>
      <c r="DX553" s="395"/>
      <c r="DY553" s="395"/>
      <c r="DZ553" s="395"/>
      <c r="EA553" s="395"/>
    </row>
    <row r="554" spans="3:131" s="392" customFormat="1" x14ac:dyDescent="0.25">
      <c r="C554" s="395"/>
      <c r="I554" s="393"/>
      <c r="N554" s="393"/>
      <c r="O554" s="393"/>
      <c r="P554" s="393"/>
      <c r="Q554" s="393"/>
      <c r="Z554" s="393"/>
      <c r="AA554" s="393"/>
      <c r="AJ554" s="394"/>
      <c r="DU554" s="395"/>
      <c r="DV554" s="395"/>
      <c r="DW554" s="395"/>
      <c r="DX554" s="395"/>
      <c r="DY554" s="395"/>
      <c r="DZ554" s="395"/>
      <c r="EA554" s="395"/>
    </row>
    <row r="555" spans="3:131" s="392" customFormat="1" x14ac:dyDescent="0.25">
      <c r="C555" s="395"/>
      <c r="I555" s="393"/>
      <c r="N555" s="393"/>
      <c r="O555" s="393"/>
      <c r="P555" s="393"/>
      <c r="Q555" s="393"/>
      <c r="Z555" s="393"/>
      <c r="AA555" s="393"/>
      <c r="AJ555" s="394"/>
      <c r="DU555" s="395"/>
      <c r="DV555" s="395"/>
      <c r="DW555" s="395"/>
      <c r="DX555" s="395"/>
      <c r="DY555" s="395"/>
      <c r="DZ555" s="395"/>
      <c r="EA555" s="395"/>
    </row>
    <row r="556" spans="3:131" s="392" customFormat="1" x14ac:dyDescent="0.25">
      <c r="C556" s="395"/>
      <c r="I556" s="393"/>
      <c r="N556" s="393"/>
      <c r="O556" s="393"/>
      <c r="P556" s="393"/>
      <c r="Q556" s="393"/>
      <c r="Z556" s="393"/>
      <c r="AA556" s="393"/>
      <c r="AJ556" s="394"/>
      <c r="DU556" s="395"/>
      <c r="DV556" s="395"/>
      <c r="DW556" s="395"/>
      <c r="DX556" s="395"/>
      <c r="DY556" s="395"/>
      <c r="DZ556" s="395"/>
      <c r="EA556" s="395"/>
    </row>
    <row r="557" spans="3:131" s="392" customFormat="1" x14ac:dyDescent="0.25">
      <c r="C557" s="395"/>
      <c r="I557" s="393"/>
      <c r="N557" s="393"/>
      <c r="O557" s="393"/>
      <c r="P557" s="393"/>
      <c r="Q557" s="393"/>
      <c r="Z557" s="393"/>
      <c r="AA557" s="393"/>
      <c r="AJ557" s="394"/>
      <c r="DU557" s="395"/>
      <c r="DV557" s="395"/>
      <c r="DW557" s="395"/>
      <c r="DX557" s="395"/>
      <c r="DY557" s="395"/>
      <c r="DZ557" s="395"/>
      <c r="EA557" s="395"/>
    </row>
    <row r="558" spans="3:131" s="392" customFormat="1" x14ac:dyDescent="0.25">
      <c r="C558" s="395"/>
      <c r="I558" s="393"/>
      <c r="N558" s="393"/>
      <c r="O558" s="393"/>
      <c r="P558" s="393"/>
      <c r="Q558" s="393"/>
      <c r="Z558" s="393"/>
      <c r="AA558" s="393"/>
      <c r="AJ558" s="394"/>
      <c r="DU558" s="395"/>
      <c r="DV558" s="395"/>
      <c r="DW558" s="395"/>
      <c r="DX558" s="395"/>
      <c r="DY558" s="395"/>
      <c r="DZ558" s="395"/>
      <c r="EA558" s="395"/>
    </row>
    <row r="559" spans="3:131" s="392" customFormat="1" x14ac:dyDescent="0.25">
      <c r="C559" s="395"/>
      <c r="I559" s="393"/>
      <c r="N559" s="393"/>
      <c r="O559" s="393"/>
      <c r="P559" s="393"/>
      <c r="Q559" s="393"/>
      <c r="Z559" s="393"/>
      <c r="AA559" s="393"/>
      <c r="AJ559" s="394"/>
      <c r="DU559" s="395"/>
      <c r="DV559" s="395"/>
      <c r="DW559" s="395"/>
      <c r="DX559" s="395"/>
      <c r="DY559" s="395"/>
      <c r="DZ559" s="395"/>
      <c r="EA559" s="395"/>
    </row>
    <row r="560" spans="3:131" s="392" customFormat="1" x14ac:dyDescent="0.25">
      <c r="C560" s="395"/>
      <c r="I560" s="393"/>
      <c r="N560" s="393"/>
      <c r="O560" s="393"/>
      <c r="P560" s="393"/>
      <c r="Q560" s="393"/>
      <c r="Z560" s="393"/>
      <c r="AA560" s="393"/>
      <c r="AJ560" s="394"/>
      <c r="DU560" s="395"/>
      <c r="DV560" s="395"/>
      <c r="DW560" s="395"/>
      <c r="DX560" s="395"/>
      <c r="DY560" s="395"/>
      <c r="DZ560" s="395"/>
      <c r="EA560" s="395"/>
    </row>
    <row r="561" spans="3:131" s="392" customFormat="1" x14ac:dyDescent="0.25">
      <c r="C561" s="395"/>
      <c r="I561" s="393"/>
      <c r="N561" s="393"/>
      <c r="O561" s="393"/>
      <c r="P561" s="393"/>
      <c r="Q561" s="393"/>
      <c r="Z561" s="393"/>
      <c r="AA561" s="393"/>
      <c r="AJ561" s="394"/>
      <c r="DU561" s="395"/>
      <c r="DV561" s="395"/>
      <c r="DW561" s="395"/>
      <c r="DX561" s="395"/>
      <c r="DY561" s="395"/>
      <c r="DZ561" s="395"/>
      <c r="EA561" s="395"/>
    </row>
    <row r="562" spans="3:131" s="392" customFormat="1" x14ac:dyDescent="0.25">
      <c r="C562" s="395"/>
      <c r="I562" s="393"/>
      <c r="N562" s="393"/>
      <c r="O562" s="393"/>
      <c r="P562" s="393"/>
      <c r="Q562" s="393"/>
      <c r="Z562" s="393"/>
      <c r="AA562" s="393"/>
      <c r="AJ562" s="394"/>
      <c r="DU562" s="395"/>
      <c r="DV562" s="395"/>
      <c r="DW562" s="395"/>
      <c r="DX562" s="395"/>
      <c r="DY562" s="395"/>
      <c r="DZ562" s="395"/>
      <c r="EA562" s="395"/>
    </row>
    <row r="563" spans="3:131" s="392" customFormat="1" x14ac:dyDescent="0.25">
      <c r="C563" s="395"/>
      <c r="I563" s="393"/>
      <c r="N563" s="393"/>
      <c r="O563" s="393"/>
      <c r="P563" s="393"/>
      <c r="Q563" s="393"/>
      <c r="Z563" s="393"/>
      <c r="AA563" s="393"/>
      <c r="AJ563" s="394"/>
      <c r="DU563" s="395"/>
      <c r="DV563" s="395"/>
      <c r="DW563" s="395"/>
      <c r="DX563" s="395"/>
      <c r="DY563" s="395"/>
      <c r="DZ563" s="395"/>
      <c r="EA563" s="395"/>
    </row>
    <row r="564" spans="3:131" s="392" customFormat="1" x14ac:dyDescent="0.25">
      <c r="C564" s="395"/>
      <c r="I564" s="393"/>
      <c r="N564" s="393"/>
      <c r="O564" s="393"/>
      <c r="P564" s="393"/>
      <c r="Q564" s="393"/>
      <c r="Z564" s="393"/>
      <c r="AA564" s="393"/>
      <c r="AJ564" s="394"/>
      <c r="DU564" s="395"/>
      <c r="DV564" s="395"/>
      <c r="DW564" s="395"/>
      <c r="DX564" s="395"/>
      <c r="DY564" s="395"/>
      <c r="DZ564" s="395"/>
      <c r="EA564" s="395"/>
    </row>
    <row r="565" spans="3:131" s="392" customFormat="1" x14ac:dyDescent="0.25">
      <c r="C565" s="395"/>
      <c r="I565" s="393"/>
      <c r="N565" s="393"/>
      <c r="O565" s="393"/>
      <c r="P565" s="393"/>
      <c r="Q565" s="393"/>
      <c r="Z565" s="393"/>
      <c r="AA565" s="393"/>
      <c r="AJ565" s="394"/>
      <c r="DU565" s="395"/>
      <c r="DV565" s="395"/>
      <c r="DW565" s="395"/>
      <c r="DX565" s="395"/>
      <c r="DY565" s="395"/>
      <c r="DZ565" s="395"/>
      <c r="EA565" s="395"/>
    </row>
    <row r="566" spans="3:131" s="392" customFormat="1" x14ac:dyDescent="0.25">
      <c r="C566" s="395"/>
      <c r="I566" s="393"/>
      <c r="N566" s="393"/>
      <c r="O566" s="393"/>
      <c r="P566" s="393"/>
      <c r="Q566" s="393"/>
      <c r="Z566" s="393"/>
      <c r="AA566" s="393"/>
      <c r="AJ566" s="394"/>
      <c r="DU566" s="395"/>
      <c r="DV566" s="395"/>
      <c r="DW566" s="395"/>
      <c r="DX566" s="395"/>
      <c r="DY566" s="395"/>
      <c r="DZ566" s="395"/>
      <c r="EA566" s="395"/>
    </row>
    <row r="567" spans="3:131" s="392" customFormat="1" x14ac:dyDescent="0.25">
      <c r="C567" s="395"/>
      <c r="I567" s="393"/>
      <c r="N567" s="393"/>
      <c r="O567" s="393"/>
      <c r="P567" s="393"/>
      <c r="Q567" s="393"/>
      <c r="Z567" s="393"/>
      <c r="AA567" s="393"/>
      <c r="AJ567" s="394"/>
      <c r="DU567" s="395"/>
      <c r="DV567" s="395"/>
      <c r="DW567" s="395"/>
      <c r="DX567" s="395"/>
      <c r="DY567" s="395"/>
      <c r="DZ567" s="395"/>
      <c r="EA567" s="395"/>
    </row>
    <row r="568" spans="3:131" s="392" customFormat="1" x14ac:dyDescent="0.25">
      <c r="C568" s="395"/>
      <c r="I568" s="393"/>
      <c r="N568" s="393"/>
      <c r="O568" s="393"/>
      <c r="P568" s="393"/>
      <c r="Q568" s="393"/>
      <c r="Z568" s="393"/>
      <c r="AA568" s="393"/>
      <c r="AJ568" s="394"/>
      <c r="DU568" s="395"/>
      <c r="DV568" s="395"/>
      <c r="DW568" s="395"/>
      <c r="DX568" s="395"/>
      <c r="DY568" s="395"/>
      <c r="DZ568" s="395"/>
      <c r="EA568" s="395"/>
    </row>
    <row r="569" spans="3:131" s="392" customFormat="1" x14ac:dyDescent="0.25">
      <c r="C569" s="395"/>
      <c r="I569" s="393"/>
      <c r="N569" s="393"/>
      <c r="O569" s="393"/>
      <c r="P569" s="393"/>
      <c r="Q569" s="393"/>
      <c r="Z569" s="393"/>
      <c r="AA569" s="393"/>
      <c r="AJ569" s="394"/>
      <c r="DU569" s="395"/>
      <c r="DV569" s="395"/>
      <c r="DW569" s="395"/>
      <c r="DX569" s="395"/>
      <c r="DY569" s="395"/>
      <c r="DZ569" s="395"/>
      <c r="EA569" s="395"/>
    </row>
    <row r="570" spans="3:131" s="392" customFormat="1" x14ac:dyDescent="0.25">
      <c r="C570" s="395"/>
      <c r="I570" s="393"/>
      <c r="N570" s="393"/>
      <c r="O570" s="393"/>
      <c r="P570" s="393"/>
      <c r="Q570" s="393"/>
      <c r="Z570" s="393"/>
      <c r="AA570" s="393"/>
      <c r="AJ570" s="394"/>
      <c r="DU570" s="395"/>
      <c r="DV570" s="395"/>
      <c r="DW570" s="395"/>
      <c r="DX570" s="395"/>
      <c r="DY570" s="395"/>
      <c r="DZ570" s="395"/>
      <c r="EA570" s="395"/>
    </row>
    <row r="571" spans="3:131" s="392" customFormat="1" x14ac:dyDescent="0.25">
      <c r="C571" s="395"/>
      <c r="I571" s="393"/>
      <c r="N571" s="393"/>
      <c r="O571" s="393"/>
      <c r="P571" s="393"/>
      <c r="Q571" s="393"/>
      <c r="Z571" s="393"/>
      <c r="AA571" s="393"/>
      <c r="AJ571" s="394"/>
      <c r="DU571" s="395"/>
      <c r="DV571" s="395"/>
      <c r="DW571" s="395"/>
      <c r="DX571" s="395"/>
      <c r="DY571" s="395"/>
      <c r="DZ571" s="395"/>
      <c r="EA571" s="395"/>
    </row>
    <row r="572" spans="3:131" s="392" customFormat="1" x14ac:dyDescent="0.25">
      <c r="C572" s="395"/>
      <c r="I572" s="393"/>
      <c r="N572" s="393"/>
      <c r="O572" s="393"/>
      <c r="P572" s="393"/>
      <c r="Q572" s="393"/>
      <c r="Z572" s="393"/>
      <c r="AA572" s="393"/>
      <c r="AJ572" s="394"/>
      <c r="DU572" s="395"/>
      <c r="DV572" s="395"/>
      <c r="DW572" s="395"/>
      <c r="DX572" s="395"/>
      <c r="DY572" s="395"/>
      <c r="DZ572" s="395"/>
      <c r="EA572" s="395"/>
    </row>
    <row r="573" spans="3:131" s="392" customFormat="1" x14ac:dyDescent="0.25">
      <c r="C573" s="395"/>
      <c r="I573" s="393"/>
      <c r="N573" s="393"/>
      <c r="O573" s="393"/>
      <c r="P573" s="393"/>
      <c r="Q573" s="393"/>
      <c r="Z573" s="393"/>
      <c r="AA573" s="393"/>
      <c r="AJ573" s="394"/>
      <c r="DU573" s="395"/>
      <c r="DV573" s="395"/>
      <c r="DW573" s="395"/>
      <c r="DX573" s="395"/>
      <c r="DY573" s="395"/>
      <c r="DZ573" s="395"/>
      <c r="EA573" s="395"/>
    </row>
    <row r="574" spans="3:131" s="392" customFormat="1" x14ac:dyDescent="0.25">
      <c r="C574" s="395"/>
      <c r="I574" s="393"/>
      <c r="N574" s="393"/>
      <c r="O574" s="393"/>
      <c r="P574" s="393"/>
      <c r="Q574" s="393"/>
      <c r="Z574" s="393"/>
      <c r="AA574" s="393"/>
      <c r="AJ574" s="394"/>
      <c r="DU574" s="395"/>
      <c r="DV574" s="395"/>
      <c r="DW574" s="395"/>
      <c r="DX574" s="395"/>
      <c r="DY574" s="395"/>
      <c r="DZ574" s="395"/>
      <c r="EA574" s="395"/>
    </row>
    <row r="575" spans="3:131" s="392" customFormat="1" x14ac:dyDescent="0.25">
      <c r="C575" s="395"/>
      <c r="I575" s="393"/>
      <c r="N575" s="393"/>
      <c r="O575" s="393"/>
      <c r="P575" s="393"/>
      <c r="Q575" s="393"/>
      <c r="Z575" s="393"/>
      <c r="AA575" s="393"/>
      <c r="AJ575" s="394"/>
      <c r="DU575" s="395"/>
      <c r="DV575" s="395"/>
      <c r="DW575" s="395"/>
      <c r="DX575" s="395"/>
      <c r="DY575" s="395"/>
      <c r="DZ575" s="395"/>
      <c r="EA575" s="395"/>
    </row>
    <row r="576" spans="3:131" s="392" customFormat="1" x14ac:dyDescent="0.25">
      <c r="C576" s="395"/>
      <c r="I576" s="393"/>
      <c r="N576" s="393"/>
      <c r="O576" s="393"/>
      <c r="P576" s="393"/>
      <c r="Q576" s="393"/>
      <c r="Z576" s="393"/>
      <c r="AA576" s="393"/>
      <c r="AJ576" s="394"/>
      <c r="DU576" s="395"/>
      <c r="DV576" s="395"/>
      <c r="DW576" s="395"/>
      <c r="DX576" s="395"/>
      <c r="DY576" s="395"/>
      <c r="DZ576" s="395"/>
      <c r="EA576" s="395"/>
    </row>
    <row r="577" spans="3:131" s="392" customFormat="1" x14ac:dyDescent="0.25">
      <c r="C577" s="395"/>
      <c r="I577" s="393"/>
      <c r="N577" s="393"/>
      <c r="O577" s="393"/>
      <c r="P577" s="393"/>
      <c r="Q577" s="393"/>
      <c r="Z577" s="393"/>
      <c r="AA577" s="393"/>
      <c r="AJ577" s="394"/>
      <c r="DU577" s="395"/>
      <c r="DV577" s="395"/>
      <c r="DW577" s="395"/>
      <c r="DX577" s="395"/>
      <c r="DY577" s="395"/>
      <c r="DZ577" s="395"/>
      <c r="EA577" s="395"/>
    </row>
    <row r="578" spans="3:131" s="392" customFormat="1" x14ac:dyDescent="0.25">
      <c r="C578" s="395"/>
      <c r="I578" s="393"/>
      <c r="N578" s="393"/>
      <c r="O578" s="393"/>
      <c r="P578" s="393"/>
      <c r="Q578" s="393"/>
      <c r="Z578" s="393"/>
      <c r="AA578" s="393"/>
      <c r="AJ578" s="394"/>
      <c r="DU578" s="395"/>
      <c r="DV578" s="395"/>
      <c r="DW578" s="395"/>
      <c r="DX578" s="395"/>
      <c r="DY578" s="395"/>
      <c r="DZ578" s="395"/>
      <c r="EA578" s="395"/>
    </row>
    <row r="579" spans="3:131" s="392" customFormat="1" x14ac:dyDescent="0.25">
      <c r="C579" s="395"/>
      <c r="I579" s="393"/>
      <c r="N579" s="393"/>
      <c r="O579" s="393"/>
      <c r="P579" s="393"/>
      <c r="Q579" s="393"/>
      <c r="Z579" s="393"/>
      <c r="AA579" s="393"/>
      <c r="AJ579" s="394"/>
      <c r="DU579" s="395"/>
      <c r="DV579" s="395"/>
      <c r="DW579" s="395"/>
      <c r="DX579" s="395"/>
      <c r="DY579" s="395"/>
      <c r="DZ579" s="395"/>
      <c r="EA579" s="395"/>
    </row>
    <row r="580" spans="3:131" s="392" customFormat="1" x14ac:dyDescent="0.25">
      <c r="C580" s="395"/>
      <c r="I580" s="393"/>
      <c r="N580" s="393"/>
      <c r="O580" s="393"/>
      <c r="P580" s="393"/>
      <c r="Q580" s="393"/>
      <c r="Z580" s="393"/>
      <c r="AA580" s="393"/>
      <c r="AJ580" s="394"/>
      <c r="DU580" s="395"/>
      <c r="DV580" s="395"/>
      <c r="DW580" s="395"/>
      <c r="DX580" s="395"/>
      <c r="DY580" s="395"/>
      <c r="DZ580" s="395"/>
      <c r="EA580" s="395"/>
    </row>
    <row r="581" spans="3:131" s="392" customFormat="1" x14ac:dyDescent="0.25">
      <c r="C581" s="395"/>
      <c r="I581" s="393"/>
      <c r="N581" s="393"/>
      <c r="O581" s="393"/>
      <c r="P581" s="393"/>
      <c r="Q581" s="393"/>
      <c r="Z581" s="393"/>
      <c r="AA581" s="393"/>
      <c r="AJ581" s="394"/>
      <c r="DU581" s="395"/>
      <c r="DV581" s="395"/>
      <c r="DW581" s="395"/>
      <c r="DX581" s="395"/>
      <c r="DY581" s="395"/>
      <c r="DZ581" s="395"/>
      <c r="EA581" s="395"/>
    </row>
    <row r="582" spans="3:131" s="392" customFormat="1" x14ac:dyDescent="0.25">
      <c r="C582" s="395"/>
      <c r="I582" s="393"/>
      <c r="N582" s="393"/>
      <c r="O582" s="393"/>
      <c r="P582" s="393"/>
      <c r="Q582" s="393"/>
      <c r="Z582" s="393"/>
      <c r="AA582" s="393"/>
      <c r="AJ582" s="394"/>
      <c r="DU582" s="395"/>
      <c r="DV582" s="395"/>
      <c r="DW582" s="395"/>
      <c r="DX582" s="395"/>
      <c r="DY582" s="395"/>
      <c r="DZ582" s="395"/>
      <c r="EA582" s="395"/>
    </row>
    <row r="583" spans="3:131" s="392" customFormat="1" x14ac:dyDescent="0.25">
      <c r="C583" s="395"/>
      <c r="I583" s="393"/>
      <c r="N583" s="393"/>
      <c r="O583" s="393"/>
      <c r="P583" s="393"/>
      <c r="Q583" s="393"/>
      <c r="Z583" s="393"/>
      <c r="AA583" s="393"/>
      <c r="AJ583" s="394"/>
      <c r="DU583" s="395"/>
      <c r="DV583" s="395"/>
      <c r="DW583" s="395"/>
      <c r="DX583" s="395"/>
      <c r="DY583" s="395"/>
      <c r="DZ583" s="395"/>
      <c r="EA583" s="395"/>
    </row>
    <row r="584" spans="3:131" s="392" customFormat="1" x14ac:dyDescent="0.25">
      <c r="C584" s="395"/>
      <c r="I584" s="393"/>
      <c r="N584" s="393"/>
      <c r="O584" s="393"/>
      <c r="P584" s="393"/>
      <c r="Q584" s="393"/>
      <c r="Z584" s="393"/>
      <c r="AA584" s="393"/>
      <c r="AJ584" s="394"/>
      <c r="DU584" s="395"/>
      <c r="DV584" s="395"/>
      <c r="DW584" s="395"/>
      <c r="DX584" s="395"/>
      <c r="DY584" s="395"/>
      <c r="DZ584" s="395"/>
      <c r="EA584" s="395"/>
    </row>
    <row r="585" spans="3:131" s="392" customFormat="1" x14ac:dyDescent="0.25">
      <c r="C585" s="395"/>
      <c r="I585" s="393"/>
      <c r="N585" s="393"/>
      <c r="O585" s="393"/>
      <c r="P585" s="393"/>
      <c r="Q585" s="393"/>
      <c r="Z585" s="393"/>
      <c r="AA585" s="393"/>
      <c r="AJ585" s="394"/>
      <c r="DU585" s="395"/>
      <c r="DV585" s="395"/>
      <c r="DW585" s="395"/>
      <c r="DX585" s="395"/>
      <c r="DY585" s="395"/>
      <c r="DZ585" s="395"/>
      <c r="EA585" s="395"/>
    </row>
    <row r="586" spans="3:131" s="392" customFormat="1" x14ac:dyDescent="0.25">
      <c r="C586" s="395"/>
      <c r="I586" s="393"/>
      <c r="N586" s="393"/>
      <c r="O586" s="393"/>
      <c r="P586" s="393"/>
      <c r="Q586" s="393"/>
      <c r="Z586" s="393"/>
      <c r="AA586" s="393"/>
      <c r="AJ586" s="394"/>
      <c r="DU586" s="395"/>
      <c r="DV586" s="395"/>
      <c r="DW586" s="395"/>
      <c r="DX586" s="395"/>
      <c r="DY586" s="395"/>
      <c r="DZ586" s="395"/>
      <c r="EA586" s="395"/>
    </row>
    <row r="587" spans="3:131" s="392" customFormat="1" x14ac:dyDescent="0.25">
      <c r="C587" s="395"/>
      <c r="I587" s="393"/>
      <c r="N587" s="393"/>
      <c r="O587" s="393"/>
      <c r="P587" s="393"/>
      <c r="Q587" s="393"/>
      <c r="Z587" s="393"/>
      <c r="AA587" s="393"/>
      <c r="AJ587" s="394"/>
      <c r="DU587" s="395"/>
      <c r="DV587" s="395"/>
      <c r="DW587" s="395"/>
      <c r="DX587" s="395"/>
      <c r="DY587" s="395"/>
      <c r="DZ587" s="395"/>
      <c r="EA587" s="395"/>
    </row>
    <row r="588" spans="3:131" s="392" customFormat="1" x14ac:dyDescent="0.25">
      <c r="C588" s="395"/>
      <c r="I588" s="393"/>
      <c r="N588" s="393"/>
      <c r="O588" s="393"/>
      <c r="P588" s="393"/>
      <c r="Q588" s="393"/>
      <c r="Z588" s="393"/>
      <c r="AA588" s="393"/>
      <c r="AJ588" s="394"/>
      <c r="DU588" s="395"/>
      <c r="DV588" s="395"/>
      <c r="DW588" s="395"/>
      <c r="DX588" s="395"/>
      <c r="DY588" s="395"/>
      <c r="DZ588" s="395"/>
      <c r="EA588" s="395"/>
    </row>
    <row r="589" spans="3:131" s="392" customFormat="1" x14ac:dyDescent="0.25">
      <c r="C589" s="395"/>
      <c r="I589" s="393"/>
      <c r="N589" s="393"/>
      <c r="O589" s="393"/>
      <c r="P589" s="393"/>
      <c r="Q589" s="393"/>
      <c r="Z589" s="393"/>
      <c r="AA589" s="393"/>
      <c r="AJ589" s="394"/>
      <c r="DU589" s="395"/>
      <c r="DV589" s="395"/>
      <c r="DW589" s="395"/>
      <c r="DX589" s="395"/>
      <c r="DY589" s="395"/>
      <c r="DZ589" s="395"/>
      <c r="EA589" s="395"/>
    </row>
    <row r="590" spans="3:131" s="392" customFormat="1" x14ac:dyDescent="0.25">
      <c r="C590" s="395"/>
      <c r="I590" s="393"/>
      <c r="N590" s="393"/>
      <c r="O590" s="393"/>
      <c r="P590" s="393"/>
      <c r="Q590" s="393"/>
      <c r="Z590" s="393"/>
      <c r="AA590" s="393"/>
      <c r="AJ590" s="394"/>
      <c r="DU590" s="395"/>
      <c r="DV590" s="395"/>
      <c r="DW590" s="395"/>
      <c r="DX590" s="395"/>
      <c r="DY590" s="395"/>
      <c r="DZ590" s="395"/>
      <c r="EA590" s="395"/>
    </row>
    <row r="591" spans="3:131" s="392" customFormat="1" x14ac:dyDescent="0.25">
      <c r="C591" s="395"/>
      <c r="I591" s="393"/>
      <c r="N591" s="393"/>
      <c r="O591" s="393"/>
      <c r="P591" s="393"/>
      <c r="Q591" s="393"/>
      <c r="Z591" s="393"/>
      <c r="AA591" s="393"/>
      <c r="AJ591" s="394"/>
      <c r="DU591" s="395"/>
      <c r="DV591" s="395"/>
      <c r="DW591" s="395"/>
      <c r="DX591" s="395"/>
      <c r="DY591" s="395"/>
      <c r="DZ591" s="395"/>
      <c r="EA591" s="395"/>
    </row>
    <row r="592" spans="3:131" s="392" customFormat="1" x14ac:dyDescent="0.25">
      <c r="C592" s="395"/>
      <c r="I592" s="393"/>
      <c r="N592" s="393"/>
      <c r="O592" s="393"/>
      <c r="P592" s="393"/>
      <c r="Q592" s="393"/>
      <c r="Z592" s="393"/>
      <c r="AA592" s="393"/>
      <c r="AJ592" s="394"/>
      <c r="DU592" s="395"/>
      <c r="DV592" s="395"/>
      <c r="DW592" s="395"/>
      <c r="DX592" s="395"/>
      <c r="DY592" s="395"/>
      <c r="DZ592" s="395"/>
      <c r="EA592" s="395"/>
    </row>
    <row r="593" spans="3:131" s="392" customFormat="1" x14ac:dyDescent="0.25">
      <c r="C593" s="395"/>
      <c r="I593" s="393"/>
      <c r="N593" s="393"/>
      <c r="O593" s="393"/>
      <c r="P593" s="393"/>
      <c r="Q593" s="393"/>
      <c r="Z593" s="393"/>
      <c r="AA593" s="393"/>
      <c r="AJ593" s="394"/>
      <c r="DU593" s="395"/>
      <c r="DV593" s="395"/>
      <c r="DW593" s="395"/>
      <c r="DX593" s="395"/>
      <c r="DY593" s="395"/>
      <c r="DZ593" s="395"/>
      <c r="EA593" s="395"/>
    </row>
    <row r="594" spans="3:131" s="392" customFormat="1" x14ac:dyDescent="0.25">
      <c r="C594" s="395"/>
      <c r="I594" s="393"/>
      <c r="N594" s="393"/>
      <c r="O594" s="393"/>
      <c r="P594" s="393"/>
      <c r="Q594" s="393"/>
      <c r="Z594" s="393"/>
      <c r="AA594" s="393"/>
      <c r="AJ594" s="394"/>
      <c r="DU594" s="395"/>
      <c r="DV594" s="395"/>
      <c r="DW594" s="395"/>
      <c r="DX594" s="395"/>
      <c r="DY594" s="395"/>
      <c r="DZ594" s="395"/>
      <c r="EA594" s="395"/>
    </row>
    <row r="595" spans="3:131" s="392" customFormat="1" x14ac:dyDescent="0.25">
      <c r="C595" s="395"/>
      <c r="I595" s="393"/>
      <c r="N595" s="393"/>
      <c r="O595" s="393"/>
      <c r="P595" s="393"/>
      <c r="Q595" s="393"/>
      <c r="Z595" s="393"/>
      <c r="AA595" s="393"/>
      <c r="AJ595" s="394"/>
      <c r="DU595" s="395"/>
      <c r="DV595" s="395"/>
      <c r="DW595" s="395"/>
      <c r="DX595" s="395"/>
      <c r="DY595" s="395"/>
      <c r="DZ595" s="395"/>
      <c r="EA595" s="395"/>
    </row>
    <row r="596" spans="3:131" s="392" customFormat="1" x14ac:dyDescent="0.25">
      <c r="C596" s="395"/>
      <c r="I596" s="393"/>
      <c r="N596" s="393"/>
      <c r="O596" s="393"/>
      <c r="P596" s="393"/>
      <c r="Q596" s="393"/>
      <c r="Z596" s="393"/>
      <c r="AA596" s="393"/>
      <c r="AJ596" s="394"/>
      <c r="DU596" s="395"/>
      <c r="DV596" s="395"/>
      <c r="DW596" s="395"/>
      <c r="DX596" s="395"/>
      <c r="DY596" s="395"/>
      <c r="DZ596" s="395"/>
      <c r="EA596" s="395"/>
    </row>
    <row r="597" spans="3:131" s="392" customFormat="1" x14ac:dyDescent="0.25">
      <c r="C597" s="395"/>
      <c r="I597" s="393"/>
      <c r="N597" s="393"/>
      <c r="O597" s="393"/>
      <c r="P597" s="393"/>
      <c r="Q597" s="393"/>
      <c r="Z597" s="393"/>
      <c r="AA597" s="393"/>
      <c r="AJ597" s="394"/>
      <c r="DU597" s="395"/>
      <c r="DV597" s="395"/>
      <c r="DW597" s="395"/>
      <c r="DX597" s="395"/>
      <c r="DY597" s="395"/>
      <c r="DZ597" s="395"/>
      <c r="EA597" s="395"/>
    </row>
    <row r="598" spans="3:131" s="392" customFormat="1" x14ac:dyDescent="0.25">
      <c r="C598" s="395"/>
      <c r="I598" s="393"/>
      <c r="N598" s="393"/>
      <c r="O598" s="393"/>
      <c r="P598" s="393"/>
      <c r="Q598" s="393"/>
      <c r="Z598" s="393"/>
      <c r="AA598" s="393"/>
      <c r="AJ598" s="394"/>
      <c r="DU598" s="395"/>
      <c r="DV598" s="395"/>
      <c r="DW598" s="395"/>
      <c r="DX598" s="395"/>
      <c r="DY598" s="395"/>
      <c r="DZ598" s="395"/>
      <c r="EA598" s="395"/>
    </row>
    <row r="599" spans="3:131" s="392" customFormat="1" x14ac:dyDescent="0.25">
      <c r="C599" s="395"/>
      <c r="I599" s="393"/>
      <c r="N599" s="393"/>
      <c r="O599" s="393"/>
      <c r="P599" s="393"/>
      <c r="Q599" s="393"/>
      <c r="Z599" s="393"/>
      <c r="AA599" s="393"/>
      <c r="AJ599" s="394"/>
      <c r="DU599" s="395"/>
      <c r="DV599" s="395"/>
      <c r="DW599" s="395"/>
      <c r="DX599" s="395"/>
      <c r="DY599" s="395"/>
      <c r="DZ599" s="395"/>
      <c r="EA599" s="395"/>
    </row>
    <row r="600" spans="3:131" s="392" customFormat="1" x14ac:dyDescent="0.25">
      <c r="C600" s="395"/>
      <c r="I600" s="393"/>
      <c r="N600" s="393"/>
      <c r="O600" s="393"/>
      <c r="P600" s="393"/>
      <c r="Q600" s="393"/>
      <c r="Z600" s="393"/>
      <c r="AA600" s="393"/>
      <c r="AJ600" s="394"/>
      <c r="DU600" s="395"/>
      <c r="DV600" s="395"/>
      <c r="DW600" s="395"/>
      <c r="DX600" s="395"/>
      <c r="DY600" s="395"/>
      <c r="DZ600" s="395"/>
      <c r="EA600" s="395"/>
    </row>
    <row r="601" spans="3:131" s="392" customFormat="1" x14ac:dyDescent="0.25">
      <c r="C601" s="395"/>
      <c r="I601" s="393"/>
      <c r="N601" s="393"/>
      <c r="O601" s="393"/>
      <c r="P601" s="393"/>
      <c r="Q601" s="393"/>
      <c r="Z601" s="393"/>
      <c r="AA601" s="393"/>
      <c r="AJ601" s="394"/>
      <c r="DU601" s="395"/>
      <c r="DV601" s="395"/>
      <c r="DW601" s="395"/>
      <c r="DX601" s="395"/>
      <c r="DY601" s="395"/>
      <c r="DZ601" s="395"/>
      <c r="EA601" s="395"/>
    </row>
    <row r="602" spans="3:131" s="392" customFormat="1" x14ac:dyDescent="0.25">
      <c r="C602" s="395"/>
      <c r="I602" s="393"/>
      <c r="N602" s="393"/>
      <c r="O602" s="393"/>
      <c r="P602" s="393"/>
      <c r="Q602" s="393"/>
      <c r="Z602" s="393"/>
      <c r="AA602" s="393"/>
      <c r="AJ602" s="394"/>
      <c r="DU602" s="395"/>
      <c r="DV602" s="395"/>
      <c r="DW602" s="395"/>
      <c r="DX602" s="395"/>
      <c r="DY602" s="395"/>
      <c r="DZ602" s="395"/>
      <c r="EA602" s="395"/>
    </row>
    <row r="603" spans="3:131" s="392" customFormat="1" x14ac:dyDescent="0.25">
      <c r="C603" s="395"/>
      <c r="I603" s="393"/>
      <c r="N603" s="393"/>
      <c r="O603" s="393"/>
      <c r="P603" s="393"/>
      <c r="Q603" s="393"/>
      <c r="Z603" s="393"/>
      <c r="AA603" s="393"/>
      <c r="AJ603" s="394"/>
      <c r="DU603" s="395"/>
      <c r="DV603" s="395"/>
      <c r="DW603" s="395"/>
      <c r="DX603" s="395"/>
      <c r="DY603" s="395"/>
      <c r="DZ603" s="395"/>
      <c r="EA603" s="395"/>
    </row>
    <row r="604" spans="3:131" s="392" customFormat="1" x14ac:dyDescent="0.25">
      <c r="C604" s="395"/>
      <c r="I604" s="393"/>
      <c r="N604" s="393"/>
      <c r="O604" s="393"/>
      <c r="P604" s="393"/>
      <c r="Q604" s="393"/>
      <c r="Z604" s="393"/>
      <c r="AA604" s="393"/>
      <c r="AJ604" s="394"/>
      <c r="DU604" s="395"/>
      <c r="DV604" s="395"/>
      <c r="DW604" s="395"/>
      <c r="DX604" s="395"/>
      <c r="DY604" s="395"/>
      <c r="DZ604" s="395"/>
      <c r="EA604" s="395"/>
    </row>
    <row r="605" spans="3:131" s="392" customFormat="1" x14ac:dyDescent="0.25">
      <c r="C605" s="395"/>
      <c r="I605" s="393"/>
      <c r="N605" s="393"/>
      <c r="O605" s="393"/>
      <c r="P605" s="393"/>
      <c r="Q605" s="393"/>
      <c r="Z605" s="393"/>
      <c r="AA605" s="393"/>
      <c r="AJ605" s="394"/>
      <c r="DU605" s="395"/>
      <c r="DV605" s="395"/>
      <c r="DW605" s="395"/>
      <c r="DX605" s="395"/>
      <c r="DY605" s="395"/>
      <c r="DZ605" s="395"/>
      <c r="EA605" s="395"/>
    </row>
    <row r="606" spans="3:131" s="392" customFormat="1" x14ac:dyDescent="0.25">
      <c r="C606" s="395"/>
      <c r="I606" s="393"/>
      <c r="N606" s="393"/>
      <c r="O606" s="393"/>
      <c r="P606" s="393"/>
      <c r="Q606" s="393"/>
      <c r="Z606" s="393"/>
      <c r="AA606" s="393"/>
      <c r="AJ606" s="394"/>
      <c r="DU606" s="395"/>
      <c r="DV606" s="395"/>
      <c r="DW606" s="395"/>
      <c r="DX606" s="395"/>
      <c r="DY606" s="395"/>
      <c r="DZ606" s="395"/>
      <c r="EA606" s="395"/>
    </row>
    <row r="607" spans="3:131" s="392" customFormat="1" x14ac:dyDescent="0.25">
      <c r="C607" s="395"/>
      <c r="I607" s="393"/>
      <c r="N607" s="393"/>
      <c r="O607" s="393"/>
      <c r="P607" s="393"/>
      <c r="Q607" s="393"/>
      <c r="Z607" s="393"/>
      <c r="AA607" s="393"/>
      <c r="AJ607" s="394"/>
      <c r="DU607" s="395"/>
      <c r="DV607" s="395"/>
      <c r="DW607" s="395"/>
      <c r="DX607" s="395"/>
      <c r="DY607" s="395"/>
      <c r="DZ607" s="395"/>
      <c r="EA607" s="395"/>
    </row>
    <row r="608" spans="3:131" s="392" customFormat="1" x14ac:dyDescent="0.25">
      <c r="C608" s="395"/>
      <c r="I608" s="393"/>
      <c r="N608" s="393"/>
      <c r="O608" s="393"/>
      <c r="P608" s="393"/>
      <c r="Q608" s="393"/>
      <c r="Z608" s="393"/>
      <c r="AA608" s="393"/>
      <c r="AJ608" s="394"/>
      <c r="DU608" s="395"/>
      <c r="DV608" s="395"/>
      <c r="DW608" s="395"/>
      <c r="DX608" s="395"/>
      <c r="DY608" s="395"/>
      <c r="DZ608" s="395"/>
      <c r="EA608" s="395"/>
    </row>
    <row r="609" spans="3:131" s="392" customFormat="1" x14ac:dyDescent="0.25">
      <c r="C609" s="395"/>
      <c r="I609" s="393"/>
      <c r="N609" s="393"/>
      <c r="O609" s="393"/>
      <c r="P609" s="393"/>
      <c r="Q609" s="393"/>
      <c r="Z609" s="393"/>
      <c r="AA609" s="393"/>
      <c r="AJ609" s="394"/>
      <c r="DU609" s="395"/>
      <c r="DV609" s="395"/>
      <c r="DW609" s="395"/>
      <c r="DX609" s="395"/>
      <c r="DY609" s="395"/>
      <c r="DZ609" s="395"/>
      <c r="EA609" s="395"/>
    </row>
    <row r="610" spans="3:131" s="392" customFormat="1" x14ac:dyDescent="0.25">
      <c r="C610" s="395"/>
      <c r="I610" s="393"/>
      <c r="N610" s="393"/>
      <c r="O610" s="393"/>
      <c r="P610" s="393"/>
      <c r="Q610" s="393"/>
      <c r="Z610" s="393"/>
      <c r="AA610" s="393"/>
      <c r="AJ610" s="394"/>
      <c r="DU610" s="395"/>
      <c r="DV610" s="395"/>
      <c r="DW610" s="395"/>
      <c r="DX610" s="395"/>
      <c r="DY610" s="395"/>
      <c r="DZ610" s="395"/>
      <c r="EA610" s="395"/>
    </row>
    <row r="611" spans="3:131" s="392" customFormat="1" x14ac:dyDescent="0.25">
      <c r="C611" s="395"/>
      <c r="I611" s="393"/>
      <c r="N611" s="393"/>
      <c r="O611" s="393"/>
      <c r="P611" s="393"/>
      <c r="Q611" s="393"/>
      <c r="Z611" s="393"/>
      <c r="AA611" s="393"/>
      <c r="AJ611" s="394"/>
      <c r="DU611" s="395"/>
      <c r="DV611" s="395"/>
      <c r="DW611" s="395"/>
      <c r="DX611" s="395"/>
      <c r="DY611" s="395"/>
      <c r="DZ611" s="395"/>
      <c r="EA611" s="395"/>
    </row>
    <row r="612" spans="3:131" s="392" customFormat="1" x14ac:dyDescent="0.25">
      <c r="C612" s="395"/>
      <c r="I612" s="393"/>
      <c r="N612" s="393"/>
      <c r="O612" s="393"/>
      <c r="P612" s="393"/>
      <c r="Q612" s="393"/>
      <c r="Z612" s="393"/>
      <c r="AA612" s="393"/>
      <c r="AJ612" s="394"/>
      <c r="DU612" s="395"/>
      <c r="DV612" s="395"/>
      <c r="DW612" s="395"/>
      <c r="DX612" s="395"/>
      <c r="DY612" s="395"/>
      <c r="DZ612" s="395"/>
      <c r="EA612" s="395"/>
    </row>
    <row r="613" spans="3:131" s="392" customFormat="1" x14ac:dyDescent="0.25">
      <c r="C613" s="395"/>
      <c r="I613" s="393"/>
      <c r="N613" s="393"/>
      <c r="O613" s="393"/>
      <c r="P613" s="393"/>
      <c r="Q613" s="393"/>
      <c r="Z613" s="393"/>
      <c r="AA613" s="393"/>
      <c r="AJ613" s="394"/>
      <c r="DU613" s="395"/>
      <c r="DV613" s="395"/>
      <c r="DW613" s="395"/>
      <c r="DX613" s="395"/>
      <c r="DY613" s="395"/>
      <c r="DZ613" s="395"/>
      <c r="EA613" s="395"/>
    </row>
    <row r="614" spans="3:131" s="392" customFormat="1" x14ac:dyDescent="0.25">
      <c r="C614" s="395"/>
      <c r="I614" s="393"/>
      <c r="N614" s="393"/>
      <c r="O614" s="393"/>
      <c r="P614" s="393"/>
      <c r="Q614" s="393"/>
      <c r="Z614" s="393"/>
      <c r="AA614" s="393"/>
      <c r="AJ614" s="394"/>
      <c r="DU614" s="395"/>
      <c r="DV614" s="395"/>
      <c r="DW614" s="395"/>
      <c r="DX614" s="395"/>
      <c r="DY614" s="395"/>
      <c r="DZ614" s="395"/>
      <c r="EA614" s="395"/>
    </row>
    <row r="615" spans="3:131" s="392" customFormat="1" x14ac:dyDescent="0.25">
      <c r="C615" s="395"/>
      <c r="I615" s="393"/>
      <c r="N615" s="393"/>
      <c r="O615" s="393"/>
      <c r="P615" s="393"/>
      <c r="Q615" s="393"/>
      <c r="Z615" s="393"/>
      <c r="AA615" s="393"/>
      <c r="AJ615" s="394"/>
      <c r="DU615" s="395"/>
      <c r="DV615" s="395"/>
      <c r="DW615" s="395"/>
      <c r="DX615" s="395"/>
      <c r="DY615" s="395"/>
      <c r="DZ615" s="395"/>
      <c r="EA615" s="395"/>
    </row>
    <row r="616" spans="3:131" s="392" customFormat="1" x14ac:dyDescent="0.25">
      <c r="C616" s="395"/>
      <c r="I616" s="393"/>
      <c r="N616" s="393"/>
      <c r="O616" s="393"/>
      <c r="P616" s="393"/>
      <c r="Q616" s="393"/>
      <c r="Z616" s="393"/>
      <c r="AA616" s="393"/>
      <c r="AJ616" s="394"/>
      <c r="DU616" s="395"/>
      <c r="DV616" s="395"/>
      <c r="DW616" s="395"/>
      <c r="DX616" s="395"/>
      <c r="DY616" s="395"/>
      <c r="DZ616" s="395"/>
      <c r="EA616" s="395"/>
    </row>
    <row r="617" spans="3:131" s="392" customFormat="1" x14ac:dyDescent="0.25">
      <c r="C617" s="395"/>
      <c r="I617" s="393"/>
      <c r="N617" s="393"/>
      <c r="O617" s="393"/>
      <c r="P617" s="393"/>
      <c r="Q617" s="393"/>
      <c r="Z617" s="393"/>
      <c r="AA617" s="393"/>
      <c r="AJ617" s="394"/>
      <c r="DU617" s="395"/>
      <c r="DV617" s="395"/>
      <c r="DW617" s="395"/>
      <c r="DX617" s="395"/>
      <c r="DY617" s="395"/>
      <c r="DZ617" s="395"/>
      <c r="EA617" s="395"/>
    </row>
    <row r="618" spans="3:131" s="392" customFormat="1" x14ac:dyDescent="0.25">
      <c r="C618" s="395"/>
      <c r="I618" s="393"/>
      <c r="N618" s="393"/>
      <c r="O618" s="393"/>
      <c r="P618" s="393"/>
      <c r="Q618" s="393"/>
      <c r="Z618" s="393"/>
      <c r="AA618" s="393"/>
      <c r="AJ618" s="394"/>
      <c r="DU618" s="395"/>
      <c r="DV618" s="395"/>
      <c r="DW618" s="395"/>
      <c r="DX618" s="395"/>
      <c r="DY618" s="395"/>
      <c r="DZ618" s="395"/>
      <c r="EA618" s="395"/>
    </row>
    <row r="619" spans="3:131" s="392" customFormat="1" x14ac:dyDescent="0.25">
      <c r="C619" s="395"/>
      <c r="I619" s="393"/>
      <c r="N619" s="393"/>
      <c r="O619" s="393"/>
      <c r="P619" s="393"/>
      <c r="Q619" s="393"/>
      <c r="Z619" s="393"/>
      <c r="AA619" s="393"/>
      <c r="AJ619" s="394"/>
      <c r="DU619" s="395"/>
      <c r="DV619" s="395"/>
      <c r="DW619" s="395"/>
      <c r="DX619" s="395"/>
      <c r="DY619" s="395"/>
      <c r="DZ619" s="395"/>
      <c r="EA619" s="395"/>
    </row>
    <row r="620" spans="3:131" s="392" customFormat="1" x14ac:dyDescent="0.25">
      <c r="C620" s="395"/>
      <c r="I620" s="393"/>
      <c r="N620" s="393"/>
      <c r="O620" s="393"/>
      <c r="P620" s="393"/>
      <c r="Q620" s="393"/>
      <c r="Z620" s="393"/>
      <c r="AA620" s="393"/>
      <c r="AJ620" s="394"/>
      <c r="DU620" s="395"/>
      <c r="DV620" s="395"/>
      <c r="DW620" s="395"/>
      <c r="DX620" s="395"/>
      <c r="DY620" s="395"/>
      <c r="DZ620" s="395"/>
      <c r="EA620" s="395"/>
    </row>
    <row r="621" spans="3:131" s="392" customFormat="1" x14ac:dyDescent="0.25">
      <c r="C621" s="395"/>
      <c r="I621" s="393"/>
      <c r="N621" s="393"/>
      <c r="O621" s="393"/>
      <c r="P621" s="393"/>
      <c r="Q621" s="393"/>
      <c r="Z621" s="393"/>
      <c r="AA621" s="393"/>
      <c r="AJ621" s="394"/>
      <c r="DU621" s="395"/>
      <c r="DV621" s="395"/>
      <c r="DW621" s="395"/>
      <c r="DX621" s="395"/>
      <c r="DY621" s="395"/>
      <c r="DZ621" s="395"/>
      <c r="EA621" s="395"/>
    </row>
    <row r="622" spans="3:131" s="392" customFormat="1" x14ac:dyDescent="0.25">
      <c r="C622" s="395"/>
      <c r="I622" s="393"/>
      <c r="N622" s="393"/>
      <c r="O622" s="393"/>
      <c r="P622" s="393"/>
      <c r="Q622" s="393"/>
      <c r="Z622" s="393"/>
      <c r="AA622" s="393"/>
      <c r="AJ622" s="394"/>
      <c r="DU622" s="395"/>
      <c r="DV622" s="395"/>
      <c r="DW622" s="395"/>
      <c r="DX622" s="395"/>
      <c r="DY622" s="395"/>
      <c r="DZ622" s="395"/>
      <c r="EA622" s="395"/>
    </row>
    <row r="623" spans="3:131" s="392" customFormat="1" x14ac:dyDescent="0.25">
      <c r="C623" s="395"/>
      <c r="I623" s="393"/>
      <c r="N623" s="393"/>
      <c r="O623" s="393"/>
      <c r="P623" s="393"/>
      <c r="Q623" s="393"/>
      <c r="Z623" s="393"/>
      <c r="AA623" s="393"/>
      <c r="AJ623" s="394"/>
      <c r="DU623" s="395"/>
      <c r="DV623" s="395"/>
      <c r="DW623" s="395"/>
      <c r="DX623" s="395"/>
      <c r="DY623" s="395"/>
      <c r="DZ623" s="395"/>
      <c r="EA623" s="395"/>
    </row>
    <row r="624" spans="3:131" s="392" customFormat="1" x14ac:dyDescent="0.25">
      <c r="C624" s="395"/>
      <c r="I624" s="393"/>
      <c r="N624" s="393"/>
      <c r="O624" s="393"/>
      <c r="P624" s="393"/>
      <c r="Q624" s="393"/>
      <c r="Z624" s="393"/>
      <c r="AA624" s="393"/>
      <c r="AJ624" s="394"/>
      <c r="DU624" s="395"/>
      <c r="DV624" s="395"/>
      <c r="DW624" s="395"/>
      <c r="DX624" s="395"/>
      <c r="DY624" s="395"/>
      <c r="DZ624" s="395"/>
      <c r="EA624" s="395"/>
    </row>
    <row r="625" spans="3:131" s="392" customFormat="1" x14ac:dyDescent="0.25">
      <c r="C625" s="395"/>
      <c r="I625" s="393"/>
      <c r="N625" s="393"/>
      <c r="O625" s="393"/>
      <c r="P625" s="393"/>
      <c r="Q625" s="393"/>
      <c r="Z625" s="393"/>
      <c r="AA625" s="393"/>
      <c r="AJ625" s="394"/>
      <c r="DU625" s="395"/>
      <c r="DV625" s="395"/>
      <c r="DW625" s="395"/>
      <c r="DX625" s="395"/>
      <c r="DY625" s="395"/>
      <c r="DZ625" s="395"/>
      <c r="EA625" s="395"/>
    </row>
    <row r="626" spans="3:131" s="392" customFormat="1" x14ac:dyDescent="0.25">
      <c r="C626" s="395"/>
      <c r="I626" s="393"/>
      <c r="N626" s="393"/>
      <c r="O626" s="393"/>
      <c r="P626" s="393"/>
      <c r="Q626" s="393"/>
      <c r="Z626" s="393"/>
      <c r="AA626" s="393"/>
      <c r="AJ626" s="394"/>
      <c r="DU626" s="395"/>
      <c r="DV626" s="395"/>
      <c r="DW626" s="395"/>
      <c r="DX626" s="395"/>
      <c r="DY626" s="395"/>
      <c r="DZ626" s="395"/>
      <c r="EA626" s="395"/>
    </row>
    <row r="627" spans="3:131" s="392" customFormat="1" x14ac:dyDescent="0.25">
      <c r="C627" s="395"/>
      <c r="I627" s="393"/>
      <c r="N627" s="393"/>
      <c r="O627" s="393"/>
      <c r="P627" s="393"/>
      <c r="Q627" s="393"/>
      <c r="Z627" s="393"/>
      <c r="AA627" s="393"/>
      <c r="AJ627" s="394"/>
      <c r="DU627" s="395"/>
      <c r="DV627" s="395"/>
      <c r="DW627" s="395"/>
      <c r="DX627" s="395"/>
      <c r="DY627" s="395"/>
      <c r="DZ627" s="395"/>
      <c r="EA627" s="395"/>
    </row>
    <row r="628" spans="3:131" s="392" customFormat="1" x14ac:dyDescent="0.25">
      <c r="C628" s="395"/>
      <c r="I628" s="393"/>
      <c r="N628" s="393"/>
      <c r="O628" s="393"/>
      <c r="P628" s="393"/>
      <c r="Q628" s="393"/>
      <c r="Z628" s="393"/>
      <c r="AA628" s="393"/>
      <c r="AJ628" s="394"/>
      <c r="DU628" s="395"/>
      <c r="DV628" s="395"/>
      <c r="DW628" s="395"/>
      <c r="DX628" s="395"/>
      <c r="DY628" s="395"/>
      <c r="DZ628" s="395"/>
      <c r="EA628" s="395"/>
    </row>
    <row r="629" spans="3:131" s="392" customFormat="1" x14ac:dyDescent="0.25">
      <c r="C629" s="395"/>
      <c r="I629" s="393"/>
      <c r="N629" s="393"/>
      <c r="O629" s="393"/>
      <c r="P629" s="393"/>
      <c r="Q629" s="393"/>
      <c r="Z629" s="393"/>
      <c r="AA629" s="393"/>
      <c r="AJ629" s="394"/>
      <c r="DU629" s="395"/>
      <c r="DV629" s="395"/>
      <c r="DW629" s="395"/>
      <c r="DX629" s="395"/>
      <c r="DY629" s="395"/>
      <c r="DZ629" s="395"/>
      <c r="EA629" s="395"/>
    </row>
    <row r="630" spans="3:131" s="392" customFormat="1" x14ac:dyDescent="0.25">
      <c r="C630" s="395"/>
      <c r="I630" s="393"/>
      <c r="N630" s="393"/>
      <c r="O630" s="393"/>
      <c r="P630" s="393"/>
      <c r="Q630" s="393"/>
      <c r="Z630" s="393"/>
      <c r="AA630" s="393"/>
      <c r="AJ630" s="394"/>
      <c r="DU630" s="395"/>
      <c r="DV630" s="395"/>
      <c r="DW630" s="395"/>
      <c r="DX630" s="395"/>
      <c r="DY630" s="395"/>
      <c r="DZ630" s="395"/>
      <c r="EA630" s="395"/>
    </row>
    <row r="631" spans="3:131" s="392" customFormat="1" x14ac:dyDescent="0.25">
      <c r="C631" s="395"/>
      <c r="I631" s="393"/>
      <c r="N631" s="393"/>
      <c r="O631" s="393"/>
      <c r="P631" s="393"/>
      <c r="Q631" s="393"/>
      <c r="Z631" s="393"/>
      <c r="AA631" s="393"/>
      <c r="AJ631" s="394"/>
      <c r="DU631" s="395"/>
      <c r="DV631" s="395"/>
      <c r="DW631" s="395"/>
      <c r="DX631" s="395"/>
      <c r="DY631" s="395"/>
      <c r="DZ631" s="395"/>
      <c r="EA631" s="395"/>
    </row>
    <row r="632" spans="3:131" s="392" customFormat="1" x14ac:dyDescent="0.25">
      <c r="C632" s="395"/>
      <c r="I632" s="393"/>
      <c r="N632" s="393"/>
      <c r="O632" s="393"/>
      <c r="P632" s="393"/>
      <c r="Q632" s="393"/>
      <c r="Z632" s="393"/>
      <c r="AA632" s="393"/>
      <c r="AJ632" s="394"/>
      <c r="DU632" s="395"/>
      <c r="DV632" s="395"/>
      <c r="DW632" s="395"/>
      <c r="DX632" s="395"/>
      <c r="DY632" s="395"/>
      <c r="DZ632" s="395"/>
      <c r="EA632" s="395"/>
    </row>
    <row r="633" spans="3:131" s="392" customFormat="1" x14ac:dyDescent="0.25">
      <c r="C633" s="395"/>
      <c r="I633" s="393"/>
      <c r="N633" s="393"/>
      <c r="O633" s="393"/>
      <c r="P633" s="393"/>
      <c r="Q633" s="393"/>
      <c r="Z633" s="393"/>
      <c r="AA633" s="393"/>
      <c r="AJ633" s="394"/>
      <c r="DU633" s="395"/>
      <c r="DV633" s="395"/>
      <c r="DW633" s="395"/>
      <c r="DX633" s="395"/>
      <c r="DY633" s="395"/>
      <c r="DZ633" s="395"/>
      <c r="EA633" s="395"/>
    </row>
    <row r="634" spans="3:131" s="392" customFormat="1" x14ac:dyDescent="0.25">
      <c r="C634" s="395"/>
      <c r="I634" s="393"/>
      <c r="N634" s="393"/>
      <c r="O634" s="393"/>
      <c r="P634" s="393"/>
      <c r="Q634" s="393"/>
      <c r="Z634" s="393"/>
      <c r="AA634" s="393"/>
      <c r="AJ634" s="394"/>
      <c r="DU634" s="395"/>
      <c r="DV634" s="395"/>
      <c r="DW634" s="395"/>
      <c r="DX634" s="395"/>
      <c r="DY634" s="395"/>
      <c r="DZ634" s="395"/>
      <c r="EA634" s="395"/>
    </row>
    <row r="635" spans="3:131" s="392" customFormat="1" x14ac:dyDescent="0.25">
      <c r="C635" s="395"/>
      <c r="I635" s="393"/>
      <c r="N635" s="393"/>
      <c r="O635" s="393"/>
      <c r="P635" s="393"/>
      <c r="Q635" s="393"/>
      <c r="Z635" s="393"/>
      <c r="AA635" s="393"/>
      <c r="AJ635" s="394"/>
      <c r="DU635" s="395"/>
      <c r="DV635" s="395"/>
      <c r="DW635" s="395"/>
      <c r="DX635" s="395"/>
      <c r="DY635" s="395"/>
      <c r="DZ635" s="395"/>
      <c r="EA635" s="395"/>
    </row>
    <row r="636" spans="3:131" s="392" customFormat="1" x14ac:dyDescent="0.25">
      <c r="C636" s="395"/>
      <c r="I636" s="393"/>
      <c r="N636" s="393"/>
      <c r="O636" s="393"/>
      <c r="P636" s="393"/>
      <c r="Q636" s="393"/>
      <c r="Z636" s="393"/>
      <c r="AA636" s="393"/>
      <c r="AJ636" s="394"/>
      <c r="DU636" s="395"/>
      <c r="DV636" s="395"/>
      <c r="DW636" s="395"/>
      <c r="DX636" s="395"/>
      <c r="DY636" s="395"/>
      <c r="DZ636" s="395"/>
      <c r="EA636" s="395"/>
    </row>
    <row r="637" spans="3:131" s="392" customFormat="1" x14ac:dyDescent="0.25">
      <c r="C637" s="395"/>
      <c r="I637" s="393"/>
      <c r="N637" s="393"/>
      <c r="O637" s="393"/>
      <c r="P637" s="393"/>
      <c r="Q637" s="393"/>
      <c r="Z637" s="393"/>
      <c r="AA637" s="393"/>
      <c r="AJ637" s="394"/>
      <c r="DU637" s="395"/>
      <c r="DV637" s="395"/>
      <c r="DW637" s="395"/>
      <c r="DX637" s="395"/>
      <c r="DY637" s="395"/>
      <c r="DZ637" s="395"/>
      <c r="EA637" s="395"/>
    </row>
    <row r="638" spans="3:131" s="392" customFormat="1" x14ac:dyDescent="0.25">
      <c r="C638" s="395"/>
      <c r="I638" s="393"/>
      <c r="N638" s="393"/>
      <c r="O638" s="393"/>
      <c r="P638" s="393"/>
      <c r="Q638" s="393"/>
      <c r="Z638" s="393"/>
      <c r="AA638" s="393"/>
      <c r="AJ638" s="394"/>
      <c r="DU638" s="395"/>
      <c r="DV638" s="395"/>
      <c r="DW638" s="395"/>
      <c r="DX638" s="395"/>
      <c r="DY638" s="395"/>
      <c r="DZ638" s="395"/>
      <c r="EA638" s="395"/>
    </row>
    <row r="639" spans="3:131" s="392" customFormat="1" x14ac:dyDescent="0.25">
      <c r="C639" s="395"/>
      <c r="I639" s="393"/>
      <c r="N639" s="393"/>
      <c r="O639" s="393"/>
      <c r="P639" s="393"/>
      <c r="Q639" s="393"/>
      <c r="Z639" s="393"/>
      <c r="AA639" s="393"/>
      <c r="AJ639" s="394"/>
      <c r="DU639" s="395"/>
      <c r="DV639" s="395"/>
      <c r="DW639" s="395"/>
      <c r="DX639" s="395"/>
      <c r="DY639" s="395"/>
      <c r="DZ639" s="395"/>
      <c r="EA639" s="395"/>
    </row>
    <row r="640" spans="3:131" s="392" customFormat="1" x14ac:dyDescent="0.25">
      <c r="C640" s="395"/>
      <c r="I640" s="393"/>
      <c r="N640" s="393"/>
      <c r="O640" s="393"/>
      <c r="P640" s="393"/>
      <c r="Q640" s="393"/>
      <c r="Z640" s="393"/>
      <c r="AA640" s="393"/>
      <c r="AJ640" s="394"/>
      <c r="DU640" s="395"/>
      <c r="DV640" s="395"/>
      <c r="DW640" s="395"/>
      <c r="DX640" s="395"/>
      <c r="DY640" s="395"/>
      <c r="DZ640" s="395"/>
      <c r="EA640" s="395"/>
    </row>
    <row r="641" spans="3:131" s="392" customFormat="1" x14ac:dyDescent="0.25">
      <c r="C641" s="395"/>
      <c r="I641" s="393"/>
      <c r="N641" s="393"/>
      <c r="O641" s="393"/>
      <c r="P641" s="393"/>
      <c r="Q641" s="393"/>
      <c r="Z641" s="393"/>
      <c r="AA641" s="393"/>
      <c r="AJ641" s="394"/>
      <c r="DU641" s="395"/>
      <c r="DV641" s="395"/>
      <c r="DW641" s="395"/>
      <c r="DX641" s="395"/>
      <c r="DY641" s="395"/>
      <c r="DZ641" s="395"/>
      <c r="EA641" s="395"/>
    </row>
    <row r="642" spans="3:131" s="392" customFormat="1" x14ac:dyDescent="0.25">
      <c r="C642" s="395"/>
      <c r="I642" s="393"/>
      <c r="N642" s="393"/>
      <c r="O642" s="393"/>
      <c r="P642" s="393"/>
      <c r="Q642" s="393"/>
      <c r="Z642" s="393"/>
      <c r="AA642" s="393"/>
      <c r="AJ642" s="394"/>
      <c r="DU642" s="395"/>
      <c r="DV642" s="395"/>
      <c r="DW642" s="395"/>
      <c r="DX642" s="395"/>
      <c r="DY642" s="395"/>
      <c r="DZ642" s="395"/>
      <c r="EA642" s="395"/>
    </row>
    <row r="643" spans="3:131" s="392" customFormat="1" x14ac:dyDescent="0.25">
      <c r="C643" s="395"/>
      <c r="I643" s="393"/>
      <c r="N643" s="393"/>
      <c r="O643" s="393"/>
      <c r="P643" s="393"/>
      <c r="Q643" s="393"/>
      <c r="Z643" s="393"/>
      <c r="AA643" s="393"/>
      <c r="AJ643" s="394"/>
      <c r="DU643" s="395"/>
      <c r="DV643" s="395"/>
      <c r="DW643" s="395"/>
      <c r="DX643" s="395"/>
      <c r="DY643" s="395"/>
      <c r="DZ643" s="395"/>
      <c r="EA643" s="395"/>
    </row>
    <row r="644" spans="3:131" s="392" customFormat="1" x14ac:dyDescent="0.25">
      <c r="C644" s="395"/>
      <c r="I644" s="393"/>
      <c r="N644" s="393"/>
      <c r="O644" s="393"/>
      <c r="P644" s="393"/>
      <c r="Q644" s="393"/>
      <c r="Z644" s="393"/>
      <c r="AA644" s="393"/>
      <c r="AJ644" s="394"/>
      <c r="DU644" s="395"/>
      <c r="DV644" s="395"/>
      <c r="DW644" s="395"/>
      <c r="DX644" s="395"/>
      <c r="DY644" s="395"/>
      <c r="DZ644" s="395"/>
      <c r="EA644" s="395"/>
    </row>
    <row r="645" spans="3:131" s="392" customFormat="1" x14ac:dyDescent="0.25">
      <c r="C645" s="395"/>
      <c r="I645" s="393"/>
      <c r="N645" s="393"/>
      <c r="O645" s="393"/>
      <c r="P645" s="393"/>
      <c r="Q645" s="393"/>
      <c r="Z645" s="393"/>
      <c r="AA645" s="393"/>
      <c r="AJ645" s="394"/>
      <c r="DU645" s="395"/>
      <c r="DV645" s="395"/>
      <c r="DW645" s="395"/>
      <c r="DX645" s="395"/>
      <c r="DY645" s="395"/>
      <c r="DZ645" s="395"/>
      <c r="EA645" s="395"/>
    </row>
    <row r="646" spans="3:131" s="392" customFormat="1" x14ac:dyDescent="0.25">
      <c r="C646" s="395"/>
      <c r="I646" s="393"/>
      <c r="N646" s="393"/>
      <c r="O646" s="393"/>
      <c r="P646" s="393"/>
      <c r="Q646" s="393"/>
      <c r="Z646" s="393"/>
      <c r="AA646" s="393"/>
      <c r="AJ646" s="394"/>
      <c r="DU646" s="395"/>
      <c r="DV646" s="395"/>
      <c r="DW646" s="395"/>
      <c r="DX646" s="395"/>
      <c r="DY646" s="395"/>
      <c r="DZ646" s="395"/>
      <c r="EA646" s="395"/>
    </row>
    <row r="647" spans="3:131" s="392" customFormat="1" x14ac:dyDescent="0.25">
      <c r="C647" s="395"/>
      <c r="I647" s="393"/>
      <c r="N647" s="393"/>
      <c r="O647" s="393"/>
      <c r="P647" s="393"/>
      <c r="Q647" s="393"/>
      <c r="Z647" s="393"/>
      <c r="AA647" s="393"/>
      <c r="AJ647" s="394"/>
      <c r="DU647" s="395"/>
      <c r="DV647" s="395"/>
      <c r="DW647" s="395"/>
      <c r="DX647" s="395"/>
      <c r="DY647" s="395"/>
      <c r="DZ647" s="395"/>
      <c r="EA647" s="395"/>
    </row>
    <row r="648" spans="3:131" s="392" customFormat="1" x14ac:dyDescent="0.25">
      <c r="C648" s="395"/>
      <c r="I648" s="393"/>
      <c r="N648" s="393"/>
      <c r="O648" s="393"/>
      <c r="P648" s="393"/>
      <c r="Q648" s="393"/>
      <c r="Z648" s="393"/>
      <c r="AA648" s="393"/>
      <c r="AJ648" s="394"/>
      <c r="DU648" s="395"/>
      <c r="DV648" s="395"/>
      <c r="DW648" s="395"/>
      <c r="DX648" s="395"/>
      <c r="DY648" s="395"/>
      <c r="DZ648" s="395"/>
      <c r="EA648" s="395"/>
    </row>
    <row r="649" spans="3:131" s="392" customFormat="1" x14ac:dyDescent="0.25">
      <c r="C649" s="395"/>
      <c r="I649" s="393"/>
      <c r="N649" s="393"/>
      <c r="O649" s="393"/>
      <c r="P649" s="393"/>
      <c r="Q649" s="393"/>
      <c r="Z649" s="393"/>
      <c r="AA649" s="393"/>
      <c r="AJ649" s="394"/>
      <c r="DU649" s="395"/>
      <c r="DV649" s="395"/>
      <c r="DW649" s="395"/>
      <c r="DX649" s="395"/>
      <c r="DY649" s="395"/>
      <c r="DZ649" s="395"/>
      <c r="EA649" s="395"/>
    </row>
    <row r="650" spans="3:131" s="392" customFormat="1" x14ac:dyDescent="0.25">
      <c r="C650" s="395"/>
      <c r="I650" s="393"/>
      <c r="N650" s="393"/>
      <c r="O650" s="393"/>
      <c r="P650" s="393"/>
      <c r="Q650" s="393"/>
      <c r="Z650" s="393"/>
      <c r="AA650" s="393"/>
      <c r="AJ650" s="394"/>
      <c r="DU650" s="395"/>
      <c r="DV650" s="395"/>
      <c r="DW650" s="395"/>
      <c r="DX650" s="395"/>
      <c r="DY650" s="395"/>
      <c r="DZ650" s="395"/>
      <c r="EA650" s="395"/>
    </row>
    <row r="651" spans="3:131" s="392" customFormat="1" x14ac:dyDescent="0.25">
      <c r="C651" s="395"/>
      <c r="I651" s="393"/>
      <c r="N651" s="393"/>
      <c r="O651" s="393"/>
      <c r="P651" s="393"/>
      <c r="Q651" s="393"/>
      <c r="Z651" s="393"/>
      <c r="AA651" s="393"/>
      <c r="AJ651" s="394"/>
      <c r="DU651" s="395"/>
      <c r="DV651" s="395"/>
      <c r="DW651" s="395"/>
      <c r="DX651" s="395"/>
      <c r="DY651" s="395"/>
      <c r="DZ651" s="395"/>
      <c r="EA651" s="395"/>
    </row>
    <row r="652" spans="3:131" s="392" customFormat="1" x14ac:dyDescent="0.25">
      <c r="C652" s="395"/>
      <c r="I652" s="393"/>
      <c r="N652" s="393"/>
      <c r="O652" s="393"/>
      <c r="P652" s="393"/>
      <c r="Q652" s="393"/>
      <c r="Z652" s="393"/>
      <c r="AA652" s="393"/>
      <c r="AJ652" s="394"/>
      <c r="DU652" s="395"/>
      <c r="DV652" s="395"/>
      <c r="DW652" s="395"/>
      <c r="DX652" s="395"/>
      <c r="DY652" s="395"/>
      <c r="DZ652" s="395"/>
      <c r="EA652" s="395"/>
    </row>
    <row r="653" spans="3:131" s="392" customFormat="1" x14ac:dyDescent="0.25">
      <c r="C653" s="395"/>
      <c r="I653" s="393"/>
      <c r="N653" s="393"/>
      <c r="O653" s="393"/>
      <c r="P653" s="393"/>
      <c r="Q653" s="393"/>
      <c r="Z653" s="393"/>
      <c r="AA653" s="393"/>
      <c r="AJ653" s="394"/>
      <c r="DU653" s="395"/>
      <c r="DV653" s="395"/>
      <c r="DW653" s="395"/>
      <c r="DX653" s="395"/>
      <c r="DY653" s="395"/>
      <c r="DZ653" s="395"/>
      <c r="EA653" s="395"/>
    </row>
    <row r="654" spans="3:131" s="392" customFormat="1" x14ac:dyDescent="0.25">
      <c r="C654" s="395"/>
      <c r="I654" s="393"/>
      <c r="N654" s="393"/>
      <c r="O654" s="393"/>
      <c r="P654" s="393"/>
      <c r="Q654" s="393"/>
      <c r="Z654" s="393"/>
      <c r="AA654" s="393"/>
      <c r="AJ654" s="394"/>
      <c r="DU654" s="395"/>
      <c r="DV654" s="395"/>
      <c r="DW654" s="395"/>
      <c r="DX654" s="395"/>
      <c r="DY654" s="395"/>
      <c r="DZ654" s="395"/>
      <c r="EA654" s="395"/>
    </row>
    <row r="655" spans="3:131" s="392" customFormat="1" x14ac:dyDescent="0.25">
      <c r="C655" s="395"/>
      <c r="I655" s="393"/>
      <c r="N655" s="393"/>
      <c r="O655" s="393"/>
      <c r="P655" s="393"/>
      <c r="Q655" s="393"/>
      <c r="Z655" s="393"/>
      <c r="AA655" s="393"/>
      <c r="AJ655" s="394"/>
      <c r="DU655" s="395"/>
      <c r="DV655" s="395"/>
      <c r="DW655" s="395"/>
      <c r="DX655" s="395"/>
      <c r="DY655" s="395"/>
      <c r="DZ655" s="395"/>
      <c r="EA655" s="395"/>
    </row>
    <row r="656" spans="3:131" s="392" customFormat="1" x14ac:dyDescent="0.25">
      <c r="C656" s="395"/>
      <c r="I656" s="393"/>
      <c r="N656" s="393"/>
      <c r="O656" s="393"/>
      <c r="P656" s="393"/>
      <c r="Q656" s="393"/>
      <c r="Z656" s="393"/>
      <c r="AA656" s="393"/>
      <c r="AJ656" s="394"/>
      <c r="DU656" s="395"/>
      <c r="DV656" s="395"/>
      <c r="DW656" s="395"/>
      <c r="DX656" s="395"/>
      <c r="DY656" s="395"/>
      <c r="DZ656" s="395"/>
      <c r="EA656" s="395"/>
    </row>
    <row r="657" spans="3:131" s="392" customFormat="1" x14ac:dyDescent="0.25">
      <c r="C657" s="395"/>
      <c r="I657" s="393"/>
      <c r="N657" s="393"/>
      <c r="O657" s="393"/>
      <c r="P657" s="393"/>
      <c r="Q657" s="393"/>
      <c r="Z657" s="393"/>
      <c r="AA657" s="393"/>
      <c r="AJ657" s="394"/>
      <c r="DU657" s="395"/>
      <c r="DV657" s="395"/>
      <c r="DW657" s="395"/>
      <c r="DX657" s="395"/>
      <c r="DY657" s="395"/>
      <c r="DZ657" s="395"/>
      <c r="EA657" s="395"/>
    </row>
    <row r="658" spans="3:131" s="392" customFormat="1" x14ac:dyDescent="0.25">
      <c r="C658" s="395"/>
      <c r="I658" s="393"/>
      <c r="N658" s="393"/>
      <c r="O658" s="393"/>
      <c r="P658" s="393"/>
      <c r="Q658" s="393"/>
      <c r="Z658" s="393"/>
      <c r="AA658" s="393"/>
      <c r="AJ658" s="394"/>
      <c r="DU658" s="395"/>
      <c r="DV658" s="395"/>
      <c r="DW658" s="395"/>
      <c r="DX658" s="395"/>
      <c r="DY658" s="395"/>
      <c r="DZ658" s="395"/>
      <c r="EA658" s="395"/>
    </row>
    <row r="659" spans="3:131" s="392" customFormat="1" x14ac:dyDescent="0.25">
      <c r="C659" s="395"/>
      <c r="I659" s="393"/>
      <c r="N659" s="393"/>
      <c r="O659" s="393"/>
      <c r="P659" s="393"/>
      <c r="Q659" s="393"/>
      <c r="Z659" s="393"/>
      <c r="AA659" s="393"/>
      <c r="AJ659" s="394"/>
      <c r="DU659" s="395"/>
      <c r="DV659" s="395"/>
      <c r="DW659" s="395"/>
      <c r="DX659" s="395"/>
      <c r="DY659" s="395"/>
      <c r="DZ659" s="395"/>
      <c r="EA659" s="395"/>
    </row>
    <row r="660" spans="3:131" s="392" customFormat="1" x14ac:dyDescent="0.25">
      <c r="C660" s="395"/>
      <c r="I660" s="393"/>
      <c r="N660" s="393"/>
      <c r="O660" s="393"/>
      <c r="P660" s="393"/>
      <c r="Q660" s="393"/>
      <c r="Z660" s="393"/>
      <c r="AA660" s="393"/>
      <c r="AJ660" s="394"/>
      <c r="DU660" s="395"/>
      <c r="DV660" s="395"/>
      <c r="DW660" s="395"/>
      <c r="DX660" s="395"/>
      <c r="DY660" s="395"/>
      <c r="DZ660" s="395"/>
      <c r="EA660" s="395"/>
    </row>
    <row r="661" spans="3:131" s="392" customFormat="1" x14ac:dyDescent="0.25">
      <c r="C661" s="395"/>
      <c r="I661" s="393"/>
      <c r="N661" s="393"/>
      <c r="O661" s="393"/>
      <c r="P661" s="393"/>
      <c r="Q661" s="393"/>
      <c r="Z661" s="393"/>
      <c r="AA661" s="393"/>
      <c r="AJ661" s="394"/>
      <c r="DU661" s="395"/>
      <c r="DV661" s="395"/>
      <c r="DW661" s="395"/>
      <c r="DX661" s="395"/>
      <c r="DY661" s="395"/>
      <c r="DZ661" s="395"/>
      <c r="EA661" s="395"/>
    </row>
    <row r="662" spans="3:131" s="392" customFormat="1" x14ac:dyDescent="0.25">
      <c r="C662" s="395"/>
      <c r="I662" s="393"/>
      <c r="N662" s="393"/>
      <c r="O662" s="393"/>
      <c r="P662" s="393"/>
      <c r="Q662" s="393"/>
      <c r="Z662" s="393"/>
      <c r="AA662" s="393"/>
      <c r="AJ662" s="394"/>
      <c r="DU662" s="395"/>
      <c r="DV662" s="395"/>
      <c r="DW662" s="395"/>
      <c r="DX662" s="395"/>
      <c r="DY662" s="395"/>
      <c r="DZ662" s="395"/>
      <c r="EA662" s="395"/>
    </row>
    <row r="663" spans="3:131" s="392" customFormat="1" x14ac:dyDescent="0.25">
      <c r="C663" s="395"/>
      <c r="I663" s="393"/>
      <c r="N663" s="393"/>
      <c r="O663" s="393"/>
      <c r="P663" s="393"/>
      <c r="Q663" s="393"/>
      <c r="Z663" s="393"/>
      <c r="AA663" s="393"/>
      <c r="AJ663" s="394"/>
      <c r="DU663" s="395"/>
      <c r="DV663" s="395"/>
      <c r="DW663" s="395"/>
      <c r="DX663" s="395"/>
      <c r="DY663" s="395"/>
      <c r="DZ663" s="395"/>
      <c r="EA663" s="395"/>
    </row>
    <row r="664" spans="3:131" s="392" customFormat="1" x14ac:dyDescent="0.25">
      <c r="C664" s="395"/>
      <c r="I664" s="393"/>
      <c r="N664" s="393"/>
      <c r="O664" s="393"/>
      <c r="P664" s="393"/>
      <c r="Q664" s="393"/>
      <c r="Z664" s="393"/>
      <c r="AA664" s="393"/>
      <c r="AJ664" s="394"/>
      <c r="DU664" s="395"/>
      <c r="DV664" s="395"/>
      <c r="DW664" s="395"/>
      <c r="DX664" s="395"/>
      <c r="DY664" s="395"/>
      <c r="DZ664" s="395"/>
      <c r="EA664" s="395"/>
    </row>
    <row r="665" spans="3:131" s="392" customFormat="1" x14ac:dyDescent="0.25">
      <c r="C665" s="395"/>
      <c r="I665" s="393"/>
      <c r="N665" s="393"/>
      <c r="O665" s="393"/>
      <c r="P665" s="393"/>
      <c r="Q665" s="393"/>
      <c r="Z665" s="393"/>
      <c r="AA665" s="393"/>
      <c r="AJ665" s="394"/>
      <c r="DU665" s="395"/>
      <c r="DV665" s="395"/>
      <c r="DW665" s="395"/>
      <c r="DX665" s="395"/>
      <c r="DY665" s="395"/>
      <c r="DZ665" s="395"/>
      <c r="EA665" s="395"/>
    </row>
    <row r="666" spans="3:131" s="392" customFormat="1" x14ac:dyDescent="0.25">
      <c r="C666" s="395"/>
      <c r="I666" s="393"/>
      <c r="N666" s="393"/>
      <c r="O666" s="393"/>
      <c r="P666" s="393"/>
      <c r="Q666" s="393"/>
      <c r="Z666" s="393"/>
      <c r="AA666" s="393"/>
      <c r="AJ666" s="394"/>
      <c r="DU666" s="395"/>
      <c r="DV666" s="395"/>
      <c r="DW666" s="395"/>
      <c r="DX666" s="395"/>
      <c r="DY666" s="395"/>
      <c r="DZ666" s="395"/>
      <c r="EA666" s="395"/>
    </row>
    <row r="667" spans="3:131" s="392" customFormat="1" x14ac:dyDescent="0.25">
      <c r="C667" s="395"/>
      <c r="I667" s="393"/>
      <c r="N667" s="393"/>
      <c r="O667" s="393"/>
      <c r="P667" s="393"/>
      <c r="Q667" s="393"/>
      <c r="Z667" s="393"/>
      <c r="AA667" s="393"/>
      <c r="AJ667" s="394"/>
      <c r="DU667" s="395"/>
      <c r="DV667" s="395"/>
      <c r="DW667" s="395"/>
      <c r="DX667" s="395"/>
      <c r="DY667" s="395"/>
      <c r="DZ667" s="395"/>
      <c r="EA667" s="395"/>
    </row>
    <row r="668" spans="3:131" s="392" customFormat="1" x14ac:dyDescent="0.25">
      <c r="C668" s="395"/>
      <c r="I668" s="393"/>
      <c r="N668" s="393"/>
      <c r="O668" s="393"/>
      <c r="P668" s="393"/>
      <c r="Q668" s="393"/>
      <c r="Z668" s="393"/>
      <c r="AA668" s="393"/>
      <c r="AJ668" s="394"/>
      <c r="DU668" s="395"/>
      <c r="DV668" s="395"/>
      <c r="DW668" s="395"/>
      <c r="DX668" s="395"/>
      <c r="DY668" s="395"/>
      <c r="DZ668" s="395"/>
      <c r="EA668" s="395"/>
    </row>
    <row r="669" spans="3:131" s="392" customFormat="1" x14ac:dyDescent="0.25">
      <c r="C669" s="395"/>
      <c r="I669" s="393"/>
      <c r="N669" s="393"/>
      <c r="O669" s="393"/>
      <c r="P669" s="393"/>
      <c r="Q669" s="393"/>
      <c r="Z669" s="393"/>
      <c r="AA669" s="393"/>
      <c r="AJ669" s="394"/>
      <c r="DU669" s="395"/>
      <c r="DV669" s="395"/>
      <c r="DW669" s="395"/>
      <c r="DX669" s="395"/>
      <c r="DY669" s="395"/>
      <c r="DZ669" s="395"/>
      <c r="EA669" s="395"/>
    </row>
    <row r="670" spans="3:131" s="392" customFormat="1" x14ac:dyDescent="0.25">
      <c r="C670" s="395"/>
      <c r="I670" s="393"/>
      <c r="N670" s="393"/>
      <c r="O670" s="393"/>
      <c r="P670" s="393"/>
      <c r="Q670" s="393"/>
      <c r="Z670" s="393"/>
      <c r="AA670" s="393"/>
      <c r="AJ670" s="394"/>
      <c r="DU670" s="395"/>
      <c r="DV670" s="395"/>
      <c r="DW670" s="395"/>
      <c r="DX670" s="395"/>
      <c r="DY670" s="395"/>
      <c r="DZ670" s="395"/>
      <c r="EA670" s="395"/>
    </row>
    <row r="671" spans="3:131" s="392" customFormat="1" x14ac:dyDescent="0.25">
      <c r="C671" s="395"/>
      <c r="I671" s="393"/>
      <c r="N671" s="393"/>
      <c r="O671" s="393"/>
      <c r="P671" s="393"/>
      <c r="Q671" s="393"/>
      <c r="Z671" s="393"/>
      <c r="AA671" s="393"/>
      <c r="AJ671" s="394"/>
      <c r="DU671" s="395"/>
      <c r="DV671" s="395"/>
      <c r="DW671" s="395"/>
      <c r="DX671" s="395"/>
      <c r="DY671" s="395"/>
      <c r="DZ671" s="395"/>
      <c r="EA671" s="395"/>
    </row>
    <row r="672" spans="3:131" s="392" customFormat="1" x14ac:dyDescent="0.25">
      <c r="C672" s="395"/>
      <c r="I672" s="393"/>
      <c r="N672" s="393"/>
      <c r="O672" s="393"/>
      <c r="P672" s="393"/>
      <c r="Q672" s="393"/>
      <c r="Z672" s="393"/>
      <c r="AA672" s="393"/>
      <c r="AJ672" s="394"/>
      <c r="DU672" s="395"/>
      <c r="DV672" s="395"/>
      <c r="DW672" s="395"/>
      <c r="DX672" s="395"/>
      <c r="DY672" s="395"/>
      <c r="DZ672" s="395"/>
      <c r="EA672" s="395"/>
    </row>
    <row r="673" spans="3:131" s="392" customFormat="1" x14ac:dyDescent="0.25">
      <c r="C673" s="395"/>
      <c r="I673" s="393"/>
      <c r="N673" s="393"/>
      <c r="O673" s="393"/>
      <c r="P673" s="393"/>
      <c r="Q673" s="393"/>
      <c r="Z673" s="393"/>
      <c r="AA673" s="393"/>
      <c r="AJ673" s="394"/>
      <c r="DU673" s="395"/>
      <c r="DV673" s="395"/>
      <c r="DW673" s="395"/>
      <c r="DX673" s="395"/>
      <c r="DY673" s="395"/>
      <c r="DZ673" s="395"/>
      <c r="EA673" s="395"/>
    </row>
    <row r="674" spans="3:131" s="392" customFormat="1" x14ac:dyDescent="0.25">
      <c r="C674" s="395"/>
      <c r="I674" s="393"/>
      <c r="N674" s="393"/>
      <c r="O674" s="393"/>
      <c r="P674" s="393"/>
      <c r="Q674" s="393"/>
      <c r="Z674" s="393"/>
      <c r="AA674" s="393"/>
      <c r="AJ674" s="394"/>
      <c r="DU674" s="395"/>
      <c r="DV674" s="395"/>
      <c r="DW674" s="395"/>
      <c r="DX674" s="395"/>
      <c r="DY674" s="395"/>
      <c r="DZ674" s="395"/>
      <c r="EA674" s="395"/>
    </row>
    <row r="675" spans="3:131" s="392" customFormat="1" x14ac:dyDescent="0.25">
      <c r="C675" s="395"/>
      <c r="I675" s="393"/>
      <c r="N675" s="393"/>
      <c r="O675" s="393"/>
      <c r="P675" s="393"/>
      <c r="Q675" s="393"/>
      <c r="Z675" s="393"/>
      <c r="AA675" s="393"/>
      <c r="AJ675" s="394"/>
      <c r="DU675" s="395"/>
      <c r="DV675" s="395"/>
      <c r="DW675" s="395"/>
      <c r="DX675" s="395"/>
      <c r="DY675" s="395"/>
      <c r="DZ675" s="395"/>
      <c r="EA675" s="395"/>
    </row>
    <row r="676" spans="3:131" s="392" customFormat="1" x14ac:dyDescent="0.25">
      <c r="C676" s="395"/>
      <c r="I676" s="393"/>
      <c r="N676" s="393"/>
      <c r="O676" s="393"/>
      <c r="P676" s="393"/>
      <c r="Q676" s="393"/>
      <c r="Z676" s="393"/>
      <c r="AA676" s="393"/>
      <c r="AJ676" s="394"/>
      <c r="DU676" s="395"/>
      <c r="DV676" s="395"/>
      <c r="DW676" s="395"/>
      <c r="DX676" s="395"/>
      <c r="DY676" s="395"/>
      <c r="DZ676" s="395"/>
      <c r="EA676" s="395"/>
    </row>
    <row r="677" spans="3:131" s="392" customFormat="1" x14ac:dyDescent="0.25">
      <c r="C677" s="395"/>
      <c r="I677" s="393"/>
      <c r="N677" s="393"/>
      <c r="O677" s="393"/>
      <c r="P677" s="393"/>
      <c r="Q677" s="393"/>
      <c r="Z677" s="393"/>
      <c r="AA677" s="393"/>
      <c r="AJ677" s="394"/>
      <c r="DU677" s="395"/>
      <c r="DV677" s="395"/>
      <c r="DW677" s="395"/>
      <c r="DX677" s="395"/>
      <c r="DY677" s="395"/>
      <c r="DZ677" s="395"/>
      <c r="EA677" s="395"/>
    </row>
    <row r="678" spans="3:131" s="392" customFormat="1" x14ac:dyDescent="0.25">
      <c r="C678" s="395"/>
      <c r="I678" s="393"/>
      <c r="N678" s="393"/>
      <c r="O678" s="393"/>
      <c r="P678" s="393"/>
      <c r="Q678" s="393"/>
      <c r="Z678" s="393"/>
      <c r="AA678" s="393"/>
      <c r="AJ678" s="394"/>
      <c r="DU678" s="395"/>
      <c r="DV678" s="395"/>
      <c r="DW678" s="395"/>
      <c r="DX678" s="395"/>
      <c r="DY678" s="395"/>
      <c r="DZ678" s="395"/>
      <c r="EA678" s="395"/>
    </row>
    <row r="679" spans="3:131" s="392" customFormat="1" x14ac:dyDescent="0.25">
      <c r="C679" s="395"/>
      <c r="I679" s="393"/>
      <c r="N679" s="393"/>
      <c r="O679" s="393"/>
      <c r="P679" s="393"/>
      <c r="Q679" s="393"/>
      <c r="Z679" s="393"/>
      <c r="AA679" s="393"/>
      <c r="AJ679" s="394"/>
      <c r="DU679" s="395"/>
      <c r="DV679" s="395"/>
      <c r="DW679" s="395"/>
      <c r="DX679" s="395"/>
      <c r="DY679" s="395"/>
      <c r="DZ679" s="395"/>
      <c r="EA679" s="395"/>
    </row>
    <row r="680" spans="3:131" s="392" customFormat="1" x14ac:dyDescent="0.25">
      <c r="C680" s="395"/>
      <c r="I680" s="393"/>
      <c r="N680" s="393"/>
      <c r="O680" s="393"/>
      <c r="P680" s="393"/>
      <c r="Q680" s="393"/>
      <c r="Z680" s="393"/>
      <c r="AA680" s="393"/>
      <c r="AJ680" s="394"/>
      <c r="DU680" s="395"/>
      <c r="DV680" s="395"/>
      <c r="DW680" s="395"/>
      <c r="DX680" s="395"/>
      <c r="DY680" s="395"/>
      <c r="DZ680" s="395"/>
      <c r="EA680" s="395"/>
    </row>
    <row r="681" spans="3:131" s="392" customFormat="1" x14ac:dyDescent="0.25">
      <c r="C681" s="395"/>
      <c r="I681" s="393"/>
      <c r="N681" s="393"/>
      <c r="O681" s="393"/>
      <c r="P681" s="393"/>
      <c r="Q681" s="393"/>
      <c r="Z681" s="393"/>
      <c r="AA681" s="393"/>
      <c r="AJ681" s="394"/>
      <c r="DU681" s="395"/>
      <c r="DV681" s="395"/>
      <c r="DW681" s="395"/>
      <c r="DX681" s="395"/>
      <c r="DY681" s="395"/>
      <c r="DZ681" s="395"/>
      <c r="EA681" s="395"/>
    </row>
    <row r="682" spans="3:131" s="392" customFormat="1" x14ac:dyDescent="0.25">
      <c r="C682" s="395"/>
      <c r="I682" s="393"/>
      <c r="N682" s="393"/>
      <c r="O682" s="393"/>
      <c r="P682" s="393"/>
      <c r="Q682" s="393"/>
      <c r="Z682" s="393"/>
      <c r="AA682" s="393"/>
      <c r="AJ682" s="394"/>
      <c r="DU682" s="395"/>
      <c r="DV682" s="395"/>
      <c r="DW682" s="395"/>
      <c r="DX682" s="395"/>
      <c r="DY682" s="395"/>
      <c r="DZ682" s="395"/>
      <c r="EA682" s="395"/>
    </row>
    <row r="683" spans="3:131" s="392" customFormat="1" x14ac:dyDescent="0.25">
      <c r="C683" s="395"/>
      <c r="I683" s="393"/>
      <c r="N683" s="393"/>
      <c r="O683" s="393"/>
      <c r="P683" s="393"/>
      <c r="Q683" s="393"/>
      <c r="Z683" s="393"/>
      <c r="AA683" s="393"/>
      <c r="AJ683" s="394"/>
      <c r="DU683" s="395"/>
      <c r="DV683" s="395"/>
      <c r="DW683" s="395"/>
      <c r="DX683" s="395"/>
      <c r="DY683" s="395"/>
      <c r="DZ683" s="395"/>
      <c r="EA683" s="395"/>
    </row>
    <row r="684" spans="3:131" s="392" customFormat="1" x14ac:dyDescent="0.25">
      <c r="C684" s="395"/>
      <c r="I684" s="393"/>
      <c r="N684" s="393"/>
      <c r="O684" s="393"/>
      <c r="P684" s="393"/>
      <c r="Q684" s="393"/>
      <c r="Z684" s="393"/>
      <c r="AA684" s="393"/>
      <c r="AJ684" s="394"/>
      <c r="DU684" s="395"/>
      <c r="DV684" s="395"/>
      <c r="DW684" s="395"/>
      <c r="DX684" s="395"/>
      <c r="DY684" s="395"/>
      <c r="DZ684" s="395"/>
      <c r="EA684" s="395"/>
    </row>
    <row r="685" spans="3:131" s="392" customFormat="1" x14ac:dyDescent="0.25">
      <c r="C685" s="395"/>
      <c r="I685" s="393"/>
      <c r="N685" s="393"/>
      <c r="O685" s="393"/>
      <c r="P685" s="393"/>
      <c r="Q685" s="393"/>
      <c r="Z685" s="393"/>
      <c r="AA685" s="393"/>
      <c r="AJ685" s="394"/>
      <c r="DU685" s="395"/>
      <c r="DV685" s="395"/>
      <c r="DW685" s="395"/>
      <c r="DX685" s="395"/>
      <c r="DY685" s="395"/>
      <c r="DZ685" s="395"/>
      <c r="EA685" s="395"/>
    </row>
    <row r="686" spans="3:131" s="392" customFormat="1" x14ac:dyDescent="0.25">
      <c r="C686" s="395"/>
      <c r="I686" s="393"/>
      <c r="N686" s="393"/>
      <c r="O686" s="393"/>
      <c r="P686" s="393"/>
      <c r="Q686" s="393"/>
      <c r="Z686" s="393"/>
      <c r="AA686" s="393"/>
      <c r="AJ686" s="394"/>
      <c r="DU686" s="395"/>
      <c r="DV686" s="395"/>
      <c r="DW686" s="395"/>
      <c r="DX686" s="395"/>
      <c r="DY686" s="395"/>
      <c r="DZ686" s="395"/>
      <c r="EA686" s="395"/>
    </row>
    <row r="687" spans="3:131" s="392" customFormat="1" x14ac:dyDescent="0.25">
      <c r="C687" s="395"/>
      <c r="I687" s="393"/>
      <c r="N687" s="393"/>
      <c r="O687" s="393"/>
      <c r="P687" s="393"/>
      <c r="Q687" s="393"/>
      <c r="Z687" s="393"/>
      <c r="AA687" s="393"/>
      <c r="AJ687" s="394"/>
      <c r="DU687" s="395"/>
      <c r="DV687" s="395"/>
      <c r="DW687" s="395"/>
      <c r="DX687" s="395"/>
      <c r="DY687" s="395"/>
      <c r="DZ687" s="395"/>
      <c r="EA687" s="395"/>
    </row>
    <row r="688" spans="3:131" s="392" customFormat="1" x14ac:dyDescent="0.25">
      <c r="C688" s="395"/>
      <c r="I688" s="393"/>
      <c r="N688" s="393"/>
      <c r="O688" s="393"/>
      <c r="P688" s="393"/>
      <c r="Q688" s="393"/>
      <c r="Z688" s="393"/>
      <c r="AA688" s="393"/>
      <c r="AJ688" s="394"/>
      <c r="DU688" s="395"/>
      <c r="DV688" s="395"/>
      <c r="DW688" s="395"/>
      <c r="DX688" s="395"/>
      <c r="DY688" s="395"/>
      <c r="DZ688" s="395"/>
      <c r="EA688" s="395"/>
    </row>
    <row r="689" spans="3:142" s="392" customFormat="1" x14ac:dyDescent="0.25">
      <c r="C689" s="395"/>
      <c r="I689" s="393"/>
      <c r="N689" s="393"/>
      <c r="O689" s="393"/>
      <c r="P689" s="393"/>
      <c r="Q689" s="393"/>
      <c r="Z689" s="393"/>
      <c r="AA689" s="393"/>
      <c r="AJ689" s="394"/>
      <c r="DU689" s="395"/>
      <c r="DV689" s="395"/>
      <c r="DW689" s="395"/>
      <c r="DX689" s="395"/>
      <c r="DY689" s="395"/>
      <c r="DZ689" s="395"/>
      <c r="EA689" s="395"/>
    </row>
    <row r="690" spans="3:142" s="392" customFormat="1" x14ac:dyDescent="0.25">
      <c r="C690" s="395"/>
      <c r="I690" s="393"/>
      <c r="N690" s="393"/>
      <c r="O690" s="393"/>
      <c r="P690" s="393"/>
      <c r="Q690" s="393"/>
      <c r="Z690" s="393"/>
      <c r="AA690" s="393"/>
      <c r="AJ690" s="394"/>
      <c r="DU690" s="395"/>
      <c r="DV690" s="395"/>
      <c r="DW690" s="395"/>
      <c r="DX690" s="395"/>
      <c r="DY690" s="395"/>
      <c r="DZ690" s="395"/>
      <c r="EA690" s="395"/>
    </row>
    <row r="691" spans="3:142" s="392" customFormat="1" x14ac:dyDescent="0.25">
      <c r="C691" s="395"/>
      <c r="I691" s="393"/>
      <c r="N691" s="393"/>
      <c r="O691" s="393"/>
      <c r="P691" s="393"/>
      <c r="Q691" s="393"/>
      <c r="Z691" s="393"/>
      <c r="AA691" s="393"/>
      <c r="AJ691" s="394"/>
      <c r="DU691" s="395"/>
      <c r="DV691" s="395"/>
      <c r="DW691" s="395"/>
      <c r="DX691" s="395"/>
      <c r="DY691" s="395"/>
      <c r="DZ691" s="395"/>
      <c r="EA691" s="395"/>
    </row>
    <row r="692" spans="3:142" s="392" customFormat="1" x14ac:dyDescent="0.25">
      <c r="C692" s="395"/>
      <c r="I692" s="393"/>
      <c r="N692" s="393"/>
      <c r="O692" s="393"/>
      <c r="P692" s="393"/>
      <c r="Q692" s="393"/>
      <c r="Z692" s="393"/>
      <c r="AA692" s="393"/>
      <c r="AJ692" s="394"/>
      <c r="DU692" s="395"/>
      <c r="DV692" s="395"/>
      <c r="DW692" s="395"/>
      <c r="DX692" s="395"/>
      <c r="DY692" s="395"/>
      <c r="DZ692" s="395"/>
      <c r="EA692" s="395"/>
    </row>
    <row r="693" spans="3:142" s="392" customFormat="1" x14ac:dyDescent="0.25">
      <c r="C693" s="395"/>
      <c r="I693" s="393"/>
      <c r="N693" s="393"/>
      <c r="O693" s="393"/>
      <c r="P693" s="393"/>
      <c r="Q693" s="393"/>
      <c r="Z693" s="393"/>
      <c r="AA693" s="393"/>
      <c r="AJ693" s="394"/>
      <c r="DU693" s="395"/>
      <c r="DV693" s="395"/>
      <c r="DW693" s="395"/>
      <c r="DX693" s="395"/>
      <c r="DY693" s="395"/>
      <c r="DZ693" s="395"/>
      <c r="EA693" s="395"/>
    </row>
    <row r="694" spans="3:142" s="392" customFormat="1" x14ac:dyDescent="0.25">
      <c r="C694" s="395"/>
      <c r="I694" s="393"/>
      <c r="N694" s="393"/>
      <c r="O694" s="393"/>
      <c r="P694" s="393"/>
      <c r="Q694" s="393"/>
      <c r="Z694" s="393"/>
      <c r="AA694" s="393"/>
      <c r="AJ694" s="394"/>
      <c r="DU694" s="395"/>
      <c r="DV694" s="395"/>
      <c r="DW694" s="395"/>
      <c r="DX694" s="395"/>
      <c r="DY694" s="395"/>
      <c r="DZ694" s="395"/>
      <c r="EA694" s="395"/>
    </row>
    <row r="695" spans="3:142" s="392" customFormat="1" x14ac:dyDescent="0.25">
      <c r="C695" s="395"/>
      <c r="I695" s="393"/>
      <c r="N695" s="393"/>
      <c r="O695" s="393"/>
      <c r="P695" s="393"/>
      <c r="Q695" s="393"/>
      <c r="Z695" s="393"/>
      <c r="AA695" s="393"/>
      <c r="AJ695" s="394"/>
      <c r="DU695" s="395"/>
      <c r="DV695" s="395"/>
      <c r="DW695" s="395"/>
      <c r="DX695" s="395"/>
      <c r="DY695" s="395"/>
      <c r="DZ695" s="395"/>
      <c r="EA695" s="395"/>
    </row>
    <row r="696" spans="3:142" s="392" customFormat="1" x14ac:dyDescent="0.25">
      <c r="C696" s="395"/>
      <c r="I696" s="393"/>
      <c r="N696" s="393"/>
      <c r="O696" s="393"/>
      <c r="P696" s="393"/>
      <c r="Q696" s="393"/>
      <c r="Z696" s="393"/>
      <c r="AA696" s="393"/>
      <c r="AJ696" s="394"/>
      <c r="DU696" s="395"/>
      <c r="DV696" s="395"/>
      <c r="DW696" s="395"/>
      <c r="DX696" s="395"/>
      <c r="DY696" s="395"/>
      <c r="DZ696" s="395"/>
      <c r="EA696" s="395"/>
    </row>
    <row r="697" spans="3:142" s="392" customFormat="1" x14ac:dyDescent="0.25">
      <c r="C697" s="395"/>
      <c r="I697" s="393"/>
      <c r="N697" s="393"/>
      <c r="O697" s="393"/>
      <c r="P697" s="393"/>
      <c r="Q697" s="393"/>
      <c r="Z697" s="393"/>
      <c r="AA697" s="393"/>
      <c r="AJ697" s="394"/>
      <c r="DU697" s="395"/>
      <c r="DV697" s="395"/>
      <c r="DW697" s="395"/>
      <c r="DX697" s="395"/>
      <c r="DY697" s="395"/>
      <c r="DZ697" s="395"/>
      <c r="EA697" s="395"/>
    </row>
    <row r="698" spans="3:142" s="392" customFormat="1" x14ac:dyDescent="0.25">
      <c r="C698" s="395"/>
      <c r="I698" s="393"/>
      <c r="N698" s="393"/>
      <c r="O698" s="393"/>
      <c r="P698" s="393"/>
      <c r="Q698" s="393"/>
      <c r="Z698" s="393"/>
      <c r="AA698" s="393"/>
      <c r="AJ698" s="394"/>
      <c r="DU698" s="395"/>
      <c r="DV698" s="395"/>
      <c r="DW698" s="395"/>
      <c r="DX698" s="395"/>
      <c r="DY698" s="395"/>
      <c r="DZ698" s="395"/>
      <c r="EA698" s="395"/>
    </row>
    <row r="699" spans="3:142" s="392" customFormat="1" x14ac:dyDescent="0.25">
      <c r="C699" s="395"/>
      <c r="I699" s="393"/>
      <c r="N699" s="393"/>
      <c r="O699" s="393"/>
      <c r="P699" s="393"/>
      <c r="Q699" s="393"/>
      <c r="Z699" s="393"/>
      <c r="AA699" s="393"/>
      <c r="AJ699" s="394"/>
      <c r="DU699" s="395"/>
      <c r="DV699" s="395"/>
      <c r="DW699" s="395"/>
      <c r="DX699" s="395"/>
      <c r="DY699" s="395"/>
      <c r="DZ699" s="395"/>
      <c r="EA699" s="395"/>
    </row>
    <row r="700" spans="3:142" s="392" customFormat="1" x14ac:dyDescent="0.25">
      <c r="C700" s="395"/>
      <c r="I700" s="393"/>
      <c r="N700" s="393"/>
      <c r="O700" s="393"/>
      <c r="P700" s="393"/>
      <c r="Q700" s="393"/>
      <c r="Z700" s="393"/>
      <c r="AA700" s="393"/>
      <c r="AJ700" s="394"/>
      <c r="DU700" s="395"/>
      <c r="DV700" s="395"/>
      <c r="DW700" s="395"/>
      <c r="DX700" s="395"/>
      <c r="DY700" s="395"/>
      <c r="DZ700" s="395"/>
      <c r="EA700" s="395"/>
    </row>
    <row r="701" spans="3:142" s="392" customFormat="1" x14ac:dyDescent="0.25">
      <c r="C701" s="395"/>
      <c r="I701" s="393"/>
      <c r="N701" s="393"/>
      <c r="O701" s="393"/>
      <c r="P701" s="393"/>
      <c r="Q701" s="393"/>
      <c r="Z701" s="393"/>
      <c r="AA701" s="393"/>
      <c r="AJ701" s="394"/>
      <c r="DU701" s="395"/>
      <c r="DV701" s="395"/>
      <c r="DW701" s="395"/>
      <c r="DX701" s="395"/>
      <c r="DY701" s="395"/>
      <c r="DZ701" s="395"/>
      <c r="EA701" s="395"/>
    </row>
    <row r="702" spans="3:142" s="182" customFormat="1" x14ac:dyDescent="0.25">
      <c r="C702" s="395"/>
      <c r="I702" s="184"/>
      <c r="N702" s="184"/>
      <c r="O702" s="184"/>
      <c r="P702" s="184"/>
      <c r="Q702" s="184"/>
      <c r="Z702" s="184"/>
      <c r="AA702" s="184"/>
      <c r="AJ702" s="185"/>
      <c r="DU702" s="395"/>
      <c r="DV702" s="395"/>
      <c r="DW702" s="395"/>
      <c r="DX702" s="395"/>
      <c r="DY702" s="395"/>
      <c r="DZ702" s="395"/>
      <c r="EA702" s="395"/>
      <c r="EB702" s="392"/>
      <c r="EC702" s="392"/>
      <c r="ED702" s="392"/>
      <c r="EE702" s="392"/>
      <c r="EF702" s="392"/>
      <c r="EG702" s="392"/>
      <c r="EH702" s="392"/>
      <c r="EI702" s="392"/>
      <c r="EJ702" s="392"/>
      <c r="EK702" s="392"/>
      <c r="EL702" s="392"/>
    </row>
    <row r="703" spans="3:142" s="182" customFormat="1" x14ac:dyDescent="0.25">
      <c r="C703" s="395"/>
      <c r="I703" s="184"/>
      <c r="N703" s="184"/>
      <c r="O703" s="184"/>
      <c r="P703" s="184"/>
      <c r="Q703" s="184"/>
      <c r="Z703" s="184"/>
      <c r="AA703" s="184"/>
      <c r="AJ703" s="185"/>
      <c r="DU703" s="395"/>
      <c r="DV703" s="395"/>
      <c r="DW703" s="395"/>
      <c r="DX703" s="395"/>
      <c r="DY703" s="395"/>
      <c r="DZ703" s="395"/>
      <c r="EA703" s="395"/>
      <c r="EB703" s="392"/>
      <c r="EC703" s="392"/>
      <c r="ED703" s="392"/>
      <c r="EE703" s="392"/>
      <c r="EF703" s="392"/>
      <c r="EG703" s="392"/>
      <c r="EH703" s="392"/>
      <c r="EI703" s="392"/>
      <c r="EJ703" s="392"/>
      <c r="EK703" s="392"/>
      <c r="EL703" s="392"/>
    </row>
    <row r="704" spans="3:142" s="182" customFormat="1" x14ac:dyDescent="0.25">
      <c r="C704" s="395"/>
      <c r="I704" s="184"/>
      <c r="N704" s="184"/>
      <c r="O704" s="184"/>
      <c r="P704" s="184"/>
      <c r="Q704" s="184"/>
      <c r="Z704" s="184"/>
      <c r="AA704" s="184"/>
      <c r="AJ704" s="185"/>
      <c r="DU704" s="395"/>
      <c r="DV704" s="395"/>
      <c r="DW704" s="395"/>
      <c r="DX704" s="395"/>
      <c r="DY704" s="395"/>
      <c r="DZ704" s="395"/>
      <c r="EA704" s="395"/>
      <c r="EB704" s="392"/>
      <c r="EC704" s="392"/>
      <c r="ED704" s="392"/>
      <c r="EE704" s="392"/>
      <c r="EF704" s="392"/>
      <c r="EG704" s="392"/>
      <c r="EH704" s="392"/>
      <c r="EI704" s="392"/>
      <c r="EJ704" s="392"/>
      <c r="EK704" s="392"/>
      <c r="EL704" s="392"/>
    </row>
    <row r="705" spans="3:142" s="182" customFormat="1" x14ac:dyDescent="0.25">
      <c r="C705" s="395"/>
      <c r="I705" s="184"/>
      <c r="N705" s="184"/>
      <c r="O705" s="184"/>
      <c r="P705" s="184"/>
      <c r="Q705" s="184"/>
      <c r="Z705" s="184"/>
      <c r="AA705" s="184"/>
      <c r="AJ705" s="185"/>
      <c r="DU705" s="395"/>
      <c r="DV705" s="395"/>
      <c r="DW705" s="395"/>
      <c r="DX705" s="395"/>
      <c r="DY705" s="395"/>
      <c r="DZ705" s="395"/>
      <c r="EA705" s="395"/>
      <c r="EB705" s="392"/>
      <c r="EC705" s="392"/>
      <c r="ED705" s="392"/>
      <c r="EE705" s="392"/>
      <c r="EF705" s="392"/>
      <c r="EG705" s="392"/>
      <c r="EH705" s="392"/>
      <c r="EI705" s="392"/>
      <c r="EJ705" s="392"/>
      <c r="EK705" s="392"/>
      <c r="EL705" s="392"/>
    </row>
    <row r="706" spans="3:142" s="182" customFormat="1" x14ac:dyDescent="0.25">
      <c r="C706" s="395"/>
      <c r="I706" s="184"/>
      <c r="N706" s="184"/>
      <c r="O706" s="184"/>
      <c r="P706" s="184"/>
      <c r="Q706" s="184"/>
      <c r="Z706" s="184"/>
      <c r="AA706" s="184"/>
      <c r="AJ706" s="185"/>
      <c r="DU706" s="395"/>
      <c r="DV706" s="395"/>
      <c r="DW706" s="395"/>
      <c r="DX706" s="395"/>
      <c r="DY706" s="395"/>
      <c r="DZ706" s="395"/>
      <c r="EA706" s="395"/>
      <c r="EB706" s="392"/>
      <c r="EC706" s="392"/>
      <c r="ED706" s="392"/>
      <c r="EE706" s="392"/>
      <c r="EF706" s="392"/>
      <c r="EG706" s="392"/>
      <c r="EH706" s="392"/>
      <c r="EI706" s="392"/>
      <c r="EJ706" s="392"/>
      <c r="EK706" s="392"/>
      <c r="EL706" s="392"/>
    </row>
    <row r="707" spans="3:142" s="182" customFormat="1" x14ac:dyDescent="0.25">
      <c r="C707" s="395"/>
      <c r="I707" s="184"/>
      <c r="N707" s="184"/>
      <c r="O707" s="184"/>
      <c r="P707" s="184"/>
      <c r="Q707" s="184"/>
      <c r="Z707" s="184"/>
      <c r="AA707" s="184"/>
      <c r="AJ707" s="185"/>
      <c r="DU707" s="395"/>
      <c r="DV707" s="395"/>
      <c r="DW707" s="395"/>
      <c r="DX707" s="395"/>
      <c r="DY707" s="395"/>
      <c r="DZ707" s="395"/>
      <c r="EA707" s="395"/>
      <c r="EB707" s="392"/>
      <c r="EC707" s="392"/>
      <c r="ED707" s="392"/>
      <c r="EE707" s="392"/>
      <c r="EF707" s="392"/>
      <c r="EG707" s="392"/>
      <c r="EH707" s="392"/>
      <c r="EI707" s="392"/>
      <c r="EJ707" s="392"/>
      <c r="EK707" s="392"/>
      <c r="EL707" s="392"/>
    </row>
    <row r="708" spans="3:142" s="182" customFormat="1" x14ac:dyDescent="0.25">
      <c r="C708" s="395"/>
      <c r="I708" s="184"/>
      <c r="N708" s="184"/>
      <c r="O708" s="184"/>
      <c r="P708" s="184"/>
      <c r="Q708" s="184"/>
      <c r="Z708" s="184"/>
      <c r="AA708" s="184"/>
      <c r="AJ708" s="185"/>
      <c r="DU708" s="395"/>
      <c r="DV708" s="395"/>
      <c r="DW708" s="395"/>
      <c r="DX708" s="395"/>
      <c r="DY708" s="395"/>
      <c r="DZ708" s="395"/>
      <c r="EA708" s="395"/>
      <c r="EB708" s="392"/>
      <c r="EC708" s="392"/>
      <c r="ED708" s="392"/>
      <c r="EE708" s="392"/>
      <c r="EF708" s="392"/>
      <c r="EG708" s="392"/>
      <c r="EH708" s="392"/>
      <c r="EI708" s="392"/>
      <c r="EJ708" s="392"/>
      <c r="EK708" s="392"/>
      <c r="EL708" s="392"/>
    </row>
    <row r="709" spans="3:142" s="182" customFormat="1" x14ac:dyDescent="0.25">
      <c r="C709" s="395"/>
      <c r="I709" s="184"/>
      <c r="N709" s="184"/>
      <c r="O709" s="184"/>
      <c r="P709" s="184"/>
      <c r="Q709" s="184"/>
      <c r="Z709" s="184"/>
      <c r="AA709" s="184"/>
      <c r="AJ709" s="185"/>
      <c r="DU709" s="395"/>
      <c r="DV709" s="395"/>
      <c r="DW709" s="395"/>
      <c r="DX709" s="395"/>
      <c r="DY709" s="395"/>
      <c r="DZ709" s="395"/>
      <c r="EA709" s="395"/>
      <c r="EB709" s="392"/>
      <c r="EC709" s="392"/>
      <c r="ED709" s="392"/>
      <c r="EE709" s="392"/>
      <c r="EF709" s="392"/>
      <c r="EG709" s="392"/>
      <c r="EH709" s="392"/>
      <c r="EI709" s="392"/>
      <c r="EJ709" s="392"/>
      <c r="EK709" s="392"/>
      <c r="EL709" s="392"/>
    </row>
    <row r="710" spans="3:142" s="182" customFormat="1" x14ac:dyDescent="0.25">
      <c r="C710" s="395"/>
      <c r="I710" s="184"/>
      <c r="N710" s="184"/>
      <c r="O710" s="184"/>
      <c r="P710" s="184"/>
      <c r="Q710" s="184"/>
      <c r="Z710" s="184"/>
      <c r="AA710" s="184"/>
      <c r="AJ710" s="185"/>
      <c r="DU710" s="395"/>
      <c r="DV710" s="395"/>
      <c r="DW710" s="395"/>
      <c r="DX710" s="395"/>
      <c r="DY710" s="395"/>
      <c r="DZ710" s="395"/>
      <c r="EA710" s="395"/>
      <c r="EB710" s="392"/>
      <c r="EC710" s="392"/>
      <c r="ED710" s="392"/>
      <c r="EE710" s="392"/>
      <c r="EF710" s="392"/>
      <c r="EG710" s="392"/>
      <c r="EH710" s="392"/>
      <c r="EI710" s="392"/>
      <c r="EJ710" s="392"/>
      <c r="EK710" s="392"/>
      <c r="EL710" s="392"/>
    </row>
    <row r="711" spans="3:142" s="182" customFormat="1" x14ac:dyDescent="0.25">
      <c r="C711" s="395"/>
      <c r="I711" s="184"/>
      <c r="N711" s="184"/>
      <c r="O711" s="184"/>
      <c r="P711" s="184"/>
      <c r="Q711" s="184"/>
      <c r="Z711" s="184"/>
      <c r="AA711" s="184"/>
      <c r="AJ711" s="185"/>
      <c r="DU711" s="395"/>
      <c r="DV711" s="395"/>
      <c r="DW711" s="395"/>
      <c r="DX711" s="395"/>
      <c r="DY711" s="395"/>
      <c r="DZ711" s="395"/>
      <c r="EA711" s="395"/>
      <c r="EB711" s="392"/>
      <c r="EC711" s="392"/>
      <c r="ED711" s="392"/>
      <c r="EE711" s="392"/>
      <c r="EF711" s="392"/>
      <c r="EG711" s="392"/>
      <c r="EH711" s="392"/>
      <c r="EI711" s="392"/>
      <c r="EJ711" s="392"/>
      <c r="EK711" s="392"/>
      <c r="EL711" s="392"/>
    </row>
    <row r="712" spans="3:142" s="182" customFormat="1" x14ac:dyDescent="0.25">
      <c r="C712" s="395"/>
      <c r="I712" s="184"/>
      <c r="N712" s="184"/>
      <c r="O712" s="184"/>
      <c r="P712" s="184"/>
      <c r="Q712" s="184"/>
      <c r="Z712" s="184"/>
      <c r="AA712" s="184"/>
      <c r="AJ712" s="185"/>
      <c r="DU712" s="395"/>
      <c r="DV712" s="395"/>
      <c r="DW712" s="395"/>
      <c r="DX712" s="395"/>
      <c r="DY712" s="395"/>
      <c r="DZ712" s="395"/>
      <c r="EA712" s="395"/>
      <c r="EB712" s="392"/>
      <c r="EC712" s="392"/>
      <c r="ED712" s="392"/>
      <c r="EE712" s="392"/>
      <c r="EF712" s="392"/>
      <c r="EG712" s="392"/>
      <c r="EH712" s="392"/>
      <c r="EI712" s="392"/>
      <c r="EJ712" s="392"/>
      <c r="EK712" s="392"/>
      <c r="EL712" s="392"/>
    </row>
    <row r="713" spans="3:142" s="182" customFormat="1" x14ac:dyDescent="0.25">
      <c r="C713" s="395"/>
      <c r="I713" s="184"/>
      <c r="N713" s="184"/>
      <c r="O713" s="184"/>
      <c r="P713" s="184"/>
      <c r="Q713" s="184"/>
      <c r="Z713" s="184"/>
      <c r="AA713" s="184"/>
      <c r="AJ713" s="185"/>
      <c r="DU713" s="395"/>
      <c r="DV713" s="395"/>
      <c r="DW713" s="395"/>
      <c r="DX713" s="395"/>
      <c r="DY713" s="395"/>
      <c r="DZ713" s="395"/>
      <c r="EA713" s="395"/>
      <c r="EB713" s="392"/>
      <c r="EC713" s="392"/>
      <c r="ED713" s="392"/>
      <c r="EE713" s="392"/>
      <c r="EF713" s="392"/>
      <c r="EG713" s="392"/>
      <c r="EH713" s="392"/>
      <c r="EI713" s="392"/>
      <c r="EJ713" s="392"/>
      <c r="EK713" s="392"/>
      <c r="EL713" s="392"/>
    </row>
    <row r="714" spans="3:142" s="182" customFormat="1" x14ac:dyDescent="0.25">
      <c r="C714" s="395"/>
      <c r="I714" s="184"/>
      <c r="N714" s="184"/>
      <c r="O714" s="184"/>
      <c r="P714" s="184"/>
      <c r="Q714" s="184"/>
      <c r="Z714" s="184"/>
      <c r="AA714" s="184"/>
      <c r="AJ714" s="185"/>
      <c r="DU714" s="395"/>
      <c r="DV714" s="395"/>
      <c r="DW714" s="395"/>
      <c r="DX714" s="395"/>
      <c r="DY714" s="395"/>
      <c r="DZ714" s="395"/>
      <c r="EA714" s="395"/>
      <c r="EB714" s="392"/>
      <c r="EC714" s="392"/>
      <c r="ED714" s="392"/>
      <c r="EE714" s="392"/>
      <c r="EF714" s="392"/>
      <c r="EG714" s="392"/>
      <c r="EH714" s="392"/>
      <c r="EI714" s="392"/>
      <c r="EJ714" s="392"/>
      <c r="EK714" s="392"/>
      <c r="EL714" s="392"/>
    </row>
    <row r="715" spans="3:142" s="182" customFormat="1" x14ac:dyDescent="0.25">
      <c r="C715" s="395"/>
      <c r="I715" s="184"/>
      <c r="N715" s="184"/>
      <c r="O715" s="184"/>
      <c r="P715" s="184"/>
      <c r="Q715" s="184"/>
      <c r="Z715" s="184"/>
      <c r="AA715" s="184"/>
      <c r="AJ715" s="185"/>
      <c r="DU715" s="395"/>
      <c r="DV715" s="395"/>
      <c r="DW715" s="395"/>
      <c r="DX715" s="395"/>
      <c r="DY715" s="395"/>
      <c r="DZ715" s="395"/>
      <c r="EA715" s="395"/>
      <c r="EB715" s="392"/>
      <c r="EC715" s="392"/>
      <c r="ED715" s="392"/>
      <c r="EE715" s="392"/>
      <c r="EF715" s="392"/>
      <c r="EG715" s="392"/>
      <c r="EH715" s="392"/>
      <c r="EI715" s="392"/>
      <c r="EJ715" s="392"/>
      <c r="EK715" s="392"/>
      <c r="EL715" s="392"/>
    </row>
    <row r="716" spans="3:142" s="182" customFormat="1" x14ac:dyDescent="0.25">
      <c r="C716" s="395"/>
      <c r="I716" s="184"/>
      <c r="N716" s="184"/>
      <c r="O716" s="184"/>
      <c r="P716" s="184"/>
      <c r="Q716" s="184"/>
      <c r="Z716" s="184"/>
      <c r="AA716" s="184"/>
      <c r="AJ716" s="185"/>
      <c r="DU716" s="395"/>
      <c r="DV716" s="395"/>
      <c r="DW716" s="395"/>
      <c r="DX716" s="395"/>
      <c r="DY716" s="395"/>
      <c r="DZ716" s="395"/>
      <c r="EA716" s="395"/>
      <c r="EB716" s="392"/>
      <c r="EC716" s="392"/>
      <c r="ED716" s="392"/>
      <c r="EE716" s="392"/>
      <c r="EF716" s="392"/>
      <c r="EG716" s="392"/>
      <c r="EH716" s="392"/>
      <c r="EI716" s="392"/>
      <c r="EJ716" s="392"/>
      <c r="EK716" s="392"/>
      <c r="EL716" s="392"/>
    </row>
    <row r="717" spans="3:142" s="182" customFormat="1" x14ac:dyDescent="0.25">
      <c r="C717" s="395"/>
      <c r="I717" s="184"/>
      <c r="N717" s="184"/>
      <c r="O717" s="184"/>
      <c r="P717" s="184"/>
      <c r="Q717" s="184"/>
      <c r="Z717" s="184"/>
      <c r="AA717" s="184"/>
      <c r="AJ717" s="185"/>
      <c r="DU717" s="395"/>
      <c r="DV717" s="395"/>
      <c r="DW717" s="395"/>
      <c r="DX717" s="395"/>
      <c r="DY717" s="395"/>
      <c r="DZ717" s="395"/>
      <c r="EA717" s="395"/>
      <c r="EB717" s="392"/>
      <c r="EC717" s="392"/>
      <c r="ED717" s="392"/>
      <c r="EE717" s="392"/>
      <c r="EF717" s="392"/>
      <c r="EG717" s="392"/>
      <c r="EH717" s="392"/>
      <c r="EI717" s="392"/>
      <c r="EJ717" s="392"/>
      <c r="EK717" s="392"/>
      <c r="EL717" s="392"/>
    </row>
    <row r="718" spans="3:142" s="182" customFormat="1" x14ac:dyDescent="0.25">
      <c r="C718" s="395"/>
      <c r="I718" s="184"/>
      <c r="N718" s="184"/>
      <c r="O718" s="184"/>
      <c r="P718" s="184"/>
      <c r="Q718" s="184"/>
      <c r="Z718" s="184"/>
      <c r="AA718" s="184"/>
      <c r="AJ718" s="185"/>
      <c r="DU718" s="395"/>
      <c r="DV718" s="395"/>
      <c r="DW718" s="395"/>
      <c r="DX718" s="395"/>
      <c r="DY718" s="395"/>
      <c r="DZ718" s="395"/>
      <c r="EA718" s="395"/>
      <c r="EB718" s="392"/>
      <c r="EC718" s="392"/>
      <c r="ED718" s="392"/>
      <c r="EE718" s="392"/>
      <c r="EF718" s="392"/>
      <c r="EG718" s="392"/>
      <c r="EH718" s="392"/>
      <c r="EI718" s="392"/>
      <c r="EJ718" s="392"/>
      <c r="EK718" s="392"/>
      <c r="EL718" s="392"/>
    </row>
    <row r="719" spans="3:142" s="182" customFormat="1" x14ac:dyDescent="0.25">
      <c r="C719" s="395"/>
      <c r="I719" s="184"/>
      <c r="N719" s="184"/>
      <c r="O719" s="184"/>
      <c r="P719" s="184"/>
      <c r="Q719" s="184"/>
      <c r="Z719" s="184"/>
      <c r="AA719" s="184"/>
      <c r="AJ719" s="185"/>
      <c r="DU719" s="395"/>
      <c r="DV719" s="395"/>
      <c r="DW719" s="395"/>
      <c r="DX719" s="395"/>
      <c r="DY719" s="395"/>
      <c r="DZ719" s="395"/>
      <c r="EA719" s="395"/>
      <c r="EB719" s="392"/>
      <c r="EC719" s="392"/>
      <c r="ED719" s="392"/>
      <c r="EE719" s="392"/>
      <c r="EF719" s="392"/>
      <c r="EG719" s="392"/>
      <c r="EH719" s="392"/>
      <c r="EI719" s="392"/>
      <c r="EJ719" s="392"/>
      <c r="EK719" s="392"/>
      <c r="EL719" s="392"/>
    </row>
    <row r="720" spans="3:142" s="182" customFormat="1" x14ac:dyDescent="0.25">
      <c r="C720" s="395"/>
      <c r="I720" s="184"/>
      <c r="N720" s="184"/>
      <c r="O720" s="184"/>
      <c r="P720" s="184"/>
      <c r="Q720" s="184"/>
      <c r="Z720" s="184"/>
      <c r="AA720" s="184"/>
      <c r="AJ720" s="185"/>
      <c r="DU720" s="395"/>
      <c r="DV720" s="395"/>
      <c r="DW720" s="395"/>
      <c r="DX720" s="395"/>
      <c r="DY720" s="395"/>
      <c r="DZ720" s="395"/>
      <c r="EA720" s="395"/>
      <c r="EB720" s="392"/>
      <c r="EC720" s="392"/>
      <c r="ED720" s="392"/>
      <c r="EE720" s="392"/>
      <c r="EF720" s="392"/>
      <c r="EG720" s="392"/>
      <c r="EH720" s="392"/>
      <c r="EI720" s="392"/>
      <c r="EJ720" s="392"/>
      <c r="EK720" s="392"/>
      <c r="EL720" s="392"/>
    </row>
    <row r="721" spans="3:142" s="182" customFormat="1" x14ac:dyDescent="0.25">
      <c r="C721" s="395"/>
      <c r="I721" s="184"/>
      <c r="N721" s="184"/>
      <c r="O721" s="184"/>
      <c r="P721" s="184"/>
      <c r="Q721" s="184"/>
      <c r="Z721" s="184"/>
      <c r="AA721" s="184"/>
      <c r="AJ721" s="185"/>
      <c r="DU721" s="395"/>
      <c r="DV721" s="395"/>
      <c r="DW721" s="395"/>
      <c r="DX721" s="395"/>
      <c r="DY721" s="395"/>
      <c r="DZ721" s="395"/>
      <c r="EA721" s="395"/>
      <c r="EB721" s="392"/>
      <c r="EC721" s="392"/>
      <c r="ED721" s="392"/>
      <c r="EE721" s="392"/>
      <c r="EF721" s="392"/>
      <c r="EG721" s="392"/>
      <c r="EH721" s="392"/>
      <c r="EI721" s="392"/>
      <c r="EJ721" s="392"/>
      <c r="EK721" s="392"/>
      <c r="EL721" s="392"/>
    </row>
    <row r="722" spans="3:142" s="182" customFormat="1" x14ac:dyDescent="0.25">
      <c r="C722" s="395"/>
      <c r="I722" s="184"/>
      <c r="N722" s="184"/>
      <c r="O722" s="184"/>
      <c r="P722" s="184"/>
      <c r="Q722" s="184"/>
      <c r="Z722" s="184"/>
      <c r="AA722" s="184"/>
      <c r="AJ722" s="185"/>
      <c r="DU722" s="395"/>
      <c r="DV722" s="395"/>
      <c r="DW722" s="395"/>
      <c r="DX722" s="395"/>
      <c r="DY722" s="395"/>
      <c r="DZ722" s="395"/>
      <c r="EA722" s="395"/>
      <c r="EB722" s="392"/>
      <c r="EC722" s="392"/>
      <c r="ED722" s="392"/>
      <c r="EE722" s="392"/>
      <c r="EF722" s="392"/>
      <c r="EG722" s="392"/>
      <c r="EH722" s="392"/>
      <c r="EI722" s="392"/>
      <c r="EJ722" s="392"/>
      <c r="EK722" s="392"/>
      <c r="EL722" s="392"/>
    </row>
    <row r="723" spans="3:142" s="182" customFormat="1" x14ac:dyDescent="0.25">
      <c r="C723" s="395"/>
      <c r="I723" s="184"/>
      <c r="N723" s="184"/>
      <c r="O723" s="184"/>
      <c r="P723" s="184"/>
      <c r="Q723" s="184"/>
      <c r="Z723" s="184"/>
      <c r="AA723" s="184"/>
      <c r="AJ723" s="185"/>
      <c r="DU723" s="395"/>
      <c r="DV723" s="395"/>
      <c r="DW723" s="395"/>
      <c r="DX723" s="395"/>
      <c r="DY723" s="395"/>
      <c r="DZ723" s="395"/>
      <c r="EA723" s="395"/>
      <c r="EB723" s="392"/>
      <c r="EC723" s="392"/>
      <c r="ED723" s="392"/>
      <c r="EE723" s="392"/>
      <c r="EF723" s="392"/>
      <c r="EG723" s="392"/>
      <c r="EH723" s="392"/>
      <c r="EI723" s="392"/>
      <c r="EJ723" s="392"/>
      <c r="EK723" s="392"/>
      <c r="EL723" s="392"/>
    </row>
    <row r="724" spans="3:142" s="182" customFormat="1" x14ac:dyDescent="0.25">
      <c r="C724" s="395"/>
      <c r="I724" s="184"/>
      <c r="N724" s="184"/>
      <c r="O724" s="184"/>
      <c r="P724" s="184"/>
      <c r="Q724" s="184"/>
      <c r="Z724" s="184"/>
      <c r="AA724" s="184"/>
      <c r="AJ724" s="185"/>
      <c r="DU724" s="395"/>
      <c r="DV724" s="395"/>
      <c r="DW724" s="395"/>
      <c r="DX724" s="395"/>
      <c r="DY724" s="395"/>
      <c r="DZ724" s="395"/>
      <c r="EA724" s="395"/>
      <c r="EB724" s="392"/>
      <c r="EC724" s="392"/>
      <c r="ED724" s="392"/>
      <c r="EE724" s="392"/>
      <c r="EF724" s="392"/>
      <c r="EG724" s="392"/>
      <c r="EH724" s="392"/>
      <c r="EI724" s="392"/>
      <c r="EJ724" s="392"/>
      <c r="EK724" s="392"/>
      <c r="EL724" s="392"/>
    </row>
    <row r="725" spans="3:142" s="182" customFormat="1" x14ac:dyDescent="0.25">
      <c r="C725" s="395"/>
      <c r="I725" s="184"/>
      <c r="N725" s="184"/>
      <c r="O725" s="184"/>
      <c r="P725" s="184"/>
      <c r="Q725" s="184"/>
      <c r="Z725" s="184"/>
      <c r="AA725" s="184"/>
      <c r="AJ725" s="185"/>
      <c r="DU725" s="395"/>
      <c r="DV725" s="395"/>
      <c r="DW725" s="395"/>
      <c r="DX725" s="395"/>
      <c r="DY725" s="395"/>
      <c r="DZ725" s="395"/>
      <c r="EA725" s="395"/>
      <c r="EB725" s="392"/>
      <c r="EC725" s="392"/>
      <c r="ED725" s="392"/>
      <c r="EE725" s="392"/>
      <c r="EF725" s="392"/>
      <c r="EG725" s="392"/>
      <c r="EH725" s="392"/>
      <c r="EI725" s="392"/>
      <c r="EJ725" s="392"/>
      <c r="EK725" s="392"/>
      <c r="EL725" s="392"/>
    </row>
    <row r="726" spans="3:142" s="182" customFormat="1" x14ac:dyDescent="0.25">
      <c r="C726" s="395"/>
      <c r="I726" s="184"/>
      <c r="N726" s="184"/>
      <c r="O726" s="184"/>
      <c r="P726" s="184"/>
      <c r="Q726" s="184"/>
      <c r="Z726" s="184"/>
      <c r="AA726" s="184"/>
      <c r="AJ726" s="185"/>
      <c r="DU726" s="395"/>
      <c r="DV726" s="395"/>
      <c r="DW726" s="395"/>
      <c r="DX726" s="395"/>
      <c r="DY726" s="395"/>
      <c r="DZ726" s="395"/>
      <c r="EA726" s="395"/>
      <c r="EB726" s="392"/>
      <c r="EC726" s="392"/>
      <c r="ED726" s="392"/>
      <c r="EE726" s="392"/>
      <c r="EF726" s="392"/>
      <c r="EG726" s="392"/>
      <c r="EH726" s="392"/>
      <c r="EI726" s="392"/>
      <c r="EJ726" s="392"/>
      <c r="EK726" s="392"/>
      <c r="EL726" s="392"/>
    </row>
    <row r="727" spans="3:142" s="182" customFormat="1" x14ac:dyDescent="0.25">
      <c r="C727" s="395"/>
      <c r="I727" s="184"/>
      <c r="N727" s="184"/>
      <c r="O727" s="184"/>
      <c r="P727" s="184"/>
      <c r="Q727" s="184"/>
      <c r="Z727" s="184"/>
      <c r="AA727" s="184"/>
      <c r="AJ727" s="185"/>
      <c r="DU727" s="395"/>
      <c r="DV727" s="395"/>
      <c r="DW727" s="395"/>
      <c r="DX727" s="395"/>
      <c r="DY727" s="395"/>
      <c r="DZ727" s="395"/>
      <c r="EA727" s="395"/>
      <c r="EB727" s="392"/>
      <c r="EC727" s="392"/>
      <c r="ED727" s="392"/>
      <c r="EE727" s="392"/>
      <c r="EF727" s="392"/>
      <c r="EG727" s="392"/>
      <c r="EH727" s="392"/>
      <c r="EI727" s="392"/>
      <c r="EJ727" s="392"/>
      <c r="EK727" s="392"/>
      <c r="EL727" s="392"/>
    </row>
    <row r="728" spans="3:142" s="182" customFormat="1" x14ac:dyDescent="0.25">
      <c r="C728" s="395"/>
      <c r="I728" s="184"/>
      <c r="N728" s="184"/>
      <c r="O728" s="184"/>
      <c r="P728" s="184"/>
      <c r="Q728" s="184"/>
      <c r="Z728" s="184"/>
      <c r="AA728" s="184"/>
      <c r="AJ728" s="185"/>
      <c r="DU728" s="395"/>
      <c r="DV728" s="395"/>
      <c r="DW728" s="395"/>
      <c r="DX728" s="395"/>
      <c r="DY728" s="395"/>
      <c r="DZ728" s="395"/>
      <c r="EA728" s="395"/>
      <c r="EB728" s="392"/>
      <c r="EC728" s="392"/>
      <c r="ED728" s="392"/>
      <c r="EE728" s="392"/>
      <c r="EF728" s="392"/>
      <c r="EG728" s="392"/>
      <c r="EH728" s="392"/>
      <c r="EI728" s="392"/>
      <c r="EJ728" s="392"/>
      <c r="EK728" s="392"/>
      <c r="EL728" s="392"/>
    </row>
    <row r="729" spans="3:142" s="182" customFormat="1" x14ac:dyDescent="0.25">
      <c r="C729" s="395"/>
      <c r="I729" s="184"/>
      <c r="N729" s="184"/>
      <c r="O729" s="184"/>
      <c r="P729" s="184"/>
      <c r="Q729" s="184"/>
      <c r="Z729" s="184"/>
      <c r="AA729" s="184"/>
      <c r="AJ729" s="185"/>
      <c r="DU729" s="395"/>
      <c r="DV729" s="395"/>
      <c r="DW729" s="395"/>
      <c r="DX729" s="395"/>
      <c r="DY729" s="395"/>
      <c r="DZ729" s="395"/>
      <c r="EA729" s="395"/>
      <c r="EB729" s="392"/>
      <c r="EC729" s="392"/>
      <c r="ED729" s="392"/>
      <c r="EE729" s="392"/>
      <c r="EF729" s="392"/>
      <c r="EG729" s="392"/>
      <c r="EH729" s="392"/>
      <c r="EI729" s="392"/>
      <c r="EJ729" s="392"/>
      <c r="EK729" s="392"/>
      <c r="EL729" s="392"/>
    </row>
    <row r="730" spans="3:142" s="182" customFormat="1" x14ac:dyDescent="0.25">
      <c r="C730" s="395"/>
      <c r="I730" s="184"/>
      <c r="N730" s="184"/>
      <c r="O730" s="184"/>
      <c r="P730" s="184"/>
      <c r="Q730" s="184"/>
      <c r="Z730" s="184"/>
      <c r="AA730" s="184"/>
      <c r="AJ730" s="185"/>
      <c r="DU730" s="395"/>
      <c r="DV730" s="395"/>
      <c r="DW730" s="395"/>
      <c r="DX730" s="395"/>
      <c r="DY730" s="395"/>
      <c r="DZ730" s="395"/>
      <c r="EA730" s="395"/>
      <c r="EB730" s="392"/>
      <c r="EC730" s="392"/>
      <c r="ED730" s="392"/>
      <c r="EE730" s="392"/>
      <c r="EF730" s="392"/>
      <c r="EG730" s="392"/>
      <c r="EH730" s="392"/>
      <c r="EI730" s="392"/>
      <c r="EJ730" s="392"/>
      <c r="EK730" s="392"/>
      <c r="EL730" s="392"/>
    </row>
    <row r="731" spans="3:142" s="182" customFormat="1" x14ac:dyDescent="0.25">
      <c r="C731" s="395"/>
      <c r="I731" s="184"/>
      <c r="N731" s="184"/>
      <c r="O731" s="184"/>
      <c r="P731" s="184"/>
      <c r="Q731" s="184"/>
      <c r="Z731" s="184"/>
      <c r="AA731" s="184"/>
      <c r="AJ731" s="185"/>
      <c r="DU731" s="395"/>
      <c r="DV731" s="395"/>
      <c r="DW731" s="395"/>
      <c r="DX731" s="395"/>
      <c r="DY731" s="395"/>
      <c r="DZ731" s="395"/>
      <c r="EA731" s="395"/>
      <c r="EB731" s="392"/>
      <c r="EC731" s="392"/>
      <c r="ED731" s="392"/>
      <c r="EE731" s="392"/>
      <c r="EF731" s="392"/>
      <c r="EG731" s="392"/>
      <c r="EH731" s="392"/>
      <c r="EI731" s="392"/>
      <c r="EJ731" s="392"/>
      <c r="EK731" s="392"/>
      <c r="EL731" s="392"/>
    </row>
    <row r="732" spans="3:142" s="182" customFormat="1" x14ac:dyDescent="0.25">
      <c r="C732" s="395"/>
      <c r="I732" s="184"/>
      <c r="N732" s="184"/>
      <c r="O732" s="184"/>
      <c r="P732" s="184"/>
      <c r="Q732" s="184"/>
      <c r="Z732" s="184"/>
      <c r="AA732" s="184"/>
      <c r="AJ732" s="185"/>
      <c r="DU732" s="395"/>
      <c r="DV732" s="395"/>
      <c r="DW732" s="395"/>
      <c r="DX732" s="395"/>
      <c r="DY732" s="395"/>
      <c r="DZ732" s="395"/>
      <c r="EA732" s="395"/>
      <c r="EB732" s="392"/>
      <c r="EC732" s="392"/>
      <c r="ED732" s="392"/>
      <c r="EE732" s="392"/>
      <c r="EF732" s="392"/>
      <c r="EG732" s="392"/>
      <c r="EH732" s="392"/>
      <c r="EI732" s="392"/>
      <c r="EJ732" s="392"/>
      <c r="EK732" s="392"/>
      <c r="EL732" s="392"/>
    </row>
    <row r="733" spans="3:142" s="182" customFormat="1" x14ac:dyDescent="0.25">
      <c r="C733" s="395"/>
      <c r="I733" s="184"/>
      <c r="N733" s="184"/>
      <c r="O733" s="184"/>
      <c r="P733" s="184"/>
      <c r="Q733" s="184"/>
      <c r="Z733" s="184"/>
      <c r="AA733" s="184"/>
      <c r="AJ733" s="185"/>
      <c r="DU733" s="395"/>
      <c r="DV733" s="395"/>
      <c r="DW733" s="395"/>
      <c r="DX733" s="395"/>
      <c r="DY733" s="395"/>
      <c r="DZ733" s="395"/>
      <c r="EA733" s="395"/>
      <c r="EB733" s="392"/>
      <c r="EC733" s="392"/>
      <c r="ED733" s="392"/>
      <c r="EE733" s="392"/>
      <c r="EF733" s="392"/>
      <c r="EG733" s="392"/>
      <c r="EH733" s="392"/>
      <c r="EI733" s="392"/>
      <c r="EJ733" s="392"/>
      <c r="EK733" s="392"/>
      <c r="EL733" s="392"/>
    </row>
    <row r="734" spans="3:142" s="182" customFormat="1" x14ac:dyDescent="0.25">
      <c r="C734" s="395"/>
      <c r="I734" s="184"/>
      <c r="N734" s="184"/>
      <c r="O734" s="184"/>
      <c r="P734" s="184"/>
      <c r="Q734" s="184"/>
      <c r="Z734" s="184"/>
      <c r="AA734" s="184"/>
      <c r="AJ734" s="185"/>
      <c r="DU734" s="395"/>
      <c r="DV734" s="395"/>
      <c r="DW734" s="395"/>
      <c r="DX734" s="395"/>
      <c r="DY734" s="395"/>
      <c r="DZ734" s="395"/>
      <c r="EA734" s="395"/>
      <c r="EB734" s="392"/>
      <c r="EC734" s="392"/>
      <c r="ED734" s="392"/>
      <c r="EE734" s="392"/>
      <c r="EF734" s="392"/>
      <c r="EG734" s="392"/>
      <c r="EH734" s="392"/>
      <c r="EI734" s="392"/>
      <c r="EJ734" s="392"/>
      <c r="EK734" s="392"/>
      <c r="EL734" s="392"/>
    </row>
    <row r="735" spans="3:142" s="182" customFormat="1" x14ac:dyDescent="0.25">
      <c r="C735" s="395"/>
      <c r="I735" s="184"/>
      <c r="N735" s="184"/>
      <c r="O735" s="184"/>
      <c r="P735" s="184"/>
      <c r="Q735" s="184"/>
      <c r="Z735" s="184"/>
      <c r="AA735" s="184"/>
      <c r="AJ735" s="185"/>
      <c r="DU735" s="395"/>
      <c r="DV735" s="395"/>
      <c r="DW735" s="395"/>
      <c r="DX735" s="395"/>
      <c r="DY735" s="395"/>
      <c r="DZ735" s="395"/>
      <c r="EA735" s="395"/>
      <c r="EB735" s="392"/>
      <c r="EC735" s="392"/>
      <c r="ED735" s="392"/>
      <c r="EE735" s="392"/>
      <c r="EF735" s="392"/>
      <c r="EG735" s="392"/>
      <c r="EH735" s="392"/>
      <c r="EI735" s="392"/>
      <c r="EJ735" s="392"/>
      <c r="EK735" s="392"/>
      <c r="EL735" s="392"/>
    </row>
    <row r="736" spans="3:142" s="182" customFormat="1" x14ac:dyDescent="0.25">
      <c r="C736" s="395"/>
      <c r="I736" s="184"/>
      <c r="N736" s="184"/>
      <c r="O736" s="184"/>
      <c r="P736" s="184"/>
      <c r="Q736" s="184"/>
      <c r="Z736" s="184"/>
      <c r="AA736" s="184"/>
      <c r="AJ736" s="185"/>
      <c r="DU736" s="395"/>
      <c r="DV736" s="395"/>
      <c r="DW736" s="395"/>
      <c r="DX736" s="395"/>
      <c r="DY736" s="395"/>
      <c r="DZ736" s="395"/>
      <c r="EA736" s="395"/>
      <c r="EB736" s="392"/>
      <c r="EC736" s="392"/>
      <c r="ED736" s="392"/>
      <c r="EE736" s="392"/>
      <c r="EF736" s="392"/>
      <c r="EG736" s="392"/>
      <c r="EH736" s="392"/>
      <c r="EI736" s="392"/>
      <c r="EJ736" s="392"/>
      <c r="EK736" s="392"/>
      <c r="EL736" s="392"/>
    </row>
    <row r="737" spans="3:142" s="182" customFormat="1" x14ac:dyDescent="0.25">
      <c r="C737" s="395"/>
      <c r="I737" s="184"/>
      <c r="N737" s="184"/>
      <c r="O737" s="184"/>
      <c r="P737" s="184"/>
      <c r="Q737" s="184"/>
      <c r="Z737" s="184"/>
      <c r="AA737" s="184"/>
      <c r="AJ737" s="185"/>
      <c r="DU737" s="395"/>
      <c r="DV737" s="395"/>
      <c r="DW737" s="395"/>
      <c r="DX737" s="395"/>
      <c r="DY737" s="395"/>
      <c r="DZ737" s="395"/>
      <c r="EA737" s="395"/>
      <c r="EB737" s="392"/>
      <c r="EC737" s="392"/>
      <c r="ED737" s="392"/>
      <c r="EE737" s="392"/>
      <c r="EF737" s="392"/>
      <c r="EG737" s="392"/>
      <c r="EH737" s="392"/>
      <c r="EI737" s="392"/>
      <c r="EJ737" s="392"/>
      <c r="EK737" s="392"/>
      <c r="EL737" s="392"/>
    </row>
    <row r="738" spans="3:142" s="182" customFormat="1" x14ac:dyDescent="0.25">
      <c r="C738" s="395"/>
      <c r="I738" s="184"/>
      <c r="N738" s="184"/>
      <c r="O738" s="184"/>
      <c r="P738" s="184"/>
      <c r="Q738" s="184"/>
      <c r="Z738" s="184"/>
      <c r="AA738" s="184"/>
      <c r="AJ738" s="185"/>
      <c r="DU738" s="395"/>
      <c r="DV738" s="395"/>
      <c r="DW738" s="395"/>
      <c r="DX738" s="395"/>
      <c r="DY738" s="395"/>
      <c r="DZ738" s="395"/>
      <c r="EA738" s="395"/>
      <c r="EB738" s="392"/>
      <c r="EC738" s="392"/>
      <c r="ED738" s="392"/>
      <c r="EE738" s="392"/>
      <c r="EF738" s="392"/>
      <c r="EG738" s="392"/>
      <c r="EH738" s="392"/>
      <c r="EI738" s="392"/>
      <c r="EJ738" s="392"/>
      <c r="EK738" s="392"/>
      <c r="EL738" s="392"/>
    </row>
    <row r="739" spans="3:142" s="182" customFormat="1" x14ac:dyDescent="0.25">
      <c r="C739" s="395"/>
      <c r="I739" s="184"/>
      <c r="N739" s="184"/>
      <c r="O739" s="184"/>
      <c r="P739" s="184"/>
      <c r="Q739" s="184"/>
      <c r="Z739" s="184"/>
      <c r="AA739" s="184"/>
      <c r="AJ739" s="185"/>
      <c r="DU739" s="395"/>
      <c r="DV739" s="395"/>
      <c r="DW739" s="395"/>
      <c r="DX739" s="395"/>
      <c r="DY739" s="395"/>
      <c r="DZ739" s="395"/>
      <c r="EA739" s="395"/>
      <c r="EB739" s="392"/>
      <c r="EC739" s="392"/>
      <c r="ED739" s="392"/>
      <c r="EE739" s="392"/>
      <c r="EF739" s="392"/>
      <c r="EG739" s="392"/>
      <c r="EH739" s="392"/>
      <c r="EI739" s="392"/>
      <c r="EJ739" s="392"/>
      <c r="EK739" s="392"/>
      <c r="EL739" s="392"/>
    </row>
    <row r="740" spans="3:142" s="182" customFormat="1" x14ac:dyDescent="0.25">
      <c r="C740" s="395"/>
      <c r="I740" s="184"/>
      <c r="N740" s="184"/>
      <c r="O740" s="184"/>
      <c r="P740" s="184"/>
      <c r="Q740" s="184"/>
      <c r="Z740" s="184"/>
      <c r="AA740" s="184"/>
      <c r="AJ740" s="185"/>
      <c r="DU740" s="395"/>
      <c r="DV740" s="395"/>
      <c r="DW740" s="395"/>
      <c r="DX740" s="395"/>
      <c r="DY740" s="395"/>
      <c r="DZ740" s="395"/>
      <c r="EA740" s="395"/>
      <c r="EB740" s="392"/>
      <c r="EC740" s="392"/>
      <c r="ED740" s="392"/>
      <c r="EE740" s="392"/>
      <c r="EF740" s="392"/>
      <c r="EG740" s="392"/>
      <c r="EH740" s="392"/>
      <c r="EI740" s="392"/>
      <c r="EJ740" s="392"/>
      <c r="EK740" s="392"/>
      <c r="EL740" s="392"/>
    </row>
    <row r="741" spans="3:142" s="182" customFormat="1" x14ac:dyDescent="0.25">
      <c r="C741" s="395"/>
      <c r="I741" s="184"/>
      <c r="N741" s="184"/>
      <c r="O741" s="184"/>
      <c r="P741" s="184"/>
      <c r="Q741" s="184"/>
      <c r="Z741" s="184"/>
      <c r="AA741" s="184"/>
      <c r="AJ741" s="185"/>
      <c r="DU741" s="395"/>
      <c r="DV741" s="395"/>
      <c r="DW741" s="395"/>
      <c r="DX741" s="395"/>
      <c r="DY741" s="395"/>
      <c r="DZ741" s="395"/>
      <c r="EA741" s="395"/>
      <c r="EB741" s="392"/>
      <c r="EC741" s="392"/>
      <c r="ED741" s="392"/>
      <c r="EE741" s="392"/>
      <c r="EF741" s="392"/>
      <c r="EG741" s="392"/>
      <c r="EH741" s="392"/>
      <c r="EI741" s="392"/>
      <c r="EJ741" s="392"/>
      <c r="EK741" s="392"/>
      <c r="EL741" s="392"/>
    </row>
    <row r="742" spans="3:142" s="182" customFormat="1" x14ac:dyDescent="0.25">
      <c r="C742" s="395"/>
      <c r="I742" s="184"/>
      <c r="N742" s="184"/>
      <c r="O742" s="184"/>
      <c r="P742" s="184"/>
      <c r="Q742" s="184"/>
      <c r="Z742" s="184"/>
      <c r="AA742" s="184"/>
      <c r="AJ742" s="185"/>
      <c r="DU742" s="395"/>
      <c r="DV742" s="395"/>
      <c r="DW742" s="395"/>
      <c r="DX742" s="395"/>
      <c r="DY742" s="395"/>
      <c r="DZ742" s="395"/>
      <c r="EA742" s="395"/>
      <c r="EB742" s="392"/>
      <c r="EC742" s="392"/>
      <c r="ED742" s="392"/>
      <c r="EE742" s="392"/>
      <c r="EF742" s="392"/>
      <c r="EG742" s="392"/>
      <c r="EH742" s="392"/>
      <c r="EI742" s="392"/>
      <c r="EJ742" s="392"/>
      <c r="EK742" s="392"/>
      <c r="EL742" s="392"/>
    </row>
    <row r="743" spans="3:142" s="182" customFormat="1" x14ac:dyDescent="0.25">
      <c r="C743" s="395"/>
      <c r="I743" s="184"/>
      <c r="N743" s="184"/>
      <c r="O743" s="184"/>
      <c r="P743" s="184"/>
      <c r="Q743" s="184"/>
      <c r="Z743" s="184"/>
      <c r="AA743" s="184"/>
      <c r="AJ743" s="185"/>
      <c r="DU743" s="395"/>
      <c r="DV743" s="395"/>
      <c r="DW743" s="395"/>
      <c r="DX743" s="395"/>
      <c r="DY743" s="395"/>
      <c r="DZ743" s="395"/>
      <c r="EA743" s="395"/>
      <c r="EB743" s="392"/>
      <c r="EC743" s="392"/>
      <c r="ED743" s="392"/>
      <c r="EE743" s="392"/>
      <c r="EF743" s="392"/>
      <c r="EG743" s="392"/>
      <c r="EH743" s="392"/>
      <c r="EI743" s="392"/>
      <c r="EJ743" s="392"/>
      <c r="EK743" s="392"/>
      <c r="EL743" s="392"/>
    </row>
    <row r="744" spans="3:142" s="182" customFormat="1" x14ac:dyDescent="0.25">
      <c r="C744" s="395"/>
      <c r="I744" s="184"/>
      <c r="N744" s="184"/>
      <c r="O744" s="184"/>
      <c r="P744" s="184"/>
      <c r="Q744" s="184"/>
      <c r="Z744" s="184"/>
      <c r="AA744" s="184"/>
      <c r="AJ744" s="185"/>
      <c r="DU744" s="395"/>
      <c r="DV744" s="395"/>
      <c r="DW744" s="395"/>
      <c r="DX744" s="395"/>
      <c r="DY744" s="395"/>
      <c r="DZ744" s="395"/>
      <c r="EA744" s="395"/>
      <c r="EB744" s="392"/>
      <c r="EC744" s="392"/>
      <c r="ED744" s="392"/>
      <c r="EE744" s="392"/>
      <c r="EF744" s="392"/>
      <c r="EG744" s="392"/>
      <c r="EH744" s="392"/>
      <c r="EI744" s="392"/>
      <c r="EJ744" s="392"/>
      <c r="EK744" s="392"/>
      <c r="EL744" s="392"/>
    </row>
    <row r="745" spans="3:142" s="182" customFormat="1" x14ac:dyDescent="0.25">
      <c r="C745" s="395"/>
      <c r="I745" s="184"/>
      <c r="N745" s="184"/>
      <c r="O745" s="184"/>
      <c r="P745" s="184"/>
      <c r="Q745" s="184"/>
      <c r="Z745" s="184"/>
      <c r="AA745" s="184"/>
      <c r="AJ745" s="185"/>
      <c r="DU745" s="395"/>
      <c r="DV745" s="395"/>
      <c r="DW745" s="395"/>
      <c r="DX745" s="395"/>
      <c r="DY745" s="395"/>
      <c r="DZ745" s="395"/>
      <c r="EA745" s="395"/>
      <c r="EB745" s="392"/>
      <c r="EC745" s="392"/>
      <c r="ED745" s="392"/>
      <c r="EE745" s="392"/>
      <c r="EF745" s="392"/>
      <c r="EG745" s="392"/>
      <c r="EH745" s="392"/>
      <c r="EI745" s="392"/>
      <c r="EJ745" s="392"/>
      <c r="EK745" s="392"/>
      <c r="EL745" s="392"/>
    </row>
    <row r="746" spans="3:142" s="182" customFormat="1" x14ac:dyDescent="0.25">
      <c r="C746" s="395"/>
      <c r="I746" s="184"/>
      <c r="N746" s="184"/>
      <c r="O746" s="184"/>
      <c r="P746" s="184"/>
      <c r="Q746" s="184"/>
      <c r="Z746" s="184"/>
      <c r="AA746" s="184"/>
      <c r="AJ746" s="185"/>
      <c r="DU746" s="395"/>
      <c r="DV746" s="395"/>
      <c r="DW746" s="395"/>
      <c r="DX746" s="395"/>
      <c r="DY746" s="395"/>
      <c r="DZ746" s="395"/>
      <c r="EA746" s="395"/>
      <c r="EB746" s="392"/>
      <c r="EC746" s="392"/>
      <c r="ED746" s="392"/>
      <c r="EE746" s="392"/>
      <c r="EF746" s="392"/>
      <c r="EG746" s="392"/>
      <c r="EH746" s="392"/>
      <c r="EI746" s="392"/>
      <c r="EJ746" s="392"/>
      <c r="EK746" s="392"/>
      <c r="EL746" s="392"/>
    </row>
    <row r="747" spans="3:142" s="182" customFormat="1" x14ac:dyDescent="0.25">
      <c r="C747" s="395"/>
      <c r="I747" s="184"/>
      <c r="N747" s="184"/>
      <c r="O747" s="184"/>
      <c r="P747" s="184"/>
      <c r="Q747" s="184"/>
      <c r="Z747" s="184"/>
      <c r="AA747" s="184"/>
      <c r="AJ747" s="185"/>
      <c r="DU747" s="395"/>
      <c r="DV747" s="395"/>
      <c r="DW747" s="395"/>
      <c r="DX747" s="395"/>
      <c r="DY747" s="395"/>
      <c r="DZ747" s="395"/>
      <c r="EA747" s="395"/>
      <c r="EB747" s="392"/>
      <c r="EC747" s="392"/>
      <c r="ED747" s="392"/>
      <c r="EE747" s="392"/>
      <c r="EF747" s="392"/>
      <c r="EG747" s="392"/>
      <c r="EH747" s="392"/>
      <c r="EI747" s="392"/>
      <c r="EJ747" s="392"/>
      <c r="EK747" s="392"/>
      <c r="EL747" s="392"/>
    </row>
    <row r="748" spans="3:142" s="182" customFormat="1" x14ac:dyDescent="0.25">
      <c r="C748" s="395"/>
      <c r="I748" s="184"/>
      <c r="N748" s="184"/>
      <c r="O748" s="184"/>
      <c r="P748" s="184"/>
      <c r="Q748" s="184"/>
      <c r="Z748" s="184"/>
      <c r="AA748" s="184"/>
      <c r="AJ748" s="185"/>
      <c r="DU748" s="395"/>
      <c r="DV748" s="395"/>
      <c r="DW748" s="395"/>
      <c r="DX748" s="395"/>
      <c r="DY748" s="395"/>
      <c r="DZ748" s="395"/>
      <c r="EA748" s="395"/>
      <c r="EB748" s="392"/>
      <c r="EC748" s="392"/>
      <c r="ED748" s="392"/>
      <c r="EE748" s="392"/>
      <c r="EF748" s="392"/>
      <c r="EG748" s="392"/>
      <c r="EH748" s="392"/>
      <c r="EI748" s="392"/>
      <c r="EJ748" s="392"/>
      <c r="EK748" s="392"/>
      <c r="EL748" s="392"/>
    </row>
    <row r="749" spans="3:142" s="182" customFormat="1" x14ac:dyDescent="0.25">
      <c r="C749" s="395"/>
      <c r="I749" s="184"/>
      <c r="N749" s="184"/>
      <c r="O749" s="184"/>
      <c r="P749" s="184"/>
      <c r="Q749" s="184"/>
      <c r="Z749" s="184"/>
      <c r="AA749" s="184"/>
      <c r="AJ749" s="185"/>
      <c r="DU749" s="395"/>
      <c r="DV749" s="395"/>
      <c r="DW749" s="395"/>
      <c r="DX749" s="395"/>
      <c r="DY749" s="395"/>
      <c r="DZ749" s="395"/>
      <c r="EA749" s="395"/>
      <c r="EB749" s="392"/>
      <c r="EC749" s="392"/>
      <c r="ED749" s="392"/>
      <c r="EE749" s="392"/>
      <c r="EF749" s="392"/>
      <c r="EG749" s="392"/>
      <c r="EH749" s="392"/>
      <c r="EI749" s="392"/>
      <c r="EJ749" s="392"/>
      <c r="EK749" s="392"/>
      <c r="EL749" s="392"/>
    </row>
    <row r="750" spans="3:142" s="182" customFormat="1" x14ac:dyDescent="0.25">
      <c r="C750" s="395"/>
      <c r="I750" s="184"/>
      <c r="N750" s="184"/>
      <c r="O750" s="184"/>
      <c r="P750" s="184"/>
      <c r="Q750" s="184"/>
      <c r="Z750" s="184"/>
      <c r="AA750" s="184"/>
      <c r="AJ750" s="185"/>
      <c r="DU750" s="395"/>
      <c r="DV750" s="395"/>
      <c r="DW750" s="395"/>
      <c r="DX750" s="395"/>
      <c r="DY750" s="395"/>
      <c r="DZ750" s="395"/>
      <c r="EA750" s="395"/>
      <c r="EB750" s="392"/>
      <c r="EC750" s="392"/>
      <c r="ED750" s="392"/>
      <c r="EE750" s="392"/>
      <c r="EF750" s="392"/>
      <c r="EG750" s="392"/>
      <c r="EH750" s="392"/>
      <c r="EI750" s="392"/>
      <c r="EJ750" s="392"/>
      <c r="EK750" s="392"/>
      <c r="EL750" s="392"/>
    </row>
    <row r="751" spans="3:142" s="182" customFormat="1" x14ac:dyDescent="0.25">
      <c r="C751" s="395"/>
      <c r="I751" s="184"/>
      <c r="N751" s="184"/>
      <c r="O751" s="184"/>
      <c r="P751" s="184"/>
      <c r="Q751" s="184"/>
      <c r="Z751" s="184"/>
      <c r="AA751" s="184"/>
      <c r="AJ751" s="185"/>
      <c r="DU751" s="395"/>
      <c r="DV751" s="395"/>
      <c r="DW751" s="395"/>
      <c r="DX751" s="395"/>
      <c r="DY751" s="395"/>
      <c r="DZ751" s="395"/>
      <c r="EA751" s="395"/>
      <c r="EB751" s="392"/>
      <c r="EC751" s="392"/>
      <c r="ED751" s="392"/>
      <c r="EE751" s="392"/>
      <c r="EF751" s="392"/>
      <c r="EG751" s="392"/>
      <c r="EH751" s="392"/>
      <c r="EI751" s="392"/>
      <c r="EJ751" s="392"/>
      <c r="EK751" s="392"/>
      <c r="EL751" s="392"/>
    </row>
    <row r="752" spans="3:142" s="182" customFormat="1" x14ac:dyDescent="0.25">
      <c r="C752" s="395"/>
      <c r="I752" s="184"/>
      <c r="N752" s="184"/>
      <c r="O752" s="184"/>
      <c r="P752" s="184"/>
      <c r="Q752" s="184"/>
      <c r="Z752" s="184"/>
      <c r="AA752" s="184"/>
      <c r="AJ752" s="185"/>
      <c r="DU752" s="395"/>
      <c r="DV752" s="395"/>
      <c r="DW752" s="395"/>
      <c r="DX752" s="395"/>
      <c r="DY752" s="395"/>
      <c r="DZ752" s="395"/>
      <c r="EA752" s="395"/>
      <c r="EB752" s="392"/>
      <c r="EC752" s="392"/>
      <c r="ED752" s="392"/>
      <c r="EE752" s="392"/>
      <c r="EF752" s="392"/>
      <c r="EG752" s="392"/>
      <c r="EH752" s="392"/>
      <c r="EI752" s="392"/>
      <c r="EJ752" s="392"/>
      <c r="EK752" s="392"/>
      <c r="EL752" s="392"/>
    </row>
    <row r="753" spans="3:142" s="182" customFormat="1" x14ac:dyDescent="0.25">
      <c r="C753" s="395"/>
      <c r="I753" s="184"/>
      <c r="N753" s="184"/>
      <c r="O753" s="184"/>
      <c r="P753" s="184"/>
      <c r="Q753" s="184"/>
      <c r="Z753" s="184"/>
      <c r="AA753" s="184"/>
      <c r="AJ753" s="185"/>
      <c r="DU753" s="395"/>
      <c r="DV753" s="395"/>
      <c r="DW753" s="395"/>
      <c r="DX753" s="395"/>
      <c r="DY753" s="395"/>
      <c r="DZ753" s="395"/>
      <c r="EA753" s="395"/>
      <c r="EB753" s="392"/>
      <c r="EC753" s="392"/>
      <c r="ED753" s="392"/>
      <c r="EE753" s="392"/>
      <c r="EF753" s="392"/>
      <c r="EG753" s="392"/>
      <c r="EH753" s="392"/>
      <c r="EI753" s="392"/>
      <c r="EJ753" s="392"/>
      <c r="EK753" s="392"/>
      <c r="EL753" s="392"/>
    </row>
    <row r="754" spans="3:142" s="182" customFormat="1" x14ac:dyDescent="0.25">
      <c r="C754" s="395"/>
      <c r="I754" s="184"/>
      <c r="N754" s="184"/>
      <c r="O754" s="184"/>
      <c r="P754" s="184"/>
      <c r="Q754" s="184"/>
      <c r="Z754" s="184"/>
      <c r="AA754" s="184"/>
      <c r="AJ754" s="185"/>
      <c r="DU754" s="395"/>
      <c r="DV754" s="395"/>
      <c r="DW754" s="395"/>
      <c r="DX754" s="395"/>
      <c r="DY754" s="395"/>
      <c r="DZ754" s="395"/>
      <c r="EA754" s="395"/>
      <c r="EB754" s="392"/>
      <c r="EC754" s="392"/>
      <c r="ED754" s="392"/>
      <c r="EE754" s="392"/>
      <c r="EF754" s="392"/>
      <c r="EG754" s="392"/>
      <c r="EH754" s="392"/>
      <c r="EI754" s="392"/>
      <c r="EJ754" s="392"/>
      <c r="EK754" s="392"/>
      <c r="EL754" s="392"/>
    </row>
    <row r="755" spans="3:142" s="182" customFormat="1" x14ac:dyDescent="0.25">
      <c r="C755" s="395"/>
      <c r="I755" s="184"/>
      <c r="N755" s="184"/>
      <c r="O755" s="184"/>
      <c r="P755" s="184"/>
      <c r="Q755" s="184"/>
      <c r="Z755" s="184"/>
      <c r="AA755" s="184"/>
      <c r="AJ755" s="185"/>
      <c r="DU755" s="395"/>
      <c r="DV755" s="395"/>
      <c r="DW755" s="395"/>
      <c r="DX755" s="395"/>
      <c r="DY755" s="395"/>
      <c r="DZ755" s="395"/>
      <c r="EA755" s="395"/>
      <c r="EB755" s="392"/>
      <c r="EC755" s="392"/>
      <c r="ED755" s="392"/>
      <c r="EE755" s="392"/>
      <c r="EF755" s="392"/>
      <c r="EG755" s="392"/>
      <c r="EH755" s="392"/>
      <c r="EI755" s="392"/>
      <c r="EJ755" s="392"/>
      <c r="EK755" s="392"/>
      <c r="EL755" s="392"/>
    </row>
    <row r="756" spans="3:142" s="182" customFormat="1" x14ac:dyDescent="0.25">
      <c r="C756" s="395"/>
      <c r="I756" s="184"/>
      <c r="N756" s="184"/>
      <c r="O756" s="184"/>
      <c r="P756" s="184"/>
      <c r="Q756" s="184"/>
      <c r="Z756" s="184"/>
      <c r="AA756" s="184"/>
      <c r="AJ756" s="185"/>
      <c r="DU756" s="395"/>
      <c r="DV756" s="395"/>
      <c r="DW756" s="395"/>
      <c r="DX756" s="395"/>
      <c r="DY756" s="395"/>
      <c r="DZ756" s="395"/>
      <c r="EA756" s="395"/>
      <c r="EB756" s="392"/>
      <c r="EC756" s="392"/>
      <c r="ED756" s="392"/>
      <c r="EE756" s="392"/>
      <c r="EF756" s="392"/>
      <c r="EG756" s="392"/>
      <c r="EH756" s="392"/>
      <c r="EI756" s="392"/>
      <c r="EJ756" s="392"/>
      <c r="EK756" s="392"/>
      <c r="EL756" s="392"/>
    </row>
    <row r="757" spans="3:142" s="182" customFormat="1" x14ac:dyDescent="0.25">
      <c r="C757" s="395"/>
      <c r="I757" s="184"/>
      <c r="N757" s="184"/>
      <c r="O757" s="184"/>
      <c r="P757" s="184"/>
      <c r="Q757" s="184"/>
      <c r="Z757" s="184"/>
      <c r="AA757" s="184"/>
      <c r="AJ757" s="185"/>
      <c r="DU757" s="395"/>
      <c r="DV757" s="395"/>
      <c r="DW757" s="395"/>
      <c r="DX757" s="395"/>
      <c r="DY757" s="395"/>
      <c r="DZ757" s="395"/>
      <c r="EA757" s="395"/>
      <c r="EB757" s="392"/>
      <c r="EC757" s="392"/>
      <c r="ED757" s="392"/>
      <c r="EE757" s="392"/>
      <c r="EF757" s="392"/>
      <c r="EG757" s="392"/>
      <c r="EH757" s="392"/>
      <c r="EI757" s="392"/>
      <c r="EJ757" s="392"/>
      <c r="EK757" s="392"/>
      <c r="EL757" s="392"/>
    </row>
    <row r="758" spans="3:142" s="182" customFormat="1" x14ac:dyDescent="0.25">
      <c r="C758" s="395"/>
      <c r="I758" s="184"/>
      <c r="N758" s="184"/>
      <c r="O758" s="184"/>
      <c r="P758" s="184"/>
      <c r="Q758" s="184"/>
      <c r="Z758" s="184"/>
      <c r="AA758" s="184"/>
      <c r="AJ758" s="185"/>
      <c r="DU758" s="395"/>
      <c r="DV758" s="395"/>
      <c r="DW758" s="395"/>
      <c r="DX758" s="395"/>
      <c r="DY758" s="395"/>
      <c r="DZ758" s="395"/>
      <c r="EA758" s="395"/>
      <c r="EB758" s="392"/>
      <c r="EC758" s="392"/>
      <c r="ED758" s="392"/>
      <c r="EE758" s="392"/>
      <c r="EF758" s="392"/>
      <c r="EG758" s="392"/>
      <c r="EH758" s="392"/>
      <c r="EI758" s="392"/>
      <c r="EJ758" s="392"/>
      <c r="EK758" s="392"/>
      <c r="EL758" s="392"/>
    </row>
    <row r="759" spans="3:142" s="182" customFormat="1" x14ac:dyDescent="0.25">
      <c r="C759" s="395"/>
      <c r="I759" s="184"/>
      <c r="N759" s="184"/>
      <c r="O759" s="184"/>
      <c r="P759" s="184"/>
      <c r="Q759" s="184"/>
      <c r="Z759" s="184"/>
      <c r="AA759" s="184"/>
      <c r="AJ759" s="185"/>
      <c r="DU759" s="395"/>
      <c r="DV759" s="395"/>
      <c r="DW759" s="395"/>
      <c r="DX759" s="395"/>
      <c r="DY759" s="395"/>
      <c r="DZ759" s="395"/>
      <c r="EA759" s="395"/>
      <c r="EB759" s="392"/>
      <c r="EC759" s="392"/>
      <c r="ED759" s="392"/>
      <c r="EE759" s="392"/>
      <c r="EF759" s="392"/>
      <c r="EG759" s="392"/>
      <c r="EH759" s="392"/>
      <c r="EI759" s="392"/>
      <c r="EJ759" s="392"/>
      <c r="EK759" s="392"/>
      <c r="EL759" s="392"/>
    </row>
    <row r="760" spans="3:142" s="182" customFormat="1" x14ac:dyDescent="0.25">
      <c r="C760" s="395"/>
      <c r="I760" s="184"/>
      <c r="N760" s="184"/>
      <c r="O760" s="184"/>
      <c r="P760" s="184"/>
      <c r="Q760" s="184"/>
      <c r="Z760" s="184"/>
      <c r="AA760" s="184"/>
      <c r="AJ760" s="185"/>
      <c r="DU760" s="395"/>
      <c r="DV760" s="395"/>
      <c r="DW760" s="395"/>
      <c r="DX760" s="395"/>
      <c r="DY760" s="395"/>
      <c r="DZ760" s="395"/>
      <c r="EA760" s="395"/>
      <c r="EB760" s="392"/>
      <c r="EC760" s="392"/>
      <c r="ED760" s="392"/>
      <c r="EE760" s="392"/>
      <c r="EF760" s="392"/>
      <c r="EG760" s="392"/>
      <c r="EH760" s="392"/>
      <c r="EI760" s="392"/>
      <c r="EJ760" s="392"/>
      <c r="EK760" s="392"/>
      <c r="EL760" s="392"/>
    </row>
    <row r="761" spans="3:142" s="182" customFormat="1" x14ac:dyDescent="0.25">
      <c r="C761" s="395"/>
      <c r="I761" s="184"/>
      <c r="N761" s="184"/>
      <c r="O761" s="184"/>
      <c r="P761" s="184"/>
      <c r="Q761" s="184"/>
      <c r="Z761" s="184"/>
      <c r="AA761" s="184"/>
      <c r="AJ761" s="185"/>
      <c r="DU761" s="395"/>
      <c r="DV761" s="395"/>
      <c r="DW761" s="395"/>
      <c r="DX761" s="395"/>
      <c r="DY761" s="395"/>
      <c r="DZ761" s="395"/>
      <c r="EA761" s="395"/>
      <c r="EB761" s="392"/>
      <c r="EC761" s="392"/>
      <c r="ED761" s="392"/>
      <c r="EE761" s="392"/>
      <c r="EF761" s="392"/>
      <c r="EG761" s="392"/>
      <c r="EH761" s="392"/>
      <c r="EI761" s="392"/>
      <c r="EJ761" s="392"/>
      <c r="EK761" s="392"/>
      <c r="EL761" s="392"/>
    </row>
    <row r="762" spans="3:142" s="182" customFormat="1" x14ac:dyDescent="0.25">
      <c r="C762" s="395"/>
      <c r="I762" s="184"/>
      <c r="N762" s="184"/>
      <c r="O762" s="184"/>
      <c r="P762" s="184"/>
      <c r="Q762" s="184"/>
      <c r="Z762" s="184"/>
      <c r="AA762" s="184"/>
      <c r="AJ762" s="185"/>
      <c r="DU762" s="395"/>
      <c r="DV762" s="395"/>
      <c r="DW762" s="395"/>
      <c r="DX762" s="395"/>
      <c r="DY762" s="395"/>
      <c r="DZ762" s="395"/>
      <c r="EA762" s="395"/>
      <c r="EB762" s="392"/>
      <c r="EC762" s="392"/>
      <c r="ED762" s="392"/>
      <c r="EE762" s="392"/>
      <c r="EF762" s="392"/>
      <c r="EG762" s="392"/>
      <c r="EH762" s="392"/>
      <c r="EI762" s="392"/>
      <c r="EJ762" s="392"/>
      <c r="EK762" s="392"/>
      <c r="EL762" s="392"/>
    </row>
    <row r="763" spans="3:142" s="182" customFormat="1" x14ac:dyDescent="0.25">
      <c r="C763" s="395"/>
      <c r="I763" s="184"/>
      <c r="N763" s="184"/>
      <c r="O763" s="184"/>
      <c r="P763" s="184"/>
      <c r="Q763" s="184"/>
      <c r="Z763" s="184"/>
      <c r="AA763" s="184"/>
      <c r="AJ763" s="185"/>
      <c r="DU763" s="395"/>
      <c r="DV763" s="395"/>
      <c r="DW763" s="395"/>
      <c r="DX763" s="395"/>
      <c r="DY763" s="395"/>
      <c r="DZ763" s="395"/>
      <c r="EA763" s="395"/>
      <c r="EB763" s="392"/>
      <c r="EC763" s="392"/>
      <c r="ED763" s="392"/>
      <c r="EE763" s="392"/>
      <c r="EF763" s="392"/>
      <c r="EG763" s="392"/>
      <c r="EH763" s="392"/>
      <c r="EI763" s="392"/>
      <c r="EJ763" s="392"/>
      <c r="EK763" s="392"/>
      <c r="EL763" s="392"/>
    </row>
    <row r="764" spans="3:142" s="182" customFormat="1" x14ac:dyDescent="0.25">
      <c r="C764" s="395"/>
      <c r="I764" s="184"/>
      <c r="N764" s="184"/>
      <c r="O764" s="184"/>
      <c r="P764" s="184"/>
      <c r="Q764" s="184"/>
      <c r="Z764" s="184"/>
      <c r="AA764" s="184"/>
      <c r="AJ764" s="185"/>
      <c r="DU764" s="395"/>
      <c r="DV764" s="395"/>
      <c r="DW764" s="395"/>
      <c r="DX764" s="395"/>
      <c r="DY764" s="395"/>
      <c r="DZ764" s="395"/>
      <c r="EA764" s="395"/>
      <c r="EB764" s="392"/>
      <c r="EC764" s="392"/>
      <c r="ED764" s="392"/>
      <c r="EE764" s="392"/>
      <c r="EF764" s="392"/>
      <c r="EG764" s="392"/>
      <c r="EH764" s="392"/>
      <c r="EI764" s="392"/>
      <c r="EJ764" s="392"/>
      <c r="EK764" s="392"/>
      <c r="EL764" s="392"/>
    </row>
    <row r="765" spans="3:142" s="182" customFormat="1" x14ac:dyDescent="0.25">
      <c r="C765" s="395"/>
      <c r="I765" s="184"/>
      <c r="N765" s="184"/>
      <c r="O765" s="184"/>
      <c r="P765" s="184"/>
      <c r="Q765" s="184"/>
      <c r="Z765" s="184"/>
      <c r="AA765" s="184"/>
      <c r="AJ765" s="185"/>
      <c r="DU765" s="395"/>
      <c r="DV765" s="395"/>
      <c r="DW765" s="395"/>
      <c r="DX765" s="395"/>
      <c r="DY765" s="395"/>
      <c r="DZ765" s="395"/>
      <c r="EA765" s="395"/>
      <c r="EB765" s="392"/>
      <c r="EC765" s="392"/>
      <c r="ED765" s="392"/>
      <c r="EE765" s="392"/>
      <c r="EF765" s="392"/>
      <c r="EG765" s="392"/>
      <c r="EH765" s="392"/>
      <c r="EI765" s="392"/>
      <c r="EJ765" s="392"/>
      <c r="EK765" s="392"/>
      <c r="EL765" s="392"/>
    </row>
    <row r="766" spans="3:142" s="182" customFormat="1" x14ac:dyDescent="0.25">
      <c r="C766" s="395"/>
      <c r="I766" s="184"/>
      <c r="N766" s="184"/>
      <c r="O766" s="184"/>
      <c r="P766" s="184"/>
      <c r="Q766" s="184"/>
      <c r="Z766" s="184"/>
      <c r="AA766" s="184"/>
      <c r="AJ766" s="185"/>
      <c r="DU766" s="395"/>
      <c r="DV766" s="395"/>
      <c r="DW766" s="395"/>
      <c r="DX766" s="395"/>
      <c r="DY766" s="395"/>
      <c r="DZ766" s="395"/>
      <c r="EA766" s="395"/>
      <c r="EB766" s="392"/>
      <c r="EC766" s="392"/>
      <c r="ED766" s="392"/>
      <c r="EE766" s="392"/>
      <c r="EF766" s="392"/>
      <c r="EG766" s="392"/>
      <c r="EH766" s="392"/>
      <c r="EI766" s="392"/>
      <c r="EJ766" s="392"/>
      <c r="EK766" s="392"/>
      <c r="EL766" s="392"/>
    </row>
    <row r="767" spans="3:142" s="182" customFormat="1" x14ac:dyDescent="0.25">
      <c r="C767" s="395"/>
      <c r="I767" s="184"/>
      <c r="N767" s="184"/>
      <c r="O767" s="184"/>
      <c r="P767" s="184"/>
      <c r="Q767" s="184"/>
      <c r="Z767" s="184"/>
      <c r="AA767" s="184"/>
      <c r="AJ767" s="185"/>
      <c r="DU767" s="395"/>
      <c r="DV767" s="395"/>
      <c r="DW767" s="395"/>
      <c r="DX767" s="395"/>
      <c r="DY767" s="395"/>
      <c r="DZ767" s="395"/>
      <c r="EA767" s="395"/>
      <c r="EB767" s="392"/>
      <c r="EC767" s="392"/>
      <c r="ED767" s="392"/>
      <c r="EE767" s="392"/>
      <c r="EF767" s="392"/>
      <c r="EG767" s="392"/>
      <c r="EH767" s="392"/>
      <c r="EI767" s="392"/>
      <c r="EJ767" s="392"/>
      <c r="EK767" s="392"/>
      <c r="EL767" s="392"/>
    </row>
    <row r="768" spans="3:142" s="182" customFormat="1" x14ac:dyDescent="0.25">
      <c r="C768" s="395"/>
      <c r="I768" s="184"/>
      <c r="N768" s="184"/>
      <c r="O768" s="184"/>
      <c r="P768" s="184"/>
      <c r="Q768" s="184"/>
      <c r="Z768" s="184"/>
      <c r="AA768" s="184"/>
      <c r="AJ768" s="185"/>
      <c r="DU768" s="395"/>
      <c r="DV768" s="395"/>
      <c r="DW768" s="395"/>
      <c r="DX768" s="395"/>
      <c r="DY768" s="395"/>
      <c r="DZ768" s="395"/>
      <c r="EA768" s="395"/>
      <c r="EB768" s="392"/>
      <c r="EC768" s="392"/>
      <c r="ED768" s="392"/>
      <c r="EE768" s="392"/>
      <c r="EF768" s="392"/>
      <c r="EG768" s="392"/>
      <c r="EH768" s="392"/>
      <c r="EI768" s="392"/>
      <c r="EJ768" s="392"/>
      <c r="EK768" s="392"/>
      <c r="EL768" s="392"/>
    </row>
    <row r="769" spans="3:142" s="182" customFormat="1" x14ac:dyDescent="0.25">
      <c r="C769" s="395"/>
      <c r="I769" s="184"/>
      <c r="N769" s="184"/>
      <c r="O769" s="184"/>
      <c r="P769" s="184"/>
      <c r="Q769" s="184"/>
      <c r="Z769" s="184"/>
      <c r="AA769" s="184"/>
      <c r="AJ769" s="185"/>
      <c r="DU769" s="395"/>
      <c r="DV769" s="395"/>
      <c r="DW769" s="395"/>
      <c r="DX769" s="395"/>
      <c r="DY769" s="395"/>
      <c r="DZ769" s="395"/>
      <c r="EA769" s="395"/>
      <c r="EB769" s="392"/>
      <c r="EC769" s="392"/>
      <c r="ED769" s="392"/>
      <c r="EE769" s="392"/>
      <c r="EF769" s="392"/>
      <c r="EG769" s="392"/>
      <c r="EH769" s="392"/>
      <c r="EI769" s="392"/>
      <c r="EJ769" s="392"/>
      <c r="EK769" s="392"/>
      <c r="EL769" s="392"/>
    </row>
    <row r="770" spans="3:142" s="182" customFormat="1" x14ac:dyDescent="0.25">
      <c r="C770" s="395"/>
      <c r="I770" s="184"/>
      <c r="N770" s="184"/>
      <c r="O770" s="184"/>
      <c r="P770" s="184"/>
      <c r="Q770" s="184"/>
      <c r="Z770" s="184"/>
      <c r="AA770" s="184"/>
      <c r="AJ770" s="185"/>
      <c r="DU770" s="395"/>
      <c r="DV770" s="395"/>
      <c r="DW770" s="395"/>
      <c r="DX770" s="395"/>
      <c r="DY770" s="395"/>
      <c r="DZ770" s="395"/>
      <c r="EA770" s="395"/>
      <c r="EB770" s="392"/>
      <c r="EC770" s="392"/>
      <c r="ED770" s="392"/>
      <c r="EE770" s="392"/>
      <c r="EF770" s="392"/>
      <c r="EG770" s="392"/>
      <c r="EH770" s="392"/>
      <c r="EI770" s="392"/>
      <c r="EJ770" s="392"/>
      <c r="EK770" s="392"/>
      <c r="EL770" s="392"/>
    </row>
    <row r="771" spans="3:142" s="182" customFormat="1" x14ac:dyDescent="0.25">
      <c r="C771" s="395"/>
      <c r="I771" s="184"/>
      <c r="N771" s="184"/>
      <c r="O771" s="184"/>
      <c r="P771" s="184"/>
      <c r="Q771" s="184"/>
      <c r="Z771" s="184"/>
      <c r="AA771" s="184"/>
      <c r="AJ771" s="185"/>
      <c r="DU771" s="395"/>
      <c r="DV771" s="395"/>
      <c r="DW771" s="395"/>
      <c r="DX771" s="395"/>
      <c r="DY771" s="395"/>
      <c r="DZ771" s="395"/>
      <c r="EA771" s="395"/>
      <c r="EB771" s="392"/>
      <c r="EC771" s="392"/>
      <c r="ED771" s="392"/>
      <c r="EE771" s="392"/>
      <c r="EF771" s="392"/>
      <c r="EG771" s="392"/>
      <c r="EH771" s="392"/>
      <c r="EI771" s="392"/>
      <c r="EJ771" s="392"/>
      <c r="EK771" s="392"/>
      <c r="EL771" s="392"/>
    </row>
    <row r="772" spans="3:142" s="182" customFormat="1" x14ac:dyDescent="0.25">
      <c r="C772" s="395"/>
      <c r="I772" s="184"/>
      <c r="N772" s="184"/>
      <c r="O772" s="184"/>
      <c r="P772" s="184"/>
      <c r="Q772" s="184"/>
      <c r="Z772" s="184"/>
      <c r="AA772" s="184"/>
      <c r="AJ772" s="185"/>
      <c r="DU772" s="395"/>
      <c r="DV772" s="395"/>
      <c r="DW772" s="395"/>
      <c r="DX772" s="395"/>
      <c r="DY772" s="395"/>
      <c r="DZ772" s="395"/>
      <c r="EA772" s="395"/>
      <c r="EB772" s="392"/>
      <c r="EC772" s="392"/>
      <c r="ED772" s="392"/>
      <c r="EE772" s="392"/>
      <c r="EF772" s="392"/>
      <c r="EG772" s="392"/>
      <c r="EH772" s="392"/>
      <c r="EI772" s="392"/>
      <c r="EJ772" s="392"/>
      <c r="EK772" s="392"/>
      <c r="EL772" s="392"/>
    </row>
    <row r="773" spans="3:142" s="182" customFormat="1" x14ac:dyDescent="0.25">
      <c r="C773" s="395"/>
      <c r="I773" s="184"/>
      <c r="N773" s="184"/>
      <c r="O773" s="184"/>
      <c r="P773" s="184"/>
      <c r="Q773" s="184"/>
      <c r="Z773" s="184"/>
      <c r="AA773" s="184"/>
      <c r="AJ773" s="185"/>
      <c r="DU773" s="395"/>
      <c r="DV773" s="395"/>
      <c r="DW773" s="395"/>
      <c r="DX773" s="395"/>
      <c r="DY773" s="395"/>
      <c r="DZ773" s="395"/>
      <c r="EA773" s="395"/>
      <c r="EB773" s="392"/>
      <c r="EC773" s="392"/>
      <c r="ED773" s="392"/>
      <c r="EE773" s="392"/>
      <c r="EF773" s="392"/>
      <c r="EG773" s="392"/>
      <c r="EH773" s="392"/>
      <c r="EI773" s="392"/>
      <c r="EJ773" s="392"/>
      <c r="EK773" s="392"/>
      <c r="EL773" s="392"/>
    </row>
    <row r="774" spans="3:142" s="182" customFormat="1" x14ac:dyDescent="0.25">
      <c r="C774" s="395"/>
      <c r="I774" s="184"/>
      <c r="N774" s="184"/>
      <c r="O774" s="184"/>
      <c r="P774" s="184"/>
      <c r="Q774" s="184"/>
      <c r="Z774" s="184"/>
      <c r="AA774" s="184"/>
      <c r="AJ774" s="185"/>
      <c r="DU774" s="395"/>
      <c r="DV774" s="395"/>
      <c r="DW774" s="395"/>
      <c r="DX774" s="395"/>
      <c r="DY774" s="395"/>
      <c r="DZ774" s="395"/>
      <c r="EA774" s="395"/>
      <c r="EB774" s="392"/>
      <c r="EC774" s="392"/>
      <c r="ED774" s="392"/>
      <c r="EE774" s="392"/>
      <c r="EF774" s="392"/>
      <c r="EG774" s="392"/>
      <c r="EH774" s="392"/>
      <c r="EI774" s="392"/>
      <c r="EJ774" s="392"/>
      <c r="EK774" s="392"/>
      <c r="EL774" s="392"/>
    </row>
    <row r="775" spans="3:142" s="182" customFormat="1" x14ac:dyDescent="0.25">
      <c r="C775" s="395"/>
      <c r="I775" s="184"/>
      <c r="N775" s="184"/>
      <c r="O775" s="184"/>
      <c r="P775" s="184"/>
      <c r="Q775" s="184"/>
      <c r="Z775" s="184"/>
      <c r="AA775" s="184"/>
      <c r="AJ775" s="185"/>
      <c r="DU775" s="395"/>
      <c r="DV775" s="395"/>
      <c r="DW775" s="395"/>
      <c r="DX775" s="395"/>
      <c r="DY775" s="395"/>
      <c r="DZ775" s="395"/>
      <c r="EA775" s="395"/>
      <c r="EB775" s="392"/>
      <c r="EC775" s="392"/>
      <c r="ED775" s="392"/>
      <c r="EE775" s="392"/>
      <c r="EF775" s="392"/>
      <c r="EG775" s="392"/>
      <c r="EH775" s="392"/>
      <c r="EI775" s="392"/>
      <c r="EJ775" s="392"/>
      <c r="EK775" s="392"/>
      <c r="EL775" s="392"/>
    </row>
    <row r="776" spans="3:142" s="182" customFormat="1" x14ac:dyDescent="0.25">
      <c r="C776" s="395"/>
      <c r="I776" s="184"/>
      <c r="N776" s="184"/>
      <c r="O776" s="184"/>
      <c r="P776" s="184"/>
      <c r="Q776" s="184"/>
      <c r="Z776" s="184"/>
      <c r="AA776" s="184"/>
      <c r="AJ776" s="185"/>
      <c r="DU776" s="395"/>
      <c r="DV776" s="395"/>
      <c r="DW776" s="395"/>
      <c r="DX776" s="395"/>
      <c r="DY776" s="395"/>
      <c r="DZ776" s="395"/>
      <c r="EA776" s="395"/>
      <c r="EB776" s="392"/>
      <c r="EC776" s="392"/>
      <c r="ED776" s="392"/>
      <c r="EE776" s="392"/>
      <c r="EF776" s="392"/>
      <c r="EG776" s="392"/>
      <c r="EH776" s="392"/>
      <c r="EI776" s="392"/>
      <c r="EJ776" s="392"/>
      <c r="EK776" s="392"/>
      <c r="EL776" s="392"/>
    </row>
    <row r="777" spans="3:142" s="182" customFormat="1" x14ac:dyDescent="0.25">
      <c r="C777" s="395"/>
      <c r="I777" s="184"/>
      <c r="N777" s="184"/>
      <c r="O777" s="184"/>
      <c r="P777" s="184"/>
      <c r="Q777" s="184"/>
      <c r="Z777" s="184"/>
      <c r="AA777" s="184"/>
      <c r="AJ777" s="185"/>
      <c r="DU777" s="395"/>
      <c r="DV777" s="395"/>
      <c r="DW777" s="395"/>
      <c r="DX777" s="395"/>
      <c r="DY777" s="395"/>
      <c r="DZ777" s="395"/>
      <c r="EA777" s="395"/>
      <c r="EB777" s="392"/>
      <c r="EC777" s="392"/>
      <c r="ED777" s="392"/>
      <c r="EE777" s="392"/>
      <c r="EF777" s="392"/>
      <c r="EG777" s="392"/>
      <c r="EH777" s="392"/>
      <c r="EI777" s="392"/>
      <c r="EJ777" s="392"/>
      <c r="EK777" s="392"/>
      <c r="EL777" s="392"/>
    </row>
    <row r="778" spans="3:142" s="182" customFormat="1" x14ac:dyDescent="0.25">
      <c r="C778" s="395"/>
      <c r="I778" s="184"/>
      <c r="N778" s="184"/>
      <c r="O778" s="184"/>
      <c r="P778" s="184"/>
      <c r="Q778" s="184"/>
      <c r="Z778" s="184"/>
      <c r="AA778" s="184"/>
      <c r="AJ778" s="185"/>
      <c r="DU778" s="395"/>
      <c r="DV778" s="395"/>
      <c r="DW778" s="395"/>
      <c r="DX778" s="395"/>
      <c r="DY778" s="395"/>
      <c r="DZ778" s="395"/>
      <c r="EA778" s="395"/>
      <c r="EB778" s="392"/>
      <c r="EC778" s="392"/>
      <c r="ED778" s="392"/>
      <c r="EE778" s="392"/>
      <c r="EF778" s="392"/>
      <c r="EG778" s="392"/>
      <c r="EH778" s="392"/>
      <c r="EI778" s="392"/>
      <c r="EJ778" s="392"/>
      <c r="EK778" s="392"/>
      <c r="EL778" s="392"/>
    </row>
    <row r="779" spans="3:142" s="182" customFormat="1" x14ac:dyDescent="0.25">
      <c r="C779" s="395"/>
      <c r="I779" s="184"/>
      <c r="N779" s="184"/>
      <c r="O779" s="184"/>
      <c r="P779" s="184"/>
      <c r="Q779" s="184"/>
      <c r="Z779" s="184"/>
      <c r="AA779" s="184"/>
      <c r="AJ779" s="185"/>
      <c r="DU779" s="395"/>
      <c r="DV779" s="395"/>
      <c r="DW779" s="395"/>
      <c r="DX779" s="395"/>
      <c r="DY779" s="395"/>
      <c r="DZ779" s="395"/>
      <c r="EA779" s="395"/>
      <c r="EB779" s="392"/>
      <c r="EC779" s="392"/>
      <c r="ED779" s="392"/>
      <c r="EE779" s="392"/>
      <c r="EF779" s="392"/>
      <c r="EG779" s="392"/>
      <c r="EH779" s="392"/>
      <c r="EI779" s="392"/>
      <c r="EJ779" s="392"/>
      <c r="EK779" s="392"/>
      <c r="EL779" s="392"/>
    </row>
    <row r="780" spans="3:142" s="182" customFormat="1" x14ac:dyDescent="0.25">
      <c r="C780" s="395"/>
      <c r="I780" s="184"/>
      <c r="N780" s="184"/>
      <c r="O780" s="184"/>
      <c r="P780" s="184"/>
      <c r="Q780" s="184"/>
      <c r="Z780" s="184"/>
      <c r="AA780" s="184"/>
      <c r="AJ780" s="185"/>
      <c r="DU780" s="395"/>
      <c r="DV780" s="395"/>
      <c r="DW780" s="395"/>
      <c r="DX780" s="395"/>
      <c r="DY780" s="395"/>
      <c r="DZ780" s="395"/>
      <c r="EA780" s="395"/>
      <c r="EB780" s="392"/>
      <c r="EC780" s="392"/>
      <c r="ED780" s="392"/>
      <c r="EE780" s="392"/>
      <c r="EF780" s="392"/>
      <c r="EG780" s="392"/>
      <c r="EH780" s="392"/>
      <c r="EI780" s="392"/>
      <c r="EJ780" s="392"/>
      <c r="EK780" s="392"/>
      <c r="EL780" s="392"/>
    </row>
    <row r="781" spans="3:142" s="182" customFormat="1" x14ac:dyDescent="0.25">
      <c r="C781" s="395"/>
      <c r="I781" s="184"/>
      <c r="N781" s="184"/>
      <c r="O781" s="184"/>
      <c r="P781" s="184"/>
      <c r="Q781" s="184"/>
      <c r="Z781" s="184"/>
      <c r="AA781" s="184"/>
      <c r="AJ781" s="185"/>
      <c r="DU781" s="395"/>
      <c r="DV781" s="395"/>
      <c r="DW781" s="395"/>
      <c r="DX781" s="395"/>
      <c r="DY781" s="395"/>
      <c r="DZ781" s="395"/>
      <c r="EA781" s="395"/>
      <c r="EB781" s="392"/>
      <c r="EC781" s="392"/>
      <c r="ED781" s="392"/>
      <c r="EE781" s="392"/>
      <c r="EF781" s="392"/>
      <c r="EG781" s="392"/>
      <c r="EH781" s="392"/>
      <c r="EI781" s="392"/>
      <c r="EJ781" s="392"/>
      <c r="EK781" s="392"/>
      <c r="EL781" s="392"/>
    </row>
    <row r="782" spans="3:142" s="182" customFormat="1" x14ac:dyDescent="0.25">
      <c r="C782" s="395"/>
      <c r="I782" s="184"/>
      <c r="N782" s="184"/>
      <c r="O782" s="184"/>
      <c r="P782" s="184"/>
      <c r="Q782" s="184"/>
      <c r="Z782" s="184"/>
      <c r="AA782" s="184"/>
      <c r="AJ782" s="185"/>
      <c r="DU782" s="395"/>
      <c r="DV782" s="395"/>
      <c r="DW782" s="395"/>
      <c r="DX782" s="395"/>
      <c r="DY782" s="395"/>
      <c r="DZ782" s="395"/>
      <c r="EA782" s="395"/>
      <c r="EB782" s="392"/>
      <c r="EC782" s="392"/>
      <c r="ED782" s="392"/>
      <c r="EE782" s="392"/>
      <c r="EF782" s="392"/>
      <c r="EG782" s="392"/>
      <c r="EH782" s="392"/>
      <c r="EI782" s="392"/>
      <c r="EJ782" s="392"/>
      <c r="EK782" s="392"/>
      <c r="EL782" s="392"/>
    </row>
    <row r="783" spans="3:142" s="182" customFormat="1" x14ac:dyDescent="0.25">
      <c r="C783" s="395"/>
      <c r="I783" s="184"/>
      <c r="N783" s="184"/>
      <c r="O783" s="184"/>
      <c r="P783" s="184"/>
      <c r="Q783" s="184"/>
      <c r="Z783" s="184"/>
      <c r="AA783" s="184"/>
      <c r="AJ783" s="185"/>
      <c r="DU783" s="395"/>
      <c r="DV783" s="395"/>
      <c r="DW783" s="395"/>
      <c r="DX783" s="395"/>
      <c r="DY783" s="395"/>
      <c r="DZ783" s="395"/>
      <c r="EA783" s="395"/>
      <c r="EB783" s="392"/>
      <c r="EC783" s="392"/>
      <c r="ED783" s="392"/>
      <c r="EE783" s="392"/>
      <c r="EF783" s="392"/>
      <c r="EG783" s="392"/>
      <c r="EH783" s="392"/>
      <c r="EI783" s="392"/>
      <c r="EJ783" s="392"/>
      <c r="EK783" s="392"/>
      <c r="EL783" s="392"/>
    </row>
    <row r="784" spans="3:142" s="182" customFormat="1" x14ac:dyDescent="0.25">
      <c r="C784" s="395"/>
      <c r="I784" s="184"/>
      <c r="N784" s="184"/>
      <c r="O784" s="184"/>
      <c r="P784" s="184"/>
      <c r="Q784" s="184"/>
      <c r="Z784" s="184"/>
      <c r="AA784" s="184"/>
      <c r="AJ784" s="185"/>
      <c r="DU784" s="395"/>
      <c r="DV784" s="395"/>
      <c r="DW784" s="395"/>
      <c r="DX784" s="395"/>
      <c r="DY784" s="395"/>
      <c r="DZ784" s="395"/>
      <c r="EA784" s="395"/>
      <c r="EB784" s="392"/>
      <c r="EC784" s="392"/>
      <c r="ED784" s="392"/>
      <c r="EE784" s="392"/>
      <c r="EF784" s="392"/>
      <c r="EG784" s="392"/>
      <c r="EH784" s="392"/>
      <c r="EI784" s="392"/>
      <c r="EJ784" s="392"/>
      <c r="EK784" s="392"/>
      <c r="EL784" s="392"/>
    </row>
    <row r="785" spans="3:142" s="182" customFormat="1" x14ac:dyDescent="0.25">
      <c r="C785" s="395"/>
      <c r="I785" s="184"/>
      <c r="N785" s="184"/>
      <c r="O785" s="184"/>
      <c r="P785" s="184"/>
      <c r="Q785" s="184"/>
      <c r="Z785" s="184"/>
      <c r="AA785" s="184"/>
      <c r="AJ785" s="185"/>
      <c r="DU785" s="395"/>
      <c r="DV785" s="395"/>
      <c r="DW785" s="395"/>
      <c r="DX785" s="395"/>
      <c r="DY785" s="395"/>
      <c r="DZ785" s="395"/>
      <c r="EA785" s="395"/>
      <c r="EB785" s="392"/>
      <c r="EC785" s="392"/>
      <c r="ED785" s="392"/>
      <c r="EE785" s="392"/>
      <c r="EF785" s="392"/>
      <c r="EG785" s="392"/>
      <c r="EH785" s="392"/>
      <c r="EI785" s="392"/>
      <c r="EJ785" s="392"/>
      <c r="EK785" s="392"/>
      <c r="EL785" s="392"/>
    </row>
    <row r="786" spans="3:142" s="182" customFormat="1" x14ac:dyDescent="0.25">
      <c r="C786" s="395"/>
      <c r="I786" s="184"/>
      <c r="N786" s="184"/>
      <c r="O786" s="184"/>
      <c r="P786" s="184"/>
      <c r="Q786" s="184"/>
      <c r="Z786" s="184"/>
      <c r="AA786" s="184"/>
      <c r="AJ786" s="185"/>
      <c r="DU786" s="395"/>
      <c r="DV786" s="395"/>
      <c r="DW786" s="395"/>
      <c r="DX786" s="395"/>
      <c r="DY786" s="395"/>
      <c r="DZ786" s="395"/>
      <c r="EA786" s="395"/>
      <c r="EB786" s="392"/>
      <c r="EC786" s="392"/>
      <c r="ED786" s="392"/>
      <c r="EE786" s="392"/>
      <c r="EF786" s="392"/>
      <c r="EG786" s="392"/>
      <c r="EH786" s="392"/>
      <c r="EI786" s="392"/>
      <c r="EJ786" s="392"/>
      <c r="EK786" s="392"/>
      <c r="EL786" s="392"/>
    </row>
    <row r="787" spans="3:142" s="182" customFormat="1" x14ac:dyDescent="0.25">
      <c r="C787" s="395"/>
      <c r="I787" s="184"/>
      <c r="N787" s="184"/>
      <c r="O787" s="184"/>
      <c r="P787" s="184"/>
      <c r="Q787" s="184"/>
      <c r="Z787" s="184"/>
      <c r="AA787" s="184"/>
      <c r="AJ787" s="185"/>
      <c r="DU787" s="395"/>
      <c r="DV787" s="395"/>
      <c r="DW787" s="395"/>
      <c r="DX787" s="395"/>
      <c r="DY787" s="395"/>
      <c r="DZ787" s="395"/>
      <c r="EA787" s="395"/>
      <c r="EB787" s="392"/>
      <c r="EC787" s="392"/>
      <c r="ED787" s="392"/>
      <c r="EE787" s="392"/>
      <c r="EF787" s="392"/>
      <c r="EG787" s="392"/>
      <c r="EH787" s="392"/>
      <c r="EI787" s="392"/>
      <c r="EJ787" s="392"/>
      <c r="EK787" s="392"/>
      <c r="EL787" s="392"/>
    </row>
    <row r="788" spans="3:142" s="182" customFormat="1" x14ac:dyDescent="0.25">
      <c r="C788" s="395"/>
      <c r="I788" s="184"/>
      <c r="N788" s="184"/>
      <c r="O788" s="184"/>
      <c r="P788" s="184"/>
      <c r="Q788" s="184"/>
      <c r="Z788" s="184"/>
      <c r="AA788" s="184"/>
      <c r="AJ788" s="185"/>
      <c r="DU788" s="395"/>
      <c r="DV788" s="395"/>
      <c r="DW788" s="395"/>
      <c r="DX788" s="395"/>
      <c r="DY788" s="395"/>
      <c r="DZ788" s="395"/>
      <c r="EA788" s="395"/>
      <c r="EB788" s="392"/>
      <c r="EC788" s="392"/>
      <c r="ED788" s="392"/>
      <c r="EE788" s="392"/>
      <c r="EF788" s="392"/>
      <c r="EG788" s="392"/>
      <c r="EH788" s="392"/>
      <c r="EI788" s="392"/>
      <c r="EJ788" s="392"/>
      <c r="EK788" s="392"/>
      <c r="EL788" s="392"/>
    </row>
    <row r="789" spans="3:142" s="182" customFormat="1" x14ac:dyDescent="0.25">
      <c r="C789" s="395"/>
      <c r="I789" s="184"/>
      <c r="N789" s="184"/>
      <c r="O789" s="184"/>
      <c r="P789" s="184"/>
      <c r="Q789" s="184"/>
      <c r="Z789" s="184"/>
      <c r="AA789" s="184"/>
      <c r="AJ789" s="185"/>
      <c r="DU789" s="395"/>
      <c r="DV789" s="395"/>
      <c r="DW789" s="395"/>
      <c r="DX789" s="395"/>
      <c r="DY789" s="395"/>
      <c r="DZ789" s="395"/>
      <c r="EA789" s="395"/>
      <c r="EB789" s="392"/>
      <c r="EC789" s="392"/>
      <c r="ED789" s="392"/>
      <c r="EE789" s="392"/>
      <c r="EF789" s="392"/>
      <c r="EG789" s="392"/>
      <c r="EH789" s="392"/>
      <c r="EI789" s="392"/>
      <c r="EJ789" s="392"/>
      <c r="EK789" s="392"/>
      <c r="EL789" s="392"/>
    </row>
    <row r="790" spans="3:142" s="182" customFormat="1" x14ac:dyDescent="0.25">
      <c r="C790" s="395"/>
      <c r="I790" s="184"/>
      <c r="N790" s="184"/>
      <c r="O790" s="184"/>
      <c r="P790" s="184"/>
      <c r="Q790" s="184"/>
      <c r="Z790" s="184"/>
      <c r="AA790" s="184"/>
      <c r="AJ790" s="185"/>
      <c r="DU790" s="395"/>
      <c r="DV790" s="395"/>
      <c r="DW790" s="395"/>
      <c r="DX790" s="395"/>
      <c r="DY790" s="395"/>
      <c r="DZ790" s="395"/>
      <c r="EA790" s="395"/>
      <c r="EB790" s="392"/>
      <c r="EC790" s="392"/>
      <c r="ED790" s="392"/>
      <c r="EE790" s="392"/>
      <c r="EF790" s="392"/>
      <c r="EG790" s="392"/>
      <c r="EH790" s="392"/>
      <c r="EI790" s="392"/>
      <c r="EJ790" s="392"/>
      <c r="EK790" s="392"/>
      <c r="EL790" s="392"/>
    </row>
    <row r="791" spans="3:142" s="182" customFormat="1" x14ac:dyDescent="0.25">
      <c r="C791" s="395"/>
      <c r="I791" s="184"/>
      <c r="N791" s="184"/>
      <c r="O791" s="184"/>
      <c r="P791" s="184"/>
      <c r="Q791" s="184"/>
      <c r="Z791" s="184"/>
      <c r="AA791" s="184"/>
      <c r="AJ791" s="185"/>
      <c r="DU791" s="395"/>
      <c r="DV791" s="395"/>
      <c r="DW791" s="395"/>
      <c r="DX791" s="395"/>
      <c r="DY791" s="395"/>
      <c r="DZ791" s="395"/>
      <c r="EA791" s="395"/>
      <c r="EB791" s="392"/>
      <c r="EC791" s="392"/>
      <c r="ED791" s="392"/>
      <c r="EE791" s="392"/>
      <c r="EF791" s="392"/>
      <c r="EG791" s="392"/>
      <c r="EH791" s="392"/>
      <c r="EI791" s="392"/>
      <c r="EJ791" s="392"/>
      <c r="EK791" s="392"/>
      <c r="EL791" s="392"/>
    </row>
    <row r="792" spans="3:142" s="182" customFormat="1" x14ac:dyDescent="0.25">
      <c r="C792" s="395"/>
      <c r="I792" s="184"/>
      <c r="N792" s="184"/>
      <c r="O792" s="184"/>
      <c r="P792" s="184"/>
      <c r="Q792" s="184"/>
      <c r="Z792" s="184"/>
      <c r="AA792" s="184"/>
      <c r="AJ792" s="185"/>
      <c r="DU792" s="395"/>
      <c r="DV792" s="395"/>
      <c r="DW792" s="395"/>
      <c r="DX792" s="395"/>
      <c r="DY792" s="395"/>
      <c r="DZ792" s="395"/>
      <c r="EA792" s="395"/>
      <c r="EB792" s="392"/>
      <c r="EC792" s="392"/>
      <c r="ED792" s="392"/>
      <c r="EE792" s="392"/>
      <c r="EF792" s="392"/>
      <c r="EG792" s="392"/>
      <c r="EH792" s="392"/>
      <c r="EI792" s="392"/>
      <c r="EJ792" s="392"/>
      <c r="EK792" s="392"/>
      <c r="EL792" s="392"/>
    </row>
    <row r="793" spans="3:142" s="182" customFormat="1" x14ac:dyDescent="0.25">
      <c r="C793" s="395"/>
      <c r="I793" s="184"/>
      <c r="N793" s="184"/>
      <c r="O793" s="184"/>
      <c r="P793" s="184"/>
      <c r="Q793" s="184"/>
      <c r="Z793" s="184"/>
      <c r="AA793" s="184"/>
      <c r="AJ793" s="185"/>
      <c r="DU793" s="395"/>
      <c r="DV793" s="395"/>
      <c r="DW793" s="395"/>
      <c r="DX793" s="395"/>
      <c r="DY793" s="395"/>
      <c r="DZ793" s="395"/>
      <c r="EA793" s="395"/>
      <c r="EB793" s="392"/>
      <c r="EC793" s="392"/>
      <c r="ED793" s="392"/>
      <c r="EE793" s="392"/>
      <c r="EF793" s="392"/>
      <c r="EG793" s="392"/>
      <c r="EH793" s="392"/>
      <c r="EI793" s="392"/>
      <c r="EJ793" s="392"/>
      <c r="EK793" s="392"/>
      <c r="EL793" s="392"/>
    </row>
    <row r="794" spans="3:142" s="182" customFormat="1" x14ac:dyDescent="0.25">
      <c r="C794" s="395"/>
      <c r="I794" s="184"/>
      <c r="N794" s="184"/>
      <c r="O794" s="184"/>
      <c r="P794" s="184"/>
      <c r="Q794" s="184"/>
      <c r="Z794" s="184"/>
      <c r="AA794" s="184"/>
      <c r="AJ794" s="185"/>
      <c r="DU794" s="395"/>
      <c r="DV794" s="395"/>
      <c r="DW794" s="395"/>
      <c r="DX794" s="395"/>
      <c r="DY794" s="395"/>
      <c r="DZ794" s="395"/>
      <c r="EA794" s="395"/>
      <c r="EB794" s="392"/>
      <c r="EC794" s="392"/>
      <c r="ED794" s="392"/>
      <c r="EE794" s="392"/>
      <c r="EF794" s="392"/>
      <c r="EG794" s="392"/>
      <c r="EH794" s="392"/>
      <c r="EI794" s="392"/>
      <c r="EJ794" s="392"/>
      <c r="EK794" s="392"/>
      <c r="EL794" s="392"/>
    </row>
    <row r="795" spans="3:142" s="182" customFormat="1" x14ac:dyDescent="0.25">
      <c r="C795" s="395"/>
      <c r="I795" s="184"/>
      <c r="N795" s="184"/>
      <c r="O795" s="184"/>
      <c r="P795" s="184"/>
      <c r="Q795" s="184"/>
      <c r="Z795" s="184"/>
      <c r="AA795" s="184"/>
      <c r="AJ795" s="185"/>
      <c r="DU795" s="395"/>
      <c r="DV795" s="395"/>
      <c r="DW795" s="395"/>
      <c r="DX795" s="395"/>
      <c r="DY795" s="395"/>
      <c r="DZ795" s="395"/>
      <c r="EA795" s="395"/>
      <c r="EB795" s="392"/>
      <c r="EC795" s="392"/>
      <c r="ED795" s="392"/>
      <c r="EE795" s="392"/>
      <c r="EF795" s="392"/>
      <c r="EG795" s="392"/>
      <c r="EH795" s="392"/>
      <c r="EI795" s="392"/>
      <c r="EJ795" s="392"/>
      <c r="EK795" s="392"/>
      <c r="EL795" s="392"/>
    </row>
    <row r="796" spans="3:142" s="182" customFormat="1" x14ac:dyDescent="0.25">
      <c r="C796" s="395"/>
      <c r="I796" s="184"/>
      <c r="N796" s="184"/>
      <c r="O796" s="184"/>
      <c r="P796" s="184"/>
      <c r="Q796" s="184"/>
      <c r="Z796" s="184"/>
      <c r="AA796" s="184"/>
      <c r="AJ796" s="185"/>
      <c r="DU796" s="395"/>
      <c r="DV796" s="395"/>
      <c r="DW796" s="395"/>
      <c r="DX796" s="395"/>
      <c r="DY796" s="395"/>
      <c r="DZ796" s="395"/>
      <c r="EA796" s="395"/>
      <c r="EB796" s="392"/>
      <c r="EC796" s="392"/>
      <c r="ED796" s="392"/>
      <c r="EE796" s="392"/>
      <c r="EF796" s="392"/>
      <c r="EG796" s="392"/>
      <c r="EH796" s="392"/>
      <c r="EI796" s="392"/>
      <c r="EJ796" s="392"/>
      <c r="EK796" s="392"/>
      <c r="EL796" s="392"/>
    </row>
    <row r="797" spans="3:142" s="182" customFormat="1" x14ac:dyDescent="0.25">
      <c r="C797" s="395"/>
      <c r="I797" s="184"/>
      <c r="N797" s="184"/>
      <c r="O797" s="184"/>
      <c r="P797" s="184"/>
      <c r="Q797" s="184"/>
      <c r="Z797" s="184"/>
      <c r="AA797" s="184"/>
      <c r="AJ797" s="185"/>
      <c r="DU797" s="395"/>
      <c r="DV797" s="395"/>
      <c r="DW797" s="395"/>
      <c r="DX797" s="395"/>
      <c r="DY797" s="395"/>
      <c r="DZ797" s="395"/>
      <c r="EA797" s="395"/>
      <c r="EB797" s="392"/>
      <c r="EC797" s="392"/>
      <c r="ED797" s="392"/>
      <c r="EE797" s="392"/>
      <c r="EF797" s="392"/>
      <c r="EG797" s="392"/>
      <c r="EH797" s="392"/>
      <c r="EI797" s="392"/>
      <c r="EJ797" s="392"/>
      <c r="EK797" s="392"/>
      <c r="EL797" s="392"/>
    </row>
    <row r="798" spans="3:142" s="182" customFormat="1" x14ac:dyDescent="0.25">
      <c r="C798" s="395"/>
      <c r="I798" s="184"/>
      <c r="N798" s="184"/>
      <c r="O798" s="184"/>
      <c r="P798" s="184"/>
      <c r="Q798" s="184"/>
      <c r="Z798" s="184"/>
      <c r="AA798" s="184"/>
      <c r="AJ798" s="185"/>
      <c r="DU798" s="395"/>
      <c r="DV798" s="395"/>
      <c r="DW798" s="395"/>
      <c r="DX798" s="395"/>
      <c r="DY798" s="395"/>
      <c r="DZ798" s="395"/>
      <c r="EA798" s="395"/>
      <c r="EB798" s="392"/>
      <c r="EC798" s="392"/>
      <c r="ED798" s="392"/>
      <c r="EE798" s="392"/>
      <c r="EF798" s="392"/>
      <c r="EG798" s="392"/>
      <c r="EH798" s="392"/>
      <c r="EI798" s="392"/>
      <c r="EJ798" s="392"/>
      <c r="EK798" s="392"/>
      <c r="EL798" s="392"/>
    </row>
    <row r="799" spans="3:142" s="182" customFormat="1" x14ac:dyDescent="0.25">
      <c r="C799" s="395"/>
      <c r="I799" s="184"/>
      <c r="N799" s="184"/>
      <c r="O799" s="184"/>
      <c r="P799" s="184"/>
      <c r="Q799" s="184"/>
      <c r="Z799" s="184"/>
      <c r="AA799" s="184"/>
      <c r="AJ799" s="185"/>
      <c r="DU799" s="395"/>
      <c r="DV799" s="395"/>
      <c r="DW799" s="395"/>
      <c r="DX799" s="395"/>
      <c r="DY799" s="395"/>
      <c r="DZ799" s="395"/>
      <c r="EA799" s="395"/>
      <c r="EB799" s="392"/>
      <c r="EC799" s="392"/>
      <c r="ED799" s="392"/>
      <c r="EE799" s="392"/>
      <c r="EF799" s="392"/>
      <c r="EG799" s="392"/>
      <c r="EH799" s="392"/>
      <c r="EI799" s="392"/>
      <c r="EJ799" s="392"/>
      <c r="EK799" s="392"/>
      <c r="EL799" s="392"/>
    </row>
    <row r="800" spans="3:142" s="182" customFormat="1" x14ac:dyDescent="0.25">
      <c r="C800" s="395"/>
      <c r="I800" s="184"/>
      <c r="N800" s="184"/>
      <c r="O800" s="184"/>
      <c r="P800" s="184"/>
      <c r="Q800" s="184"/>
      <c r="Z800" s="184"/>
      <c r="AA800" s="184"/>
      <c r="AJ800" s="185"/>
      <c r="DU800" s="395"/>
      <c r="DV800" s="395"/>
      <c r="DW800" s="395"/>
      <c r="DX800" s="395"/>
      <c r="DY800" s="395"/>
      <c r="DZ800" s="395"/>
      <c r="EA800" s="395"/>
      <c r="EB800" s="392"/>
      <c r="EC800" s="392"/>
      <c r="ED800" s="392"/>
      <c r="EE800" s="392"/>
      <c r="EF800" s="392"/>
      <c r="EG800" s="392"/>
      <c r="EH800" s="392"/>
      <c r="EI800" s="392"/>
      <c r="EJ800" s="392"/>
      <c r="EK800" s="392"/>
      <c r="EL800" s="392"/>
    </row>
    <row r="801" spans="3:142" s="182" customFormat="1" x14ac:dyDescent="0.25">
      <c r="C801" s="395"/>
      <c r="I801" s="184"/>
      <c r="N801" s="184"/>
      <c r="O801" s="184"/>
      <c r="P801" s="184"/>
      <c r="Q801" s="184"/>
      <c r="Z801" s="184"/>
      <c r="AA801" s="184"/>
      <c r="AJ801" s="185"/>
      <c r="DU801" s="395"/>
      <c r="DV801" s="395"/>
      <c r="DW801" s="395"/>
      <c r="DX801" s="395"/>
      <c r="DY801" s="395"/>
      <c r="DZ801" s="395"/>
      <c r="EA801" s="395"/>
      <c r="EB801" s="392"/>
      <c r="EC801" s="392"/>
      <c r="ED801" s="392"/>
      <c r="EE801" s="392"/>
      <c r="EF801" s="392"/>
      <c r="EG801" s="392"/>
      <c r="EH801" s="392"/>
      <c r="EI801" s="392"/>
      <c r="EJ801" s="392"/>
      <c r="EK801" s="392"/>
      <c r="EL801" s="392"/>
    </row>
    <row r="802" spans="3:142" s="182" customFormat="1" x14ac:dyDescent="0.25">
      <c r="C802" s="395"/>
      <c r="I802" s="184"/>
      <c r="N802" s="184"/>
      <c r="O802" s="184"/>
      <c r="P802" s="184"/>
      <c r="Q802" s="184"/>
      <c r="Z802" s="184"/>
      <c r="AA802" s="184"/>
      <c r="AJ802" s="185"/>
      <c r="DU802" s="395"/>
      <c r="DV802" s="395"/>
      <c r="DW802" s="395"/>
      <c r="DX802" s="395"/>
      <c r="DY802" s="395"/>
      <c r="DZ802" s="395"/>
      <c r="EA802" s="395"/>
      <c r="EB802" s="392"/>
      <c r="EC802" s="392"/>
      <c r="ED802" s="392"/>
      <c r="EE802" s="392"/>
      <c r="EF802" s="392"/>
      <c r="EG802" s="392"/>
      <c r="EH802" s="392"/>
      <c r="EI802" s="392"/>
      <c r="EJ802" s="392"/>
      <c r="EK802" s="392"/>
      <c r="EL802" s="392"/>
    </row>
    <row r="803" spans="3:142" s="182" customFormat="1" x14ac:dyDescent="0.25">
      <c r="C803" s="395"/>
      <c r="I803" s="184"/>
      <c r="N803" s="184"/>
      <c r="O803" s="184"/>
      <c r="P803" s="184"/>
      <c r="Q803" s="184"/>
      <c r="Z803" s="184"/>
      <c r="AA803" s="184"/>
      <c r="AJ803" s="185"/>
      <c r="DU803" s="395"/>
      <c r="DV803" s="395"/>
      <c r="DW803" s="395"/>
      <c r="DX803" s="395"/>
      <c r="DY803" s="395"/>
      <c r="DZ803" s="395"/>
      <c r="EA803" s="395"/>
      <c r="EB803" s="392"/>
      <c r="EC803" s="392"/>
      <c r="ED803" s="392"/>
      <c r="EE803" s="392"/>
      <c r="EF803" s="392"/>
      <c r="EG803" s="392"/>
      <c r="EH803" s="392"/>
      <c r="EI803" s="392"/>
      <c r="EJ803" s="392"/>
      <c r="EK803" s="392"/>
      <c r="EL803" s="392"/>
    </row>
    <row r="804" spans="3:142" s="182" customFormat="1" x14ac:dyDescent="0.25">
      <c r="C804" s="395"/>
      <c r="I804" s="184"/>
      <c r="N804" s="184"/>
      <c r="O804" s="184"/>
      <c r="P804" s="184"/>
      <c r="Q804" s="184"/>
      <c r="Z804" s="184"/>
      <c r="AA804" s="184"/>
      <c r="AJ804" s="185"/>
      <c r="DU804" s="395"/>
      <c r="DV804" s="395"/>
      <c r="DW804" s="395"/>
      <c r="DX804" s="395"/>
      <c r="DY804" s="395"/>
      <c r="DZ804" s="395"/>
      <c r="EA804" s="395"/>
      <c r="EB804" s="392"/>
      <c r="EC804" s="392"/>
      <c r="ED804" s="392"/>
      <c r="EE804" s="392"/>
      <c r="EF804" s="392"/>
      <c r="EG804" s="392"/>
      <c r="EH804" s="392"/>
      <c r="EI804" s="392"/>
      <c r="EJ804" s="392"/>
      <c r="EK804" s="392"/>
      <c r="EL804" s="392"/>
    </row>
    <row r="805" spans="3:142" s="182" customFormat="1" x14ac:dyDescent="0.25">
      <c r="C805" s="395"/>
      <c r="I805" s="184"/>
      <c r="N805" s="184"/>
      <c r="O805" s="184"/>
      <c r="P805" s="184"/>
      <c r="Q805" s="184"/>
      <c r="Z805" s="184"/>
      <c r="AA805" s="184"/>
      <c r="AJ805" s="185"/>
      <c r="DU805" s="395"/>
      <c r="DV805" s="395"/>
      <c r="DW805" s="395"/>
      <c r="DX805" s="395"/>
      <c r="DY805" s="395"/>
      <c r="DZ805" s="395"/>
      <c r="EA805" s="395"/>
      <c r="EB805" s="392"/>
      <c r="EC805" s="392"/>
      <c r="ED805" s="392"/>
      <c r="EE805" s="392"/>
      <c r="EF805" s="392"/>
      <c r="EG805" s="392"/>
      <c r="EH805" s="392"/>
      <c r="EI805" s="392"/>
      <c r="EJ805" s="392"/>
      <c r="EK805" s="392"/>
      <c r="EL805" s="392"/>
    </row>
    <row r="806" spans="3:142" s="182" customFormat="1" x14ac:dyDescent="0.25">
      <c r="C806" s="395"/>
      <c r="I806" s="184"/>
      <c r="N806" s="184"/>
      <c r="O806" s="184"/>
      <c r="P806" s="184"/>
      <c r="Q806" s="184"/>
      <c r="Z806" s="184"/>
      <c r="AA806" s="184"/>
      <c r="AJ806" s="185"/>
      <c r="DU806" s="395"/>
      <c r="DV806" s="395"/>
      <c r="DW806" s="395"/>
      <c r="DX806" s="395"/>
      <c r="DY806" s="395"/>
      <c r="DZ806" s="395"/>
      <c r="EA806" s="395"/>
      <c r="EB806" s="392"/>
      <c r="EC806" s="392"/>
      <c r="ED806" s="392"/>
      <c r="EE806" s="392"/>
      <c r="EF806" s="392"/>
      <c r="EG806" s="392"/>
      <c r="EH806" s="392"/>
      <c r="EI806" s="392"/>
      <c r="EJ806" s="392"/>
      <c r="EK806" s="392"/>
      <c r="EL806" s="392"/>
    </row>
    <row r="807" spans="3:142" s="182" customFormat="1" x14ac:dyDescent="0.25">
      <c r="C807" s="395"/>
      <c r="I807" s="184"/>
      <c r="N807" s="184"/>
      <c r="O807" s="184"/>
      <c r="P807" s="184"/>
      <c r="Q807" s="184"/>
      <c r="Z807" s="184"/>
      <c r="AA807" s="184"/>
      <c r="AJ807" s="185"/>
      <c r="DU807" s="395"/>
      <c r="DV807" s="395"/>
      <c r="DW807" s="395"/>
      <c r="DX807" s="395"/>
      <c r="DY807" s="395"/>
      <c r="DZ807" s="395"/>
      <c r="EA807" s="395"/>
      <c r="EB807" s="392"/>
      <c r="EC807" s="392"/>
      <c r="ED807" s="392"/>
      <c r="EE807" s="392"/>
      <c r="EF807" s="392"/>
      <c r="EG807" s="392"/>
      <c r="EH807" s="392"/>
      <c r="EI807" s="392"/>
      <c r="EJ807" s="392"/>
      <c r="EK807" s="392"/>
      <c r="EL807" s="392"/>
    </row>
    <row r="808" spans="3:142" s="182" customFormat="1" x14ac:dyDescent="0.25">
      <c r="C808" s="395"/>
      <c r="I808" s="184"/>
      <c r="N808" s="184"/>
      <c r="O808" s="184"/>
      <c r="P808" s="184"/>
      <c r="Q808" s="184"/>
      <c r="Z808" s="184"/>
      <c r="AA808" s="184"/>
      <c r="AJ808" s="185"/>
      <c r="DU808" s="395"/>
      <c r="DV808" s="395"/>
      <c r="DW808" s="395"/>
      <c r="DX808" s="395"/>
      <c r="DY808" s="395"/>
      <c r="DZ808" s="395"/>
      <c r="EA808" s="395"/>
      <c r="EB808" s="392"/>
      <c r="EC808" s="392"/>
      <c r="ED808" s="392"/>
      <c r="EE808" s="392"/>
      <c r="EF808" s="392"/>
      <c r="EG808" s="392"/>
      <c r="EH808" s="392"/>
      <c r="EI808" s="392"/>
      <c r="EJ808" s="392"/>
      <c r="EK808" s="392"/>
      <c r="EL808" s="392"/>
    </row>
    <row r="809" spans="3:142" s="182" customFormat="1" x14ac:dyDescent="0.25">
      <c r="C809" s="395"/>
      <c r="I809" s="184"/>
      <c r="N809" s="184"/>
      <c r="O809" s="184"/>
      <c r="P809" s="184"/>
      <c r="Q809" s="184"/>
      <c r="Z809" s="184"/>
      <c r="AA809" s="184"/>
      <c r="AJ809" s="185"/>
      <c r="DU809" s="395"/>
      <c r="DV809" s="395"/>
      <c r="DW809" s="395"/>
      <c r="DX809" s="395"/>
      <c r="DY809" s="395"/>
      <c r="DZ809" s="395"/>
      <c r="EA809" s="395"/>
      <c r="EB809" s="392"/>
      <c r="EC809" s="392"/>
      <c r="ED809" s="392"/>
      <c r="EE809" s="392"/>
      <c r="EF809" s="392"/>
      <c r="EG809" s="392"/>
      <c r="EH809" s="392"/>
      <c r="EI809" s="392"/>
      <c r="EJ809" s="392"/>
      <c r="EK809" s="392"/>
      <c r="EL809" s="392"/>
    </row>
    <row r="810" spans="3:142" s="182" customFormat="1" x14ac:dyDescent="0.25">
      <c r="C810" s="395"/>
      <c r="I810" s="184"/>
      <c r="N810" s="184"/>
      <c r="O810" s="184"/>
      <c r="P810" s="184"/>
      <c r="Q810" s="184"/>
      <c r="Z810" s="184"/>
      <c r="AA810" s="184"/>
      <c r="AJ810" s="185"/>
      <c r="DU810" s="395"/>
      <c r="DV810" s="395"/>
      <c r="DW810" s="395"/>
      <c r="DX810" s="395"/>
      <c r="DY810" s="395"/>
      <c r="DZ810" s="395"/>
      <c r="EA810" s="395"/>
      <c r="EB810" s="392"/>
      <c r="EC810" s="392"/>
      <c r="ED810" s="392"/>
      <c r="EE810" s="392"/>
      <c r="EF810" s="392"/>
      <c r="EG810" s="392"/>
      <c r="EH810" s="392"/>
      <c r="EI810" s="392"/>
      <c r="EJ810" s="392"/>
      <c r="EK810" s="392"/>
      <c r="EL810" s="392"/>
    </row>
    <row r="811" spans="3:142" s="182" customFormat="1" x14ac:dyDescent="0.25">
      <c r="C811" s="395"/>
      <c r="I811" s="184"/>
      <c r="N811" s="184"/>
      <c r="O811" s="184"/>
      <c r="P811" s="184"/>
      <c r="Q811" s="184"/>
      <c r="Z811" s="184"/>
      <c r="AA811" s="184"/>
      <c r="AJ811" s="185"/>
      <c r="DU811" s="395"/>
      <c r="DV811" s="395"/>
      <c r="DW811" s="395"/>
      <c r="DX811" s="395"/>
      <c r="DY811" s="395"/>
      <c r="DZ811" s="395"/>
      <c r="EA811" s="395"/>
      <c r="EB811" s="392"/>
      <c r="EC811" s="392"/>
      <c r="ED811" s="392"/>
      <c r="EE811" s="392"/>
      <c r="EF811" s="392"/>
      <c r="EG811" s="392"/>
      <c r="EH811" s="392"/>
      <c r="EI811" s="392"/>
      <c r="EJ811" s="392"/>
      <c r="EK811" s="392"/>
      <c r="EL811" s="392"/>
    </row>
    <row r="812" spans="3:142" s="182" customFormat="1" x14ac:dyDescent="0.25">
      <c r="C812" s="395"/>
      <c r="I812" s="184"/>
      <c r="N812" s="184"/>
      <c r="O812" s="184"/>
      <c r="P812" s="184"/>
      <c r="Q812" s="184"/>
      <c r="Z812" s="184"/>
      <c r="AA812" s="184"/>
      <c r="AJ812" s="185"/>
      <c r="DU812" s="395"/>
      <c r="DV812" s="395"/>
      <c r="DW812" s="395"/>
      <c r="DX812" s="395"/>
      <c r="DY812" s="395"/>
      <c r="DZ812" s="395"/>
      <c r="EA812" s="395"/>
      <c r="EB812" s="392"/>
      <c r="EC812" s="392"/>
      <c r="ED812" s="392"/>
      <c r="EE812" s="392"/>
      <c r="EF812" s="392"/>
      <c r="EG812" s="392"/>
      <c r="EH812" s="392"/>
      <c r="EI812" s="392"/>
      <c r="EJ812" s="392"/>
      <c r="EK812" s="392"/>
      <c r="EL812" s="392"/>
    </row>
    <row r="813" spans="3:142" s="182" customFormat="1" x14ac:dyDescent="0.25">
      <c r="C813" s="395"/>
      <c r="I813" s="184"/>
      <c r="N813" s="184"/>
      <c r="O813" s="184"/>
      <c r="P813" s="184"/>
      <c r="Q813" s="184"/>
      <c r="Z813" s="184"/>
      <c r="AA813" s="184"/>
      <c r="AJ813" s="185"/>
      <c r="DU813" s="395"/>
      <c r="DV813" s="395"/>
      <c r="DW813" s="395"/>
      <c r="DX813" s="395"/>
      <c r="DY813" s="395"/>
      <c r="DZ813" s="395"/>
      <c r="EA813" s="395"/>
      <c r="EB813" s="392"/>
      <c r="EC813" s="392"/>
      <c r="ED813" s="392"/>
      <c r="EE813" s="392"/>
      <c r="EF813" s="392"/>
      <c r="EG813" s="392"/>
      <c r="EH813" s="392"/>
      <c r="EI813" s="392"/>
      <c r="EJ813" s="392"/>
      <c r="EK813" s="392"/>
      <c r="EL813" s="392"/>
    </row>
    <row r="814" spans="3:142" s="182" customFormat="1" x14ac:dyDescent="0.25">
      <c r="C814" s="395"/>
      <c r="I814" s="184"/>
      <c r="N814" s="184"/>
      <c r="O814" s="184"/>
      <c r="P814" s="184"/>
      <c r="Q814" s="184"/>
      <c r="Z814" s="184"/>
      <c r="AA814" s="184"/>
      <c r="AJ814" s="185"/>
      <c r="DU814" s="395"/>
      <c r="DV814" s="395"/>
      <c r="DW814" s="395"/>
      <c r="DX814" s="395"/>
      <c r="DY814" s="395"/>
      <c r="DZ814" s="395"/>
      <c r="EA814" s="395"/>
      <c r="EB814" s="392"/>
      <c r="EC814" s="392"/>
      <c r="ED814" s="392"/>
      <c r="EE814" s="392"/>
      <c r="EF814" s="392"/>
      <c r="EG814" s="392"/>
      <c r="EH814" s="392"/>
      <c r="EI814" s="392"/>
      <c r="EJ814" s="392"/>
      <c r="EK814" s="392"/>
      <c r="EL814" s="392"/>
    </row>
    <row r="815" spans="3:142" s="182" customFormat="1" x14ac:dyDescent="0.25">
      <c r="C815" s="395"/>
      <c r="I815" s="184"/>
      <c r="N815" s="184"/>
      <c r="O815" s="184"/>
      <c r="P815" s="184"/>
      <c r="Q815" s="184"/>
      <c r="Z815" s="184"/>
      <c r="AA815" s="184"/>
      <c r="AJ815" s="185"/>
      <c r="DU815" s="395"/>
      <c r="DV815" s="395"/>
      <c r="DW815" s="395"/>
      <c r="DX815" s="395"/>
      <c r="DY815" s="395"/>
      <c r="DZ815" s="395"/>
      <c r="EA815" s="395"/>
      <c r="EB815" s="392"/>
      <c r="EC815" s="392"/>
      <c r="ED815" s="392"/>
      <c r="EE815" s="392"/>
      <c r="EF815" s="392"/>
      <c r="EG815" s="392"/>
      <c r="EH815" s="392"/>
      <c r="EI815" s="392"/>
      <c r="EJ815" s="392"/>
      <c r="EK815" s="392"/>
      <c r="EL815" s="392"/>
    </row>
    <row r="816" spans="3:142" s="182" customFormat="1" x14ac:dyDescent="0.25">
      <c r="C816" s="395"/>
      <c r="I816" s="184"/>
      <c r="N816" s="184"/>
      <c r="O816" s="184"/>
      <c r="P816" s="184"/>
      <c r="Q816" s="184"/>
      <c r="Z816" s="184"/>
      <c r="AA816" s="184"/>
      <c r="AJ816" s="185"/>
      <c r="DU816" s="395"/>
      <c r="DV816" s="395"/>
      <c r="DW816" s="395"/>
      <c r="DX816" s="395"/>
      <c r="DY816" s="395"/>
      <c r="DZ816" s="395"/>
      <c r="EA816" s="395"/>
      <c r="EB816" s="392"/>
      <c r="EC816" s="392"/>
      <c r="ED816" s="392"/>
      <c r="EE816" s="392"/>
      <c r="EF816" s="392"/>
      <c r="EG816" s="392"/>
      <c r="EH816" s="392"/>
      <c r="EI816" s="392"/>
      <c r="EJ816" s="392"/>
      <c r="EK816" s="392"/>
      <c r="EL816" s="392"/>
    </row>
    <row r="817" spans="3:142" s="182" customFormat="1" x14ac:dyDescent="0.25">
      <c r="C817" s="395"/>
      <c r="I817" s="184"/>
      <c r="N817" s="184"/>
      <c r="O817" s="184"/>
      <c r="P817" s="184"/>
      <c r="Q817" s="184"/>
      <c r="Z817" s="184"/>
      <c r="AA817" s="184"/>
      <c r="AJ817" s="185"/>
      <c r="DU817" s="395"/>
      <c r="DV817" s="395"/>
      <c r="DW817" s="395"/>
      <c r="DX817" s="395"/>
      <c r="DY817" s="395"/>
      <c r="DZ817" s="395"/>
      <c r="EA817" s="395"/>
      <c r="EB817" s="392"/>
      <c r="EC817" s="392"/>
      <c r="ED817" s="392"/>
      <c r="EE817" s="392"/>
      <c r="EF817" s="392"/>
      <c r="EG817" s="392"/>
      <c r="EH817" s="392"/>
      <c r="EI817" s="392"/>
      <c r="EJ817" s="392"/>
      <c r="EK817" s="392"/>
      <c r="EL817" s="392"/>
    </row>
    <row r="818" spans="3:142" s="182" customFormat="1" x14ac:dyDescent="0.25">
      <c r="C818" s="395"/>
      <c r="I818" s="184"/>
      <c r="N818" s="184"/>
      <c r="O818" s="184"/>
      <c r="P818" s="184"/>
      <c r="Q818" s="184"/>
      <c r="Z818" s="184"/>
      <c r="AA818" s="184"/>
      <c r="AJ818" s="185"/>
      <c r="DU818" s="395"/>
      <c r="DV818" s="395"/>
      <c r="DW818" s="395"/>
      <c r="DX818" s="395"/>
      <c r="DY818" s="395"/>
      <c r="DZ818" s="395"/>
      <c r="EA818" s="395"/>
      <c r="EB818" s="392"/>
      <c r="EC818" s="392"/>
      <c r="ED818" s="392"/>
      <c r="EE818" s="392"/>
      <c r="EF818" s="392"/>
      <c r="EG818" s="392"/>
      <c r="EH818" s="392"/>
      <c r="EI818" s="392"/>
      <c r="EJ818" s="392"/>
      <c r="EK818" s="392"/>
      <c r="EL818" s="392"/>
    </row>
    <row r="819" spans="3:142" s="182" customFormat="1" x14ac:dyDescent="0.25">
      <c r="C819" s="395"/>
      <c r="I819" s="184"/>
      <c r="N819" s="184"/>
      <c r="O819" s="184"/>
      <c r="P819" s="184"/>
      <c r="Q819" s="184"/>
      <c r="Z819" s="184"/>
      <c r="AA819" s="184"/>
      <c r="AJ819" s="185"/>
      <c r="DU819" s="395"/>
      <c r="DV819" s="395"/>
      <c r="DW819" s="395"/>
      <c r="DX819" s="395"/>
      <c r="DY819" s="395"/>
      <c r="DZ819" s="395"/>
      <c r="EA819" s="395"/>
      <c r="EB819" s="392"/>
      <c r="EC819" s="392"/>
      <c r="ED819" s="392"/>
      <c r="EE819" s="392"/>
      <c r="EF819" s="392"/>
      <c r="EG819" s="392"/>
      <c r="EH819" s="392"/>
      <c r="EI819" s="392"/>
      <c r="EJ819" s="392"/>
      <c r="EK819" s="392"/>
      <c r="EL819" s="392"/>
    </row>
    <row r="820" spans="3:142" s="182" customFormat="1" x14ac:dyDescent="0.25">
      <c r="C820" s="395"/>
      <c r="I820" s="184"/>
      <c r="N820" s="184"/>
      <c r="O820" s="184"/>
      <c r="P820" s="184"/>
      <c r="Q820" s="184"/>
      <c r="Z820" s="184"/>
      <c r="AA820" s="184"/>
      <c r="AJ820" s="185"/>
      <c r="DU820" s="395"/>
      <c r="DV820" s="395"/>
      <c r="DW820" s="395"/>
      <c r="DX820" s="395"/>
      <c r="DY820" s="395"/>
      <c r="DZ820" s="395"/>
      <c r="EA820" s="395"/>
      <c r="EB820" s="392"/>
      <c r="EC820" s="392"/>
      <c r="ED820" s="392"/>
      <c r="EE820" s="392"/>
      <c r="EF820" s="392"/>
      <c r="EG820" s="392"/>
      <c r="EH820" s="392"/>
      <c r="EI820" s="392"/>
      <c r="EJ820" s="392"/>
      <c r="EK820" s="392"/>
      <c r="EL820" s="392"/>
    </row>
    <row r="821" spans="3:142" s="182" customFormat="1" x14ac:dyDescent="0.25">
      <c r="C821" s="395"/>
      <c r="I821" s="184"/>
      <c r="N821" s="184"/>
      <c r="O821" s="184"/>
      <c r="P821" s="184"/>
      <c r="Q821" s="184"/>
      <c r="Z821" s="184"/>
      <c r="AA821" s="184"/>
      <c r="AJ821" s="185"/>
      <c r="DU821" s="395"/>
      <c r="DV821" s="395"/>
      <c r="DW821" s="395"/>
      <c r="DX821" s="395"/>
      <c r="DY821" s="395"/>
      <c r="DZ821" s="395"/>
      <c r="EA821" s="395"/>
      <c r="EB821" s="392"/>
      <c r="EC821" s="392"/>
      <c r="ED821" s="392"/>
      <c r="EE821" s="392"/>
      <c r="EF821" s="392"/>
      <c r="EG821" s="392"/>
      <c r="EH821" s="392"/>
      <c r="EI821" s="392"/>
      <c r="EJ821" s="392"/>
      <c r="EK821" s="392"/>
      <c r="EL821" s="392"/>
    </row>
    <row r="822" spans="3:142" s="182" customFormat="1" x14ac:dyDescent="0.25">
      <c r="C822" s="395"/>
      <c r="I822" s="184"/>
      <c r="N822" s="184"/>
      <c r="O822" s="184"/>
      <c r="P822" s="184"/>
      <c r="Q822" s="184"/>
      <c r="Z822" s="184"/>
      <c r="AA822" s="184"/>
      <c r="AJ822" s="185"/>
      <c r="DU822" s="395"/>
      <c r="DV822" s="395"/>
      <c r="DW822" s="395"/>
      <c r="DX822" s="395"/>
      <c r="DY822" s="395"/>
      <c r="DZ822" s="395"/>
      <c r="EA822" s="395"/>
      <c r="EB822" s="392"/>
      <c r="EC822" s="392"/>
      <c r="ED822" s="392"/>
      <c r="EE822" s="392"/>
      <c r="EF822" s="392"/>
      <c r="EG822" s="392"/>
      <c r="EH822" s="392"/>
      <c r="EI822" s="392"/>
      <c r="EJ822" s="392"/>
      <c r="EK822" s="392"/>
      <c r="EL822" s="392"/>
    </row>
    <row r="823" spans="3:142" s="182" customFormat="1" x14ac:dyDescent="0.25">
      <c r="C823" s="395"/>
      <c r="I823" s="184"/>
      <c r="N823" s="184"/>
      <c r="O823" s="184"/>
      <c r="P823" s="184"/>
      <c r="Q823" s="184"/>
      <c r="Z823" s="184"/>
      <c r="AA823" s="184"/>
      <c r="AJ823" s="185"/>
      <c r="DU823" s="395"/>
      <c r="DV823" s="395"/>
      <c r="DW823" s="395"/>
      <c r="DX823" s="395"/>
      <c r="DY823" s="395"/>
      <c r="DZ823" s="395"/>
      <c r="EA823" s="395"/>
      <c r="EB823" s="392"/>
      <c r="EC823" s="392"/>
      <c r="ED823" s="392"/>
      <c r="EE823" s="392"/>
      <c r="EF823" s="392"/>
      <c r="EG823" s="392"/>
      <c r="EH823" s="392"/>
      <c r="EI823" s="392"/>
      <c r="EJ823" s="392"/>
      <c r="EK823" s="392"/>
      <c r="EL823" s="392"/>
    </row>
    <row r="824" spans="3:142" s="182" customFormat="1" x14ac:dyDescent="0.25">
      <c r="C824" s="395"/>
      <c r="I824" s="184"/>
      <c r="N824" s="184"/>
      <c r="O824" s="184"/>
      <c r="P824" s="184"/>
      <c r="Q824" s="184"/>
      <c r="Z824" s="184"/>
      <c r="AA824" s="184"/>
      <c r="AJ824" s="185"/>
      <c r="DU824" s="395"/>
      <c r="DV824" s="395"/>
      <c r="DW824" s="395"/>
      <c r="DX824" s="395"/>
      <c r="DY824" s="395"/>
      <c r="DZ824" s="395"/>
      <c r="EA824" s="395"/>
      <c r="EB824" s="392"/>
      <c r="EC824" s="392"/>
      <c r="ED824" s="392"/>
      <c r="EE824" s="392"/>
      <c r="EF824" s="392"/>
      <c r="EG824" s="392"/>
      <c r="EH824" s="392"/>
      <c r="EI824" s="392"/>
      <c r="EJ824" s="392"/>
      <c r="EK824" s="392"/>
      <c r="EL824" s="392"/>
    </row>
    <row r="825" spans="3:142" s="182" customFormat="1" x14ac:dyDescent="0.25">
      <c r="C825" s="395"/>
      <c r="I825" s="184"/>
      <c r="N825" s="184"/>
      <c r="O825" s="184"/>
      <c r="P825" s="184"/>
      <c r="Q825" s="184"/>
      <c r="Z825" s="184"/>
      <c r="AA825" s="184"/>
      <c r="AJ825" s="185"/>
      <c r="DU825" s="395"/>
      <c r="DV825" s="395"/>
      <c r="DW825" s="395"/>
      <c r="DX825" s="395"/>
      <c r="DY825" s="395"/>
      <c r="DZ825" s="395"/>
      <c r="EA825" s="395"/>
      <c r="EB825" s="392"/>
      <c r="EC825" s="392"/>
      <c r="ED825" s="392"/>
      <c r="EE825" s="392"/>
      <c r="EF825" s="392"/>
      <c r="EG825" s="392"/>
      <c r="EH825" s="392"/>
      <c r="EI825" s="392"/>
      <c r="EJ825" s="392"/>
      <c r="EK825" s="392"/>
      <c r="EL825" s="392"/>
    </row>
    <row r="826" spans="3:142" s="182" customFormat="1" x14ac:dyDescent="0.25">
      <c r="C826" s="395"/>
      <c r="I826" s="184"/>
      <c r="N826" s="184"/>
      <c r="O826" s="184"/>
      <c r="P826" s="184"/>
      <c r="Q826" s="184"/>
      <c r="Z826" s="184"/>
      <c r="AA826" s="184"/>
      <c r="AJ826" s="185"/>
      <c r="DU826" s="395"/>
      <c r="DV826" s="395"/>
      <c r="DW826" s="395"/>
      <c r="DX826" s="395"/>
      <c r="DY826" s="395"/>
      <c r="DZ826" s="395"/>
      <c r="EA826" s="395"/>
      <c r="EB826" s="392"/>
      <c r="EC826" s="392"/>
      <c r="ED826" s="392"/>
      <c r="EE826" s="392"/>
      <c r="EF826" s="392"/>
      <c r="EG826" s="392"/>
      <c r="EH826" s="392"/>
      <c r="EI826" s="392"/>
      <c r="EJ826" s="392"/>
      <c r="EK826" s="392"/>
      <c r="EL826" s="392"/>
    </row>
    <row r="827" spans="3:142" s="182" customFormat="1" x14ac:dyDescent="0.25">
      <c r="C827" s="395"/>
      <c r="I827" s="184"/>
      <c r="N827" s="184"/>
      <c r="O827" s="184"/>
      <c r="P827" s="184"/>
      <c r="Q827" s="184"/>
      <c r="Z827" s="184"/>
      <c r="AA827" s="184"/>
      <c r="AJ827" s="185"/>
      <c r="DU827" s="395"/>
      <c r="DV827" s="395"/>
      <c r="DW827" s="395"/>
      <c r="DX827" s="395"/>
      <c r="DY827" s="395"/>
      <c r="DZ827" s="395"/>
      <c r="EA827" s="395"/>
      <c r="EB827" s="392"/>
      <c r="EC827" s="392"/>
      <c r="ED827" s="392"/>
      <c r="EE827" s="392"/>
      <c r="EF827" s="392"/>
      <c r="EG827" s="392"/>
      <c r="EH827" s="392"/>
      <c r="EI827" s="392"/>
      <c r="EJ827" s="392"/>
      <c r="EK827" s="392"/>
      <c r="EL827" s="392"/>
    </row>
    <row r="828" spans="3:142" s="182" customFormat="1" x14ac:dyDescent="0.25">
      <c r="C828" s="395"/>
      <c r="I828" s="184"/>
      <c r="N828" s="184"/>
      <c r="O828" s="184"/>
      <c r="P828" s="184"/>
      <c r="Q828" s="184"/>
      <c r="Z828" s="184"/>
      <c r="AA828" s="184"/>
      <c r="AJ828" s="185"/>
      <c r="DU828" s="395"/>
      <c r="DV828" s="395"/>
      <c r="DW828" s="395"/>
      <c r="DX828" s="395"/>
      <c r="DY828" s="395"/>
      <c r="DZ828" s="395"/>
      <c r="EA828" s="395"/>
      <c r="EB828" s="392"/>
      <c r="EC828" s="392"/>
      <c r="ED828" s="392"/>
      <c r="EE828" s="392"/>
      <c r="EF828" s="392"/>
      <c r="EG828" s="392"/>
      <c r="EH828" s="392"/>
      <c r="EI828" s="392"/>
      <c r="EJ828" s="392"/>
      <c r="EK828" s="392"/>
      <c r="EL828" s="392"/>
    </row>
    <row r="829" spans="3:142" s="182" customFormat="1" x14ac:dyDescent="0.25">
      <c r="C829" s="395"/>
      <c r="I829" s="184"/>
      <c r="N829" s="184"/>
      <c r="O829" s="184"/>
      <c r="P829" s="184"/>
      <c r="Q829" s="184"/>
      <c r="Z829" s="184"/>
      <c r="AA829" s="184"/>
      <c r="AJ829" s="185"/>
      <c r="DU829" s="395"/>
      <c r="DV829" s="395"/>
      <c r="DW829" s="395"/>
      <c r="DX829" s="395"/>
      <c r="DY829" s="395"/>
      <c r="DZ829" s="395"/>
      <c r="EA829" s="395"/>
      <c r="EB829" s="392"/>
      <c r="EC829" s="392"/>
      <c r="ED829" s="392"/>
      <c r="EE829" s="392"/>
      <c r="EF829" s="392"/>
      <c r="EG829" s="392"/>
      <c r="EH829" s="392"/>
      <c r="EI829" s="392"/>
      <c r="EJ829" s="392"/>
      <c r="EK829" s="392"/>
      <c r="EL829" s="392"/>
    </row>
    <row r="830" spans="3:142" s="182" customFormat="1" x14ac:dyDescent="0.25">
      <c r="C830" s="395"/>
      <c r="I830" s="184"/>
      <c r="N830" s="184"/>
      <c r="O830" s="184"/>
      <c r="P830" s="184"/>
      <c r="Q830" s="184"/>
      <c r="Z830" s="184"/>
      <c r="AA830" s="184"/>
      <c r="AJ830" s="185"/>
      <c r="DU830" s="395"/>
      <c r="DV830" s="395"/>
      <c r="DW830" s="395"/>
      <c r="DX830" s="395"/>
      <c r="DY830" s="395"/>
      <c r="DZ830" s="395"/>
      <c r="EA830" s="395"/>
      <c r="EB830" s="392"/>
      <c r="EC830" s="392"/>
      <c r="ED830" s="392"/>
      <c r="EE830" s="392"/>
      <c r="EF830" s="392"/>
      <c r="EG830" s="392"/>
      <c r="EH830" s="392"/>
      <c r="EI830" s="392"/>
      <c r="EJ830" s="392"/>
      <c r="EK830" s="392"/>
      <c r="EL830" s="392"/>
    </row>
    <row r="831" spans="3:142" s="182" customFormat="1" x14ac:dyDescent="0.25">
      <c r="C831" s="395"/>
      <c r="I831" s="184"/>
      <c r="N831" s="184"/>
      <c r="O831" s="184"/>
      <c r="P831" s="184"/>
      <c r="Q831" s="184"/>
      <c r="Z831" s="184"/>
      <c r="AA831" s="184"/>
      <c r="AJ831" s="185"/>
      <c r="DU831" s="395"/>
      <c r="DV831" s="395"/>
      <c r="DW831" s="395"/>
      <c r="DX831" s="395"/>
      <c r="DY831" s="395"/>
      <c r="DZ831" s="395"/>
      <c r="EA831" s="395"/>
      <c r="EB831" s="392"/>
      <c r="EC831" s="392"/>
      <c r="ED831" s="392"/>
      <c r="EE831" s="392"/>
      <c r="EF831" s="392"/>
      <c r="EG831" s="392"/>
      <c r="EH831" s="392"/>
      <c r="EI831" s="392"/>
      <c r="EJ831" s="392"/>
      <c r="EK831" s="392"/>
      <c r="EL831" s="392"/>
    </row>
    <row r="832" spans="3:142" s="182" customFormat="1" x14ac:dyDescent="0.25">
      <c r="C832" s="395"/>
      <c r="I832" s="184"/>
      <c r="N832" s="184"/>
      <c r="O832" s="184"/>
      <c r="P832" s="184"/>
      <c r="Q832" s="184"/>
      <c r="Z832" s="184"/>
      <c r="AA832" s="184"/>
      <c r="AJ832" s="185"/>
      <c r="DU832" s="395"/>
      <c r="DV832" s="395"/>
      <c r="DW832" s="395"/>
      <c r="DX832" s="395"/>
      <c r="DY832" s="395"/>
      <c r="DZ832" s="395"/>
      <c r="EA832" s="395"/>
      <c r="EB832" s="392"/>
      <c r="EC832" s="392"/>
      <c r="ED832" s="392"/>
      <c r="EE832" s="392"/>
      <c r="EF832" s="392"/>
      <c r="EG832" s="392"/>
      <c r="EH832" s="392"/>
      <c r="EI832" s="392"/>
      <c r="EJ832" s="392"/>
      <c r="EK832" s="392"/>
      <c r="EL832" s="392"/>
    </row>
    <row r="833" spans="3:142" s="182" customFormat="1" x14ac:dyDescent="0.25">
      <c r="C833" s="395"/>
      <c r="I833" s="184"/>
      <c r="N833" s="184"/>
      <c r="O833" s="184"/>
      <c r="P833" s="184"/>
      <c r="Q833" s="184"/>
      <c r="Z833" s="184"/>
      <c r="AA833" s="184"/>
      <c r="AJ833" s="185"/>
      <c r="DU833" s="395"/>
      <c r="DV833" s="395"/>
      <c r="DW833" s="395"/>
      <c r="DX833" s="395"/>
      <c r="DY833" s="395"/>
      <c r="DZ833" s="395"/>
      <c r="EA833" s="395"/>
      <c r="EB833" s="392"/>
      <c r="EC833" s="392"/>
      <c r="ED833" s="392"/>
      <c r="EE833" s="392"/>
      <c r="EF833" s="392"/>
      <c r="EG833" s="392"/>
      <c r="EH833" s="392"/>
      <c r="EI833" s="392"/>
      <c r="EJ833" s="392"/>
      <c r="EK833" s="392"/>
      <c r="EL833" s="392"/>
    </row>
    <row r="834" spans="3:142" s="182" customFormat="1" x14ac:dyDescent="0.25">
      <c r="C834" s="395"/>
      <c r="I834" s="184"/>
      <c r="N834" s="184"/>
      <c r="O834" s="184"/>
      <c r="P834" s="184"/>
      <c r="Q834" s="184"/>
      <c r="Z834" s="184"/>
      <c r="AA834" s="184"/>
      <c r="AJ834" s="185"/>
      <c r="DU834" s="395"/>
      <c r="DV834" s="395"/>
      <c r="DW834" s="395"/>
      <c r="DX834" s="395"/>
      <c r="DY834" s="395"/>
      <c r="DZ834" s="395"/>
      <c r="EA834" s="395"/>
      <c r="EB834" s="392"/>
      <c r="EC834" s="392"/>
      <c r="ED834" s="392"/>
      <c r="EE834" s="392"/>
      <c r="EF834" s="392"/>
      <c r="EG834" s="392"/>
      <c r="EH834" s="392"/>
      <c r="EI834" s="392"/>
      <c r="EJ834" s="392"/>
      <c r="EK834" s="392"/>
      <c r="EL834" s="392"/>
    </row>
    <row r="835" spans="3:142" s="182" customFormat="1" x14ac:dyDescent="0.25">
      <c r="C835" s="395"/>
      <c r="I835" s="184"/>
      <c r="N835" s="184"/>
      <c r="O835" s="184"/>
      <c r="P835" s="184"/>
      <c r="Q835" s="184"/>
      <c r="Z835" s="184"/>
      <c r="AA835" s="184"/>
      <c r="AJ835" s="185"/>
      <c r="DU835" s="395"/>
      <c r="DV835" s="395"/>
      <c r="DW835" s="395"/>
      <c r="DX835" s="395"/>
      <c r="DY835" s="395"/>
      <c r="DZ835" s="395"/>
      <c r="EA835" s="395"/>
      <c r="EB835" s="392"/>
      <c r="EC835" s="392"/>
      <c r="ED835" s="392"/>
      <c r="EE835" s="392"/>
      <c r="EF835" s="392"/>
      <c r="EG835" s="392"/>
      <c r="EH835" s="392"/>
      <c r="EI835" s="392"/>
      <c r="EJ835" s="392"/>
      <c r="EK835" s="392"/>
      <c r="EL835" s="392"/>
    </row>
    <row r="836" spans="3:142" s="182" customFormat="1" x14ac:dyDescent="0.25">
      <c r="C836" s="395"/>
      <c r="I836" s="184"/>
      <c r="N836" s="184"/>
      <c r="O836" s="184"/>
      <c r="P836" s="184"/>
      <c r="Q836" s="184"/>
      <c r="Z836" s="184"/>
      <c r="AA836" s="184"/>
      <c r="AJ836" s="185"/>
      <c r="DU836" s="395"/>
      <c r="DV836" s="395"/>
      <c r="DW836" s="395"/>
      <c r="DX836" s="395"/>
      <c r="DY836" s="395"/>
      <c r="DZ836" s="395"/>
      <c r="EA836" s="395"/>
      <c r="EB836" s="392"/>
      <c r="EC836" s="392"/>
      <c r="ED836" s="392"/>
      <c r="EE836" s="392"/>
      <c r="EF836" s="392"/>
      <c r="EG836" s="392"/>
      <c r="EH836" s="392"/>
      <c r="EI836" s="392"/>
      <c r="EJ836" s="392"/>
      <c r="EK836" s="392"/>
      <c r="EL836" s="392"/>
    </row>
    <row r="837" spans="3:142" s="182" customFormat="1" x14ac:dyDescent="0.25">
      <c r="C837" s="395"/>
      <c r="I837" s="184"/>
      <c r="N837" s="184"/>
      <c r="O837" s="184"/>
      <c r="P837" s="184"/>
      <c r="Q837" s="184"/>
      <c r="Z837" s="184"/>
      <c r="AA837" s="184"/>
      <c r="AJ837" s="185"/>
      <c r="DU837" s="395"/>
      <c r="DV837" s="395"/>
      <c r="DW837" s="395"/>
      <c r="DX837" s="395"/>
      <c r="DY837" s="395"/>
      <c r="DZ837" s="395"/>
      <c r="EA837" s="395"/>
      <c r="EB837" s="392"/>
      <c r="EC837" s="392"/>
      <c r="ED837" s="392"/>
      <c r="EE837" s="392"/>
      <c r="EF837" s="392"/>
      <c r="EG837" s="392"/>
      <c r="EH837" s="392"/>
      <c r="EI837" s="392"/>
      <c r="EJ837" s="392"/>
      <c r="EK837" s="392"/>
      <c r="EL837" s="392"/>
    </row>
    <row r="838" spans="3:142" s="182" customFormat="1" x14ac:dyDescent="0.25">
      <c r="C838" s="395"/>
      <c r="I838" s="184"/>
      <c r="N838" s="184"/>
      <c r="O838" s="184"/>
      <c r="P838" s="184"/>
      <c r="Q838" s="184"/>
      <c r="Z838" s="184"/>
      <c r="AA838" s="184"/>
      <c r="AJ838" s="185"/>
      <c r="DU838" s="395"/>
      <c r="DV838" s="395"/>
      <c r="DW838" s="395"/>
      <c r="DX838" s="395"/>
      <c r="DY838" s="395"/>
      <c r="DZ838" s="395"/>
      <c r="EA838" s="395"/>
      <c r="EB838" s="392"/>
      <c r="EC838" s="392"/>
      <c r="ED838" s="392"/>
      <c r="EE838" s="392"/>
      <c r="EF838" s="392"/>
      <c r="EG838" s="392"/>
      <c r="EH838" s="392"/>
      <c r="EI838" s="392"/>
      <c r="EJ838" s="392"/>
      <c r="EK838" s="392"/>
      <c r="EL838" s="392"/>
    </row>
    <row r="839" spans="3:142" s="182" customFormat="1" x14ac:dyDescent="0.25">
      <c r="C839" s="395"/>
      <c r="I839" s="184"/>
      <c r="N839" s="184"/>
      <c r="O839" s="184"/>
      <c r="P839" s="184"/>
      <c r="Q839" s="184"/>
      <c r="Z839" s="184"/>
      <c r="AA839" s="184"/>
      <c r="AJ839" s="185"/>
      <c r="DU839" s="395"/>
      <c r="DV839" s="395"/>
      <c r="DW839" s="395"/>
      <c r="DX839" s="395"/>
      <c r="DY839" s="395"/>
      <c r="DZ839" s="395"/>
      <c r="EA839" s="395"/>
      <c r="EB839" s="392"/>
      <c r="EC839" s="392"/>
      <c r="ED839" s="392"/>
      <c r="EE839" s="392"/>
      <c r="EF839" s="392"/>
      <c r="EG839" s="392"/>
      <c r="EH839" s="392"/>
      <c r="EI839" s="392"/>
      <c r="EJ839" s="392"/>
      <c r="EK839" s="392"/>
      <c r="EL839" s="392"/>
    </row>
    <row r="840" spans="3:142" s="182" customFormat="1" x14ac:dyDescent="0.25">
      <c r="C840" s="395"/>
      <c r="I840" s="184"/>
      <c r="N840" s="184"/>
      <c r="O840" s="184"/>
      <c r="P840" s="184"/>
      <c r="Q840" s="184"/>
      <c r="Z840" s="184"/>
      <c r="AA840" s="184"/>
      <c r="AJ840" s="185"/>
      <c r="DU840" s="395"/>
      <c r="DV840" s="395"/>
      <c r="DW840" s="395"/>
      <c r="DX840" s="395"/>
      <c r="DY840" s="395"/>
      <c r="DZ840" s="395"/>
      <c r="EA840" s="395"/>
      <c r="EB840" s="392"/>
      <c r="EC840" s="392"/>
      <c r="ED840" s="392"/>
      <c r="EE840" s="392"/>
      <c r="EF840" s="392"/>
      <c r="EG840" s="392"/>
      <c r="EH840" s="392"/>
      <c r="EI840" s="392"/>
      <c r="EJ840" s="392"/>
      <c r="EK840" s="392"/>
      <c r="EL840" s="392"/>
    </row>
    <row r="841" spans="3:142" s="182" customFormat="1" x14ac:dyDescent="0.25">
      <c r="C841" s="395"/>
      <c r="I841" s="184"/>
      <c r="N841" s="184"/>
      <c r="O841" s="184"/>
      <c r="P841" s="184"/>
      <c r="Q841" s="184"/>
      <c r="Z841" s="184"/>
      <c r="AA841" s="184"/>
      <c r="AJ841" s="185"/>
      <c r="DU841" s="395"/>
      <c r="DV841" s="395"/>
      <c r="DW841" s="395"/>
      <c r="DX841" s="395"/>
      <c r="DY841" s="395"/>
      <c r="DZ841" s="395"/>
      <c r="EA841" s="395"/>
      <c r="EB841" s="392"/>
      <c r="EC841" s="392"/>
      <c r="ED841" s="392"/>
      <c r="EE841" s="392"/>
      <c r="EF841" s="392"/>
      <c r="EG841" s="392"/>
      <c r="EH841" s="392"/>
      <c r="EI841" s="392"/>
      <c r="EJ841" s="392"/>
      <c r="EK841" s="392"/>
      <c r="EL841" s="392"/>
    </row>
    <row r="842" spans="3:142" s="182" customFormat="1" x14ac:dyDescent="0.25">
      <c r="C842" s="395"/>
      <c r="I842" s="184"/>
      <c r="N842" s="184"/>
      <c r="O842" s="184"/>
      <c r="P842" s="184"/>
      <c r="Q842" s="184"/>
      <c r="Z842" s="184"/>
      <c r="AA842" s="184"/>
      <c r="AJ842" s="185"/>
      <c r="DU842" s="395"/>
      <c r="DV842" s="395"/>
      <c r="DW842" s="395"/>
      <c r="DX842" s="395"/>
      <c r="DY842" s="395"/>
      <c r="DZ842" s="395"/>
      <c r="EA842" s="395"/>
      <c r="EB842" s="392"/>
      <c r="EC842" s="392"/>
      <c r="ED842" s="392"/>
      <c r="EE842" s="392"/>
      <c r="EF842" s="392"/>
      <c r="EG842" s="392"/>
      <c r="EH842" s="392"/>
      <c r="EI842" s="392"/>
      <c r="EJ842" s="392"/>
      <c r="EK842" s="392"/>
      <c r="EL842" s="392"/>
    </row>
    <row r="843" spans="3:142" s="182" customFormat="1" x14ac:dyDescent="0.25">
      <c r="C843" s="395"/>
      <c r="I843" s="184"/>
      <c r="N843" s="184"/>
      <c r="O843" s="184"/>
      <c r="P843" s="184"/>
      <c r="Q843" s="184"/>
      <c r="Z843" s="184"/>
      <c r="AA843" s="184"/>
      <c r="AJ843" s="185"/>
      <c r="DU843" s="395"/>
      <c r="DV843" s="395"/>
      <c r="DW843" s="395"/>
      <c r="DX843" s="395"/>
      <c r="DY843" s="395"/>
      <c r="DZ843" s="395"/>
      <c r="EA843" s="395"/>
      <c r="EB843" s="392"/>
      <c r="EC843" s="392"/>
      <c r="ED843" s="392"/>
      <c r="EE843" s="392"/>
      <c r="EF843" s="392"/>
      <c r="EG843" s="392"/>
      <c r="EH843" s="392"/>
      <c r="EI843" s="392"/>
      <c r="EJ843" s="392"/>
      <c r="EK843" s="392"/>
      <c r="EL843" s="392"/>
    </row>
    <row r="844" spans="3:142" s="182" customFormat="1" x14ac:dyDescent="0.25">
      <c r="C844" s="395"/>
      <c r="I844" s="184"/>
      <c r="N844" s="184"/>
      <c r="O844" s="184"/>
      <c r="P844" s="184"/>
      <c r="Q844" s="184"/>
      <c r="Z844" s="184"/>
      <c r="AA844" s="184"/>
      <c r="AJ844" s="185"/>
      <c r="DU844" s="395"/>
      <c r="DV844" s="395"/>
      <c r="DW844" s="395"/>
      <c r="DX844" s="395"/>
      <c r="DY844" s="395"/>
      <c r="DZ844" s="395"/>
      <c r="EA844" s="395"/>
      <c r="EB844" s="392"/>
      <c r="EC844" s="392"/>
      <c r="ED844" s="392"/>
      <c r="EE844" s="392"/>
      <c r="EF844" s="392"/>
      <c r="EG844" s="392"/>
      <c r="EH844" s="392"/>
      <c r="EI844" s="392"/>
      <c r="EJ844" s="392"/>
      <c r="EK844" s="392"/>
      <c r="EL844" s="392"/>
    </row>
    <row r="845" spans="3:142" s="182" customFormat="1" x14ac:dyDescent="0.25">
      <c r="C845" s="395"/>
      <c r="I845" s="184"/>
      <c r="N845" s="184"/>
      <c r="O845" s="184"/>
      <c r="P845" s="184"/>
      <c r="Q845" s="184"/>
      <c r="Z845" s="184"/>
      <c r="AA845" s="184"/>
      <c r="AJ845" s="185"/>
      <c r="DU845" s="395"/>
      <c r="DV845" s="395"/>
      <c r="DW845" s="395"/>
      <c r="DX845" s="395"/>
      <c r="DY845" s="395"/>
      <c r="DZ845" s="395"/>
      <c r="EA845" s="395"/>
      <c r="EB845" s="392"/>
      <c r="EC845" s="392"/>
      <c r="ED845" s="392"/>
      <c r="EE845" s="392"/>
      <c r="EF845" s="392"/>
      <c r="EG845" s="392"/>
      <c r="EH845" s="392"/>
      <c r="EI845" s="392"/>
      <c r="EJ845" s="392"/>
      <c r="EK845" s="392"/>
      <c r="EL845" s="392"/>
    </row>
    <row r="846" spans="3:142" s="182" customFormat="1" x14ac:dyDescent="0.25">
      <c r="C846" s="395"/>
      <c r="I846" s="184"/>
      <c r="N846" s="184"/>
      <c r="O846" s="184"/>
      <c r="P846" s="184"/>
      <c r="Q846" s="184"/>
      <c r="Z846" s="184"/>
      <c r="AA846" s="184"/>
      <c r="AJ846" s="185"/>
      <c r="DU846" s="395"/>
      <c r="DV846" s="395"/>
      <c r="DW846" s="395"/>
      <c r="DX846" s="395"/>
      <c r="DY846" s="395"/>
      <c r="DZ846" s="395"/>
      <c r="EA846" s="395"/>
      <c r="EB846" s="392"/>
      <c r="EC846" s="392"/>
      <c r="ED846" s="392"/>
      <c r="EE846" s="392"/>
      <c r="EF846" s="392"/>
      <c r="EG846" s="392"/>
      <c r="EH846" s="392"/>
      <c r="EI846" s="392"/>
      <c r="EJ846" s="392"/>
      <c r="EK846" s="392"/>
      <c r="EL846" s="392"/>
    </row>
    <row r="847" spans="3:142" s="182" customFormat="1" x14ac:dyDescent="0.25">
      <c r="C847" s="395"/>
      <c r="I847" s="184"/>
      <c r="N847" s="184"/>
      <c r="O847" s="184"/>
      <c r="P847" s="184"/>
      <c r="Q847" s="184"/>
      <c r="Z847" s="184"/>
      <c r="AA847" s="184"/>
      <c r="AJ847" s="185"/>
      <c r="DU847" s="395"/>
      <c r="DV847" s="395"/>
      <c r="DW847" s="395"/>
      <c r="DX847" s="395"/>
      <c r="DY847" s="395"/>
      <c r="DZ847" s="395"/>
      <c r="EA847" s="395"/>
      <c r="EB847" s="392"/>
      <c r="EC847" s="392"/>
      <c r="ED847" s="392"/>
      <c r="EE847" s="392"/>
      <c r="EF847" s="392"/>
      <c r="EG847" s="392"/>
      <c r="EH847" s="392"/>
      <c r="EI847" s="392"/>
      <c r="EJ847" s="392"/>
      <c r="EK847" s="392"/>
      <c r="EL847" s="392"/>
    </row>
    <row r="848" spans="3:142" s="182" customFormat="1" x14ac:dyDescent="0.25">
      <c r="C848" s="395"/>
      <c r="I848" s="184"/>
      <c r="N848" s="184"/>
      <c r="O848" s="184"/>
      <c r="P848" s="184"/>
      <c r="Q848" s="184"/>
      <c r="Z848" s="184"/>
      <c r="AA848" s="184"/>
      <c r="AJ848" s="185"/>
      <c r="DU848" s="395"/>
      <c r="DV848" s="395"/>
      <c r="DW848" s="395"/>
      <c r="DX848" s="395"/>
      <c r="DY848" s="395"/>
      <c r="DZ848" s="395"/>
      <c r="EA848" s="395"/>
      <c r="EB848" s="392"/>
      <c r="EC848" s="392"/>
      <c r="ED848" s="392"/>
      <c r="EE848" s="392"/>
      <c r="EF848" s="392"/>
      <c r="EG848" s="392"/>
      <c r="EH848" s="392"/>
      <c r="EI848" s="392"/>
      <c r="EJ848" s="392"/>
      <c r="EK848" s="392"/>
      <c r="EL848" s="392"/>
    </row>
    <row r="849" spans="3:142" s="182" customFormat="1" x14ac:dyDescent="0.25">
      <c r="C849" s="395"/>
      <c r="I849" s="184"/>
      <c r="N849" s="184"/>
      <c r="O849" s="184"/>
      <c r="P849" s="184"/>
      <c r="Q849" s="184"/>
      <c r="Z849" s="184"/>
      <c r="AA849" s="184"/>
      <c r="AJ849" s="185"/>
      <c r="DU849" s="395"/>
      <c r="DV849" s="395"/>
      <c r="DW849" s="395"/>
      <c r="DX849" s="395"/>
      <c r="DY849" s="395"/>
      <c r="DZ849" s="395"/>
      <c r="EA849" s="395"/>
      <c r="EB849" s="392"/>
      <c r="EC849" s="392"/>
      <c r="ED849" s="392"/>
      <c r="EE849" s="392"/>
      <c r="EF849" s="392"/>
      <c r="EG849" s="392"/>
      <c r="EH849" s="392"/>
      <c r="EI849" s="392"/>
      <c r="EJ849" s="392"/>
      <c r="EK849" s="392"/>
      <c r="EL849" s="392"/>
    </row>
    <row r="850" spans="3:142" s="182" customFormat="1" x14ac:dyDescent="0.25">
      <c r="C850" s="395"/>
      <c r="I850" s="184"/>
      <c r="N850" s="184"/>
      <c r="O850" s="184"/>
      <c r="P850" s="184"/>
      <c r="Q850" s="184"/>
      <c r="Z850" s="184"/>
      <c r="AA850" s="184"/>
      <c r="AJ850" s="185"/>
      <c r="DU850" s="395"/>
      <c r="DV850" s="395"/>
      <c r="DW850" s="395"/>
      <c r="DX850" s="395"/>
      <c r="DY850" s="395"/>
      <c r="DZ850" s="395"/>
      <c r="EA850" s="395"/>
      <c r="EB850" s="392"/>
      <c r="EC850" s="392"/>
      <c r="ED850" s="392"/>
      <c r="EE850" s="392"/>
      <c r="EF850" s="392"/>
      <c r="EG850" s="392"/>
      <c r="EH850" s="392"/>
      <c r="EI850" s="392"/>
      <c r="EJ850" s="392"/>
      <c r="EK850" s="392"/>
      <c r="EL850" s="392"/>
    </row>
    <row r="851" spans="3:142" s="182" customFormat="1" x14ac:dyDescent="0.25">
      <c r="C851" s="395"/>
      <c r="I851" s="184"/>
      <c r="N851" s="184"/>
      <c r="O851" s="184"/>
      <c r="P851" s="184"/>
      <c r="Q851" s="184"/>
      <c r="Z851" s="184"/>
      <c r="AA851" s="184"/>
      <c r="AJ851" s="185"/>
      <c r="DU851" s="395"/>
      <c r="DV851" s="395"/>
      <c r="DW851" s="395"/>
      <c r="DX851" s="395"/>
      <c r="DY851" s="395"/>
      <c r="DZ851" s="395"/>
      <c r="EA851" s="395"/>
      <c r="EB851" s="392"/>
      <c r="EC851" s="392"/>
      <c r="ED851" s="392"/>
      <c r="EE851" s="392"/>
      <c r="EF851" s="392"/>
      <c r="EG851" s="392"/>
      <c r="EH851" s="392"/>
      <c r="EI851" s="392"/>
      <c r="EJ851" s="392"/>
      <c r="EK851" s="392"/>
      <c r="EL851" s="392"/>
    </row>
    <row r="852" spans="3:142" s="182" customFormat="1" x14ac:dyDescent="0.25">
      <c r="C852" s="395"/>
      <c r="I852" s="184"/>
      <c r="N852" s="184"/>
      <c r="O852" s="184"/>
      <c r="P852" s="184"/>
      <c r="Q852" s="184"/>
      <c r="Z852" s="184"/>
      <c r="AA852" s="184"/>
      <c r="AJ852" s="185"/>
      <c r="DU852" s="395"/>
      <c r="DV852" s="395"/>
      <c r="DW852" s="395"/>
      <c r="DX852" s="395"/>
      <c r="DY852" s="395"/>
      <c r="DZ852" s="395"/>
      <c r="EA852" s="395"/>
      <c r="EB852" s="392"/>
      <c r="EC852" s="392"/>
      <c r="ED852" s="392"/>
      <c r="EE852" s="392"/>
      <c r="EF852" s="392"/>
      <c r="EG852" s="392"/>
      <c r="EH852" s="392"/>
      <c r="EI852" s="392"/>
      <c r="EJ852" s="392"/>
      <c r="EK852" s="392"/>
      <c r="EL852" s="392"/>
    </row>
    <row r="853" spans="3:142" s="182" customFormat="1" x14ac:dyDescent="0.25">
      <c r="C853" s="395"/>
      <c r="I853" s="184"/>
      <c r="N853" s="184"/>
      <c r="O853" s="184"/>
      <c r="P853" s="184"/>
      <c r="Q853" s="184"/>
      <c r="Z853" s="184"/>
      <c r="AA853" s="184"/>
      <c r="AJ853" s="185"/>
      <c r="DU853" s="395"/>
      <c r="DV853" s="395"/>
      <c r="DW853" s="395"/>
      <c r="DX853" s="395"/>
      <c r="DY853" s="395"/>
      <c r="DZ853" s="395"/>
      <c r="EA853" s="395"/>
      <c r="EB853" s="392"/>
      <c r="EC853" s="392"/>
      <c r="ED853" s="392"/>
      <c r="EE853" s="392"/>
      <c r="EF853" s="392"/>
      <c r="EG853" s="392"/>
      <c r="EH853" s="392"/>
      <c r="EI853" s="392"/>
      <c r="EJ853" s="392"/>
      <c r="EK853" s="392"/>
      <c r="EL853" s="392"/>
    </row>
    <row r="854" spans="3:142" s="182" customFormat="1" x14ac:dyDescent="0.25">
      <c r="C854" s="395"/>
      <c r="I854" s="184"/>
      <c r="N854" s="184"/>
      <c r="O854" s="184"/>
      <c r="P854" s="184"/>
      <c r="Q854" s="184"/>
      <c r="Z854" s="184"/>
      <c r="AA854" s="184"/>
      <c r="AJ854" s="185"/>
      <c r="DU854" s="395"/>
      <c r="DV854" s="395"/>
      <c r="DW854" s="395"/>
      <c r="DX854" s="395"/>
      <c r="DY854" s="395"/>
      <c r="DZ854" s="395"/>
      <c r="EA854" s="395"/>
      <c r="EB854" s="392"/>
      <c r="EC854" s="392"/>
      <c r="ED854" s="392"/>
      <c r="EE854" s="392"/>
      <c r="EF854" s="392"/>
      <c r="EG854" s="392"/>
      <c r="EH854" s="392"/>
      <c r="EI854" s="392"/>
      <c r="EJ854" s="392"/>
      <c r="EK854" s="392"/>
      <c r="EL854" s="392"/>
    </row>
    <row r="855" spans="3:142" s="182" customFormat="1" x14ac:dyDescent="0.25">
      <c r="C855" s="395"/>
      <c r="I855" s="184"/>
      <c r="N855" s="184"/>
      <c r="O855" s="184"/>
      <c r="P855" s="184"/>
      <c r="Q855" s="184"/>
      <c r="Z855" s="184"/>
      <c r="AA855" s="184"/>
      <c r="AJ855" s="185"/>
      <c r="DU855" s="395"/>
      <c r="DV855" s="395"/>
      <c r="DW855" s="395"/>
      <c r="DX855" s="395"/>
      <c r="DY855" s="395"/>
      <c r="DZ855" s="395"/>
      <c r="EA855" s="395"/>
      <c r="EB855" s="392"/>
      <c r="EC855" s="392"/>
      <c r="ED855" s="392"/>
      <c r="EE855" s="392"/>
      <c r="EF855" s="392"/>
      <c r="EG855" s="392"/>
      <c r="EH855" s="392"/>
      <c r="EI855" s="392"/>
      <c r="EJ855" s="392"/>
      <c r="EK855" s="392"/>
      <c r="EL855" s="392"/>
    </row>
    <row r="856" spans="3:142" s="182" customFormat="1" x14ac:dyDescent="0.25">
      <c r="C856" s="395"/>
      <c r="I856" s="184"/>
      <c r="N856" s="184"/>
      <c r="O856" s="184"/>
      <c r="P856" s="184"/>
      <c r="Q856" s="184"/>
      <c r="Z856" s="184"/>
      <c r="AA856" s="184"/>
      <c r="AJ856" s="185"/>
      <c r="DU856" s="395"/>
      <c r="DV856" s="395"/>
      <c r="DW856" s="395"/>
      <c r="DX856" s="395"/>
      <c r="DY856" s="395"/>
      <c r="DZ856" s="395"/>
      <c r="EA856" s="395"/>
      <c r="EB856" s="392"/>
      <c r="EC856" s="392"/>
      <c r="ED856" s="392"/>
      <c r="EE856" s="392"/>
      <c r="EF856" s="392"/>
      <c r="EG856" s="392"/>
      <c r="EH856" s="392"/>
      <c r="EI856" s="392"/>
      <c r="EJ856" s="392"/>
      <c r="EK856" s="392"/>
      <c r="EL856" s="392"/>
    </row>
    <row r="857" spans="3:142" s="182" customFormat="1" x14ac:dyDescent="0.25">
      <c r="C857" s="395"/>
      <c r="I857" s="184"/>
      <c r="N857" s="184"/>
      <c r="O857" s="184"/>
      <c r="P857" s="184"/>
      <c r="Q857" s="184"/>
      <c r="Z857" s="184"/>
      <c r="AA857" s="184"/>
      <c r="AJ857" s="185"/>
      <c r="DU857" s="395"/>
      <c r="DV857" s="395"/>
      <c r="DW857" s="395"/>
      <c r="DX857" s="395"/>
      <c r="DY857" s="395"/>
      <c r="DZ857" s="395"/>
      <c r="EA857" s="395"/>
      <c r="EB857" s="392"/>
      <c r="EC857" s="392"/>
      <c r="ED857" s="392"/>
      <c r="EE857" s="392"/>
      <c r="EF857" s="392"/>
      <c r="EG857" s="392"/>
      <c r="EH857" s="392"/>
      <c r="EI857" s="392"/>
      <c r="EJ857" s="392"/>
      <c r="EK857" s="392"/>
      <c r="EL857" s="392"/>
    </row>
    <row r="858" spans="3:142" s="182" customFormat="1" x14ac:dyDescent="0.25">
      <c r="C858" s="395"/>
      <c r="I858" s="184"/>
      <c r="N858" s="184"/>
      <c r="O858" s="184"/>
      <c r="P858" s="184"/>
      <c r="Q858" s="184"/>
      <c r="Z858" s="184"/>
      <c r="AA858" s="184"/>
      <c r="AJ858" s="185"/>
      <c r="DU858" s="395"/>
      <c r="DV858" s="395"/>
      <c r="DW858" s="395"/>
      <c r="DX858" s="395"/>
      <c r="DY858" s="395"/>
      <c r="DZ858" s="395"/>
      <c r="EA858" s="395"/>
      <c r="EB858" s="392"/>
      <c r="EC858" s="392"/>
      <c r="ED858" s="392"/>
      <c r="EE858" s="392"/>
      <c r="EF858" s="392"/>
      <c r="EG858" s="392"/>
      <c r="EH858" s="392"/>
      <c r="EI858" s="392"/>
      <c r="EJ858" s="392"/>
      <c r="EK858" s="392"/>
      <c r="EL858" s="392"/>
    </row>
    <row r="859" spans="3:142" s="182" customFormat="1" x14ac:dyDescent="0.25">
      <c r="C859" s="395"/>
      <c r="I859" s="184"/>
      <c r="N859" s="184"/>
      <c r="O859" s="184"/>
      <c r="P859" s="184"/>
      <c r="Q859" s="184"/>
      <c r="Z859" s="184"/>
      <c r="AA859" s="184"/>
      <c r="AJ859" s="185"/>
      <c r="DU859" s="395"/>
      <c r="DV859" s="395"/>
      <c r="DW859" s="395"/>
      <c r="DX859" s="395"/>
      <c r="DY859" s="395"/>
      <c r="DZ859" s="395"/>
      <c r="EA859" s="395"/>
      <c r="EB859" s="392"/>
      <c r="EC859" s="392"/>
      <c r="ED859" s="392"/>
      <c r="EE859" s="392"/>
      <c r="EF859" s="392"/>
      <c r="EG859" s="392"/>
      <c r="EH859" s="392"/>
      <c r="EI859" s="392"/>
      <c r="EJ859" s="392"/>
      <c r="EK859" s="392"/>
      <c r="EL859" s="392"/>
    </row>
    <row r="860" spans="3:142" s="182" customFormat="1" x14ac:dyDescent="0.25">
      <c r="C860" s="395"/>
      <c r="I860" s="184"/>
      <c r="N860" s="184"/>
      <c r="O860" s="184"/>
      <c r="P860" s="184"/>
      <c r="Q860" s="184"/>
      <c r="Z860" s="184"/>
      <c r="AA860" s="184"/>
      <c r="AJ860" s="185"/>
      <c r="DU860" s="395"/>
      <c r="DV860" s="395"/>
      <c r="DW860" s="395"/>
      <c r="DX860" s="395"/>
      <c r="DY860" s="395"/>
      <c r="DZ860" s="395"/>
      <c r="EA860" s="395"/>
      <c r="EB860" s="392"/>
      <c r="EC860" s="392"/>
      <c r="ED860" s="392"/>
      <c r="EE860" s="392"/>
      <c r="EF860" s="392"/>
      <c r="EG860" s="392"/>
      <c r="EH860" s="392"/>
      <c r="EI860" s="392"/>
      <c r="EJ860" s="392"/>
      <c r="EK860" s="392"/>
      <c r="EL860" s="392"/>
    </row>
    <row r="861" spans="3:142" s="182" customFormat="1" x14ac:dyDescent="0.25">
      <c r="C861" s="395"/>
      <c r="I861" s="184"/>
      <c r="N861" s="184"/>
      <c r="O861" s="184"/>
      <c r="P861" s="184"/>
      <c r="Q861" s="184"/>
      <c r="Z861" s="184"/>
      <c r="AA861" s="184"/>
      <c r="AJ861" s="185"/>
      <c r="DU861" s="395"/>
      <c r="DV861" s="395"/>
      <c r="DW861" s="395"/>
      <c r="DX861" s="395"/>
      <c r="DY861" s="395"/>
      <c r="DZ861" s="395"/>
      <c r="EA861" s="395"/>
      <c r="EB861" s="392"/>
      <c r="EC861" s="392"/>
      <c r="ED861" s="392"/>
      <c r="EE861" s="392"/>
      <c r="EF861" s="392"/>
      <c r="EG861" s="392"/>
      <c r="EH861" s="392"/>
      <c r="EI861" s="392"/>
      <c r="EJ861" s="392"/>
      <c r="EK861" s="392"/>
      <c r="EL861" s="392"/>
    </row>
    <row r="862" spans="3:142" s="182" customFormat="1" x14ac:dyDescent="0.25">
      <c r="C862" s="395"/>
      <c r="I862" s="184"/>
      <c r="N862" s="184"/>
      <c r="O862" s="184"/>
      <c r="P862" s="184"/>
      <c r="Q862" s="184"/>
      <c r="Z862" s="184"/>
      <c r="AA862" s="184"/>
      <c r="AJ862" s="185"/>
      <c r="DU862" s="395"/>
      <c r="DV862" s="395"/>
      <c r="DW862" s="395"/>
      <c r="DX862" s="395"/>
      <c r="DY862" s="395"/>
      <c r="DZ862" s="395"/>
      <c r="EA862" s="395"/>
      <c r="EB862" s="392"/>
      <c r="EC862" s="392"/>
      <c r="ED862" s="392"/>
      <c r="EE862" s="392"/>
      <c r="EF862" s="392"/>
      <c r="EG862" s="392"/>
      <c r="EH862" s="392"/>
      <c r="EI862" s="392"/>
      <c r="EJ862" s="392"/>
      <c r="EK862" s="392"/>
      <c r="EL862" s="392"/>
    </row>
    <row r="863" spans="3:142" s="182" customFormat="1" x14ac:dyDescent="0.25">
      <c r="C863" s="395"/>
      <c r="I863" s="184"/>
      <c r="N863" s="184"/>
      <c r="O863" s="184"/>
      <c r="P863" s="184"/>
      <c r="Q863" s="184"/>
      <c r="Z863" s="184"/>
      <c r="AA863" s="184"/>
      <c r="AJ863" s="185"/>
      <c r="DU863" s="395"/>
      <c r="DV863" s="395"/>
      <c r="DW863" s="395"/>
      <c r="DX863" s="395"/>
      <c r="DY863" s="395"/>
      <c r="DZ863" s="395"/>
      <c r="EA863" s="395"/>
      <c r="EB863" s="392"/>
      <c r="EC863" s="392"/>
      <c r="ED863" s="392"/>
      <c r="EE863" s="392"/>
      <c r="EF863" s="392"/>
      <c r="EG863" s="392"/>
      <c r="EH863" s="392"/>
      <c r="EI863" s="392"/>
      <c r="EJ863" s="392"/>
      <c r="EK863" s="392"/>
      <c r="EL863" s="392"/>
    </row>
    <row r="864" spans="3:142" s="182" customFormat="1" x14ac:dyDescent="0.25">
      <c r="C864" s="395"/>
      <c r="I864" s="184"/>
      <c r="N864" s="184"/>
      <c r="O864" s="184"/>
      <c r="P864" s="184"/>
      <c r="Q864" s="184"/>
      <c r="Z864" s="184"/>
      <c r="AA864" s="184"/>
      <c r="AJ864" s="185"/>
      <c r="DU864" s="395"/>
      <c r="DV864" s="395"/>
      <c r="DW864" s="395"/>
      <c r="DX864" s="395"/>
      <c r="DY864" s="395"/>
      <c r="DZ864" s="395"/>
      <c r="EA864" s="395"/>
      <c r="EB864" s="392"/>
      <c r="EC864" s="392"/>
      <c r="ED864" s="392"/>
      <c r="EE864" s="392"/>
      <c r="EF864" s="392"/>
      <c r="EG864" s="392"/>
      <c r="EH864" s="392"/>
      <c r="EI864" s="392"/>
      <c r="EJ864" s="392"/>
      <c r="EK864" s="392"/>
      <c r="EL864" s="392"/>
    </row>
    <row r="865" spans="3:142" s="182" customFormat="1" x14ac:dyDescent="0.25">
      <c r="C865" s="395"/>
      <c r="I865" s="184"/>
      <c r="N865" s="184"/>
      <c r="O865" s="184"/>
      <c r="P865" s="184"/>
      <c r="Q865" s="184"/>
      <c r="Z865" s="184"/>
      <c r="AA865" s="184"/>
      <c r="AJ865" s="185"/>
      <c r="DU865" s="395"/>
      <c r="DV865" s="395"/>
      <c r="DW865" s="395"/>
      <c r="DX865" s="395"/>
      <c r="DY865" s="395"/>
      <c r="DZ865" s="395"/>
      <c r="EA865" s="395"/>
      <c r="EB865" s="392"/>
      <c r="EC865" s="392"/>
      <c r="ED865" s="392"/>
      <c r="EE865" s="392"/>
      <c r="EF865" s="392"/>
      <c r="EG865" s="392"/>
      <c r="EH865" s="392"/>
      <c r="EI865" s="392"/>
      <c r="EJ865" s="392"/>
      <c r="EK865" s="392"/>
      <c r="EL865" s="392"/>
    </row>
    <row r="866" spans="3:142" s="182" customFormat="1" x14ac:dyDescent="0.25">
      <c r="C866" s="395"/>
      <c r="I866" s="184"/>
      <c r="N866" s="184"/>
      <c r="O866" s="184"/>
      <c r="P866" s="184"/>
      <c r="Q866" s="184"/>
      <c r="Z866" s="184"/>
      <c r="AA866" s="184"/>
      <c r="AJ866" s="185"/>
      <c r="DU866" s="395"/>
      <c r="DV866" s="395"/>
      <c r="DW866" s="395"/>
      <c r="DX866" s="395"/>
      <c r="DY866" s="395"/>
      <c r="DZ866" s="395"/>
      <c r="EA866" s="395"/>
      <c r="EB866" s="392"/>
      <c r="EC866" s="392"/>
      <c r="ED866" s="392"/>
      <c r="EE866" s="392"/>
      <c r="EF866" s="392"/>
      <c r="EG866" s="392"/>
      <c r="EH866" s="392"/>
      <c r="EI866" s="392"/>
      <c r="EJ866" s="392"/>
      <c r="EK866" s="392"/>
      <c r="EL866" s="392"/>
    </row>
    <row r="867" spans="3:142" s="182" customFormat="1" x14ac:dyDescent="0.25">
      <c r="C867" s="395"/>
      <c r="I867" s="184"/>
      <c r="N867" s="184"/>
      <c r="O867" s="184"/>
      <c r="P867" s="184"/>
      <c r="Q867" s="184"/>
      <c r="Z867" s="184"/>
      <c r="AA867" s="184"/>
      <c r="AJ867" s="185"/>
      <c r="DU867" s="395"/>
      <c r="DV867" s="395"/>
      <c r="DW867" s="395"/>
      <c r="DX867" s="395"/>
      <c r="DY867" s="395"/>
      <c r="DZ867" s="395"/>
      <c r="EA867" s="395"/>
      <c r="EB867" s="392"/>
      <c r="EC867" s="392"/>
      <c r="ED867" s="392"/>
      <c r="EE867" s="392"/>
      <c r="EF867" s="392"/>
      <c r="EG867" s="392"/>
      <c r="EH867" s="392"/>
      <c r="EI867" s="392"/>
      <c r="EJ867" s="392"/>
      <c r="EK867" s="392"/>
      <c r="EL867" s="392"/>
    </row>
    <row r="868" spans="3:142" s="182" customFormat="1" x14ac:dyDescent="0.25">
      <c r="C868" s="395"/>
      <c r="I868" s="184"/>
      <c r="N868" s="184"/>
      <c r="O868" s="184"/>
      <c r="P868" s="184"/>
      <c r="Q868" s="184"/>
      <c r="Z868" s="184"/>
      <c r="AA868" s="184"/>
      <c r="AJ868" s="185"/>
      <c r="DU868" s="395"/>
      <c r="DV868" s="395"/>
      <c r="DW868" s="395"/>
      <c r="DX868" s="395"/>
      <c r="DY868" s="395"/>
      <c r="DZ868" s="395"/>
      <c r="EA868" s="395"/>
      <c r="EB868" s="392"/>
      <c r="EC868" s="392"/>
      <c r="ED868" s="392"/>
      <c r="EE868" s="392"/>
      <c r="EF868" s="392"/>
      <c r="EG868" s="392"/>
      <c r="EH868" s="392"/>
      <c r="EI868" s="392"/>
      <c r="EJ868" s="392"/>
      <c r="EK868" s="392"/>
      <c r="EL868" s="392"/>
    </row>
    <row r="869" spans="3:142" s="182" customFormat="1" x14ac:dyDescent="0.25">
      <c r="C869" s="395"/>
      <c r="I869" s="184"/>
      <c r="N869" s="184"/>
      <c r="O869" s="184"/>
      <c r="P869" s="184"/>
      <c r="Q869" s="184"/>
      <c r="Z869" s="184"/>
      <c r="AA869" s="184"/>
      <c r="AJ869" s="185"/>
      <c r="DU869" s="395"/>
      <c r="DV869" s="395"/>
      <c r="DW869" s="395"/>
      <c r="DX869" s="395"/>
      <c r="DY869" s="395"/>
      <c r="DZ869" s="395"/>
      <c r="EA869" s="395"/>
      <c r="EB869" s="392"/>
      <c r="EC869" s="392"/>
      <c r="ED869" s="392"/>
      <c r="EE869" s="392"/>
      <c r="EF869" s="392"/>
      <c r="EG869" s="392"/>
      <c r="EH869" s="392"/>
      <c r="EI869" s="392"/>
      <c r="EJ869" s="392"/>
      <c r="EK869" s="392"/>
      <c r="EL869" s="392"/>
    </row>
    <row r="870" spans="3:142" s="182" customFormat="1" x14ac:dyDescent="0.25">
      <c r="C870" s="395"/>
      <c r="I870" s="184"/>
      <c r="N870" s="184"/>
      <c r="O870" s="184"/>
      <c r="P870" s="184"/>
      <c r="Q870" s="184"/>
      <c r="Z870" s="184"/>
      <c r="AA870" s="184"/>
      <c r="AJ870" s="185"/>
      <c r="DU870" s="395"/>
      <c r="DV870" s="395"/>
      <c r="DW870" s="395"/>
      <c r="DX870" s="395"/>
      <c r="DY870" s="395"/>
      <c r="DZ870" s="395"/>
      <c r="EA870" s="395"/>
      <c r="EB870" s="392"/>
      <c r="EC870" s="392"/>
      <c r="ED870" s="392"/>
      <c r="EE870" s="392"/>
      <c r="EF870" s="392"/>
      <c r="EG870" s="392"/>
      <c r="EH870" s="392"/>
      <c r="EI870" s="392"/>
      <c r="EJ870" s="392"/>
      <c r="EK870" s="392"/>
      <c r="EL870" s="392"/>
    </row>
    <row r="871" spans="3:142" s="182" customFormat="1" x14ac:dyDescent="0.25">
      <c r="C871" s="395"/>
      <c r="I871" s="184"/>
      <c r="N871" s="184"/>
      <c r="O871" s="184"/>
      <c r="P871" s="184"/>
      <c r="Q871" s="184"/>
      <c r="Z871" s="184"/>
      <c r="AA871" s="184"/>
      <c r="AJ871" s="185"/>
      <c r="DU871" s="395"/>
      <c r="DV871" s="395"/>
      <c r="DW871" s="395"/>
      <c r="DX871" s="395"/>
      <c r="DY871" s="395"/>
      <c r="DZ871" s="395"/>
      <c r="EA871" s="395"/>
      <c r="EB871" s="392"/>
      <c r="EC871" s="392"/>
      <c r="ED871" s="392"/>
      <c r="EE871" s="392"/>
      <c r="EF871" s="392"/>
      <c r="EG871" s="392"/>
      <c r="EH871" s="392"/>
      <c r="EI871" s="392"/>
      <c r="EJ871" s="392"/>
      <c r="EK871" s="392"/>
      <c r="EL871" s="392"/>
    </row>
    <row r="872" spans="3:142" s="182" customFormat="1" x14ac:dyDescent="0.25">
      <c r="C872" s="395"/>
      <c r="I872" s="184"/>
      <c r="N872" s="184"/>
      <c r="O872" s="184"/>
      <c r="P872" s="184"/>
      <c r="Q872" s="184"/>
      <c r="Z872" s="184"/>
      <c r="AA872" s="184"/>
      <c r="AJ872" s="185"/>
      <c r="DU872" s="395"/>
      <c r="DV872" s="395"/>
      <c r="DW872" s="395"/>
      <c r="DX872" s="395"/>
      <c r="DY872" s="395"/>
      <c r="DZ872" s="395"/>
      <c r="EA872" s="395"/>
      <c r="EB872" s="392"/>
      <c r="EC872" s="392"/>
      <c r="ED872" s="392"/>
      <c r="EE872" s="392"/>
      <c r="EF872" s="392"/>
      <c r="EG872" s="392"/>
      <c r="EH872" s="392"/>
      <c r="EI872" s="392"/>
      <c r="EJ872" s="392"/>
      <c r="EK872" s="392"/>
      <c r="EL872" s="392"/>
    </row>
    <row r="873" spans="3:142" s="182" customFormat="1" x14ac:dyDescent="0.25">
      <c r="C873" s="395"/>
      <c r="I873" s="184"/>
      <c r="N873" s="184"/>
      <c r="O873" s="184"/>
      <c r="P873" s="184"/>
      <c r="Q873" s="184"/>
      <c r="Z873" s="184"/>
      <c r="AA873" s="184"/>
      <c r="AJ873" s="185"/>
      <c r="DU873" s="395"/>
      <c r="DV873" s="395"/>
      <c r="DW873" s="395"/>
      <c r="DX873" s="395"/>
      <c r="DY873" s="395"/>
      <c r="DZ873" s="395"/>
      <c r="EA873" s="395"/>
      <c r="EB873" s="392"/>
      <c r="EC873" s="392"/>
      <c r="ED873" s="392"/>
      <c r="EE873" s="392"/>
      <c r="EF873" s="392"/>
      <c r="EG873" s="392"/>
      <c r="EH873" s="392"/>
      <c r="EI873" s="392"/>
      <c r="EJ873" s="392"/>
      <c r="EK873" s="392"/>
      <c r="EL873" s="392"/>
    </row>
    <row r="874" spans="3:142" s="182" customFormat="1" x14ac:dyDescent="0.25">
      <c r="C874" s="395"/>
      <c r="I874" s="184"/>
      <c r="N874" s="184"/>
      <c r="O874" s="184"/>
      <c r="P874" s="184"/>
      <c r="Q874" s="184"/>
      <c r="Z874" s="184"/>
      <c r="AA874" s="184"/>
      <c r="AJ874" s="185"/>
      <c r="DU874" s="395"/>
      <c r="DV874" s="395"/>
      <c r="DW874" s="395"/>
      <c r="DX874" s="395"/>
      <c r="DY874" s="395"/>
      <c r="DZ874" s="395"/>
      <c r="EA874" s="395"/>
      <c r="EB874" s="392"/>
      <c r="EC874" s="392"/>
      <c r="ED874" s="392"/>
      <c r="EE874" s="392"/>
      <c r="EF874" s="392"/>
      <c r="EG874" s="392"/>
      <c r="EH874" s="392"/>
      <c r="EI874" s="392"/>
      <c r="EJ874" s="392"/>
      <c r="EK874" s="392"/>
      <c r="EL874" s="392"/>
    </row>
    <row r="875" spans="3:142" s="182" customFormat="1" x14ac:dyDescent="0.25">
      <c r="C875" s="395"/>
      <c r="I875" s="184"/>
      <c r="N875" s="184"/>
      <c r="O875" s="184"/>
      <c r="P875" s="184"/>
      <c r="Q875" s="184"/>
      <c r="Z875" s="184"/>
      <c r="AA875" s="184"/>
      <c r="AJ875" s="185"/>
      <c r="DU875" s="395"/>
      <c r="DV875" s="395"/>
      <c r="DW875" s="395"/>
      <c r="DX875" s="395"/>
      <c r="DY875" s="395"/>
      <c r="DZ875" s="395"/>
      <c r="EA875" s="395"/>
      <c r="EB875" s="392"/>
      <c r="EC875" s="392"/>
      <c r="ED875" s="392"/>
      <c r="EE875" s="392"/>
      <c r="EF875" s="392"/>
      <c r="EG875" s="392"/>
      <c r="EH875" s="392"/>
      <c r="EI875" s="392"/>
      <c r="EJ875" s="392"/>
      <c r="EK875" s="392"/>
      <c r="EL875" s="392"/>
    </row>
    <row r="876" spans="3:142" s="182" customFormat="1" x14ac:dyDescent="0.25">
      <c r="C876" s="395"/>
      <c r="I876" s="184"/>
      <c r="N876" s="184"/>
      <c r="O876" s="184"/>
      <c r="P876" s="184"/>
      <c r="Q876" s="184"/>
      <c r="Z876" s="184"/>
      <c r="AA876" s="184"/>
      <c r="AJ876" s="185"/>
      <c r="DU876" s="395"/>
      <c r="DV876" s="395"/>
      <c r="DW876" s="395"/>
      <c r="DX876" s="395"/>
      <c r="DY876" s="395"/>
      <c r="DZ876" s="395"/>
      <c r="EA876" s="395"/>
      <c r="EB876" s="392"/>
      <c r="EC876" s="392"/>
      <c r="ED876" s="392"/>
      <c r="EE876" s="392"/>
      <c r="EF876" s="392"/>
      <c r="EG876" s="392"/>
      <c r="EH876" s="392"/>
      <c r="EI876" s="392"/>
      <c r="EJ876" s="392"/>
      <c r="EK876" s="392"/>
      <c r="EL876" s="392"/>
    </row>
    <row r="877" spans="3:142" s="182" customFormat="1" x14ac:dyDescent="0.25">
      <c r="C877" s="395"/>
      <c r="I877" s="184"/>
      <c r="N877" s="184"/>
      <c r="O877" s="184"/>
      <c r="P877" s="184"/>
      <c r="Q877" s="184"/>
      <c r="Z877" s="184"/>
      <c r="AA877" s="184"/>
      <c r="AJ877" s="185"/>
      <c r="DU877" s="395"/>
      <c r="DV877" s="395"/>
      <c r="DW877" s="395"/>
      <c r="DX877" s="395"/>
      <c r="DY877" s="395"/>
      <c r="DZ877" s="395"/>
      <c r="EA877" s="395"/>
      <c r="EB877" s="392"/>
      <c r="EC877" s="392"/>
      <c r="ED877" s="392"/>
      <c r="EE877" s="392"/>
      <c r="EF877" s="392"/>
      <c r="EG877" s="392"/>
      <c r="EH877" s="392"/>
      <c r="EI877" s="392"/>
      <c r="EJ877" s="392"/>
      <c r="EK877" s="392"/>
      <c r="EL877" s="392"/>
    </row>
    <row r="878" spans="3:142" s="182" customFormat="1" x14ac:dyDescent="0.25">
      <c r="C878" s="395"/>
      <c r="I878" s="184"/>
      <c r="N878" s="184"/>
      <c r="O878" s="184"/>
      <c r="P878" s="184"/>
      <c r="Q878" s="184"/>
      <c r="Z878" s="184"/>
      <c r="AA878" s="184"/>
      <c r="AJ878" s="185"/>
      <c r="DU878" s="395"/>
      <c r="DV878" s="395"/>
      <c r="DW878" s="395"/>
      <c r="DX878" s="395"/>
      <c r="DY878" s="395"/>
      <c r="DZ878" s="395"/>
      <c r="EA878" s="395"/>
      <c r="EB878" s="392"/>
      <c r="EC878" s="392"/>
      <c r="ED878" s="392"/>
      <c r="EE878" s="392"/>
      <c r="EF878" s="392"/>
      <c r="EG878" s="392"/>
      <c r="EH878" s="392"/>
      <c r="EI878" s="392"/>
      <c r="EJ878" s="392"/>
      <c r="EK878" s="392"/>
      <c r="EL878" s="392"/>
    </row>
    <row r="879" spans="3:142" s="182" customFormat="1" x14ac:dyDescent="0.25">
      <c r="C879" s="395"/>
      <c r="I879" s="184"/>
      <c r="N879" s="184"/>
      <c r="O879" s="184"/>
      <c r="P879" s="184"/>
      <c r="Q879" s="184"/>
      <c r="Z879" s="184"/>
      <c r="AA879" s="184"/>
      <c r="AJ879" s="185"/>
      <c r="DU879" s="395"/>
      <c r="DV879" s="395"/>
      <c r="DW879" s="395"/>
      <c r="DX879" s="395"/>
      <c r="DY879" s="395"/>
      <c r="DZ879" s="395"/>
      <c r="EA879" s="395"/>
      <c r="EB879" s="392"/>
      <c r="EC879" s="392"/>
      <c r="ED879" s="392"/>
      <c r="EE879" s="392"/>
      <c r="EF879" s="392"/>
      <c r="EG879" s="392"/>
      <c r="EH879" s="392"/>
      <c r="EI879" s="392"/>
      <c r="EJ879" s="392"/>
      <c r="EK879" s="392"/>
      <c r="EL879" s="392"/>
    </row>
    <row r="880" spans="3:142" s="182" customFormat="1" x14ac:dyDescent="0.25">
      <c r="C880" s="395"/>
      <c r="I880" s="184"/>
      <c r="N880" s="184"/>
      <c r="O880" s="184"/>
      <c r="P880" s="184"/>
      <c r="Q880" s="184"/>
      <c r="Z880" s="184"/>
      <c r="AA880" s="184"/>
      <c r="AJ880" s="185"/>
      <c r="DU880" s="395"/>
      <c r="DV880" s="395"/>
      <c r="DW880" s="395"/>
      <c r="DX880" s="395"/>
      <c r="DY880" s="395"/>
      <c r="DZ880" s="395"/>
      <c r="EA880" s="395"/>
      <c r="EB880" s="392"/>
      <c r="EC880" s="392"/>
      <c r="ED880" s="392"/>
      <c r="EE880" s="392"/>
      <c r="EF880" s="392"/>
      <c r="EG880" s="392"/>
      <c r="EH880" s="392"/>
      <c r="EI880" s="392"/>
      <c r="EJ880" s="392"/>
      <c r="EK880" s="392"/>
      <c r="EL880" s="392"/>
    </row>
    <row r="881" spans="3:142" s="182" customFormat="1" x14ac:dyDescent="0.25">
      <c r="C881" s="395"/>
      <c r="I881" s="184"/>
      <c r="N881" s="184"/>
      <c r="O881" s="184"/>
      <c r="P881" s="184"/>
      <c r="Q881" s="184"/>
      <c r="Z881" s="184"/>
      <c r="AA881" s="184"/>
      <c r="AJ881" s="185"/>
      <c r="DU881" s="395"/>
      <c r="DV881" s="395"/>
      <c r="DW881" s="395"/>
      <c r="DX881" s="395"/>
      <c r="DY881" s="395"/>
      <c r="DZ881" s="395"/>
      <c r="EA881" s="395"/>
      <c r="EB881" s="392"/>
      <c r="EC881" s="392"/>
      <c r="ED881" s="392"/>
      <c r="EE881" s="392"/>
      <c r="EF881" s="392"/>
      <c r="EG881" s="392"/>
      <c r="EH881" s="392"/>
      <c r="EI881" s="392"/>
      <c r="EJ881" s="392"/>
      <c r="EK881" s="392"/>
      <c r="EL881" s="392"/>
    </row>
    <row r="882" spans="3:142" s="182" customFormat="1" x14ac:dyDescent="0.25">
      <c r="C882" s="395"/>
      <c r="I882" s="184"/>
      <c r="N882" s="184"/>
      <c r="O882" s="184"/>
      <c r="P882" s="184"/>
      <c r="Q882" s="184"/>
      <c r="Z882" s="184"/>
      <c r="AA882" s="184"/>
      <c r="AJ882" s="185"/>
      <c r="DU882" s="395"/>
      <c r="DV882" s="395"/>
      <c r="DW882" s="395"/>
      <c r="DX882" s="395"/>
      <c r="DY882" s="395"/>
      <c r="DZ882" s="395"/>
      <c r="EA882" s="395"/>
      <c r="EB882" s="392"/>
      <c r="EC882" s="392"/>
      <c r="ED882" s="392"/>
      <c r="EE882" s="392"/>
      <c r="EF882" s="392"/>
      <c r="EG882" s="392"/>
      <c r="EH882" s="392"/>
      <c r="EI882" s="392"/>
      <c r="EJ882" s="392"/>
      <c r="EK882" s="392"/>
      <c r="EL882" s="392"/>
    </row>
    <row r="883" spans="3:142" s="182" customFormat="1" x14ac:dyDescent="0.25">
      <c r="C883" s="395"/>
      <c r="I883" s="184"/>
      <c r="N883" s="184"/>
      <c r="O883" s="184"/>
      <c r="P883" s="184"/>
      <c r="Q883" s="184"/>
      <c r="Z883" s="184"/>
      <c r="AA883" s="184"/>
      <c r="AJ883" s="185"/>
      <c r="DU883" s="395"/>
      <c r="DV883" s="395"/>
      <c r="DW883" s="395"/>
      <c r="DX883" s="395"/>
      <c r="DY883" s="395"/>
      <c r="DZ883" s="395"/>
      <c r="EA883" s="395"/>
      <c r="EB883" s="392"/>
      <c r="EC883" s="392"/>
      <c r="ED883" s="392"/>
      <c r="EE883" s="392"/>
      <c r="EF883" s="392"/>
      <c r="EG883" s="392"/>
      <c r="EH883" s="392"/>
      <c r="EI883" s="392"/>
      <c r="EJ883" s="392"/>
      <c r="EK883" s="392"/>
      <c r="EL883" s="392"/>
    </row>
    <row r="884" spans="3:142" s="182" customFormat="1" x14ac:dyDescent="0.25">
      <c r="C884" s="395"/>
      <c r="I884" s="184"/>
      <c r="N884" s="184"/>
      <c r="O884" s="184"/>
      <c r="P884" s="184"/>
      <c r="Q884" s="184"/>
      <c r="Z884" s="184"/>
      <c r="AA884" s="184"/>
      <c r="AJ884" s="185"/>
      <c r="DU884" s="395"/>
      <c r="DV884" s="395"/>
      <c r="DW884" s="395"/>
      <c r="DX884" s="395"/>
      <c r="DY884" s="395"/>
      <c r="DZ884" s="395"/>
      <c r="EA884" s="395"/>
      <c r="EB884" s="392"/>
      <c r="EC884" s="392"/>
      <c r="ED884" s="392"/>
      <c r="EE884" s="392"/>
      <c r="EF884" s="392"/>
      <c r="EG884" s="392"/>
      <c r="EH884" s="392"/>
      <c r="EI884" s="392"/>
      <c r="EJ884" s="392"/>
      <c r="EK884" s="392"/>
      <c r="EL884" s="392"/>
    </row>
    <row r="885" spans="3:142" s="182" customFormat="1" x14ac:dyDescent="0.25">
      <c r="C885" s="395"/>
      <c r="I885" s="184"/>
      <c r="N885" s="184"/>
      <c r="O885" s="184"/>
      <c r="P885" s="184"/>
      <c r="Q885" s="184"/>
      <c r="Z885" s="184"/>
      <c r="AA885" s="184"/>
      <c r="AJ885" s="185"/>
      <c r="DU885" s="395"/>
      <c r="DV885" s="395"/>
      <c r="DW885" s="395"/>
      <c r="DX885" s="395"/>
      <c r="DY885" s="395"/>
      <c r="DZ885" s="395"/>
      <c r="EA885" s="395"/>
      <c r="EB885" s="392"/>
      <c r="EC885" s="392"/>
      <c r="ED885" s="392"/>
      <c r="EE885" s="392"/>
      <c r="EF885" s="392"/>
      <c r="EG885" s="392"/>
      <c r="EH885" s="392"/>
      <c r="EI885" s="392"/>
      <c r="EJ885" s="392"/>
      <c r="EK885" s="392"/>
      <c r="EL885" s="392"/>
    </row>
    <row r="886" spans="3:142" s="182" customFormat="1" x14ac:dyDescent="0.25">
      <c r="C886" s="395"/>
      <c r="I886" s="184"/>
      <c r="N886" s="184"/>
      <c r="O886" s="184"/>
      <c r="P886" s="184"/>
      <c r="Q886" s="184"/>
      <c r="Z886" s="184"/>
      <c r="AA886" s="184"/>
      <c r="AJ886" s="185"/>
      <c r="DU886" s="395"/>
      <c r="DV886" s="395"/>
      <c r="DW886" s="395"/>
      <c r="DX886" s="395"/>
      <c r="DY886" s="395"/>
      <c r="DZ886" s="395"/>
      <c r="EA886" s="395"/>
      <c r="EB886" s="392"/>
      <c r="EC886" s="392"/>
      <c r="ED886" s="392"/>
      <c r="EE886" s="392"/>
      <c r="EF886" s="392"/>
      <c r="EG886" s="392"/>
      <c r="EH886" s="392"/>
      <c r="EI886" s="392"/>
      <c r="EJ886" s="392"/>
      <c r="EK886" s="392"/>
      <c r="EL886" s="392"/>
    </row>
    <row r="887" spans="3:142" s="182" customFormat="1" x14ac:dyDescent="0.25">
      <c r="C887" s="395"/>
      <c r="I887" s="184"/>
      <c r="N887" s="184"/>
      <c r="O887" s="184"/>
      <c r="P887" s="184"/>
      <c r="Q887" s="184"/>
      <c r="Z887" s="184"/>
      <c r="AA887" s="184"/>
      <c r="AJ887" s="185"/>
      <c r="DU887" s="395"/>
      <c r="DV887" s="395"/>
      <c r="DW887" s="395"/>
      <c r="DX887" s="395"/>
      <c r="DY887" s="395"/>
      <c r="DZ887" s="395"/>
      <c r="EA887" s="395"/>
      <c r="EB887" s="392"/>
      <c r="EC887" s="392"/>
      <c r="ED887" s="392"/>
      <c r="EE887" s="392"/>
      <c r="EF887" s="392"/>
      <c r="EG887" s="392"/>
      <c r="EH887" s="392"/>
      <c r="EI887" s="392"/>
      <c r="EJ887" s="392"/>
      <c r="EK887" s="392"/>
      <c r="EL887" s="392"/>
    </row>
    <row r="888" spans="3:142" s="182" customFormat="1" x14ac:dyDescent="0.25">
      <c r="C888" s="395"/>
      <c r="I888" s="184"/>
      <c r="N888" s="184"/>
      <c r="O888" s="184"/>
      <c r="P888" s="184"/>
      <c r="Q888" s="184"/>
      <c r="Z888" s="184"/>
      <c r="AA888" s="184"/>
      <c r="AJ888" s="185"/>
      <c r="DU888" s="395"/>
      <c r="DV888" s="395"/>
      <c r="DW888" s="395"/>
      <c r="DX888" s="395"/>
      <c r="DY888" s="395"/>
      <c r="DZ888" s="395"/>
      <c r="EA888" s="395"/>
      <c r="EB888" s="392"/>
      <c r="EC888" s="392"/>
      <c r="ED888" s="392"/>
      <c r="EE888" s="392"/>
      <c r="EF888" s="392"/>
      <c r="EG888" s="392"/>
      <c r="EH888" s="392"/>
      <c r="EI888" s="392"/>
      <c r="EJ888" s="392"/>
      <c r="EK888" s="392"/>
      <c r="EL888" s="392"/>
    </row>
    <row r="889" spans="3:142" s="182" customFormat="1" x14ac:dyDescent="0.25">
      <c r="C889" s="395"/>
      <c r="I889" s="184"/>
      <c r="N889" s="184"/>
      <c r="O889" s="184"/>
      <c r="P889" s="184"/>
      <c r="Q889" s="184"/>
      <c r="Z889" s="184"/>
      <c r="AA889" s="184"/>
      <c r="AJ889" s="185"/>
      <c r="DU889" s="395"/>
      <c r="DV889" s="395"/>
      <c r="DW889" s="395"/>
      <c r="DX889" s="395"/>
      <c r="DY889" s="395"/>
      <c r="DZ889" s="395"/>
      <c r="EA889" s="395"/>
      <c r="EB889" s="392"/>
      <c r="EC889" s="392"/>
      <c r="ED889" s="392"/>
      <c r="EE889" s="392"/>
      <c r="EF889" s="392"/>
      <c r="EG889" s="392"/>
      <c r="EH889" s="392"/>
      <c r="EI889" s="392"/>
      <c r="EJ889" s="392"/>
      <c r="EK889" s="392"/>
      <c r="EL889" s="392"/>
    </row>
    <row r="890" spans="3:142" s="182" customFormat="1" x14ac:dyDescent="0.25">
      <c r="C890" s="395"/>
      <c r="I890" s="184"/>
      <c r="N890" s="184"/>
      <c r="O890" s="184"/>
      <c r="P890" s="184"/>
      <c r="Q890" s="184"/>
      <c r="Z890" s="184"/>
      <c r="AA890" s="184"/>
      <c r="AJ890" s="185"/>
      <c r="DU890" s="395"/>
      <c r="DV890" s="395"/>
      <c r="DW890" s="395"/>
      <c r="DX890" s="395"/>
      <c r="DY890" s="395"/>
      <c r="DZ890" s="395"/>
      <c r="EA890" s="395"/>
      <c r="EB890" s="392"/>
      <c r="EC890" s="392"/>
      <c r="ED890" s="392"/>
      <c r="EE890" s="392"/>
      <c r="EF890" s="392"/>
      <c r="EG890" s="392"/>
      <c r="EH890" s="392"/>
      <c r="EI890" s="392"/>
      <c r="EJ890" s="392"/>
      <c r="EK890" s="392"/>
      <c r="EL890" s="392"/>
    </row>
    <row r="891" spans="3:142" s="182" customFormat="1" x14ac:dyDescent="0.25">
      <c r="C891" s="395"/>
      <c r="I891" s="184"/>
      <c r="N891" s="184"/>
      <c r="O891" s="184"/>
      <c r="P891" s="184"/>
      <c r="Q891" s="184"/>
      <c r="Z891" s="184"/>
      <c r="AA891" s="184"/>
      <c r="AJ891" s="185"/>
      <c r="DU891" s="395"/>
      <c r="DV891" s="395"/>
      <c r="DW891" s="395"/>
      <c r="DX891" s="395"/>
      <c r="DY891" s="395"/>
      <c r="DZ891" s="395"/>
      <c r="EA891" s="395"/>
      <c r="EB891" s="392"/>
      <c r="EC891" s="392"/>
      <c r="ED891" s="392"/>
      <c r="EE891" s="392"/>
      <c r="EF891" s="392"/>
      <c r="EG891" s="392"/>
      <c r="EH891" s="392"/>
      <c r="EI891" s="392"/>
      <c r="EJ891" s="392"/>
      <c r="EK891" s="392"/>
      <c r="EL891" s="392"/>
    </row>
    <row r="892" spans="3:142" s="182" customFormat="1" x14ac:dyDescent="0.25">
      <c r="C892" s="395"/>
      <c r="I892" s="184"/>
      <c r="N892" s="184"/>
      <c r="O892" s="184"/>
      <c r="P892" s="184"/>
      <c r="Q892" s="184"/>
      <c r="Z892" s="184"/>
      <c r="AA892" s="184"/>
      <c r="AJ892" s="185"/>
      <c r="DU892" s="395"/>
      <c r="DV892" s="395"/>
      <c r="DW892" s="395"/>
      <c r="DX892" s="395"/>
      <c r="DY892" s="395"/>
      <c r="DZ892" s="395"/>
      <c r="EA892" s="395"/>
      <c r="EB892" s="392"/>
      <c r="EC892" s="392"/>
      <c r="ED892" s="392"/>
      <c r="EE892" s="392"/>
      <c r="EF892" s="392"/>
      <c r="EG892" s="392"/>
      <c r="EH892" s="392"/>
      <c r="EI892" s="392"/>
      <c r="EJ892" s="392"/>
      <c r="EK892" s="392"/>
      <c r="EL892" s="392"/>
    </row>
    <row r="893" spans="3:142" s="182" customFormat="1" x14ac:dyDescent="0.25">
      <c r="C893" s="395"/>
      <c r="I893" s="184"/>
      <c r="N893" s="184"/>
      <c r="O893" s="184"/>
      <c r="P893" s="184"/>
      <c r="Q893" s="184"/>
      <c r="Z893" s="184"/>
      <c r="AA893" s="184"/>
      <c r="AJ893" s="185"/>
      <c r="DU893" s="395"/>
      <c r="DV893" s="395"/>
      <c r="DW893" s="395"/>
      <c r="DX893" s="395"/>
      <c r="DY893" s="395"/>
      <c r="DZ893" s="395"/>
      <c r="EA893" s="395"/>
      <c r="EB893" s="392"/>
      <c r="EC893" s="392"/>
      <c r="ED893" s="392"/>
      <c r="EE893" s="392"/>
      <c r="EF893" s="392"/>
      <c r="EG893" s="392"/>
      <c r="EH893" s="392"/>
      <c r="EI893" s="392"/>
      <c r="EJ893" s="392"/>
      <c r="EK893" s="392"/>
      <c r="EL893" s="392"/>
    </row>
    <row r="894" spans="3:142" s="182" customFormat="1" x14ac:dyDescent="0.25">
      <c r="C894" s="395"/>
      <c r="I894" s="184"/>
      <c r="N894" s="184"/>
      <c r="O894" s="184"/>
      <c r="P894" s="184"/>
      <c r="Q894" s="184"/>
      <c r="Z894" s="184"/>
      <c r="AA894" s="184"/>
      <c r="AJ894" s="185"/>
      <c r="DU894" s="395"/>
      <c r="DV894" s="395"/>
      <c r="DW894" s="395"/>
      <c r="DX894" s="395"/>
      <c r="DY894" s="395"/>
      <c r="DZ894" s="395"/>
      <c r="EA894" s="395"/>
      <c r="EB894" s="392"/>
      <c r="EC894" s="392"/>
      <c r="ED894" s="392"/>
      <c r="EE894" s="392"/>
      <c r="EF894" s="392"/>
      <c r="EG894" s="392"/>
      <c r="EH894" s="392"/>
      <c r="EI894" s="392"/>
      <c r="EJ894" s="392"/>
      <c r="EK894" s="392"/>
      <c r="EL894" s="392"/>
    </row>
    <row r="895" spans="3:142" s="182" customFormat="1" x14ac:dyDescent="0.25">
      <c r="C895" s="395"/>
      <c r="I895" s="184"/>
      <c r="N895" s="184"/>
      <c r="O895" s="184"/>
      <c r="P895" s="184"/>
      <c r="Q895" s="184"/>
      <c r="Z895" s="184"/>
      <c r="AA895" s="184"/>
      <c r="AJ895" s="185"/>
      <c r="DU895" s="395"/>
      <c r="DV895" s="395"/>
      <c r="DW895" s="395"/>
      <c r="DX895" s="395"/>
      <c r="DY895" s="395"/>
      <c r="DZ895" s="395"/>
      <c r="EA895" s="395"/>
      <c r="EB895" s="392"/>
      <c r="EC895" s="392"/>
      <c r="ED895" s="392"/>
      <c r="EE895" s="392"/>
      <c r="EF895" s="392"/>
      <c r="EG895" s="392"/>
      <c r="EH895" s="392"/>
      <c r="EI895" s="392"/>
      <c r="EJ895" s="392"/>
      <c r="EK895" s="392"/>
      <c r="EL895" s="392"/>
    </row>
    <row r="896" spans="3:142" s="182" customFormat="1" x14ac:dyDescent="0.25">
      <c r="C896" s="395"/>
      <c r="I896" s="184"/>
      <c r="N896" s="184"/>
      <c r="O896" s="184"/>
      <c r="P896" s="184"/>
      <c r="Q896" s="184"/>
      <c r="Z896" s="184"/>
      <c r="AA896" s="184"/>
      <c r="AJ896" s="185"/>
      <c r="DU896" s="395"/>
      <c r="DV896" s="395"/>
      <c r="DW896" s="395"/>
      <c r="DX896" s="395"/>
      <c r="DY896" s="395"/>
      <c r="DZ896" s="395"/>
      <c r="EA896" s="395"/>
      <c r="EB896" s="392"/>
      <c r="EC896" s="392"/>
      <c r="ED896" s="392"/>
      <c r="EE896" s="392"/>
      <c r="EF896" s="392"/>
      <c r="EG896" s="392"/>
      <c r="EH896" s="392"/>
      <c r="EI896" s="392"/>
      <c r="EJ896" s="392"/>
      <c r="EK896" s="392"/>
      <c r="EL896" s="392"/>
    </row>
    <row r="897" spans="3:142" s="182" customFormat="1" x14ac:dyDescent="0.25">
      <c r="C897" s="395"/>
      <c r="I897" s="184"/>
      <c r="N897" s="184"/>
      <c r="O897" s="184"/>
      <c r="P897" s="184"/>
      <c r="Q897" s="184"/>
      <c r="Z897" s="184"/>
      <c r="AA897" s="184"/>
      <c r="AJ897" s="185"/>
      <c r="DU897" s="395"/>
      <c r="DV897" s="395"/>
      <c r="DW897" s="395"/>
      <c r="DX897" s="395"/>
      <c r="DY897" s="395"/>
      <c r="DZ897" s="395"/>
      <c r="EA897" s="395"/>
      <c r="EB897" s="392"/>
      <c r="EC897" s="392"/>
      <c r="ED897" s="392"/>
      <c r="EE897" s="392"/>
      <c r="EF897" s="392"/>
      <c r="EG897" s="392"/>
      <c r="EH897" s="392"/>
      <c r="EI897" s="392"/>
      <c r="EJ897" s="392"/>
      <c r="EK897" s="392"/>
      <c r="EL897" s="392"/>
    </row>
    <row r="898" spans="3:142" s="182" customFormat="1" x14ac:dyDescent="0.25">
      <c r="C898" s="395"/>
      <c r="I898" s="184"/>
      <c r="N898" s="184"/>
      <c r="O898" s="184"/>
      <c r="P898" s="184"/>
      <c r="Q898" s="184"/>
      <c r="Z898" s="184"/>
      <c r="AA898" s="184"/>
      <c r="AJ898" s="185"/>
      <c r="DU898" s="395"/>
      <c r="DV898" s="395"/>
      <c r="DW898" s="395"/>
      <c r="DX898" s="395"/>
      <c r="DY898" s="395"/>
      <c r="DZ898" s="395"/>
      <c r="EA898" s="395"/>
      <c r="EB898" s="392"/>
      <c r="EC898" s="392"/>
      <c r="ED898" s="392"/>
      <c r="EE898" s="392"/>
      <c r="EF898" s="392"/>
      <c r="EG898" s="392"/>
      <c r="EH898" s="392"/>
      <c r="EI898" s="392"/>
      <c r="EJ898" s="392"/>
      <c r="EK898" s="392"/>
      <c r="EL898" s="392"/>
    </row>
    <row r="899" spans="3:142" s="182" customFormat="1" x14ac:dyDescent="0.25">
      <c r="C899" s="395"/>
      <c r="I899" s="184"/>
      <c r="N899" s="184"/>
      <c r="O899" s="184"/>
      <c r="P899" s="184"/>
      <c r="Q899" s="184"/>
      <c r="Z899" s="184"/>
      <c r="AA899" s="184"/>
      <c r="AJ899" s="185"/>
      <c r="DU899" s="395"/>
      <c r="DV899" s="395"/>
      <c r="DW899" s="395"/>
      <c r="DX899" s="395"/>
      <c r="DY899" s="395"/>
      <c r="DZ899" s="395"/>
      <c r="EA899" s="395"/>
      <c r="EB899" s="392"/>
      <c r="EC899" s="392"/>
      <c r="ED899" s="392"/>
      <c r="EE899" s="392"/>
      <c r="EF899" s="392"/>
      <c r="EG899" s="392"/>
      <c r="EH899" s="392"/>
      <c r="EI899" s="392"/>
      <c r="EJ899" s="392"/>
      <c r="EK899" s="392"/>
      <c r="EL899" s="392"/>
    </row>
    <row r="900" spans="3:142" s="182" customFormat="1" x14ac:dyDescent="0.25">
      <c r="C900" s="395"/>
      <c r="I900" s="184"/>
      <c r="N900" s="184"/>
      <c r="O900" s="184"/>
      <c r="P900" s="184"/>
      <c r="Q900" s="184"/>
      <c r="Z900" s="184"/>
      <c r="AA900" s="184"/>
      <c r="AJ900" s="185"/>
      <c r="DU900" s="395"/>
      <c r="DV900" s="395"/>
      <c r="DW900" s="395"/>
      <c r="DX900" s="395"/>
      <c r="DY900" s="395"/>
      <c r="DZ900" s="395"/>
      <c r="EA900" s="395"/>
      <c r="EB900" s="392"/>
      <c r="EC900" s="392"/>
      <c r="ED900" s="392"/>
      <c r="EE900" s="392"/>
      <c r="EF900" s="392"/>
      <c r="EG900" s="392"/>
      <c r="EH900" s="392"/>
      <c r="EI900" s="392"/>
      <c r="EJ900" s="392"/>
      <c r="EK900" s="392"/>
      <c r="EL900" s="392"/>
    </row>
    <row r="901" spans="3:142" s="182" customFormat="1" x14ac:dyDescent="0.25">
      <c r="C901" s="395"/>
      <c r="I901" s="184"/>
      <c r="N901" s="184"/>
      <c r="O901" s="184"/>
      <c r="P901" s="184"/>
      <c r="Q901" s="184"/>
      <c r="Z901" s="184"/>
      <c r="AA901" s="184"/>
      <c r="AJ901" s="185"/>
      <c r="DU901" s="395"/>
      <c r="DV901" s="395"/>
      <c r="DW901" s="395"/>
      <c r="DX901" s="395"/>
      <c r="DY901" s="395"/>
      <c r="DZ901" s="395"/>
      <c r="EA901" s="395"/>
      <c r="EB901" s="392"/>
      <c r="EC901" s="392"/>
      <c r="ED901" s="392"/>
      <c r="EE901" s="392"/>
      <c r="EF901" s="392"/>
      <c r="EG901" s="392"/>
      <c r="EH901" s="392"/>
      <c r="EI901" s="392"/>
      <c r="EJ901" s="392"/>
      <c r="EK901" s="392"/>
      <c r="EL901" s="392"/>
    </row>
    <row r="902" spans="3:142" s="182" customFormat="1" x14ac:dyDescent="0.25">
      <c r="C902" s="395"/>
      <c r="I902" s="184"/>
      <c r="N902" s="184"/>
      <c r="O902" s="184"/>
      <c r="P902" s="184"/>
      <c r="Q902" s="184"/>
      <c r="Z902" s="184"/>
      <c r="AA902" s="184"/>
      <c r="AJ902" s="185"/>
      <c r="DU902" s="395"/>
      <c r="DV902" s="395"/>
      <c r="DW902" s="395"/>
      <c r="DX902" s="395"/>
      <c r="DY902" s="395"/>
      <c r="DZ902" s="395"/>
      <c r="EA902" s="395"/>
      <c r="EB902" s="392"/>
      <c r="EC902" s="392"/>
      <c r="ED902" s="392"/>
      <c r="EE902" s="392"/>
      <c r="EF902" s="392"/>
      <c r="EG902" s="392"/>
      <c r="EH902" s="392"/>
      <c r="EI902" s="392"/>
      <c r="EJ902" s="392"/>
      <c r="EK902" s="392"/>
      <c r="EL902" s="392"/>
    </row>
    <row r="903" spans="3:142" s="182" customFormat="1" x14ac:dyDescent="0.25">
      <c r="C903" s="395"/>
      <c r="I903" s="184"/>
      <c r="N903" s="184"/>
      <c r="O903" s="184"/>
      <c r="P903" s="184"/>
      <c r="Q903" s="184"/>
      <c r="Z903" s="184"/>
      <c r="AA903" s="184"/>
      <c r="AJ903" s="185"/>
      <c r="DU903" s="395"/>
      <c r="DV903" s="395"/>
      <c r="DW903" s="395"/>
      <c r="DX903" s="395"/>
      <c r="DY903" s="395"/>
      <c r="DZ903" s="395"/>
      <c r="EA903" s="395"/>
      <c r="EB903" s="392"/>
      <c r="EC903" s="392"/>
      <c r="ED903" s="392"/>
      <c r="EE903" s="392"/>
      <c r="EF903" s="392"/>
      <c r="EG903" s="392"/>
      <c r="EH903" s="392"/>
      <c r="EI903" s="392"/>
      <c r="EJ903" s="392"/>
      <c r="EK903" s="392"/>
      <c r="EL903" s="392"/>
    </row>
    <row r="904" spans="3:142" s="182" customFormat="1" x14ac:dyDescent="0.25">
      <c r="C904" s="395"/>
      <c r="I904" s="184"/>
      <c r="N904" s="184"/>
      <c r="O904" s="184"/>
      <c r="P904" s="184"/>
      <c r="Q904" s="184"/>
      <c r="Z904" s="184"/>
      <c r="AA904" s="184"/>
      <c r="AJ904" s="185"/>
      <c r="DU904" s="395"/>
      <c r="DV904" s="395"/>
      <c r="DW904" s="395"/>
      <c r="DX904" s="395"/>
      <c r="DY904" s="395"/>
      <c r="DZ904" s="395"/>
      <c r="EA904" s="395"/>
      <c r="EB904" s="392"/>
      <c r="EC904" s="392"/>
      <c r="ED904" s="392"/>
      <c r="EE904" s="392"/>
      <c r="EF904" s="392"/>
      <c r="EG904" s="392"/>
      <c r="EH904" s="392"/>
      <c r="EI904" s="392"/>
      <c r="EJ904" s="392"/>
      <c r="EK904" s="392"/>
      <c r="EL904" s="392"/>
    </row>
    <row r="905" spans="3:142" s="182" customFormat="1" x14ac:dyDescent="0.25">
      <c r="C905" s="395"/>
      <c r="I905" s="184"/>
      <c r="N905" s="184"/>
      <c r="O905" s="184"/>
      <c r="P905" s="184"/>
      <c r="Q905" s="184"/>
      <c r="Z905" s="184"/>
      <c r="AA905" s="184"/>
      <c r="AJ905" s="185"/>
      <c r="DU905" s="395"/>
      <c r="DV905" s="395"/>
      <c r="DW905" s="395"/>
      <c r="DX905" s="395"/>
      <c r="DY905" s="395"/>
      <c r="DZ905" s="395"/>
      <c r="EA905" s="395"/>
      <c r="EB905" s="392"/>
      <c r="EC905" s="392"/>
      <c r="ED905" s="392"/>
      <c r="EE905" s="392"/>
      <c r="EF905" s="392"/>
      <c r="EG905" s="392"/>
      <c r="EH905" s="392"/>
      <c r="EI905" s="392"/>
      <c r="EJ905" s="392"/>
      <c r="EK905" s="392"/>
      <c r="EL905" s="392"/>
    </row>
    <row r="906" spans="3:142" s="182" customFormat="1" x14ac:dyDescent="0.25">
      <c r="C906" s="395"/>
      <c r="I906" s="184"/>
      <c r="N906" s="184"/>
      <c r="O906" s="184"/>
      <c r="P906" s="184"/>
      <c r="Q906" s="184"/>
      <c r="Z906" s="184"/>
      <c r="AA906" s="184"/>
      <c r="AJ906" s="185"/>
      <c r="DU906" s="395"/>
      <c r="DV906" s="395"/>
      <c r="DW906" s="395"/>
      <c r="DX906" s="395"/>
      <c r="DY906" s="395"/>
      <c r="DZ906" s="395"/>
      <c r="EA906" s="395"/>
      <c r="EB906" s="392"/>
      <c r="EC906" s="392"/>
      <c r="ED906" s="392"/>
      <c r="EE906" s="392"/>
      <c r="EF906" s="392"/>
      <c r="EG906" s="392"/>
      <c r="EH906" s="392"/>
      <c r="EI906" s="392"/>
      <c r="EJ906" s="392"/>
      <c r="EK906" s="392"/>
      <c r="EL906" s="392"/>
    </row>
    <row r="907" spans="3:142" s="182" customFormat="1" x14ac:dyDescent="0.25">
      <c r="C907" s="395"/>
      <c r="I907" s="184"/>
      <c r="N907" s="184"/>
      <c r="O907" s="184"/>
      <c r="P907" s="184"/>
      <c r="Q907" s="184"/>
      <c r="Z907" s="184"/>
      <c r="AA907" s="184"/>
      <c r="AJ907" s="185"/>
      <c r="DU907" s="395"/>
      <c r="DV907" s="395"/>
      <c r="DW907" s="395"/>
      <c r="DX907" s="395"/>
      <c r="DY907" s="395"/>
      <c r="DZ907" s="395"/>
      <c r="EA907" s="395"/>
      <c r="EB907" s="392"/>
      <c r="EC907" s="392"/>
      <c r="ED907" s="392"/>
      <c r="EE907" s="392"/>
      <c r="EF907" s="392"/>
      <c r="EG907" s="392"/>
      <c r="EH907" s="392"/>
      <c r="EI907" s="392"/>
      <c r="EJ907" s="392"/>
      <c r="EK907" s="392"/>
      <c r="EL907" s="392"/>
    </row>
    <row r="908" spans="3:142" s="182" customFormat="1" x14ac:dyDescent="0.25">
      <c r="C908" s="395"/>
      <c r="I908" s="184"/>
      <c r="N908" s="184"/>
      <c r="O908" s="184"/>
      <c r="P908" s="184"/>
      <c r="Q908" s="184"/>
      <c r="Z908" s="184"/>
      <c r="AA908" s="184"/>
      <c r="AJ908" s="185"/>
      <c r="DU908" s="395"/>
      <c r="DV908" s="395"/>
      <c r="DW908" s="395"/>
      <c r="DX908" s="395"/>
      <c r="DY908" s="395"/>
      <c r="DZ908" s="395"/>
      <c r="EA908" s="395"/>
      <c r="EB908" s="392"/>
      <c r="EC908" s="392"/>
      <c r="ED908" s="392"/>
      <c r="EE908" s="392"/>
      <c r="EF908" s="392"/>
      <c r="EG908" s="392"/>
      <c r="EH908" s="392"/>
      <c r="EI908" s="392"/>
      <c r="EJ908" s="392"/>
      <c r="EK908" s="392"/>
      <c r="EL908" s="392"/>
    </row>
    <row r="909" spans="3:142" s="182" customFormat="1" x14ac:dyDescent="0.25">
      <c r="C909" s="395"/>
      <c r="I909" s="184"/>
      <c r="N909" s="184"/>
      <c r="O909" s="184"/>
      <c r="P909" s="184"/>
      <c r="Q909" s="184"/>
      <c r="Z909" s="184"/>
      <c r="AA909" s="184"/>
      <c r="AJ909" s="185"/>
      <c r="DU909" s="395"/>
      <c r="DV909" s="395"/>
      <c r="DW909" s="395"/>
      <c r="DX909" s="395"/>
      <c r="DY909" s="395"/>
      <c r="DZ909" s="395"/>
      <c r="EA909" s="395"/>
      <c r="EB909" s="392"/>
      <c r="EC909" s="392"/>
      <c r="ED909" s="392"/>
      <c r="EE909" s="392"/>
      <c r="EF909" s="392"/>
      <c r="EG909" s="392"/>
      <c r="EH909" s="392"/>
      <c r="EI909" s="392"/>
      <c r="EJ909" s="392"/>
      <c r="EK909" s="392"/>
      <c r="EL909" s="392"/>
    </row>
    <row r="910" spans="3:142" s="182" customFormat="1" x14ac:dyDescent="0.25">
      <c r="C910" s="395"/>
      <c r="I910" s="184"/>
      <c r="N910" s="184"/>
      <c r="O910" s="184"/>
      <c r="P910" s="184"/>
      <c r="Q910" s="184"/>
      <c r="Z910" s="184"/>
      <c r="AA910" s="184"/>
      <c r="AJ910" s="185"/>
      <c r="DU910" s="395"/>
      <c r="DV910" s="395"/>
      <c r="DW910" s="395"/>
      <c r="DX910" s="395"/>
      <c r="DY910" s="395"/>
      <c r="DZ910" s="395"/>
      <c r="EA910" s="395"/>
      <c r="EB910" s="392"/>
      <c r="EC910" s="392"/>
      <c r="ED910" s="392"/>
      <c r="EE910" s="392"/>
      <c r="EF910" s="392"/>
      <c r="EG910" s="392"/>
      <c r="EH910" s="392"/>
      <c r="EI910" s="392"/>
      <c r="EJ910" s="392"/>
      <c r="EK910" s="392"/>
      <c r="EL910" s="392"/>
    </row>
    <row r="911" spans="3:142" s="182" customFormat="1" x14ac:dyDescent="0.25">
      <c r="C911" s="395"/>
      <c r="I911" s="184"/>
      <c r="N911" s="184"/>
      <c r="O911" s="184"/>
      <c r="P911" s="184"/>
      <c r="Q911" s="184"/>
      <c r="Z911" s="184"/>
      <c r="AA911" s="184"/>
      <c r="AJ911" s="185"/>
      <c r="DU911" s="395"/>
      <c r="DV911" s="395"/>
      <c r="DW911" s="395"/>
      <c r="DX911" s="395"/>
      <c r="DY911" s="395"/>
      <c r="DZ911" s="395"/>
      <c r="EA911" s="395"/>
      <c r="EB911" s="392"/>
      <c r="EC911" s="392"/>
      <c r="ED911" s="392"/>
      <c r="EE911" s="392"/>
      <c r="EF911" s="392"/>
      <c r="EG911" s="392"/>
      <c r="EH911" s="392"/>
      <c r="EI911" s="392"/>
      <c r="EJ911" s="392"/>
      <c r="EK911" s="392"/>
      <c r="EL911" s="392"/>
    </row>
    <row r="912" spans="3:142" s="182" customFormat="1" x14ac:dyDescent="0.25">
      <c r="C912" s="395"/>
      <c r="I912" s="184"/>
      <c r="N912" s="184"/>
      <c r="O912" s="184"/>
      <c r="P912" s="184"/>
      <c r="Q912" s="184"/>
      <c r="Z912" s="184"/>
      <c r="AA912" s="184"/>
      <c r="AJ912" s="185"/>
      <c r="DU912" s="395"/>
      <c r="DV912" s="395"/>
      <c r="DW912" s="395"/>
      <c r="DX912" s="395"/>
      <c r="DY912" s="395"/>
      <c r="DZ912" s="395"/>
      <c r="EA912" s="395"/>
      <c r="EB912" s="392"/>
      <c r="EC912" s="392"/>
      <c r="ED912" s="392"/>
      <c r="EE912" s="392"/>
      <c r="EF912" s="392"/>
      <c r="EG912" s="392"/>
      <c r="EH912" s="392"/>
      <c r="EI912" s="392"/>
      <c r="EJ912" s="392"/>
      <c r="EK912" s="392"/>
      <c r="EL912" s="392"/>
    </row>
    <row r="913" spans="3:142" s="182" customFormat="1" x14ac:dyDescent="0.25">
      <c r="C913" s="395"/>
      <c r="I913" s="184"/>
      <c r="N913" s="184"/>
      <c r="O913" s="184"/>
      <c r="P913" s="184"/>
      <c r="Q913" s="184"/>
      <c r="Z913" s="184"/>
      <c r="AA913" s="184"/>
      <c r="AJ913" s="185"/>
      <c r="DU913" s="395"/>
      <c r="DV913" s="395"/>
      <c r="DW913" s="395"/>
      <c r="DX913" s="395"/>
      <c r="DY913" s="395"/>
      <c r="DZ913" s="395"/>
      <c r="EA913" s="395"/>
      <c r="EB913" s="392"/>
      <c r="EC913" s="392"/>
      <c r="ED913" s="392"/>
      <c r="EE913" s="392"/>
      <c r="EF913" s="392"/>
      <c r="EG913" s="392"/>
      <c r="EH913" s="392"/>
      <c r="EI913" s="392"/>
      <c r="EJ913" s="392"/>
      <c r="EK913" s="392"/>
      <c r="EL913" s="392"/>
    </row>
    <row r="914" spans="3:142" s="182" customFormat="1" x14ac:dyDescent="0.25">
      <c r="C914" s="395"/>
      <c r="I914" s="184"/>
      <c r="N914" s="184"/>
      <c r="O914" s="184"/>
      <c r="P914" s="184"/>
      <c r="Q914" s="184"/>
      <c r="Z914" s="184"/>
      <c r="AA914" s="184"/>
      <c r="AJ914" s="185"/>
      <c r="DU914" s="395"/>
      <c r="DV914" s="395"/>
      <c r="DW914" s="395"/>
      <c r="DX914" s="395"/>
      <c r="DY914" s="395"/>
      <c r="DZ914" s="395"/>
      <c r="EA914" s="395"/>
      <c r="EB914" s="392"/>
      <c r="EC914" s="392"/>
      <c r="ED914" s="392"/>
      <c r="EE914" s="392"/>
      <c r="EF914" s="392"/>
      <c r="EG914" s="392"/>
      <c r="EH914" s="392"/>
      <c r="EI914" s="392"/>
      <c r="EJ914" s="392"/>
      <c r="EK914" s="392"/>
      <c r="EL914" s="392"/>
    </row>
    <row r="915" spans="3:142" s="182" customFormat="1" x14ac:dyDescent="0.25">
      <c r="C915" s="395"/>
      <c r="I915" s="184"/>
      <c r="N915" s="184"/>
      <c r="O915" s="184"/>
      <c r="P915" s="184"/>
      <c r="Q915" s="184"/>
      <c r="Z915" s="184"/>
      <c r="AA915" s="184"/>
      <c r="AJ915" s="185"/>
      <c r="DU915" s="395"/>
      <c r="DV915" s="395"/>
      <c r="DW915" s="395"/>
      <c r="DX915" s="395"/>
      <c r="DY915" s="395"/>
      <c r="DZ915" s="395"/>
      <c r="EA915" s="395"/>
      <c r="EB915" s="392"/>
      <c r="EC915" s="392"/>
      <c r="ED915" s="392"/>
      <c r="EE915" s="392"/>
      <c r="EF915" s="392"/>
      <c r="EG915" s="392"/>
      <c r="EH915" s="392"/>
      <c r="EI915" s="392"/>
      <c r="EJ915" s="392"/>
      <c r="EK915" s="392"/>
      <c r="EL915" s="392"/>
    </row>
    <row r="916" spans="3:142" s="182" customFormat="1" x14ac:dyDescent="0.25">
      <c r="C916" s="395"/>
      <c r="I916" s="184"/>
      <c r="N916" s="184"/>
      <c r="O916" s="184"/>
      <c r="P916" s="184"/>
      <c r="Q916" s="184"/>
      <c r="Z916" s="184"/>
      <c r="AA916" s="184"/>
      <c r="AJ916" s="185"/>
      <c r="DU916" s="395"/>
      <c r="DV916" s="395"/>
      <c r="DW916" s="395"/>
      <c r="DX916" s="395"/>
      <c r="DY916" s="395"/>
      <c r="DZ916" s="395"/>
      <c r="EA916" s="395"/>
      <c r="EB916" s="392"/>
      <c r="EC916" s="392"/>
      <c r="ED916" s="392"/>
      <c r="EE916" s="392"/>
      <c r="EF916" s="392"/>
      <c r="EG916" s="392"/>
      <c r="EH916" s="392"/>
      <c r="EI916" s="392"/>
      <c r="EJ916" s="392"/>
      <c r="EK916" s="392"/>
      <c r="EL916" s="392"/>
    </row>
    <row r="917" spans="3:142" s="182" customFormat="1" x14ac:dyDescent="0.25">
      <c r="C917" s="395"/>
      <c r="I917" s="184"/>
      <c r="N917" s="184"/>
      <c r="O917" s="184"/>
      <c r="P917" s="184"/>
      <c r="Q917" s="184"/>
      <c r="Z917" s="184"/>
      <c r="AA917" s="184"/>
      <c r="AJ917" s="185"/>
      <c r="DU917" s="395"/>
      <c r="DV917" s="395"/>
      <c r="DW917" s="395"/>
      <c r="DX917" s="395"/>
      <c r="DY917" s="395"/>
      <c r="DZ917" s="395"/>
      <c r="EA917" s="395"/>
      <c r="EB917" s="392"/>
      <c r="EC917" s="392"/>
      <c r="ED917" s="392"/>
      <c r="EE917" s="392"/>
      <c r="EF917" s="392"/>
      <c r="EG917" s="392"/>
      <c r="EH917" s="392"/>
      <c r="EI917" s="392"/>
      <c r="EJ917" s="392"/>
      <c r="EK917" s="392"/>
      <c r="EL917" s="392"/>
    </row>
    <row r="918" spans="3:142" s="182" customFormat="1" x14ac:dyDescent="0.25">
      <c r="C918" s="395"/>
      <c r="I918" s="184"/>
      <c r="N918" s="184"/>
      <c r="O918" s="184"/>
      <c r="P918" s="184"/>
      <c r="Q918" s="184"/>
      <c r="Z918" s="184"/>
      <c r="AA918" s="184"/>
      <c r="AJ918" s="185"/>
      <c r="DU918" s="395"/>
      <c r="DV918" s="395"/>
      <c r="DW918" s="395"/>
      <c r="DX918" s="395"/>
      <c r="DY918" s="395"/>
      <c r="DZ918" s="395"/>
      <c r="EA918" s="395"/>
      <c r="EB918" s="392"/>
      <c r="EC918" s="392"/>
      <c r="ED918" s="392"/>
      <c r="EE918" s="392"/>
      <c r="EF918" s="392"/>
      <c r="EG918" s="392"/>
      <c r="EH918" s="392"/>
      <c r="EI918" s="392"/>
      <c r="EJ918" s="392"/>
      <c r="EK918" s="392"/>
      <c r="EL918" s="392"/>
    </row>
    <row r="919" spans="3:142" s="182" customFormat="1" x14ac:dyDescent="0.25">
      <c r="C919" s="395"/>
      <c r="I919" s="184"/>
      <c r="N919" s="184"/>
      <c r="O919" s="184"/>
      <c r="P919" s="184"/>
      <c r="Q919" s="184"/>
      <c r="Z919" s="184"/>
      <c r="AA919" s="184"/>
      <c r="AJ919" s="185"/>
      <c r="DU919" s="395"/>
      <c r="DV919" s="395"/>
      <c r="DW919" s="395"/>
      <c r="DX919" s="395"/>
      <c r="DY919" s="395"/>
      <c r="DZ919" s="395"/>
      <c r="EA919" s="395"/>
      <c r="EB919" s="392"/>
      <c r="EC919" s="392"/>
      <c r="ED919" s="392"/>
      <c r="EE919" s="392"/>
      <c r="EF919" s="392"/>
      <c r="EG919" s="392"/>
      <c r="EH919" s="392"/>
      <c r="EI919" s="392"/>
      <c r="EJ919" s="392"/>
      <c r="EK919" s="392"/>
      <c r="EL919" s="392"/>
    </row>
    <row r="920" spans="3:142" s="182" customFormat="1" x14ac:dyDescent="0.25">
      <c r="C920" s="395"/>
      <c r="I920" s="184"/>
      <c r="N920" s="184"/>
      <c r="O920" s="184"/>
      <c r="P920" s="184"/>
      <c r="Q920" s="184"/>
      <c r="Z920" s="184"/>
      <c r="AA920" s="184"/>
      <c r="AJ920" s="185"/>
      <c r="DU920" s="395"/>
      <c r="DV920" s="395"/>
      <c r="DW920" s="395"/>
      <c r="DX920" s="395"/>
      <c r="DY920" s="395"/>
      <c r="DZ920" s="395"/>
      <c r="EA920" s="395"/>
      <c r="EB920" s="392"/>
      <c r="EC920" s="392"/>
      <c r="ED920" s="392"/>
      <c r="EE920" s="392"/>
      <c r="EF920" s="392"/>
      <c r="EG920" s="392"/>
      <c r="EH920" s="392"/>
      <c r="EI920" s="392"/>
      <c r="EJ920" s="392"/>
      <c r="EK920" s="392"/>
      <c r="EL920" s="392"/>
    </row>
    <row r="921" spans="3:142" s="182" customFormat="1" x14ac:dyDescent="0.25">
      <c r="C921" s="395"/>
      <c r="I921" s="184"/>
      <c r="N921" s="184"/>
      <c r="O921" s="184"/>
      <c r="P921" s="184"/>
      <c r="Q921" s="184"/>
      <c r="Z921" s="184"/>
      <c r="AA921" s="184"/>
      <c r="AJ921" s="185"/>
      <c r="DU921" s="395"/>
      <c r="DV921" s="395"/>
      <c r="DW921" s="395"/>
      <c r="DX921" s="395"/>
      <c r="DY921" s="395"/>
      <c r="DZ921" s="395"/>
      <c r="EA921" s="395"/>
      <c r="EB921" s="392"/>
      <c r="EC921" s="392"/>
      <c r="ED921" s="392"/>
      <c r="EE921" s="392"/>
      <c r="EF921" s="392"/>
      <c r="EG921" s="392"/>
      <c r="EH921" s="392"/>
      <c r="EI921" s="392"/>
      <c r="EJ921" s="392"/>
      <c r="EK921" s="392"/>
      <c r="EL921" s="392"/>
    </row>
    <row r="922" spans="3:142" s="182" customFormat="1" x14ac:dyDescent="0.25">
      <c r="C922" s="395"/>
      <c r="I922" s="184"/>
      <c r="N922" s="184"/>
      <c r="O922" s="184"/>
      <c r="P922" s="184"/>
      <c r="Q922" s="184"/>
      <c r="Z922" s="184"/>
      <c r="AA922" s="184"/>
      <c r="AJ922" s="185"/>
      <c r="DU922" s="395"/>
      <c r="DV922" s="395"/>
      <c r="DW922" s="395"/>
      <c r="DX922" s="395"/>
      <c r="DY922" s="395"/>
      <c r="DZ922" s="395"/>
      <c r="EA922" s="395"/>
      <c r="EB922" s="392"/>
      <c r="EC922" s="392"/>
      <c r="ED922" s="392"/>
      <c r="EE922" s="392"/>
      <c r="EF922" s="392"/>
      <c r="EG922" s="392"/>
      <c r="EH922" s="392"/>
      <c r="EI922" s="392"/>
      <c r="EJ922" s="392"/>
      <c r="EK922" s="392"/>
      <c r="EL922" s="392"/>
    </row>
    <row r="923" spans="3:142" s="182" customFormat="1" x14ac:dyDescent="0.25">
      <c r="C923" s="395"/>
      <c r="I923" s="184"/>
      <c r="N923" s="184"/>
      <c r="O923" s="184"/>
      <c r="P923" s="184"/>
      <c r="Q923" s="184"/>
      <c r="Z923" s="184"/>
      <c r="AA923" s="184"/>
      <c r="AJ923" s="185"/>
      <c r="DU923" s="395"/>
      <c r="DV923" s="395"/>
      <c r="DW923" s="395"/>
      <c r="DX923" s="395"/>
      <c r="DY923" s="395"/>
      <c r="DZ923" s="395"/>
      <c r="EA923" s="395"/>
      <c r="EB923" s="392"/>
      <c r="EC923" s="392"/>
      <c r="ED923" s="392"/>
      <c r="EE923" s="392"/>
      <c r="EF923" s="392"/>
      <c r="EG923" s="392"/>
      <c r="EH923" s="392"/>
      <c r="EI923" s="392"/>
      <c r="EJ923" s="392"/>
      <c r="EK923" s="392"/>
      <c r="EL923" s="392"/>
    </row>
    <row r="924" spans="3:142" s="182" customFormat="1" x14ac:dyDescent="0.25">
      <c r="C924" s="395"/>
      <c r="I924" s="184"/>
      <c r="N924" s="184"/>
      <c r="O924" s="184"/>
      <c r="P924" s="184"/>
      <c r="Q924" s="184"/>
      <c r="Z924" s="184"/>
      <c r="AA924" s="184"/>
      <c r="AJ924" s="185"/>
      <c r="DU924" s="395"/>
      <c r="DV924" s="395"/>
      <c r="DW924" s="395"/>
      <c r="DX924" s="395"/>
      <c r="DY924" s="395"/>
      <c r="DZ924" s="395"/>
      <c r="EA924" s="395"/>
      <c r="EB924" s="392"/>
      <c r="EC924" s="392"/>
      <c r="ED924" s="392"/>
      <c r="EE924" s="392"/>
      <c r="EF924" s="392"/>
      <c r="EG924" s="392"/>
      <c r="EH924" s="392"/>
      <c r="EI924" s="392"/>
      <c r="EJ924" s="392"/>
      <c r="EK924" s="392"/>
      <c r="EL924" s="392"/>
    </row>
    <row r="925" spans="3:142" s="182" customFormat="1" x14ac:dyDescent="0.25">
      <c r="C925" s="395"/>
      <c r="I925" s="184"/>
      <c r="N925" s="184"/>
      <c r="O925" s="184"/>
      <c r="P925" s="184"/>
      <c r="Q925" s="184"/>
      <c r="Z925" s="184"/>
      <c r="AA925" s="184"/>
      <c r="AJ925" s="185"/>
      <c r="DU925" s="395"/>
      <c r="DV925" s="395"/>
      <c r="DW925" s="395"/>
      <c r="DX925" s="395"/>
      <c r="DY925" s="395"/>
      <c r="DZ925" s="395"/>
      <c r="EA925" s="395"/>
      <c r="EB925" s="392"/>
      <c r="EC925" s="392"/>
      <c r="ED925" s="392"/>
      <c r="EE925" s="392"/>
      <c r="EF925" s="392"/>
      <c r="EG925" s="392"/>
      <c r="EH925" s="392"/>
      <c r="EI925" s="392"/>
      <c r="EJ925" s="392"/>
      <c r="EK925" s="392"/>
      <c r="EL925" s="392"/>
    </row>
    <row r="926" spans="3:142" s="182" customFormat="1" x14ac:dyDescent="0.25">
      <c r="C926" s="395"/>
      <c r="I926" s="184"/>
      <c r="N926" s="184"/>
      <c r="O926" s="184"/>
      <c r="P926" s="184"/>
      <c r="Q926" s="184"/>
      <c r="Z926" s="184"/>
      <c r="AA926" s="184"/>
      <c r="AJ926" s="185"/>
      <c r="DU926" s="395"/>
      <c r="DV926" s="395"/>
      <c r="DW926" s="395"/>
      <c r="DX926" s="395"/>
      <c r="DY926" s="395"/>
      <c r="DZ926" s="395"/>
      <c r="EA926" s="395"/>
      <c r="EB926" s="392"/>
      <c r="EC926" s="392"/>
      <c r="ED926" s="392"/>
      <c r="EE926" s="392"/>
      <c r="EF926" s="392"/>
      <c r="EG926" s="392"/>
      <c r="EH926" s="392"/>
      <c r="EI926" s="392"/>
      <c r="EJ926" s="392"/>
      <c r="EK926" s="392"/>
      <c r="EL926" s="392"/>
    </row>
    <row r="927" spans="3:142" s="182" customFormat="1" x14ac:dyDescent="0.25">
      <c r="C927" s="395"/>
      <c r="I927" s="184"/>
      <c r="N927" s="184"/>
      <c r="O927" s="184"/>
      <c r="P927" s="184"/>
      <c r="Q927" s="184"/>
      <c r="Z927" s="184"/>
      <c r="AA927" s="184"/>
      <c r="AJ927" s="185"/>
      <c r="DU927" s="395"/>
      <c r="DV927" s="395"/>
      <c r="DW927" s="395"/>
      <c r="DX927" s="395"/>
      <c r="DY927" s="395"/>
      <c r="DZ927" s="395"/>
      <c r="EA927" s="395"/>
      <c r="EB927" s="392"/>
      <c r="EC927" s="392"/>
      <c r="ED927" s="392"/>
      <c r="EE927" s="392"/>
      <c r="EF927" s="392"/>
      <c r="EG927" s="392"/>
      <c r="EH927" s="392"/>
      <c r="EI927" s="392"/>
      <c r="EJ927" s="392"/>
      <c r="EK927" s="392"/>
      <c r="EL927" s="392"/>
    </row>
    <row r="928" spans="3:142" s="182" customFormat="1" x14ac:dyDescent="0.25">
      <c r="C928" s="395"/>
      <c r="I928" s="184"/>
      <c r="N928" s="184"/>
      <c r="O928" s="184"/>
      <c r="P928" s="184"/>
      <c r="Q928" s="184"/>
      <c r="Z928" s="184"/>
      <c r="AA928" s="184"/>
      <c r="AJ928" s="185"/>
      <c r="DU928" s="395"/>
      <c r="DV928" s="395"/>
      <c r="DW928" s="395"/>
      <c r="DX928" s="395"/>
      <c r="DY928" s="395"/>
      <c r="DZ928" s="395"/>
      <c r="EA928" s="395"/>
      <c r="EB928" s="392"/>
      <c r="EC928" s="392"/>
      <c r="ED928" s="392"/>
      <c r="EE928" s="392"/>
      <c r="EF928" s="392"/>
      <c r="EG928" s="392"/>
      <c r="EH928" s="392"/>
      <c r="EI928" s="392"/>
      <c r="EJ928" s="392"/>
      <c r="EK928" s="392"/>
      <c r="EL928" s="392"/>
    </row>
    <row r="929" spans="3:142" s="182" customFormat="1" x14ac:dyDescent="0.25">
      <c r="C929" s="395"/>
      <c r="I929" s="184"/>
      <c r="N929" s="184"/>
      <c r="O929" s="184"/>
      <c r="P929" s="184"/>
      <c r="Q929" s="184"/>
      <c r="Z929" s="184"/>
      <c r="AA929" s="184"/>
      <c r="AJ929" s="185"/>
      <c r="DU929" s="395"/>
      <c r="DV929" s="395"/>
      <c r="DW929" s="395"/>
      <c r="DX929" s="395"/>
      <c r="DY929" s="395"/>
      <c r="DZ929" s="395"/>
      <c r="EA929" s="395"/>
      <c r="EB929" s="392"/>
      <c r="EC929" s="392"/>
      <c r="ED929" s="392"/>
      <c r="EE929" s="392"/>
      <c r="EF929" s="392"/>
      <c r="EG929" s="392"/>
      <c r="EH929" s="392"/>
      <c r="EI929" s="392"/>
      <c r="EJ929" s="392"/>
      <c r="EK929" s="392"/>
      <c r="EL929" s="392"/>
    </row>
    <row r="930" spans="3:142" s="182" customFormat="1" x14ac:dyDescent="0.25">
      <c r="C930" s="395"/>
      <c r="I930" s="184"/>
      <c r="N930" s="184"/>
      <c r="O930" s="184"/>
      <c r="P930" s="184"/>
      <c r="Q930" s="184"/>
      <c r="Z930" s="184"/>
      <c r="AA930" s="184"/>
      <c r="AJ930" s="185"/>
      <c r="DU930" s="395"/>
      <c r="DV930" s="395"/>
      <c r="DW930" s="395"/>
      <c r="DX930" s="395"/>
      <c r="DY930" s="395"/>
      <c r="DZ930" s="395"/>
      <c r="EA930" s="395"/>
      <c r="EB930" s="392"/>
      <c r="EC930" s="392"/>
      <c r="ED930" s="392"/>
      <c r="EE930" s="392"/>
      <c r="EF930" s="392"/>
      <c r="EG930" s="392"/>
      <c r="EH930" s="392"/>
      <c r="EI930" s="392"/>
      <c r="EJ930" s="392"/>
      <c r="EK930" s="392"/>
      <c r="EL930" s="392"/>
    </row>
    <row r="931" spans="3:142" s="182" customFormat="1" x14ac:dyDescent="0.25">
      <c r="C931" s="395"/>
      <c r="I931" s="184"/>
      <c r="N931" s="184"/>
      <c r="O931" s="184"/>
      <c r="P931" s="184"/>
      <c r="Q931" s="184"/>
      <c r="Z931" s="184"/>
      <c r="AA931" s="184"/>
      <c r="AJ931" s="185"/>
      <c r="DU931" s="395"/>
      <c r="DV931" s="395"/>
      <c r="DW931" s="395"/>
      <c r="DX931" s="395"/>
      <c r="DY931" s="395"/>
      <c r="DZ931" s="395"/>
      <c r="EA931" s="395"/>
      <c r="EB931" s="392"/>
      <c r="EC931" s="392"/>
      <c r="ED931" s="392"/>
      <c r="EE931" s="392"/>
      <c r="EF931" s="392"/>
      <c r="EG931" s="392"/>
      <c r="EH931" s="392"/>
      <c r="EI931" s="392"/>
      <c r="EJ931" s="392"/>
      <c r="EK931" s="392"/>
      <c r="EL931" s="392"/>
    </row>
    <row r="932" spans="3:142" s="182" customFormat="1" x14ac:dyDescent="0.25">
      <c r="C932" s="395"/>
      <c r="I932" s="184"/>
      <c r="N932" s="184"/>
      <c r="O932" s="184"/>
      <c r="P932" s="184"/>
      <c r="Q932" s="184"/>
      <c r="Z932" s="184"/>
      <c r="AA932" s="184"/>
      <c r="AJ932" s="185"/>
      <c r="DU932" s="395"/>
      <c r="DV932" s="395"/>
      <c r="DW932" s="395"/>
      <c r="DX932" s="395"/>
      <c r="DY932" s="395"/>
      <c r="DZ932" s="395"/>
      <c r="EA932" s="395"/>
      <c r="EB932" s="392"/>
      <c r="EC932" s="392"/>
      <c r="ED932" s="392"/>
      <c r="EE932" s="392"/>
      <c r="EF932" s="392"/>
      <c r="EG932" s="392"/>
      <c r="EH932" s="392"/>
      <c r="EI932" s="392"/>
      <c r="EJ932" s="392"/>
      <c r="EK932" s="392"/>
      <c r="EL932" s="392"/>
    </row>
    <row r="933" spans="3:142" s="182" customFormat="1" x14ac:dyDescent="0.25">
      <c r="C933" s="395"/>
      <c r="I933" s="184"/>
      <c r="N933" s="184"/>
      <c r="O933" s="184"/>
      <c r="P933" s="184"/>
      <c r="Q933" s="184"/>
      <c r="Z933" s="184"/>
      <c r="AA933" s="184"/>
      <c r="AJ933" s="185"/>
      <c r="DU933" s="395"/>
      <c r="DV933" s="395"/>
      <c r="DW933" s="395"/>
      <c r="DX933" s="395"/>
      <c r="DY933" s="395"/>
      <c r="DZ933" s="395"/>
      <c r="EA933" s="395"/>
      <c r="EB933" s="392"/>
      <c r="EC933" s="392"/>
      <c r="ED933" s="392"/>
      <c r="EE933" s="392"/>
      <c r="EF933" s="392"/>
      <c r="EG933" s="392"/>
      <c r="EH933" s="392"/>
      <c r="EI933" s="392"/>
      <c r="EJ933" s="392"/>
      <c r="EK933" s="392"/>
      <c r="EL933" s="392"/>
    </row>
    <row r="934" spans="3:142" s="182" customFormat="1" x14ac:dyDescent="0.25">
      <c r="C934" s="395"/>
      <c r="I934" s="184"/>
      <c r="N934" s="184"/>
      <c r="O934" s="184"/>
      <c r="P934" s="184"/>
      <c r="Q934" s="184"/>
      <c r="Z934" s="184"/>
      <c r="AA934" s="184"/>
      <c r="AJ934" s="185"/>
      <c r="DU934" s="395"/>
      <c r="DV934" s="395"/>
      <c r="DW934" s="395"/>
      <c r="DX934" s="395"/>
      <c r="DY934" s="395"/>
      <c r="DZ934" s="395"/>
      <c r="EA934" s="395"/>
      <c r="EB934" s="392"/>
      <c r="EC934" s="392"/>
      <c r="ED934" s="392"/>
      <c r="EE934" s="392"/>
      <c r="EF934" s="392"/>
      <c r="EG934" s="392"/>
      <c r="EH934" s="392"/>
      <c r="EI934" s="392"/>
      <c r="EJ934" s="392"/>
      <c r="EK934" s="392"/>
      <c r="EL934" s="392"/>
    </row>
    <row r="935" spans="3:142" s="182" customFormat="1" x14ac:dyDescent="0.25">
      <c r="C935" s="395"/>
      <c r="I935" s="184"/>
      <c r="N935" s="184"/>
      <c r="O935" s="184"/>
      <c r="P935" s="184"/>
      <c r="Q935" s="184"/>
      <c r="Z935" s="184"/>
      <c r="AA935" s="184"/>
      <c r="AJ935" s="185"/>
      <c r="DU935" s="395"/>
      <c r="DV935" s="395"/>
      <c r="DW935" s="395"/>
      <c r="DX935" s="395"/>
      <c r="DY935" s="395"/>
      <c r="DZ935" s="395"/>
      <c r="EA935" s="395"/>
      <c r="EB935" s="392"/>
      <c r="EC935" s="392"/>
      <c r="ED935" s="392"/>
      <c r="EE935" s="392"/>
      <c r="EF935" s="392"/>
      <c r="EG935" s="392"/>
      <c r="EH935" s="392"/>
      <c r="EI935" s="392"/>
      <c r="EJ935" s="392"/>
      <c r="EK935" s="392"/>
      <c r="EL935" s="392"/>
    </row>
    <row r="936" spans="3:142" s="182" customFormat="1" x14ac:dyDescent="0.25">
      <c r="C936" s="395"/>
      <c r="I936" s="184"/>
      <c r="N936" s="184"/>
      <c r="O936" s="184"/>
      <c r="P936" s="184"/>
      <c r="Q936" s="184"/>
      <c r="Z936" s="184"/>
      <c r="AA936" s="184"/>
      <c r="AJ936" s="185"/>
      <c r="DU936" s="395"/>
      <c r="DV936" s="395"/>
      <c r="DW936" s="395"/>
      <c r="DX936" s="395"/>
      <c r="DY936" s="395"/>
      <c r="DZ936" s="395"/>
      <c r="EA936" s="395"/>
      <c r="EB936" s="392"/>
      <c r="EC936" s="392"/>
      <c r="ED936" s="392"/>
      <c r="EE936" s="392"/>
      <c r="EF936" s="392"/>
      <c r="EG936" s="392"/>
      <c r="EH936" s="392"/>
      <c r="EI936" s="392"/>
      <c r="EJ936" s="392"/>
      <c r="EK936" s="392"/>
      <c r="EL936" s="392"/>
    </row>
    <row r="937" spans="3:142" s="182" customFormat="1" x14ac:dyDescent="0.25">
      <c r="C937" s="395"/>
      <c r="I937" s="184"/>
      <c r="N937" s="184"/>
      <c r="O937" s="184"/>
      <c r="P937" s="184"/>
      <c r="Q937" s="184"/>
      <c r="Z937" s="184"/>
      <c r="AA937" s="184"/>
      <c r="AJ937" s="185"/>
      <c r="DU937" s="395"/>
      <c r="DV937" s="395"/>
      <c r="DW937" s="395"/>
      <c r="DX937" s="395"/>
      <c r="DY937" s="395"/>
      <c r="DZ937" s="395"/>
      <c r="EA937" s="395"/>
      <c r="EB937" s="392"/>
      <c r="EC937" s="392"/>
      <c r="ED937" s="392"/>
      <c r="EE937" s="392"/>
      <c r="EF937" s="392"/>
      <c r="EG937" s="392"/>
      <c r="EH937" s="392"/>
      <c r="EI937" s="392"/>
      <c r="EJ937" s="392"/>
      <c r="EK937" s="392"/>
      <c r="EL937" s="392"/>
    </row>
    <row r="938" spans="3:142" s="182" customFormat="1" x14ac:dyDescent="0.25">
      <c r="C938" s="395"/>
      <c r="I938" s="184"/>
      <c r="N938" s="184"/>
      <c r="O938" s="184"/>
      <c r="P938" s="184"/>
      <c r="Q938" s="184"/>
      <c r="Z938" s="184"/>
      <c r="AA938" s="184"/>
      <c r="AJ938" s="185"/>
      <c r="DU938" s="395"/>
      <c r="DV938" s="395"/>
      <c r="DW938" s="395"/>
      <c r="DX938" s="395"/>
      <c r="DY938" s="395"/>
      <c r="DZ938" s="395"/>
      <c r="EA938" s="395"/>
      <c r="EB938" s="392"/>
      <c r="EC938" s="392"/>
      <c r="ED938" s="392"/>
      <c r="EE938" s="392"/>
      <c r="EF938" s="392"/>
      <c r="EG938" s="392"/>
      <c r="EH938" s="392"/>
      <c r="EI938" s="392"/>
      <c r="EJ938" s="392"/>
      <c r="EK938" s="392"/>
      <c r="EL938" s="392"/>
    </row>
    <row r="939" spans="3:142" s="182" customFormat="1" x14ac:dyDescent="0.25">
      <c r="C939" s="395"/>
      <c r="I939" s="184"/>
      <c r="N939" s="184"/>
      <c r="O939" s="184"/>
      <c r="P939" s="184"/>
      <c r="Q939" s="184"/>
      <c r="Z939" s="184"/>
      <c r="AA939" s="184"/>
      <c r="AJ939" s="185"/>
      <c r="DU939" s="395"/>
      <c r="DV939" s="395"/>
      <c r="DW939" s="395"/>
      <c r="DX939" s="395"/>
      <c r="DY939" s="395"/>
      <c r="DZ939" s="395"/>
      <c r="EA939" s="395"/>
      <c r="EB939" s="392"/>
      <c r="EC939" s="392"/>
      <c r="ED939" s="392"/>
      <c r="EE939" s="392"/>
      <c r="EF939" s="392"/>
      <c r="EG939" s="392"/>
      <c r="EH939" s="392"/>
      <c r="EI939" s="392"/>
      <c r="EJ939" s="392"/>
      <c r="EK939" s="392"/>
      <c r="EL939" s="392"/>
    </row>
    <row r="940" spans="3:142" s="182" customFormat="1" x14ac:dyDescent="0.25">
      <c r="C940" s="395"/>
      <c r="I940" s="184"/>
      <c r="N940" s="184"/>
      <c r="O940" s="184"/>
      <c r="P940" s="184"/>
      <c r="Q940" s="184"/>
      <c r="Z940" s="184"/>
      <c r="AA940" s="184"/>
      <c r="AJ940" s="185"/>
      <c r="DU940" s="395"/>
      <c r="DV940" s="395"/>
      <c r="DW940" s="395"/>
      <c r="DX940" s="395"/>
      <c r="DY940" s="395"/>
      <c r="DZ940" s="395"/>
      <c r="EA940" s="395"/>
      <c r="EB940" s="392"/>
      <c r="EC940" s="392"/>
      <c r="ED940" s="392"/>
      <c r="EE940" s="392"/>
      <c r="EF940" s="392"/>
      <c r="EG940" s="392"/>
      <c r="EH940" s="392"/>
      <c r="EI940" s="392"/>
      <c r="EJ940" s="392"/>
      <c r="EK940" s="392"/>
      <c r="EL940" s="392"/>
    </row>
    <row r="941" spans="3:142" s="182" customFormat="1" x14ac:dyDescent="0.25">
      <c r="C941" s="395"/>
      <c r="I941" s="184"/>
      <c r="N941" s="184"/>
      <c r="O941" s="184"/>
      <c r="P941" s="184"/>
      <c r="Q941" s="184"/>
      <c r="Z941" s="184"/>
      <c r="AA941" s="184"/>
      <c r="AJ941" s="185"/>
      <c r="DU941" s="395"/>
      <c r="DV941" s="395"/>
      <c r="DW941" s="395"/>
      <c r="DX941" s="395"/>
      <c r="DY941" s="395"/>
      <c r="DZ941" s="395"/>
      <c r="EA941" s="395"/>
      <c r="EB941" s="392"/>
      <c r="EC941" s="392"/>
      <c r="ED941" s="392"/>
      <c r="EE941" s="392"/>
      <c r="EF941" s="392"/>
      <c r="EG941" s="392"/>
      <c r="EH941" s="392"/>
      <c r="EI941" s="392"/>
      <c r="EJ941" s="392"/>
      <c r="EK941" s="392"/>
      <c r="EL941" s="392"/>
    </row>
    <row r="942" spans="3:142" s="182" customFormat="1" x14ac:dyDescent="0.25">
      <c r="C942" s="395"/>
      <c r="I942" s="184"/>
      <c r="N942" s="184"/>
      <c r="O942" s="184"/>
      <c r="P942" s="184"/>
      <c r="Q942" s="184"/>
      <c r="Z942" s="184"/>
      <c r="AA942" s="184"/>
      <c r="AJ942" s="185"/>
      <c r="DU942" s="395"/>
      <c r="DV942" s="395"/>
      <c r="DW942" s="395"/>
      <c r="DX942" s="395"/>
      <c r="DY942" s="395"/>
      <c r="DZ942" s="395"/>
      <c r="EA942" s="395"/>
      <c r="EB942" s="392"/>
      <c r="EC942" s="392"/>
      <c r="ED942" s="392"/>
      <c r="EE942" s="392"/>
      <c r="EF942" s="392"/>
      <c r="EG942" s="392"/>
      <c r="EH942" s="392"/>
      <c r="EI942" s="392"/>
      <c r="EJ942" s="392"/>
      <c r="EK942" s="392"/>
      <c r="EL942" s="392"/>
    </row>
    <row r="943" spans="3:142" s="182" customFormat="1" x14ac:dyDescent="0.25">
      <c r="C943" s="395"/>
      <c r="I943" s="184"/>
      <c r="N943" s="184"/>
      <c r="O943" s="184"/>
      <c r="P943" s="184"/>
      <c r="Q943" s="184"/>
      <c r="Z943" s="184"/>
      <c r="AA943" s="184"/>
      <c r="AJ943" s="185"/>
      <c r="DU943" s="395"/>
      <c r="DV943" s="395"/>
      <c r="DW943" s="395"/>
      <c r="DX943" s="395"/>
      <c r="DY943" s="395"/>
      <c r="DZ943" s="395"/>
      <c r="EA943" s="395"/>
      <c r="EB943" s="392"/>
      <c r="EC943" s="392"/>
      <c r="ED943" s="392"/>
      <c r="EE943" s="392"/>
      <c r="EF943" s="392"/>
      <c r="EG943" s="392"/>
      <c r="EH943" s="392"/>
      <c r="EI943" s="392"/>
      <c r="EJ943" s="392"/>
      <c r="EK943" s="392"/>
      <c r="EL943" s="392"/>
    </row>
    <row r="944" spans="3:142" s="182" customFormat="1" x14ac:dyDescent="0.25">
      <c r="C944" s="395"/>
      <c r="I944" s="184"/>
      <c r="N944" s="184"/>
      <c r="O944" s="184"/>
      <c r="P944" s="184"/>
      <c r="Q944" s="184"/>
      <c r="Z944" s="184"/>
      <c r="AA944" s="184"/>
      <c r="AJ944" s="185"/>
      <c r="DU944" s="395"/>
      <c r="DV944" s="395"/>
      <c r="DW944" s="395"/>
      <c r="DX944" s="395"/>
      <c r="DY944" s="395"/>
      <c r="DZ944" s="395"/>
      <c r="EA944" s="395"/>
      <c r="EB944" s="392"/>
      <c r="EC944" s="392"/>
      <c r="ED944" s="392"/>
      <c r="EE944" s="392"/>
      <c r="EF944" s="392"/>
      <c r="EG944" s="392"/>
      <c r="EH944" s="392"/>
      <c r="EI944" s="392"/>
      <c r="EJ944" s="392"/>
      <c r="EK944" s="392"/>
      <c r="EL944" s="392"/>
    </row>
    <row r="945" spans="3:142" s="182" customFormat="1" x14ac:dyDescent="0.25">
      <c r="C945" s="395"/>
      <c r="I945" s="184"/>
      <c r="N945" s="184"/>
      <c r="O945" s="184"/>
      <c r="P945" s="184"/>
      <c r="Q945" s="184"/>
      <c r="Z945" s="184"/>
      <c r="AA945" s="184"/>
      <c r="AJ945" s="185"/>
      <c r="DU945" s="395"/>
      <c r="DV945" s="395"/>
      <c r="DW945" s="395"/>
      <c r="DX945" s="395"/>
      <c r="DY945" s="395"/>
      <c r="DZ945" s="395"/>
      <c r="EA945" s="395"/>
      <c r="EB945" s="392"/>
      <c r="EC945" s="392"/>
      <c r="ED945" s="392"/>
      <c r="EE945" s="392"/>
      <c r="EF945" s="392"/>
      <c r="EG945" s="392"/>
      <c r="EH945" s="392"/>
      <c r="EI945" s="392"/>
      <c r="EJ945" s="392"/>
      <c r="EK945" s="392"/>
      <c r="EL945" s="392"/>
    </row>
    <row r="946" spans="3:142" s="182" customFormat="1" x14ac:dyDescent="0.25">
      <c r="C946" s="395"/>
      <c r="I946" s="184"/>
      <c r="N946" s="184"/>
      <c r="O946" s="184"/>
      <c r="P946" s="184"/>
      <c r="Q946" s="184"/>
      <c r="Z946" s="184"/>
      <c r="AA946" s="184"/>
      <c r="AJ946" s="185"/>
      <c r="DU946" s="395"/>
      <c r="DV946" s="395"/>
      <c r="DW946" s="395"/>
      <c r="DX946" s="395"/>
      <c r="DY946" s="395"/>
      <c r="DZ946" s="395"/>
      <c r="EA946" s="395"/>
      <c r="EB946" s="392"/>
      <c r="EC946" s="392"/>
      <c r="ED946" s="392"/>
      <c r="EE946" s="392"/>
      <c r="EF946" s="392"/>
      <c r="EG946" s="392"/>
      <c r="EH946" s="392"/>
      <c r="EI946" s="392"/>
      <c r="EJ946" s="392"/>
      <c r="EK946" s="392"/>
      <c r="EL946" s="392"/>
    </row>
    <row r="947" spans="3:142" s="182" customFormat="1" x14ac:dyDescent="0.25">
      <c r="C947" s="395"/>
      <c r="I947" s="184"/>
      <c r="N947" s="184"/>
      <c r="O947" s="184"/>
      <c r="P947" s="184"/>
      <c r="Q947" s="184"/>
      <c r="Z947" s="184"/>
      <c r="AA947" s="184"/>
      <c r="AJ947" s="185"/>
      <c r="DU947" s="395"/>
      <c r="DV947" s="395"/>
      <c r="DW947" s="395"/>
      <c r="DX947" s="395"/>
      <c r="DY947" s="395"/>
      <c r="DZ947" s="395"/>
      <c r="EA947" s="395"/>
      <c r="EB947" s="392"/>
      <c r="EC947" s="392"/>
      <c r="ED947" s="392"/>
      <c r="EE947" s="392"/>
      <c r="EF947" s="392"/>
      <c r="EG947" s="392"/>
      <c r="EH947" s="392"/>
      <c r="EI947" s="392"/>
      <c r="EJ947" s="392"/>
      <c r="EK947" s="392"/>
      <c r="EL947" s="392"/>
    </row>
    <row r="948" spans="3:142" s="182" customFormat="1" x14ac:dyDescent="0.25">
      <c r="C948" s="395"/>
      <c r="I948" s="184"/>
      <c r="N948" s="184"/>
      <c r="O948" s="184"/>
      <c r="P948" s="184"/>
      <c r="Q948" s="184"/>
      <c r="Z948" s="184"/>
      <c r="AA948" s="184"/>
      <c r="AJ948" s="185"/>
      <c r="DU948" s="395"/>
      <c r="DV948" s="395"/>
      <c r="DW948" s="395"/>
      <c r="DX948" s="395"/>
      <c r="DY948" s="395"/>
      <c r="DZ948" s="395"/>
      <c r="EA948" s="395"/>
      <c r="EB948" s="392"/>
      <c r="EC948" s="392"/>
      <c r="ED948" s="392"/>
      <c r="EE948" s="392"/>
      <c r="EF948" s="392"/>
      <c r="EG948" s="392"/>
      <c r="EH948" s="392"/>
      <c r="EI948" s="392"/>
      <c r="EJ948" s="392"/>
      <c r="EK948" s="392"/>
      <c r="EL948" s="392"/>
    </row>
    <row r="949" spans="3:142" s="182" customFormat="1" x14ac:dyDescent="0.25">
      <c r="C949" s="395"/>
      <c r="I949" s="184"/>
      <c r="N949" s="184"/>
      <c r="O949" s="184"/>
      <c r="P949" s="184"/>
      <c r="Q949" s="184"/>
      <c r="Z949" s="184"/>
      <c r="AA949" s="184"/>
      <c r="AJ949" s="185"/>
      <c r="DU949" s="395"/>
      <c r="DV949" s="395"/>
      <c r="DW949" s="395"/>
      <c r="DX949" s="395"/>
      <c r="DY949" s="395"/>
      <c r="DZ949" s="395"/>
      <c r="EA949" s="395"/>
      <c r="EB949" s="392"/>
      <c r="EC949" s="392"/>
      <c r="ED949" s="392"/>
      <c r="EE949" s="392"/>
      <c r="EF949" s="392"/>
      <c r="EG949" s="392"/>
      <c r="EH949" s="392"/>
      <c r="EI949" s="392"/>
      <c r="EJ949" s="392"/>
      <c r="EK949" s="392"/>
      <c r="EL949" s="392"/>
    </row>
    <row r="950" spans="3:142" s="182" customFormat="1" x14ac:dyDescent="0.25">
      <c r="C950" s="395"/>
      <c r="I950" s="184"/>
      <c r="N950" s="184"/>
      <c r="O950" s="184"/>
      <c r="P950" s="184"/>
      <c r="Q950" s="184"/>
      <c r="Z950" s="184"/>
      <c r="AA950" s="184"/>
      <c r="AJ950" s="185"/>
      <c r="DU950" s="395"/>
      <c r="DV950" s="395"/>
      <c r="DW950" s="395"/>
      <c r="DX950" s="395"/>
      <c r="DY950" s="395"/>
      <c r="DZ950" s="395"/>
      <c r="EA950" s="395"/>
      <c r="EB950" s="392"/>
      <c r="EC950" s="392"/>
      <c r="ED950" s="392"/>
      <c r="EE950" s="392"/>
      <c r="EF950" s="392"/>
      <c r="EG950" s="392"/>
      <c r="EH950" s="392"/>
      <c r="EI950" s="392"/>
      <c r="EJ950" s="392"/>
      <c r="EK950" s="392"/>
      <c r="EL950" s="392"/>
    </row>
    <row r="951" spans="3:142" s="182" customFormat="1" x14ac:dyDescent="0.25">
      <c r="C951" s="395"/>
      <c r="I951" s="184"/>
      <c r="N951" s="184"/>
      <c r="O951" s="184"/>
      <c r="P951" s="184"/>
      <c r="Q951" s="184"/>
      <c r="Z951" s="184"/>
      <c r="AA951" s="184"/>
      <c r="AJ951" s="185"/>
      <c r="DU951" s="395"/>
      <c r="DV951" s="395"/>
      <c r="DW951" s="395"/>
      <c r="DX951" s="395"/>
      <c r="DY951" s="395"/>
      <c r="DZ951" s="395"/>
      <c r="EA951" s="395"/>
      <c r="EB951" s="392"/>
      <c r="EC951" s="392"/>
      <c r="ED951" s="392"/>
      <c r="EE951" s="392"/>
      <c r="EF951" s="392"/>
      <c r="EG951" s="392"/>
      <c r="EH951" s="392"/>
      <c r="EI951" s="392"/>
      <c r="EJ951" s="392"/>
      <c r="EK951" s="392"/>
      <c r="EL951" s="392"/>
    </row>
    <row r="952" spans="3:142" s="182" customFormat="1" x14ac:dyDescent="0.25">
      <c r="C952" s="395"/>
      <c r="I952" s="184"/>
      <c r="N952" s="184"/>
      <c r="O952" s="184"/>
      <c r="P952" s="184"/>
      <c r="Q952" s="184"/>
      <c r="Z952" s="184"/>
      <c r="AA952" s="184"/>
      <c r="AJ952" s="185"/>
      <c r="DU952" s="395"/>
      <c r="DV952" s="395"/>
      <c r="DW952" s="395"/>
      <c r="DX952" s="395"/>
      <c r="DY952" s="395"/>
      <c r="DZ952" s="395"/>
      <c r="EA952" s="395"/>
      <c r="EB952" s="392"/>
      <c r="EC952" s="392"/>
      <c r="ED952" s="392"/>
      <c r="EE952" s="392"/>
      <c r="EF952" s="392"/>
      <c r="EG952" s="392"/>
      <c r="EH952" s="392"/>
      <c r="EI952" s="392"/>
      <c r="EJ952" s="392"/>
      <c r="EK952" s="392"/>
      <c r="EL952" s="392"/>
    </row>
    <row r="953" spans="3:142" s="182" customFormat="1" x14ac:dyDescent="0.25">
      <c r="C953" s="395"/>
      <c r="I953" s="184"/>
      <c r="N953" s="184"/>
      <c r="O953" s="184"/>
      <c r="P953" s="184"/>
      <c r="Q953" s="184"/>
      <c r="Z953" s="184"/>
      <c r="AA953" s="184"/>
      <c r="AJ953" s="185"/>
      <c r="DU953" s="395"/>
      <c r="DV953" s="395"/>
      <c r="DW953" s="395"/>
      <c r="DX953" s="395"/>
      <c r="DY953" s="395"/>
      <c r="DZ953" s="395"/>
      <c r="EA953" s="395"/>
      <c r="EB953" s="392"/>
      <c r="EC953" s="392"/>
      <c r="ED953" s="392"/>
      <c r="EE953" s="392"/>
      <c r="EF953" s="392"/>
      <c r="EG953" s="392"/>
      <c r="EH953" s="392"/>
      <c r="EI953" s="392"/>
      <c r="EJ953" s="392"/>
      <c r="EK953" s="392"/>
      <c r="EL953" s="392"/>
    </row>
    <row r="954" spans="3:142" s="182" customFormat="1" x14ac:dyDescent="0.25">
      <c r="C954" s="395"/>
      <c r="I954" s="184"/>
      <c r="N954" s="184"/>
      <c r="O954" s="184"/>
      <c r="P954" s="184"/>
      <c r="Q954" s="184"/>
      <c r="Z954" s="184"/>
      <c r="AA954" s="184"/>
      <c r="AJ954" s="185"/>
      <c r="DU954" s="395"/>
      <c r="DV954" s="395"/>
      <c r="DW954" s="395"/>
      <c r="DX954" s="395"/>
      <c r="DY954" s="395"/>
      <c r="DZ954" s="395"/>
      <c r="EA954" s="395"/>
      <c r="EB954" s="392"/>
      <c r="EC954" s="392"/>
      <c r="ED954" s="392"/>
      <c r="EE954" s="392"/>
      <c r="EF954" s="392"/>
      <c r="EG954" s="392"/>
      <c r="EH954" s="392"/>
      <c r="EI954" s="392"/>
      <c r="EJ954" s="392"/>
      <c r="EK954" s="392"/>
      <c r="EL954" s="392"/>
    </row>
    <row r="955" spans="3:142" s="182" customFormat="1" x14ac:dyDescent="0.25">
      <c r="C955" s="395"/>
      <c r="I955" s="184"/>
      <c r="N955" s="184"/>
      <c r="O955" s="184"/>
      <c r="P955" s="184"/>
      <c r="Q955" s="184"/>
      <c r="Z955" s="184"/>
      <c r="AA955" s="184"/>
      <c r="AJ955" s="185"/>
      <c r="DU955" s="395"/>
      <c r="DV955" s="395"/>
      <c r="DW955" s="395"/>
      <c r="DX955" s="395"/>
      <c r="DY955" s="395"/>
      <c r="DZ955" s="395"/>
      <c r="EA955" s="395"/>
      <c r="EB955" s="392"/>
      <c r="EC955" s="392"/>
      <c r="ED955" s="392"/>
      <c r="EE955" s="392"/>
      <c r="EF955" s="392"/>
      <c r="EG955" s="392"/>
      <c r="EH955" s="392"/>
      <c r="EI955" s="392"/>
      <c r="EJ955" s="392"/>
      <c r="EK955" s="392"/>
      <c r="EL955" s="392"/>
    </row>
    <row r="956" spans="3:142" s="182" customFormat="1" x14ac:dyDescent="0.25">
      <c r="C956" s="395"/>
      <c r="I956" s="184"/>
      <c r="N956" s="184"/>
      <c r="O956" s="184"/>
      <c r="P956" s="184"/>
      <c r="Q956" s="184"/>
      <c r="Z956" s="184"/>
      <c r="AA956" s="184"/>
      <c r="AJ956" s="185"/>
      <c r="DU956" s="395"/>
      <c r="DV956" s="395"/>
      <c r="DW956" s="395"/>
      <c r="DX956" s="395"/>
      <c r="DY956" s="395"/>
      <c r="DZ956" s="395"/>
      <c r="EA956" s="395"/>
      <c r="EB956" s="392"/>
      <c r="EC956" s="392"/>
      <c r="ED956" s="392"/>
      <c r="EE956" s="392"/>
      <c r="EF956" s="392"/>
      <c r="EG956" s="392"/>
      <c r="EH956" s="392"/>
      <c r="EI956" s="392"/>
      <c r="EJ956" s="392"/>
      <c r="EK956" s="392"/>
      <c r="EL956" s="392"/>
    </row>
    <row r="957" spans="3:142" s="182" customFormat="1" x14ac:dyDescent="0.25">
      <c r="C957" s="395"/>
      <c r="I957" s="184"/>
      <c r="N957" s="184"/>
      <c r="O957" s="184"/>
      <c r="P957" s="184"/>
      <c r="Q957" s="184"/>
      <c r="Z957" s="184"/>
      <c r="AA957" s="184"/>
      <c r="AJ957" s="185"/>
      <c r="DU957" s="395"/>
      <c r="DV957" s="395"/>
      <c r="DW957" s="395"/>
      <c r="DX957" s="395"/>
      <c r="DY957" s="395"/>
      <c r="DZ957" s="395"/>
      <c r="EA957" s="395"/>
      <c r="EB957" s="392"/>
      <c r="EC957" s="392"/>
      <c r="ED957" s="392"/>
      <c r="EE957" s="392"/>
      <c r="EF957" s="392"/>
      <c r="EG957" s="392"/>
      <c r="EH957" s="392"/>
      <c r="EI957" s="392"/>
      <c r="EJ957" s="392"/>
      <c r="EK957" s="392"/>
      <c r="EL957" s="392"/>
    </row>
    <row r="958" spans="3:142" s="182" customFormat="1" x14ac:dyDescent="0.25">
      <c r="C958" s="395"/>
      <c r="I958" s="184"/>
      <c r="N958" s="184"/>
      <c r="O958" s="184"/>
      <c r="P958" s="184"/>
      <c r="Q958" s="184"/>
      <c r="Z958" s="184"/>
      <c r="AA958" s="184"/>
      <c r="AJ958" s="185"/>
      <c r="DU958" s="395"/>
      <c r="DV958" s="395"/>
      <c r="DW958" s="395"/>
      <c r="DX958" s="395"/>
      <c r="DY958" s="395"/>
      <c r="DZ958" s="395"/>
      <c r="EA958" s="395"/>
      <c r="EB958" s="392"/>
      <c r="EC958" s="392"/>
      <c r="ED958" s="392"/>
      <c r="EE958" s="392"/>
      <c r="EF958" s="392"/>
      <c r="EG958" s="392"/>
      <c r="EH958" s="392"/>
      <c r="EI958" s="392"/>
      <c r="EJ958" s="392"/>
      <c r="EK958" s="392"/>
      <c r="EL958" s="392"/>
    </row>
    <row r="959" spans="3:142" s="182" customFormat="1" x14ac:dyDescent="0.25">
      <c r="C959" s="395"/>
      <c r="I959" s="184"/>
      <c r="N959" s="184"/>
      <c r="O959" s="184"/>
      <c r="P959" s="184"/>
      <c r="Q959" s="184"/>
      <c r="Z959" s="184"/>
      <c r="AA959" s="184"/>
      <c r="AJ959" s="185"/>
      <c r="DU959" s="395"/>
      <c r="DV959" s="395"/>
      <c r="DW959" s="395"/>
      <c r="DX959" s="395"/>
      <c r="DY959" s="395"/>
      <c r="DZ959" s="395"/>
      <c r="EA959" s="395"/>
      <c r="EB959" s="392"/>
      <c r="EC959" s="392"/>
      <c r="ED959" s="392"/>
      <c r="EE959" s="392"/>
      <c r="EF959" s="392"/>
      <c r="EG959" s="392"/>
      <c r="EH959" s="392"/>
      <c r="EI959" s="392"/>
      <c r="EJ959" s="392"/>
      <c r="EK959" s="392"/>
      <c r="EL959" s="392"/>
    </row>
    <row r="960" spans="3:142" s="182" customFormat="1" x14ac:dyDescent="0.25">
      <c r="C960" s="395"/>
      <c r="I960" s="184"/>
      <c r="N960" s="184"/>
      <c r="O960" s="184"/>
      <c r="P960" s="184"/>
      <c r="Q960" s="184"/>
      <c r="Z960" s="184"/>
      <c r="AA960" s="184"/>
      <c r="AJ960" s="185"/>
      <c r="DU960" s="395"/>
      <c r="DV960" s="395"/>
      <c r="DW960" s="395"/>
      <c r="DX960" s="395"/>
      <c r="DY960" s="395"/>
      <c r="DZ960" s="395"/>
      <c r="EA960" s="395"/>
      <c r="EB960" s="392"/>
      <c r="EC960" s="392"/>
      <c r="ED960" s="392"/>
      <c r="EE960" s="392"/>
      <c r="EF960" s="392"/>
      <c r="EG960" s="392"/>
      <c r="EH960" s="392"/>
      <c r="EI960" s="392"/>
      <c r="EJ960" s="392"/>
      <c r="EK960" s="392"/>
      <c r="EL960" s="392"/>
    </row>
    <row r="961" spans="3:142" s="182" customFormat="1" x14ac:dyDescent="0.25">
      <c r="C961" s="395"/>
      <c r="I961" s="184"/>
      <c r="N961" s="184"/>
      <c r="O961" s="184"/>
      <c r="P961" s="184"/>
      <c r="Q961" s="184"/>
      <c r="Z961" s="184"/>
      <c r="AA961" s="184"/>
      <c r="AJ961" s="185"/>
      <c r="DU961" s="395"/>
      <c r="DV961" s="395"/>
      <c r="DW961" s="395"/>
      <c r="DX961" s="395"/>
      <c r="DY961" s="395"/>
      <c r="DZ961" s="395"/>
      <c r="EA961" s="395"/>
      <c r="EB961" s="392"/>
      <c r="EC961" s="392"/>
      <c r="ED961" s="392"/>
      <c r="EE961" s="392"/>
      <c r="EF961" s="392"/>
      <c r="EG961" s="392"/>
      <c r="EH961" s="392"/>
      <c r="EI961" s="392"/>
      <c r="EJ961" s="392"/>
      <c r="EK961" s="392"/>
      <c r="EL961" s="392"/>
    </row>
    <row r="962" spans="3:142" s="182" customFormat="1" x14ac:dyDescent="0.25">
      <c r="C962" s="395"/>
      <c r="I962" s="184"/>
      <c r="N962" s="184"/>
      <c r="O962" s="184"/>
      <c r="P962" s="184"/>
      <c r="Q962" s="184"/>
      <c r="Z962" s="184"/>
      <c r="AA962" s="184"/>
      <c r="AJ962" s="185"/>
      <c r="DU962" s="395"/>
      <c r="DV962" s="395"/>
      <c r="DW962" s="395"/>
      <c r="DX962" s="395"/>
      <c r="DY962" s="395"/>
      <c r="DZ962" s="395"/>
      <c r="EA962" s="395"/>
      <c r="EB962" s="392"/>
      <c r="EC962" s="392"/>
      <c r="ED962" s="392"/>
      <c r="EE962" s="392"/>
      <c r="EF962" s="392"/>
      <c r="EG962" s="392"/>
      <c r="EH962" s="392"/>
      <c r="EI962" s="392"/>
      <c r="EJ962" s="392"/>
      <c r="EK962" s="392"/>
      <c r="EL962" s="392"/>
    </row>
    <row r="963" spans="3:142" s="182" customFormat="1" x14ac:dyDescent="0.25">
      <c r="C963" s="395"/>
      <c r="I963" s="184"/>
      <c r="N963" s="184"/>
      <c r="O963" s="184"/>
      <c r="P963" s="184"/>
      <c r="Q963" s="184"/>
      <c r="Z963" s="184"/>
      <c r="AA963" s="184"/>
      <c r="AJ963" s="185"/>
      <c r="DU963" s="395"/>
      <c r="DV963" s="395"/>
      <c r="DW963" s="395"/>
      <c r="DX963" s="395"/>
      <c r="DY963" s="395"/>
      <c r="DZ963" s="395"/>
      <c r="EA963" s="395"/>
      <c r="EB963" s="392"/>
      <c r="EC963" s="392"/>
      <c r="ED963" s="392"/>
      <c r="EE963" s="392"/>
      <c r="EF963" s="392"/>
      <c r="EG963" s="392"/>
      <c r="EH963" s="392"/>
      <c r="EI963" s="392"/>
      <c r="EJ963" s="392"/>
      <c r="EK963" s="392"/>
      <c r="EL963" s="392"/>
    </row>
    <row r="964" spans="3:142" s="182" customFormat="1" x14ac:dyDescent="0.25">
      <c r="C964" s="395"/>
      <c r="I964" s="184"/>
      <c r="N964" s="184"/>
      <c r="O964" s="184"/>
      <c r="P964" s="184"/>
      <c r="Q964" s="184"/>
      <c r="Z964" s="184"/>
      <c r="AA964" s="184"/>
      <c r="AJ964" s="185"/>
      <c r="DU964" s="395"/>
      <c r="DV964" s="395"/>
      <c r="DW964" s="395"/>
      <c r="DX964" s="395"/>
      <c r="DY964" s="395"/>
      <c r="DZ964" s="395"/>
      <c r="EA964" s="395"/>
      <c r="EB964" s="392"/>
      <c r="EC964" s="392"/>
      <c r="ED964" s="392"/>
      <c r="EE964" s="392"/>
      <c r="EF964" s="392"/>
      <c r="EG964" s="392"/>
      <c r="EH964" s="392"/>
      <c r="EI964" s="392"/>
      <c r="EJ964" s="392"/>
      <c r="EK964" s="392"/>
      <c r="EL964" s="392"/>
    </row>
    <row r="965" spans="3:142" s="182" customFormat="1" x14ac:dyDescent="0.25">
      <c r="C965" s="395"/>
      <c r="I965" s="184"/>
      <c r="N965" s="184"/>
      <c r="O965" s="184"/>
      <c r="P965" s="184"/>
      <c r="Q965" s="184"/>
      <c r="Z965" s="184"/>
      <c r="AA965" s="184"/>
      <c r="AJ965" s="185"/>
      <c r="DU965" s="395"/>
      <c r="DV965" s="395"/>
      <c r="DW965" s="395"/>
      <c r="DX965" s="395"/>
      <c r="DY965" s="395"/>
      <c r="DZ965" s="395"/>
      <c r="EA965" s="395"/>
      <c r="EB965" s="392"/>
      <c r="EC965" s="392"/>
      <c r="ED965" s="392"/>
      <c r="EE965" s="392"/>
      <c r="EF965" s="392"/>
      <c r="EG965" s="392"/>
      <c r="EH965" s="392"/>
      <c r="EI965" s="392"/>
      <c r="EJ965" s="392"/>
      <c r="EK965" s="392"/>
      <c r="EL965" s="392"/>
    </row>
    <row r="966" spans="3:142" s="182" customFormat="1" x14ac:dyDescent="0.25">
      <c r="C966" s="395"/>
      <c r="I966" s="184"/>
      <c r="N966" s="184"/>
      <c r="O966" s="184"/>
      <c r="P966" s="184"/>
      <c r="Q966" s="184"/>
      <c r="Z966" s="184"/>
      <c r="AA966" s="184"/>
      <c r="AJ966" s="185"/>
      <c r="DU966" s="395"/>
      <c r="DV966" s="395"/>
      <c r="DW966" s="395"/>
      <c r="DX966" s="395"/>
      <c r="DY966" s="395"/>
      <c r="DZ966" s="395"/>
      <c r="EA966" s="395"/>
      <c r="EB966" s="392"/>
      <c r="EC966" s="392"/>
      <c r="ED966" s="392"/>
      <c r="EE966" s="392"/>
      <c r="EF966" s="392"/>
      <c r="EG966" s="392"/>
      <c r="EH966" s="392"/>
      <c r="EI966" s="392"/>
      <c r="EJ966" s="392"/>
      <c r="EK966" s="392"/>
      <c r="EL966" s="392"/>
    </row>
    <row r="967" spans="3:142" s="182" customFormat="1" x14ac:dyDescent="0.25">
      <c r="C967" s="395"/>
      <c r="I967" s="184"/>
      <c r="N967" s="184"/>
      <c r="O967" s="184"/>
      <c r="P967" s="184"/>
      <c r="Q967" s="184"/>
      <c r="Z967" s="184"/>
      <c r="AA967" s="184"/>
      <c r="AJ967" s="185"/>
      <c r="DU967" s="395"/>
      <c r="DV967" s="395"/>
      <c r="DW967" s="395"/>
      <c r="DX967" s="395"/>
      <c r="DY967" s="395"/>
      <c r="DZ967" s="395"/>
      <c r="EA967" s="395"/>
      <c r="EB967" s="392"/>
      <c r="EC967" s="392"/>
      <c r="ED967" s="392"/>
      <c r="EE967" s="392"/>
      <c r="EF967" s="392"/>
      <c r="EG967" s="392"/>
      <c r="EH967" s="392"/>
      <c r="EI967" s="392"/>
      <c r="EJ967" s="392"/>
      <c r="EK967" s="392"/>
      <c r="EL967" s="392"/>
    </row>
    <row r="968" spans="3:142" s="182" customFormat="1" x14ac:dyDescent="0.25">
      <c r="C968" s="395"/>
      <c r="I968" s="184"/>
      <c r="N968" s="184"/>
      <c r="O968" s="184"/>
      <c r="P968" s="184"/>
      <c r="Q968" s="184"/>
      <c r="Z968" s="184"/>
      <c r="AA968" s="184"/>
      <c r="AJ968" s="185"/>
      <c r="DU968" s="395"/>
      <c r="DV968" s="395"/>
      <c r="DW968" s="395"/>
      <c r="DX968" s="395"/>
      <c r="DY968" s="395"/>
      <c r="DZ968" s="395"/>
      <c r="EA968" s="395"/>
      <c r="EB968" s="392"/>
      <c r="EC968" s="392"/>
      <c r="ED968" s="392"/>
      <c r="EE968" s="392"/>
      <c r="EF968" s="392"/>
      <c r="EG968" s="392"/>
      <c r="EH968" s="392"/>
      <c r="EI968" s="392"/>
      <c r="EJ968" s="392"/>
      <c r="EK968" s="392"/>
      <c r="EL968" s="392"/>
    </row>
    <row r="969" spans="3:142" s="182" customFormat="1" x14ac:dyDescent="0.25">
      <c r="C969" s="395"/>
      <c r="I969" s="184"/>
      <c r="N969" s="184"/>
      <c r="O969" s="184"/>
      <c r="P969" s="184"/>
      <c r="Q969" s="184"/>
      <c r="Z969" s="184"/>
      <c r="AA969" s="184"/>
      <c r="AJ969" s="185"/>
      <c r="DU969" s="395"/>
      <c r="DV969" s="395"/>
      <c r="DW969" s="395"/>
      <c r="DX969" s="395"/>
      <c r="DY969" s="395"/>
      <c r="DZ969" s="395"/>
      <c r="EA969" s="395"/>
      <c r="EB969" s="392"/>
      <c r="EC969" s="392"/>
      <c r="ED969" s="392"/>
      <c r="EE969" s="392"/>
      <c r="EF969" s="392"/>
      <c r="EG969" s="392"/>
      <c r="EH969" s="392"/>
      <c r="EI969" s="392"/>
      <c r="EJ969" s="392"/>
      <c r="EK969" s="392"/>
      <c r="EL969" s="392"/>
    </row>
    <row r="970" spans="3:142" s="182" customFormat="1" x14ac:dyDescent="0.25">
      <c r="C970" s="395"/>
      <c r="I970" s="184"/>
      <c r="N970" s="184"/>
      <c r="O970" s="184"/>
      <c r="P970" s="184"/>
      <c r="Q970" s="184"/>
      <c r="Z970" s="184"/>
      <c r="AA970" s="184"/>
      <c r="AJ970" s="185"/>
      <c r="DU970" s="395"/>
      <c r="DV970" s="395"/>
      <c r="DW970" s="395"/>
      <c r="DX970" s="395"/>
      <c r="DY970" s="395"/>
      <c r="DZ970" s="395"/>
      <c r="EA970" s="395"/>
      <c r="EB970" s="392"/>
      <c r="EC970" s="392"/>
      <c r="ED970" s="392"/>
      <c r="EE970" s="392"/>
      <c r="EF970" s="392"/>
      <c r="EG970" s="392"/>
      <c r="EH970" s="392"/>
      <c r="EI970" s="392"/>
      <c r="EJ970" s="392"/>
      <c r="EK970" s="392"/>
      <c r="EL970" s="392"/>
    </row>
    <row r="971" spans="3:142" s="182" customFormat="1" x14ac:dyDescent="0.25">
      <c r="C971" s="395"/>
      <c r="I971" s="184"/>
      <c r="N971" s="184"/>
      <c r="O971" s="184"/>
      <c r="P971" s="184"/>
      <c r="Q971" s="184"/>
      <c r="Z971" s="184"/>
      <c r="AA971" s="184"/>
      <c r="AJ971" s="185"/>
      <c r="DU971" s="395"/>
      <c r="DV971" s="395"/>
      <c r="DW971" s="395"/>
      <c r="DX971" s="395"/>
      <c r="DY971" s="395"/>
      <c r="DZ971" s="395"/>
      <c r="EA971" s="395"/>
      <c r="EB971" s="392"/>
      <c r="EC971" s="392"/>
      <c r="ED971" s="392"/>
      <c r="EE971" s="392"/>
      <c r="EF971" s="392"/>
      <c r="EG971" s="392"/>
      <c r="EH971" s="392"/>
      <c r="EI971" s="392"/>
      <c r="EJ971" s="392"/>
      <c r="EK971" s="392"/>
      <c r="EL971" s="392"/>
    </row>
    <row r="972" spans="3:142" s="182" customFormat="1" x14ac:dyDescent="0.25">
      <c r="C972" s="395"/>
      <c r="I972" s="184"/>
      <c r="N972" s="184"/>
      <c r="O972" s="184"/>
      <c r="P972" s="184"/>
      <c r="Q972" s="184"/>
      <c r="Z972" s="184"/>
      <c r="AA972" s="184"/>
      <c r="AJ972" s="185"/>
      <c r="DU972" s="395"/>
      <c r="DV972" s="395"/>
      <c r="DW972" s="395"/>
      <c r="DX972" s="395"/>
      <c r="DY972" s="395"/>
      <c r="DZ972" s="395"/>
      <c r="EA972" s="395"/>
      <c r="EB972" s="392"/>
      <c r="EC972" s="392"/>
      <c r="ED972" s="392"/>
      <c r="EE972" s="392"/>
      <c r="EF972" s="392"/>
      <c r="EG972" s="392"/>
      <c r="EH972" s="392"/>
      <c r="EI972" s="392"/>
      <c r="EJ972" s="392"/>
      <c r="EK972" s="392"/>
      <c r="EL972" s="392"/>
    </row>
    <row r="973" spans="3:142" s="182" customFormat="1" x14ac:dyDescent="0.25">
      <c r="C973" s="395"/>
      <c r="I973" s="184"/>
      <c r="N973" s="184"/>
      <c r="O973" s="184"/>
      <c r="P973" s="184"/>
      <c r="Q973" s="184"/>
      <c r="Z973" s="184"/>
      <c r="AA973" s="184"/>
      <c r="AJ973" s="185"/>
      <c r="DU973" s="395"/>
      <c r="DV973" s="395"/>
      <c r="DW973" s="395"/>
      <c r="DX973" s="395"/>
      <c r="DY973" s="395"/>
      <c r="DZ973" s="395"/>
      <c r="EA973" s="395"/>
      <c r="EB973" s="392"/>
      <c r="EC973" s="392"/>
      <c r="ED973" s="392"/>
      <c r="EE973" s="392"/>
      <c r="EF973" s="392"/>
      <c r="EG973" s="392"/>
      <c r="EH973" s="392"/>
      <c r="EI973" s="392"/>
      <c r="EJ973" s="392"/>
      <c r="EK973" s="392"/>
      <c r="EL973" s="392"/>
    </row>
    <row r="974" spans="3:142" s="182" customFormat="1" x14ac:dyDescent="0.25">
      <c r="C974" s="395"/>
      <c r="I974" s="184"/>
      <c r="N974" s="184"/>
      <c r="O974" s="184"/>
      <c r="P974" s="184"/>
      <c r="Q974" s="184"/>
      <c r="Z974" s="184"/>
      <c r="AA974" s="184"/>
      <c r="AJ974" s="185"/>
      <c r="DU974" s="395"/>
      <c r="DV974" s="395"/>
      <c r="DW974" s="395"/>
      <c r="DX974" s="395"/>
      <c r="DY974" s="395"/>
      <c r="DZ974" s="395"/>
      <c r="EA974" s="395"/>
      <c r="EB974" s="392"/>
      <c r="EC974" s="392"/>
      <c r="ED974" s="392"/>
      <c r="EE974" s="392"/>
      <c r="EF974" s="392"/>
      <c r="EG974" s="392"/>
      <c r="EH974" s="392"/>
      <c r="EI974" s="392"/>
      <c r="EJ974" s="392"/>
      <c r="EK974" s="392"/>
      <c r="EL974" s="392"/>
    </row>
    <row r="975" spans="3:142" s="182" customFormat="1" x14ac:dyDescent="0.25">
      <c r="C975" s="395"/>
      <c r="I975" s="184"/>
      <c r="N975" s="184"/>
      <c r="O975" s="184"/>
      <c r="P975" s="184"/>
      <c r="Q975" s="184"/>
      <c r="Z975" s="184"/>
      <c r="AA975" s="184"/>
      <c r="AJ975" s="185"/>
      <c r="DU975" s="395"/>
      <c r="DV975" s="395"/>
      <c r="DW975" s="395"/>
      <c r="DX975" s="395"/>
      <c r="DY975" s="395"/>
      <c r="DZ975" s="395"/>
      <c r="EA975" s="395"/>
      <c r="EB975" s="392"/>
      <c r="EC975" s="392"/>
      <c r="ED975" s="392"/>
      <c r="EE975" s="392"/>
      <c r="EF975" s="392"/>
      <c r="EG975" s="392"/>
      <c r="EH975" s="392"/>
      <c r="EI975" s="392"/>
      <c r="EJ975" s="392"/>
      <c r="EK975" s="392"/>
      <c r="EL975" s="392"/>
    </row>
    <row r="976" spans="3:142" s="182" customFormat="1" x14ac:dyDescent="0.25">
      <c r="C976" s="395"/>
      <c r="I976" s="184"/>
      <c r="N976" s="184"/>
      <c r="O976" s="184"/>
      <c r="P976" s="184"/>
      <c r="Q976" s="184"/>
      <c r="Z976" s="184"/>
      <c r="AA976" s="184"/>
      <c r="AJ976" s="185"/>
      <c r="DU976" s="395"/>
      <c r="DV976" s="395"/>
      <c r="DW976" s="395"/>
      <c r="DX976" s="395"/>
      <c r="DY976" s="395"/>
      <c r="DZ976" s="395"/>
      <c r="EA976" s="395"/>
      <c r="EB976" s="392"/>
      <c r="EC976" s="392"/>
      <c r="ED976" s="392"/>
      <c r="EE976" s="392"/>
      <c r="EF976" s="392"/>
      <c r="EG976" s="392"/>
      <c r="EH976" s="392"/>
      <c r="EI976" s="392"/>
      <c r="EJ976" s="392"/>
      <c r="EK976" s="392"/>
      <c r="EL976" s="392"/>
    </row>
    <row r="977" spans="3:142" s="182" customFormat="1" x14ac:dyDescent="0.25">
      <c r="C977" s="395"/>
      <c r="I977" s="184"/>
      <c r="N977" s="184"/>
      <c r="O977" s="184"/>
      <c r="P977" s="184"/>
      <c r="Q977" s="184"/>
      <c r="Z977" s="184"/>
      <c r="AA977" s="184"/>
      <c r="AJ977" s="185"/>
      <c r="DU977" s="395"/>
      <c r="DV977" s="395"/>
      <c r="DW977" s="395"/>
      <c r="DX977" s="395"/>
      <c r="DY977" s="395"/>
      <c r="DZ977" s="395"/>
      <c r="EA977" s="395"/>
      <c r="EB977" s="392"/>
      <c r="EC977" s="392"/>
      <c r="ED977" s="392"/>
      <c r="EE977" s="392"/>
      <c r="EF977" s="392"/>
      <c r="EG977" s="392"/>
      <c r="EH977" s="392"/>
      <c r="EI977" s="392"/>
      <c r="EJ977" s="392"/>
      <c r="EK977" s="392"/>
      <c r="EL977" s="392"/>
    </row>
    <row r="978" spans="3:142" s="182" customFormat="1" x14ac:dyDescent="0.25">
      <c r="C978" s="395"/>
      <c r="I978" s="184"/>
      <c r="N978" s="184"/>
      <c r="O978" s="184"/>
      <c r="P978" s="184"/>
      <c r="Q978" s="184"/>
      <c r="Z978" s="184"/>
      <c r="AA978" s="184"/>
      <c r="AJ978" s="185"/>
      <c r="DU978" s="395"/>
      <c r="DV978" s="395"/>
      <c r="DW978" s="395"/>
      <c r="DX978" s="395"/>
      <c r="DY978" s="395"/>
      <c r="DZ978" s="395"/>
      <c r="EA978" s="395"/>
      <c r="EB978" s="392"/>
      <c r="EC978" s="392"/>
      <c r="ED978" s="392"/>
      <c r="EE978" s="392"/>
      <c r="EF978" s="392"/>
      <c r="EG978" s="392"/>
      <c r="EH978" s="392"/>
      <c r="EI978" s="392"/>
      <c r="EJ978" s="392"/>
      <c r="EK978" s="392"/>
      <c r="EL978" s="392"/>
    </row>
    <row r="979" spans="3:142" s="182" customFormat="1" x14ac:dyDescent="0.25">
      <c r="C979" s="395"/>
      <c r="I979" s="184"/>
      <c r="N979" s="184"/>
      <c r="O979" s="184"/>
      <c r="P979" s="184"/>
      <c r="Q979" s="184"/>
      <c r="Z979" s="184"/>
      <c r="AA979" s="184"/>
      <c r="AJ979" s="185"/>
      <c r="DU979" s="395"/>
      <c r="DV979" s="395"/>
      <c r="DW979" s="395"/>
      <c r="DX979" s="395"/>
      <c r="DY979" s="395"/>
      <c r="DZ979" s="395"/>
      <c r="EA979" s="395"/>
      <c r="EB979" s="392"/>
      <c r="EC979" s="392"/>
      <c r="ED979" s="392"/>
      <c r="EE979" s="392"/>
      <c r="EF979" s="392"/>
      <c r="EG979" s="392"/>
      <c r="EH979" s="392"/>
      <c r="EI979" s="392"/>
      <c r="EJ979" s="392"/>
      <c r="EK979" s="392"/>
      <c r="EL979" s="392"/>
    </row>
    <row r="980" spans="3:142" s="182" customFormat="1" x14ac:dyDescent="0.25">
      <c r="C980" s="395"/>
      <c r="I980" s="184"/>
      <c r="N980" s="184"/>
      <c r="O980" s="184"/>
      <c r="P980" s="184"/>
      <c r="Q980" s="184"/>
      <c r="Z980" s="184"/>
      <c r="AA980" s="184"/>
      <c r="AJ980" s="185"/>
      <c r="DU980" s="395"/>
      <c r="DV980" s="395"/>
      <c r="DW980" s="395"/>
      <c r="DX980" s="395"/>
      <c r="DY980" s="395"/>
      <c r="DZ980" s="395"/>
      <c r="EA980" s="395"/>
      <c r="EB980" s="392"/>
      <c r="EC980" s="392"/>
      <c r="ED980" s="392"/>
      <c r="EE980" s="392"/>
      <c r="EF980" s="392"/>
      <c r="EG980" s="392"/>
      <c r="EH980" s="392"/>
      <c r="EI980" s="392"/>
      <c r="EJ980" s="392"/>
      <c r="EK980" s="392"/>
      <c r="EL980" s="392"/>
    </row>
    <row r="981" spans="3:142" s="182" customFormat="1" x14ac:dyDescent="0.25">
      <c r="C981" s="395"/>
      <c r="I981" s="184"/>
      <c r="N981" s="184"/>
      <c r="O981" s="184"/>
      <c r="P981" s="184"/>
      <c r="Q981" s="184"/>
      <c r="Z981" s="184"/>
      <c r="AA981" s="184"/>
      <c r="AJ981" s="185"/>
      <c r="DU981" s="395"/>
      <c r="DV981" s="395"/>
      <c r="DW981" s="395"/>
      <c r="DX981" s="395"/>
      <c r="DY981" s="395"/>
      <c r="DZ981" s="395"/>
      <c r="EA981" s="395"/>
      <c r="EB981" s="392"/>
      <c r="EC981" s="392"/>
      <c r="ED981" s="392"/>
      <c r="EE981" s="392"/>
      <c r="EF981" s="392"/>
      <c r="EG981" s="392"/>
      <c r="EH981" s="392"/>
      <c r="EI981" s="392"/>
      <c r="EJ981" s="392"/>
      <c r="EK981" s="392"/>
      <c r="EL981" s="392"/>
    </row>
    <row r="982" spans="3:142" s="182" customFormat="1" x14ac:dyDescent="0.25">
      <c r="C982" s="395"/>
      <c r="I982" s="184"/>
      <c r="N982" s="184"/>
      <c r="O982" s="184"/>
      <c r="P982" s="184"/>
      <c r="Q982" s="184"/>
      <c r="Z982" s="184"/>
      <c r="AA982" s="184"/>
      <c r="AJ982" s="185"/>
      <c r="DU982" s="395"/>
      <c r="DV982" s="395"/>
      <c r="DW982" s="395"/>
      <c r="DX982" s="395"/>
      <c r="DY982" s="395"/>
      <c r="DZ982" s="395"/>
      <c r="EA982" s="395"/>
      <c r="EB982" s="392"/>
      <c r="EC982" s="392"/>
      <c r="ED982" s="392"/>
      <c r="EE982" s="392"/>
      <c r="EF982" s="392"/>
      <c r="EG982" s="392"/>
      <c r="EH982" s="392"/>
      <c r="EI982" s="392"/>
      <c r="EJ982" s="392"/>
      <c r="EK982" s="392"/>
      <c r="EL982" s="392"/>
    </row>
    <row r="983" spans="3:142" s="182" customFormat="1" x14ac:dyDescent="0.25">
      <c r="C983" s="395"/>
      <c r="I983" s="184"/>
      <c r="N983" s="184"/>
      <c r="O983" s="184"/>
      <c r="P983" s="184"/>
      <c r="Q983" s="184"/>
      <c r="Z983" s="184"/>
      <c r="AA983" s="184"/>
      <c r="AJ983" s="185"/>
      <c r="DU983" s="395"/>
      <c r="DV983" s="395"/>
      <c r="DW983" s="395"/>
      <c r="DX983" s="395"/>
      <c r="DY983" s="395"/>
      <c r="DZ983" s="395"/>
      <c r="EA983" s="395"/>
      <c r="EB983" s="392"/>
      <c r="EC983" s="392"/>
      <c r="ED983" s="392"/>
      <c r="EE983" s="392"/>
      <c r="EF983" s="392"/>
      <c r="EG983" s="392"/>
      <c r="EH983" s="392"/>
      <c r="EI983" s="392"/>
      <c r="EJ983" s="392"/>
      <c r="EK983" s="392"/>
      <c r="EL983" s="392"/>
    </row>
    <row r="984" spans="3:142" s="182" customFormat="1" x14ac:dyDescent="0.25">
      <c r="C984" s="395"/>
      <c r="I984" s="184"/>
      <c r="N984" s="184"/>
      <c r="O984" s="184"/>
      <c r="P984" s="184"/>
      <c r="Q984" s="184"/>
      <c r="Z984" s="184"/>
      <c r="AA984" s="184"/>
      <c r="AJ984" s="185"/>
      <c r="DU984" s="395"/>
      <c r="DV984" s="395"/>
      <c r="DW984" s="395"/>
      <c r="DX984" s="395"/>
      <c r="DY984" s="395"/>
      <c r="DZ984" s="395"/>
      <c r="EA984" s="395"/>
      <c r="EB984" s="392"/>
      <c r="EC984" s="392"/>
      <c r="ED984" s="392"/>
      <c r="EE984" s="392"/>
      <c r="EF984" s="392"/>
      <c r="EG984" s="392"/>
      <c r="EH984" s="392"/>
      <c r="EI984" s="392"/>
      <c r="EJ984" s="392"/>
      <c r="EK984" s="392"/>
      <c r="EL984" s="392"/>
    </row>
    <row r="985" spans="3:142" s="182" customFormat="1" x14ac:dyDescent="0.25">
      <c r="C985" s="395"/>
      <c r="I985" s="184"/>
      <c r="N985" s="184"/>
      <c r="O985" s="184"/>
      <c r="P985" s="184"/>
      <c r="Q985" s="184"/>
      <c r="Z985" s="184"/>
      <c r="AA985" s="184"/>
      <c r="AJ985" s="185"/>
      <c r="DU985" s="395"/>
      <c r="DV985" s="395"/>
      <c r="DW985" s="395"/>
      <c r="DX985" s="395"/>
      <c r="DY985" s="395"/>
      <c r="DZ985" s="395"/>
      <c r="EA985" s="395"/>
      <c r="EB985" s="392"/>
      <c r="EC985" s="392"/>
      <c r="ED985" s="392"/>
      <c r="EE985" s="392"/>
      <c r="EF985" s="392"/>
      <c r="EG985" s="392"/>
      <c r="EH985" s="392"/>
      <c r="EI985" s="392"/>
      <c r="EJ985" s="392"/>
      <c r="EK985" s="392"/>
      <c r="EL985" s="392"/>
    </row>
    <row r="986" spans="3:142" s="182" customFormat="1" x14ac:dyDescent="0.25">
      <c r="C986" s="395"/>
      <c r="I986" s="184"/>
      <c r="N986" s="184"/>
      <c r="O986" s="184"/>
      <c r="P986" s="184"/>
      <c r="Q986" s="184"/>
      <c r="Z986" s="184"/>
      <c r="AA986" s="184"/>
      <c r="AJ986" s="185"/>
      <c r="DU986" s="395"/>
      <c r="DV986" s="395"/>
      <c r="DW986" s="395"/>
      <c r="DX986" s="395"/>
      <c r="DY986" s="395"/>
      <c r="DZ986" s="395"/>
      <c r="EA986" s="395"/>
      <c r="EB986" s="392"/>
      <c r="EC986" s="392"/>
      <c r="ED986" s="392"/>
      <c r="EE986" s="392"/>
      <c r="EF986" s="392"/>
      <c r="EG986" s="392"/>
      <c r="EH986" s="392"/>
      <c r="EI986" s="392"/>
      <c r="EJ986" s="392"/>
      <c r="EK986" s="392"/>
      <c r="EL986" s="392"/>
    </row>
    <row r="987" spans="3:142" s="182" customFormat="1" x14ac:dyDescent="0.25">
      <c r="C987" s="395"/>
      <c r="I987" s="184"/>
      <c r="N987" s="184"/>
      <c r="O987" s="184"/>
      <c r="P987" s="184"/>
      <c r="Q987" s="184"/>
      <c r="Z987" s="184"/>
      <c r="AA987" s="184"/>
      <c r="AJ987" s="185"/>
      <c r="DU987" s="395"/>
      <c r="DV987" s="395"/>
      <c r="DW987" s="395"/>
      <c r="DX987" s="395"/>
      <c r="DY987" s="395"/>
      <c r="DZ987" s="395"/>
      <c r="EA987" s="395"/>
      <c r="EB987" s="392"/>
      <c r="EC987" s="392"/>
      <c r="ED987" s="392"/>
      <c r="EE987" s="392"/>
      <c r="EF987" s="392"/>
      <c r="EG987" s="392"/>
      <c r="EH987" s="392"/>
      <c r="EI987" s="392"/>
      <c r="EJ987" s="392"/>
      <c r="EK987" s="392"/>
      <c r="EL987" s="392"/>
    </row>
    <row r="988" spans="3:142" s="182" customFormat="1" x14ac:dyDescent="0.25">
      <c r="C988" s="395"/>
      <c r="I988" s="184"/>
      <c r="N988" s="184"/>
      <c r="O988" s="184"/>
      <c r="P988" s="184"/>
      <c r="Q988" s="184"/>
      <c r="Z988" s="184"/>
      <c r="AA988" s="184"/>
      <c r="AJ988" s="185"/>
      <c r="DU988" s="395"/>
      <c r="DV988" s="395"/>
      <c r="DW988" s="395"/>
      <c r="DX988" s="395"/>
      <c r="DY988" s="395"/>
      <c r="DZ988" s="395"/>
      <c r="EA988" s="395"/>
      <c r="EB988" s="392"/>
      <c r="EC988" s="392"/>
      <c r="ED988" s="392"/>
      <c r="EE988" s="392"/>
      <c r="EF988" s="392"/>
      <c r="EG988" s="392"/>
      <c r="EH988" s="392"/>
      <c r="EI988" s="392"/>
      <c r="EJ988" s="392"/>
      <c r="EK988" s="392"/>
      <c r="EL988" s="392"/>
    </row>
    <row r="989" spans="3:142" s="182" customFormat="1" x14ac:dyDescent="0.25">
      <c r="C989" s="395"/>
      <c r="I989" s="184"/>
      <c r="N989" s="184"/>
      <c r="O989" s="184"/>
      <c r="P989" s="184"/>
      <c r="Q989" s="184"/>
      <c r="Z989" s="184"/>
      <c r="AA989" s="184"/>
      <c r="AJ989" s="185"/>
      <c r="DU989" s="395"/>
      <c r="DV989" s="395"/>
      <c r="DW989" s="395"/>
      <c r="DX989" s="395"/>
      <c r="DY989" s="395"/>
      <c r="DZ989" s="395"/>
      <c r="EA989" s="395"/>
      <c r="EB989" s="392"/>
      <c r="EC989" s="392"/>
      <c r="ED989" s="392"/>
      <c r="EE989" s="392"/>
      <c r="EF989" s="392"/>
      <c r="EG989" s="392"/>
      <c r="EH989" s="392"/>
      <c r="EI989" s="392"/>
      <c r="EJ989" s="392"/>
      <c r="EK989" s="392"/>
      <c r="EL989" s="392"/>
    </row>
    <row r="990" spans="3:142" s="182" customFormat="1" x14ac:dyDescent="0.25">
      <c r="C990" s="395"/>
      <c r="I990" s="184"/>
      <c r="N990" s="184"/>
      <c r="O990" s="184"/>
      <c r="P990" s="184"/>
      <c r="Q990" s="184"/>
      <c r="Z990" s="184"/>
      <c r="AA990" s="184"/>
      <c r="AJ990" s="185"/>
      <c r="DU990" s="395"/>
      <c r="DV990" s="395"/>
      <c r="DW990" s="395"/>
      <c r="DX990" s="395"/>
      <c r="DY990" s="395"/>
      <c r="DZ990" s="395"/>
      <c r="EA990" s="395"/>
      <c r="EB990" s="392"/>
      <c r="EC990" s="392"/>
      <c r="ED990" s="392"/>
      <c r="EE990" s="392"/>
      <c r="EF990" s="392"/>
      <c r="EG990" s="392"/>
      <c r="EH990" s="392"/>
      <c r="EI990" s="392"/>
      <c r="EJ990" s="392"/>
      <c r="EK990" s="392"/>
      <c r="EL990" s="392"/>
    </row>
    <row r="991" spans="3:142" s="182" customFormat="1" x14ac:dyDescent="0.25">
      <c r="C991" s="395"/>
      <c r="I991" s="184"/>
      <c r="N991" s="184"/>
      <c r="O991" s="184"/>
      <c r="P991" s="184"/>
      <c r="Q991" s="184"/>
      <c r="Z991" s="184"/>
      <c r="AA991" s="184"/>
      <c r="AJ991" s="185"/>
      <c r="DU991" s="395"/>
      <c r="DV991" s="395"/>
      <c r="DW991" s="395"/>
      <c r="DX991" s="395"/>
      <c r="DY991" s="395"/>
      <c r="DZ991" s="395"/>
      <c r="EA991" s="395"/>
      <c r="EB991" s="392"/>
      <c r="EC991" s="392"/>
      <c r="ED991" s="392"/>
      <c r="EE991" s="392"/>
      <c r="EF991" s="392"/>
      <c r="EG991" s="392"/>
      <c r="EH991" s="392"/>
      <c r="EI991" s="392"/>
      <c r="EJ991" s="392"/>
      <c r="EK991" s="392"/>
      <c r="EL991" s="392"/>
    </row>
    <row r="992" spans="3:142" s="182" customFormat="1" x14ac:dyDescent="0.25">
      <c r="C992" s="395"/>
      <c r="I992" s="184"/>
      <c r="N992" s="184"/>
      <c r="O992" s="184"/>
      <c r="P992" s="184"/>
      <c r="Q992" s="184"/>
      <c r="Z992" s="184"/>
      <c r="AA992" s="184"/>
      <c r="AJ992" s="185"/>
      <c r="DU992" s="395"/>
      <c r="DV992" s="395"/>
      <c r="DW992" s="395"/>
      <c r="DX992" s="395"/>
      <c r="DY992" s="395"/>
      <c r="DZ992" s="395"/>
      <c r="EA992" s="395"/>
      <c r="EB992" s="392"/>
      <c r="EC992" s="392"/>
      <c r="ED992" s="392"/>
      <c r="EE992" s="392"/>
      <c r="EF992" s="392"/>
      <c r="EG992" s="392"/>
      <c r="EH992" s="392"/>
      <c r="EI992" s="392"/>
      <c r="EJ992" s="392"/>
      <c r="EK992" s="392"/>
      <c r="EL992" s="392"/>
    </row>
    <row r="993" spans="3:142" s="182" customFormat="1" x14ac:dyDescent="0.25">
      <c r="C993" s="395"/>
      <c r="I993" s="184"/>
      <c r="N993" s="184"/>
      <c r="O993" s="184"/>
      <c r="P993" s="184"/>
      <c r="Q993" s="184"/>
      <c r="Z993" s="184"/>
      <c r="AA993" s="184"/>
      <c r="AJ993" s="185"/>
      <c r="DU993" s="395"/>
      <c r="DV993" s="395"/>
      <c r="DW993" s="395"/>
      <c r="DX993" s="395"/>
      <c r="DY993" s="395"/>
      <c r="DZ993" s="395"/>
      <c r="EA993" s="395"/>
      <c r="EB993" s="392"/>
      <c r="EC993" s="392"/>
      <c r="ED993" s="392"/>
      <c r="EE993" s="392"/>
      <c r="EF993" s="392"/>
      <c r="EG993" s="392"/>
      <c r="EH993" s="392"/>
      <c r="EI993" s="392"/>
      <c r="EJ993" s="392"/>
      <c r="EK993" s="392"/>
      <c r="EL993" s="392"/>
    </row>
    <row r="994" spans="3:142" s="182" customFormat="1" x14ac:dyDescent="0.25">
      <c r="C994" s="395"/>
      <c r="I994" s="184"/>
      <c r="N994" s="184"/>
      <c r="O994" s="184"/>
      <c r="P994" s="184"/>
      <c r="Q994" s="184"/>
      <c r="Z994" s="184"/>
      <c r="AA994" s="184"/>
      <c r="AJ994" s="185"/>
      <c r="DU994" s="395"/>
      <c r="DV994" s="395"/>
      <c r="DW994" s="395"/>
      <c r="DX994" s="395"/>
      <c r="DY994" s="395"/>
      <c r="DZ994" s="395"/>
      <c r="EA994" s="395"/>
      <c r="EB994" s="392"/>
      <c r="EC994" s="392"/>
      <c r="ED994" s="392"/>
      <c r="EE994" s="392"/>
      <c r="EF994" s="392"/>
      <c r="EG994" s="392"/>
      <c r="EH994" s="392"/>
      <c r="EI994" s="392"/>
      <c r="EJ994" s="392"/>
      <c r="EK994" s="392"/>
      <c r="EL994" s="392"/>
    </row>
    <row r="995" spans="3:142" s="182" customFormat="1" x14ac:dyDescent="0.25">
      <c r="C995" s="395"/>
      <c r="I995" s="184"/>
      <c r="N995" s="184"/>
      <c r="O995" s="184"/>
      <c r="P995" s="184"/>
      <c r="Q995" s="184"/>
      <c r="Z995" s="184"/>
      <c r="AA995" s="184"/>
      <c r="AJ995" s="185"/>
      <c r="DU995" s="395"/>
      <c r="DV995" s="395"/>
      <c r="DW995" s="395"/>
      <c r="DX995" s="395"/>
      <c r="DY995" s="395"/>
      <c r="DZ995" s="395"/>
      <c r="EA995" s="395"/>
      <c r="EB995" s="392"/>
      <c r="EC995" s="392"/>
      <c r="ED995" s="392"/>
      <c r="EE995" s="392"/>
      <c r="EF995" s="392"/>
      <c r="EG995" s="392"/>
      <c r="EH995" s="392"/>
      <c r="EI995" s="392"/>
      <c r="EJ995" s="392"/>
      <c r="EK995" s="392"/>
      <c r="EL995" s="392"/>
    </row>
    <row r="996" spans="3:142" s="182" customFormat="1" x14ac:dyDescent="0.25">
      <c r="C996" s="395"/>
      <c r="I996" s="184"/>
      <c r="N996" s="184"/>
      <c r="O996" s="184"/>
      <c r="P996" s="184"/>
      <c r="Q996" s="184"/>
      <c r="Z996" s="184"/>
      <c r="AA996" s="184"/>
      <c r="AJ996" s="185"/>
      <c r="DU996" s="395"/>
      <c r="DV996" s="395"/>
      <c r="DW996" s="395"/>
      <c r="DX996" s="395"/>
      <c r="DY996" s="395"/>
      <c r="DZ996" s="395"/>
      <c r="EA996" s="395"/>
      <c r="EB996" s="392"/>
      <c r="EC996" s="392"/>
      <c r="ED996" s="392"/>
      <c r="EE996" s="392"/>
      <c r="EF996" s="392"/>
      <c r="EG996" s="392"/>
      <c r="EH996" s="392"/>
      <c r="EI996" s="392"/>
      <c r="EJ996" s="392"/>
      <c r="EK996" s="392"/>
      <c r="EL996" s="392"/>
    </row>
    <row r="997" spans="3:142" s="182" customFormat="1" x14ac:dyDescent="0.25">
      <c r="C997" s="395"/>
      <c r="I997" s="184"/>
      <c r="N997" s="184"/>
      <c r="O997" s="184"/>
      <c r="P997" s="184"/>
      <c r="Q997" s="184"/>
      <c r="Z997" s="184"/>
      <c r="AA997" s="184"/>
      <c r="AJ997" s="185"/>
      <c r="DU997" s="395"/>
      <c r="DV997" s="395"/>
      <c r="DW997" s="395"/>
      <c r="DX997" s="395"/>
      <c r="DY997" s="395"/>
      <c r="DZ997" s="395"/>
      <c r="EA997" s="395"/>
      <c r="EB997" s="392"/>
      <c r="EC997" s="392"/>
      <c r="ED997" s="392"/>
      <c r="EE997" s="392"/>
      <c r="EF997" s="392"/>
      <c r="EG997" s="392"/>
      <c r="EH997" s="392"/>
      <c r="EI997" s="392"/>
      <c r="EJ997" s="392"/>
      <c r="EK997" s="392"/>
      <c r="EL997" s="392"/>
    </row>
    <row r="998" spans="3:142" s="182" customFormat="1" x14ac:dyDescent="0.25">
      <c r="C998" s="395"/>
      <c r="I998" s="184"/>
      <c r="N998" s="184"/>
      <c r="O998" s="184"/>
      <c r="P998" s="184"/>
      <c r="Q998" s="184"/>
      <c r="Z998" s="184"/>
      <c r="AA998" s="184"/>
      <c r="AJ998" s="185"/>
      <c r="DU998" s="395"/>
      <c r="DV998" s="395"/>
      <c r="DW998" s="395"/>
      <c r="DX998" s="395"/>
      <c r="DY998" s="395"/>
      <c r="DZ998" s="395"/>
      <c r="EA998" s="395"/>
      <c r="EB998" s="392"/>
      <c r="EC998" s="392"/>
      <c r="ED998" s="392"/>
      <c r="EE998" s="392"/>
      <c r="EF998" s="392"/>
      <c r="EG998" s="392"/>
      <c r="EH998" s="392"/>
      <c r="EI998" s="392"/>
      <c r="EJ998" s="392"/>
      <c r="EK998" s="392"/>
      <c r="EL998" s="392"/>
    </row>
    <row r="999" spans="3:142" s="182" customFormat="1" x14ac:dyDescent="0.25">
      <c r="C999" s="395"/>
      <c r="I999" s="184"/>
      <c r="N999" s="184"/>
      <c r="O999" s="184"/>
      <c r="P999" s="184"/>
      <c r="Q999" s="184"/>
      <c r="Z999" s="184"/>
      <c r="AA999" s="184"/>
      <c r="AJ999" s="185"/>
      <c r="DU999" s="395"/>
      <c r="DV999" s="395"/>
      <c r="DW999" s="395"/>
      <c r="DX999" s="395"/>
      <c r="DY999" s="395"/>
      <c r="DZ999" s="395"/>
      <c r="EA999" s="395"/>
      <c r="EB999" s="392"/>
      <c r="EC999" s="392"/>
      <c r="ED999" s="392"/>
      <c r="EE999" s="392"/>
      <c r="EF999" s="392"/>
      <c r="EG999" s="392"/>
      <c r="EH999" s="392"/>
      <c r="EI999" s="392"/>
      <c r="EJ999" s="392"/>
      <c r="EK999" s="392"/>
      <c r="EL999" s="392"/>
    </row>
    <row r="1000" spans="3:142" s="182" customFormat="1" x14ac:dyDescent="0.25">
      <c r="C1000" s="395"/>
      <c r="I1000" s="184"/>
      <c r="N1000" s="184"/>
      <c r="O1000" s="184"/>
      <c r="P1000" s="184"/>
      <c r="Q1000" s="184"/>
      <c r="Z1000" s="184"/>
      <c r="AA1000" s="184"/>
      <c r="AJ1000" s="185"/>
      <c r="DU1000" s="395"/>
      <c r="DV1000" s="395"/>
      <c r="DW1000" s="395"/>
      <c r="DX1000" s="395"/>
      <c r="DY1000" s="395"/>
      <c r="DZ1000" s="395"/>
      <c r="EA1000" s="395"/>
      <c r="EB1000" s="392"/>
      <c r="EC1000" s="392"/>
      <c r="ED1000" s="392"/>
      <c r="EE1000" s="392"/>
      <c r="EF1000" s="392"/>
      <c r="EG1000" s="392"/>
      <c r="EH1000" s="392"/>
      <c r="EI1000" s="392"/>
      <c r="EJ1000" s="392"/>
      <c r="EK1000" s="392"/>
      <c r="EL1000" s="392"/>
    </row>
    <row r="1001" spans="3:142" s="182" customFormat="1" x14ac:dyDescent="0.25">
      <c r="C1001" s="395"/>
      <c r="I1001" s="184"/>
      <c r="N1001" s="184"/>
      <c r="O1001" s="184"/>
      <c r="P1001" s="184"/>
      <c r="Q1001" s="184"/>
      <c r="Z1001" s="184"/>
      <c r="AA1001" s="184"/>
      <c r="AJ1001" s="185"/>
      <c r="DU1001" s="395"/>
      <c r="DV1001" s="395"/>
      <c r="DW1001" s="395"/>
      <c r="DX1001" s="395"/>
      <c r="DY1001" s="395"/>
      <c r="DZ1001" s="395"/>
      <c r="EA1001" s="395"/>
      <c r="EB1001" s="392"/>
      <c r="EC1001" s="392"/>
      <c r="ED1001" s="392"/>
      <c r="EE1001" s="392"/>
      <c r="EF1001" s="392"/>
      <c r="EG1001" s="392"/>
      <c r="EH1001" s="392"/>
      <c r="EI1001" s="392"/>
      <c r="EJ1001" s="392"/>
      <c r="EK1001" s="392"/>
      <c r="EL1001" s="392"/>
    </row>
    <row r="1002" spans="3:142" s="182" customFormat="1" x14ac:dyDescent="0.25">
      <c r="C1002" s="395"/>
      <c r="I1002" s="184"/>
      <c r="N1002" s="184"/>
      <c r="O1002" s="184"/>
      <c r="P1002" s="184"/>
      <c r="Q1002" s="184"/>
      <c r="Z1002" s="184"/>
      <c r="AA1002" s="184"/>
      <c r="AJ1002" s="185"/>
      <c r="DU1002" s="395"/>
      <c r="DV1002" s="395"/>
      <c r="DW1002" s="395"/>
      <c r="DX1002" s="395"/>
      <c r="DY1002" s="395"/>
      <c r="DZ1002" s="395"/>
      <c r="EA1002" s="395"/>
      <c r="EB1002" s="392"/>
      <c r="EC1002" s="392"/>
      <c r="ED1002" s="392"/>
      <c r="EE1002" s="392"/>
      <c r="EF1002" s="392"/>
      <c r="EG1002" s="392"/>
      <c r="EH1002" s="392"/>
      <c r="EI1002" s="392"/>
      <c r="EJ1002" s="392"/>
      <c r="EK1002" s="392"/>
      <c r="EL1002" s="392"/>
    </row>
    <row r="1003" spans="3:142" s="182" customFormat="1" x14ac:dyDescent="0.25">
      <c r="C1003" s="395"/>
      <c r="I1003" s="184"/>
      <c r="N1003" s="184"/>
      <c r="O1003" s="184"/>
      <c r="P1003" s="184"/>
      <c r="Q1003" s="184"/>
      <c r="Z1003" s="184"/>
      <c r="AA1003" s="184"/>
      <c r="AJ1003" s="185"/>
      <c r="DU1003" s="395"/>
      <c r="DV1003" s="395"/>
      <c r="DW1003" s="395"/>
      <c r="DX1003" s="395"/>
      <c r="DY1003" s="395"/>
      <c r="DZ1003" s="395"/>
      <c r="EA1003" s="395"/>
      <c r="EB1003" s="392"/>
      <c r="EC1003" s="392"/>
      <c r="ED1003" s="392"/>
      <c r="EE1003" s="392"/>
      <c r="EF1003" s="392"/>
      <c r="EG1003" s="392"/>
      <c r="EH1003" s="392"/>
      <c r="EI1003" s="392"/>
      <c r="EJ1003" s="392"/>
      <c r="EK1003" s="392"/>
      <c r="EL1003" s="392"/>
    </row>
    <row r="1004" spans="3:142" s="182" customFormat="1" x14ac:dyDescent="0.25">
      <c r="C1004" s="395"/>
      <c r="I1004" s="184"/>
      <c r="N1004" s="184"/>
      <c r="O1004" s="184"/>
      <c r="P1004" s="184"/>
      <c r="Q1004" s="184"/>
      <c r="Z1004" s="184"/>
      <c r="AA1004" s="184"/>
      <c r="AJ1004" s="185"/>
      <c r="DU1004" s="395"/>
      <c r="DV1004" s="395"/>
      <c r="DW1004" s="395"/>
      <c r="DX1004" s="395"/>
      <c r="DY1004" s="395"/>
      <c r="DZ1004" s="395"/>
      <c r="EA1004" s="395"/>
      <c r="EB1004" s="392"/>
      <c r="EC1004" s="392"/>
      <c r="ED1004" s="392"/>
      <c r="EE1004" s="392"/>
      <c r="EF1004" s="392"/>
      <c r="EG1004" s="392"/>
      <c r="EH1004" s="392"/>
      <c r="EI1004" s="392"/>
      <c r="EJ1004" s="392"/>
      <c r="EK1004" s="392"/>
      <c r="EL1004" s="392"/>
    </row>
    <row r="1005" spans="3:142" s="182" customFormat="1" x14ac:dyDescent="0.25">
      <c r="C1005" s="395"/>
      <c r="I1005" s="184"/>
      <c r="N1005" s="184"/>
      <c r="O1005" s="184"/>
      <c r="P1005" s="184"/>
      <c r="Q1005" s="184"/>
      <c r="Z1005" s="184"/>
      <c r="AA1005" s="184"/>
      <c r="AJ1005" s="185"/>
      <c r="DU1005" s="395"/>
      <c r="DV1005" s="395"/>
      <c r="DW1005" s="395"/>
      <c r="DX1005" s="395"/>
      <c r="DY1005" s="395"/>
      <c r="DZ1005" s="395"/>
      <c r="EA1005" s="395"/>
      <c r="EB1005" s="392"/>
      <c r="EC1005" s="392"/>
      <c r="ED1005" s="392"/>
      <c r="EE1005" s="392"/>
      <c r="EF1005" s="392"/>
      <c r="EG1005" s="392"/>
      <c r="EH1005" s="392"/>
      <c r="EI1005" s="392"/>
      <c r="EJ1005" s="392"/>
      <c r="EK1005" s="392"/>
      <c r="EL1005" s="392"/>
    </row>
    <row r="1006" spans="3:142" s="182" customFormat="1" x14ac:dyDescent="0.25">
      <c r="C1006" s="395"/>
      <c r="I1006" s="184"/>
      <c r="N1006" s="184"/>
      <c r="O1006" s="184"/>
      <c r="P1006" s="184"/>
      <c r="Q1006" s="184"/>
      <c r="Z1006" s="184"/>
      <c r="AA1006" s="184"/>
      <c r="AJ1006" s="185"/>
      <c r="DU1006" s="395"/>
      <c r="DV1006" s="395"/>
      <c r="DW1006" s="395"/>
      <c r="DX1006" s="395"/>
      <c r="DY1006" s="395"/>
      <c r="DZ1006" s="395"/>
      <c r="EA1006" s="395"/>
      <c r="EB1006" s="392"/>
      <c r="EC1006" s="392"/>
      <c r="ED1006" s="392"/>
      <c r="EE1006" s="392"/>
      <c r="EF1006" s="392"/>
      <c r="EG1006" s="392"/>
      <c r="EH1006" s="392"/>
      <c r="EI1006" s="392"/>
      <c r="EJ1006" s="392"/>
      <c r="EK1006" s="392"/>
      <c r="EL1006" s="392"/>
    </row>
    <row r="1007" spans="3:142" s="182" customFormat="1" x14ac:dyDescent="0.25">
      <c r="C1007" s="395"/>
      <c r="I1007" s="184"/>
      <c r="N1007" s="184"/>
      <c r="O1007" s="184"/>
      <c r="P1007" s="184"/>
      <c r="Q1007" s="184"/>
      <c r="Z1007" s="184"/>
      <c r="AA1007" s="184"/>
      <c r="AJ1007" s="185"/>
      <c r="DU1007" s="395"/>
      <c r="DV1007" s="395"/>
      <c r="DW1007" s="395"/>
      <c r="DX1007" s="395"/>
      <c r="DY1007" s="395"/>
      <c r="DZ1007" s="395"/>
      <c r="EA1007" s="395"/>
      <c r="EB1007" s="392"/>
      <c r="EC1007" s="392"/>
      <c r="ED1007" s="392"/>
      <c r="EE1007" s="392"/>
      <c r="EF1007" s="392"/>
      <c r="EG1007" s="392"/>
      <c r="EH1007" s="392"/>
      <c r="EI1007" s="392"/>
      <c r="EJ1007" s="392"/>
      <c r="EK1007" s="392"/>
      <c r="EL1007" s="392"/>
    </row>
    <row r="1008" spans="3:142" s="182" customFormat="1" x14ac:dyDescent="0.25">
      <c r="C1008" s="395"/>
      <c r="I1008" s="184"/>
      <c r="N1008" s="184"/>
      <c r="O1008" s="184"/>
      <c r="P1008" s="184"/>
      <c r="Q1008" s="184"/>
      <c r="Z1008" s="184"/>
      <c r="AA1008" s="184"/>
      <c r="AJ1008" s="185"/>
      <c r="DU1008" s="395"/>
      <c r="DV1008" s="395"/>
      <c r="DW1008" s="395"/>
      <c r="DX1008" s="395"/>
      <c r="DY1008" s="395"/>
      <c r="DZ1008" s="395"/>
      <c r="EA1008" s="395"/>
      <c r="EB1008" s="392"/>
      <c r="EC1008" s="392"/>
      <c r="ED1008" s="392"/>
      <c r="EE1008" s="392"/>
      <c r="EF1008" s="392"/>
      <c r="EG1008" s="392"/>
      <c r="EH1008" s="392"/>
      <c r="EI1008" s="392"/>
      <c r="EJ1008" s="392"/>
      <c r="EK1008" s="392"/>
      <c r="EL1008" s="392"/>
    </row>
    <row r="1009" spans="3:142" s="182" customFormat="1" x14ac:dyDescent="0.25">
      <c r="C1009" s="395"/>
      <c r="I1009" s="184"/>
      <c r="N1009" s="184"/>
      <c r="O1009" s="184"/>
      <c r="P1009" s="184"/>
      <c r="Q1009" s="184"/>
      <c r="Z1009" s="184"/>
      <c r="AA1009" s="184"/>
      <c r="AJ1009" s="185"/>
      <c r="DU1009" s="395"/>
      <c r="DV1009" s="395"/>
      <c r="DW1009" s="395"/>
      <c r="DX1009" s="395"/>
      <c r="DY1009" s="395"/>
      <c r="DZ1009" s="395"/>
      <c r="EA1009" s="395"/>
      <c r="EB1009" s="392"/>
      <c r="EC1009" s="392"/>
      <c r="ED1009" s="392"/>
      <c r="EE1009" s="392"/>
      <c r="EF1009" s="392"/>
      <c r="EG1009" s="392"/>
      <c r="EH1009" s="392"/>
      <c r="EI1009" s="392"/>
      <c r="EJ1009" s="392"/>
      <c r="EK1009" s="392"/>
      <c r="EL1009" s="392"/>
    </row>
    <row r="1010" spans="3:142" s="182" customFormat="1" x14ac:dyDescent="0.25">
      <c r="C1010" s="395"/>
      <c r="I1010" s="184"/>
      <c r="N1010" s="184"/>
      <c r="O1010" s="184"/>
      <c r="P1010" s="184"/>
      <c r="Q1010" s="184"/>
      <c r="Z1010" s="184"/>
      <c r="AA1010" s="184"/>
      <c r="AJ1010" s="185"/>
      <c r="DU1010" s="395"/>
      <c r="DV1010" s="395"/>
      <c r="DW1010" s="395"/>
      <c r="DX1010" s="395"/>
      <c r="DY1010" s="395"/>
      <c r="DZ1010" s="395"/>
      <c r="EA1010" s="395"/>
      <c r="EB1010" s="392"/>
      <c r="EC1010" s="392"/>
      <c r="ED1010" s="392"/>
      <c r="EE1010" s="392"/>
      <c r="EF1010" s="392"/>
      <c r="EG1010" s="392"/>
      <c r="EH1010" s="392"/>
      <c r="EI1010" s="392"/>
      <c r="EJ1010" s="392"/>
      <c r="EK1010" s="392"/>
      <c r="EL1010" s="392"/>
    </row>
    <row r="1011" spans="3:142" s="182" customFormat="1" x14ac:dyDescent="0.25">
      <c r="C1011" s="395"/>
      <c r="I1011" s="184"/>
      <c r="N1011" s="184"/>
      <c r="O1011" s="184"/>
      <c r="P1011" s="184"/>
      <c r="Q1011" s="184"/>
      <c r="Z1011" s="184"/>
      <c r="AA1011" s="184"/>
      <c r="AJ1011" s="185"/>
      <c r="DU1011" s="395"/>
      <c r="DV1011" s="395"/>
      <c r="DW1011" s="395"/>
      <c r="DX1011" s="395"/>
      <c r="DY1011" s="395"/>
      <c r="DZ1011" s="395"/>
      <c r="EA1011" s="395"/>
      <c r="EB1011" s="392"/>
      <c r="EC1011" s="392"/>
      <c r="ED1011" s="392"/>
      <c r="EE1011" s="392"/>
      <c r="EF1011" s="392"/>
      <c r="EG1011" s="392"/>
      <c r="EH1011" s="392"/>
      <c r="EI1011" s="392"/>
      <c r="EJ1011" s="392"/>
      <c r="EK1011" s="392"/>
      <c r="EL1011" s="392"/>
    </row>
    <row r="1012" spans="3:142" s="182" customFormat="1" x14ac:dyDescent="0.25">
      <c r="C1012" s="395"/>
      <c r="I1012" s="184"/>
      <c r="N1012" s="184"/>
      <c r="O1012" s="184"/>
      <c r="P1012" s="184"/>
      <c r="Q1012" s="184"/>
      <c r="Z1012" s="184"/>
      <c r="AA1012" s="184"/>
      <c r="AJ1012" s="185"/>
      <c r="DU1012" s="395"/>
      <c r="DV1012" s="395"/>
      <c r="DW1012" s="395"/>
      <c r="DX1012" s="395"/>
      <c r="DY1012" s="395"/>
      <c r="DZ1012" s="395"/>
      <c r="EA1012" s="395"/>
      <c r="EB1012" s="392"/>
      <c r="EC1012" s="392"/>
      <c r="ED1012" s="392"/>
      <c r="EE1012" s="392"/>
      <c r="EF1012" s="392"/>
      <c r="EG1012" s="392"/>
      <c r="EH1012" s="392"/>
      <c r="EI1012" s="392"/>
      <c r="EJ1012" s="392"/>
      <c r="EK1012" s="392"/>
      <c r="EL1012" s="392"/>
    </row>
    <row r="1013" spans="3:142" s="182" customFormat="1" x14ac:dyDescent="0.25">
      <c r="C1013" s="395"/>
      <c r="I1013" s="184"/>
      <c r="N1013" s="184"/>
      <c r="O1013" s="184"/>
      <c r="P1013" s="184"/>
      <c r="Q1013" s="184"/>
      <c r="Z1013" s="184"/>
      <c r="AA1013" s="184"/>
      <c r="AJ1013" s="185"/>
      <c r="DU1013" s="395"/>
      <c r="DV1013" s="395"/>
      <c r="DW1013" s="395"/>
      <c r="DX1013" s="395"/>
      <c r="DY1013" s="395"/>
      <c r="DZ1013" s="395"/>
      <c r="EA1013" s="395"/>
      <c r="EB1013" s="392"/>
      <c r="EC1013" s="392"/>
      <c r="ED1013" s="392"/>
      <c r="EE1013" s="392"/>
      <c r="EF1013" s="392"/>
      <c r="EG1013" s="392"/>
      <c r="EH1013" s="392"/>
      <c r="EI1013" s="392"/>
      <c r="EJ1013" s="392"/>
      <c r="EK1013" s="392"/>
      <c r="EL1013" s="392"/>
    </row>
    <row r="1014" spans="3:142" s="182" customFormat="1" x14ac:dyDescent="0.25">
      <c r="C1014" s="395"/>
      <c r="I1014" s="184"/>
      <c r="N1014" s="184"/>
      <c r="O1014" s="184"/>
      <c r="P1014" s="184"/>
      <c r="Q1014" s="184"/>
      <c r="Z1014" s="184"/>
      <c r="AA1014" s="184"/>
      <c r="AJ1014" s="185"/>
      <c r="DU1014" s="395"/>
      <c r="DV1014" s="395"/>
      <c r="DW1014" s="395"/>
      <c r="DX1014" s="395"/>
      <c r="DY1014" s="395"/>
      <c r="DZ1014" s="395"/>
      <c r="EA1014" s="395"/>
      <c r="EB1014" s="392"/>
      <c r="EC1014" s="392"/>
      <c r="ED1014" s="392"/>
      <c r="EE1014" s="392"/>
      <c r="EF1014" s="392"/>
      <c r="EG1014" s="392"/>
      <c r="EH1014" s="392"/>
      <c r="EI1014" s="392"/>
      <c r="EJ1014" s="392"/>
      <c r="EK1014" s="392"/>
      <c r="EL1014" s="392"/>
    </row>
    <row r="1015" spans="3:142" s="182" customFormat="1" x14ac:dyDescent="0.25">
      <c r="C1015" s="395"/>
      <c r="I1015" s="184"/>
      <c r="N1015" s="184"/>
      <c r="O1015" s="184"/>
      <c r="P1015" s="184"/>
      <c r="Q1015" s="184"/>
      <c r="Z1015" s="184"/>
      <c r="AA1015" s="184"/>
      <c r="AJ1015" s="185"/>
      <c r="DU1015" s="395"/>
      <c r="DV1015" s="395"/>
      <c r="DW1015" s="395"/>
      <c r="DX1015" s="395"/>
      <c r="DY1015" s="395"/>
      <c r="DZ1015" s="395"/>
      <c r="EA1015" s="395"/>
      <c r="EB1015" s="392"/>
      <c r="EC1015" s="392"/>
      <c r="ED1015" s="392"/>
      <c r="EE1015" s="392"/>
      <c r="EF1015" s="392"/>
      <c r="EG1015" s="392"/>
      <c r="EH1015" s="392"/>
      <c r="EI1015" s="392"/>
      <c r="EJ1015" s="392"/>
      <c r="EK1015" s="392"/>
      <c r="EL1015" s="392"/>
    </row>
    <row r="1016" spans="3:142" s="182" customFormat="1" x14ac:dyDescent="0.25">
      <c r="C1016" s="395"/>
      <c r="I1016" s="184"/>
      <c r="N1016" s="184"/>
      <c r="O1016" s="184"/>
      <c r="P1016" s="184"/>
      <c r="Q1016" s="184"/>
      <c r="Z1016" s="184"/>
      <c r="AA1016" s="184"/>
      <c r="AJ1016" s="185"/>
      <c r="DU1016" s="395"/>
      <c r="DV1016" s="395"/>
      <c r="DW1016" s="395"/>
      <c r="DX1016" s="395"/>
      <c r="DY1016" s="395"/>
      <c r="DZ1016" s="395"/>
      <c r="EA1016" s="395"/>
      <c r="EB1016" s="392"/>
      <c r="EC1016" s="392"/>
      <c r="ED1016" s="392"/>
      <c r="EE1016" s="392"/>
      <c r="EF1016" s="392"/>
      <c r="EG1016" s="392"/>
      <c r="EH1016" s="392"/>
      <c r="EI1016" s="392"/>
      <c r="EJ1016" s="392"/>
      <c r="EK1016" s="392"/>
      <c r="EL1016" s="392"/>
    </row>
    <row r="1017" spans="3:142" s="182" customFormat="1" x14ac:dyDescent="0.25">
      <c r="C1017" s="395"/>
      <c r="I1017" s="184"/>
      <c r="N1017" s="184"/>
      <c r="O1017" s="184"/>
      <c r="P1017" s="184"/>
      <c r="Q1017" s="184"/>
      <c r="Z1017" s="184"/>
      <c r="AA1017" s="184"/>
      <c r="AJ1017" s="185"/>
      <c r="DU1017" s="395"/>
      <c r="DV1017" s="395"/>
      <c r="DW1017" s="395"/>
      <c r="DX1017" s="395"/>
      <c r="DY1017" s="395"/>
      <c r="DZ1017" s="395"/>
      <c r="EA1017" s="395"/>
      <c r="EB1017" s="392"/>
      <c r="EC1017" s="392"/>
      <c r="ED1017" s="392"/>
      <c r="EE1017" s="392"/>
      <c r="EF1017" s="392"/>
      <c r="EG1017" s="392"/>
      <c r="EH1017" s="392"/>
      <c r="EI1017" s="392"/>
      <c r="EJ1017" s="392"/>
      <c r="EK1017" s="392"/>
      <c r="EL1017" s="392"/>
    </row>
    <row r="1018" spans="3:142" s="182" customFormat="1" x14ac:dyDescent="0.25">
      <c r="C1018" s="395"/>
      <c r="I1018" s="184"/>
      <c r="N1018" s="184"/>
      <c r="O1018" s="184"/>
      <c r="P1018" s="184"/>
      <c r="Q1018" s="184"/>
      <c r="Z1018" s="184"/>
      <c r="AA1018" s="184"/>
      <c r="AJ1018" s="185"/>
      <c r="DU1018" s="395"/>
      <c r="DV1018" s="395"/>
      <c r="DW1018" s="395"/>
      <c r="DX1018" s="395"/>
      <c r="DY1018" s="395"/>
      <c r="DZ1018" s="395"/>
      <c r="EA1018" s="395"/>
      <c r="EB1018" s="392"/>
      <c r="EC1018" s="392"/>
      <c r="ED1018" s="392"/>
      <c r="EE1018" s="392"/>
      <c r="EF1018" s="392"/>
      <c r="EG1018" s="392"/>
      <c r="EH1018" s="392"/>
      <c r="EI1018" s="392"/>
      <c r="EJ1018" s="392"/>
      <c r="EK1018" s="392"/>
      <c r="EL1018" s="392"/>
    </row>
    <row r="1019" spans="3:142" s="182" customFormat="1" x14ac:dyDescent="0.25">
      <c r="C1019" s="395"/>
      <c r="I1019" s="184"/>
      <c r="N1019" s="184"/>
      <c r="O1019" s="184"/>
      <c r="P1019" s="184"/>
      <c r="Q1019" s="184"/>
      <c r="Z1019" s="184"/>
      <c r="AA1019" s="184"/>
      <c r="AJ1019" s="185"/>
      <c r="DU1019" s="395"/>
      <c r="DV1019" s="395"/>
      <c r="DW1019" s="395"/>
      <c r="DX1019" s="395"/>
      <c r="DY1019" s="395"/>
      <c r="DZ1019" s="395"/>
      <c r="EA1019" s="395"/>
      <c r="EB1019" s="392"/>
      <c r="EC1019" s="392"/>
      <c r="ED1019" s="392"/>
      <c r="EE1019" s="392"/>
      <c r="EF1019" s="392"/>
      <c r="EG1019" s="392"/>
      <c r="EH1019" s="392"/>
      <c r="EI1019" s="392"/>
      <c r="EJ1019" s="392"/>
      <c r="EK1019" s="392"/>
      <c r="EL1019" s="392"/>
    </row>
    <row r="1020" spans="3:142" s="182" customFormat="1" x14ac:dyDescent="0.25">
      <c r="C1020" s="395"/>
      <c r="I1020" s="184"/>
      <c r="N1020" s="184"/>
      <c r="O1020" s="184"/>
      <c r="P1020" s="184"/>
      <c r="Q1020" s="184"/>
      <c r="Z1020" s="184"/>
      <c r="AA1020" s="184"/>
      <c r="AJ1020" s="185"/>
      <c r="DU1020" s="395"/>
      <c r="DV1020" s="395"/>
      <c r="DW1020" s="395"/>
      <c r="DX1020" s="395"/>
      <c r="DY1020" s="395"/>
      <c r="DZ1020" s="395"/>
      <c r="EA1020" s="395"/>
      <c r="EB1020" s="392"/>
      <c r="EC1020" s="392"/>
      <c r="ED1020" s="392"/>
      <c r="EE1020" s="392"/>
      <c r="EF1020" s="392"/>
      <c r="EG1020" s="392"/>
      <c r="EH1020" s="392"/>
      <c r="EI1020" s="392"/>
      <c r="EJ1020" s="392"/>
      <c r="EK1020" s="392"/>
      <c r="EL1020" s="392"/>
    </row>
    <row r="1021" spans="3:142" s="182" customFormat="1" x14ac:dyDescent="0.25">
      <c r="C1021" s="395"/>
      <c r="I1021" s="184"/>
      <c r="N1021" s="184"/>
      <c r="O1021" s="184"/>
      <c r="P1021" s="184"/>
      <c r="Q1021" s="184"/>
      <c r="Z1021" s="184"/>
      <c r="AA1021" s="184"/>
      <c r="AJ1021" s="185"/>
      <c r="DU1021" s="395"/>
      <c r="DV1021" s="395"/>
      <c r="DW1021" s="395"/>
      <c r="DX1021" s="395"/>
      <c r="DY1021" s="395"/>
      <c r="DZ1021" s="395"/>
      <c r="EA1021" s="395"/>
      <c r="EB1021" s="392"/>
      <c r="EC1021" s="392"/>
      <c r="ED1021" s="392"/>
      <c r="EE1021" s="392"/>
      <c r="EF1021" s="392"/>
      <c r="EG1021" s="392"/>
      <c r="EH1021" s="392"/>
      <c r="EI1021" s="392"/>
      <c r="EJ1021" s="392"/>
      <c r="EK1021" s="392"/>
      <c r="EL1021" s="392"/>
    </row>
    <row r="1022" spans="3:142" s="182" customFormat="1" x14ac:dyDescent="0.25">
      <c r="C1022" s="395"/>
      <c r="I1022" s="184"/>
      <c r="N1022" s="184"/>
      <c r="O1022" s="184"/>
      <c r="P1022" s="184"/>
      <c r="Q1022" s="184"/>
      <c r="Z1022" s="184"/>
      <c r="AA1022" s="184"/>
      <c r="AJ1022" s="185"/>
      <c r="DU1022" s="395"/>
      <c r="DV1022" s="395"/>
      <c r="DW1022" s="395"/>
      <c r="DX1022" s="395"/>
      <c r="DY1022" s="395"/>
      <c r="DZ1022" s="395"/>
      <c r="EA1022" s="395"/>
      <c r="EB1022" s="392"/>
      <c r="EC1022" s="392"/>
      <c r="ED1022" s="392"/>
      <c r="EE1022" s="392"/>
      <c r="EF1022" s="392"/>
      <c r="EG1022" s="392"/>
      <c r="EH1022" s="392"/>
      <c r="EI1022" s="392"/>
      <c r="EJ1022" s="392"/>
      <c r="EK1022" s="392"/>
      <c r="EL1022" s="392"/>
    </row>
    <row r="1023" spans="3:142" s="182" customFormat="1" x14ac:dyDescent="0.25">
      <c r="C1023" s="395"/>
      <c r="I1023" s="184"/>
      <c r="N1023" s="184"/>
      <c r="O1023" s="184"/>
      <c r="P1023" s="184"/>
      <c r="Q1023" s="184"/>
      <c r="Z1023" s="184"/>
      <c r="AA1023" s="184"/>
      <c r="AJ1023" s="185"/>
      <c r="DU1023" s="395"/>
      <c r="DV1023" s="395"/>
      <c r="DW1023" s="395"/>
      <c r="DX1023" s="395"/>
      <c r="DY1023" s="395"/>
      <c r="DZ1023" s="395"/>
      <c r="EA1023" s="395"/>
      <c r="EB1023" s="392"/>
      <c r="EC1023" s="392"/>
      <c r="ED1023" s="392"/>
      <c r="EE1023" s="392"/>
      <c r="EF1023" s="392"/>
      <c r="EG1023" s="392"/>
      <c r="EH1023" s="392"/>
      <c r="EI1023" s="392"/>
      <c r="EJ1023" s="392"/>
      <c r="EK1023" s="392"/>
      <c r="EL1023" s="392"/>
    </row>
    <row r="1024" spans="3:142" s="182" customFormat="1" x14ac:dyDescent="0.25">
      <c r="C1024" s="395"/>
      <c r="I1024" s="184"/>
      <c r="N1024" s="184"/>
      <c r="O1024" s="184"/>
      <c r="P1024" s="184"/>
      <c r="Q1024" s="184"/>
      <c r="Z1024" s="184"/>
      <c r="AA1024" s="184"/>
      <c r="AJ1024" s="185"/>
      <c r="DU1024" s="395"/>
      <c r="DV1024" s="395"/>
      <c r="DW1024" s="395"/>
      <c r="DX1024" s="395"/>
      <c r="DY1024" s="395"/>
      <c r="DZ1024" s="395"/>
      <c r="EA1024" s="395"/>
      <c r="EB1024" s="392"/>
      <c r="EC1024" s="392"/>
      <c r="ED1024" s="392"/>
      <c r="EE1024" s="392"/>
      <c r="EF1024" s="392"/>
      <c r="EG1024" s="392"/>
      <c r="EH1024" s="392"/>
      <c r="EI1024" s="392"/>
      <c r="EJ1024" s="392"/>
      <c r="EK1024" s="392"/>
      <c r="EL1024" s="392"/>
    </row>
    <row r="1025" spans="3:142" s="182" customFormat="1" x14ac:dyDescent="0.25">
      <c r="C1025" s="395"/>
      <c r="I1025" s="184"/>
      <c r="N1025" s="184"/>
      <c r="O1025" s="184"/>
      <c r="P1025" s="184"/>
      <c r="Q1025" s="184"/>
      <c r="Z1025" s="184"/>
      <c r="AA1025" s="184"/>
      <c r="AJ1025" s="185"/>
      <c r="DU1025" s="395"/>
      <c r="DV1025" s="395"/>
      <c r="DW1025" s="395"/>
      <c r="DX1025" s="395"/>
      <c r="DY1025" s="395"/>
      <c r="DZ1025" s="395"/>
      <c r="EA1025" s="395"/>
      <c r="EB1025" s="392"/>
      <c r="EC1025" s="392"/>
      <c r="ED1025" s="392"/>
      <c r="EE1025" s="392"/>
      <c r="EF1025" s="392"/>
      <c r="EG1025" s="392"/>
      <c r="EH1025" s="392"/>
      <c r="EI1025" s="392"/>
      <c r="EJ1025" s="392"/>
      <c r="EK1025" s="392"/>
      <c r="EL1025" s="392"/>
    </row>
    <row r="1026" spans="3:142" s="182" customFormat="1" x14ac:dyDescent="0.25">
      <c r="C1026" s="395"/>
      <c r="I1026" s="184"/>
      <c r="N1026" s="184"/>
      <c r="O1026" s="184"/>
      <c r="P1026" s="184"/>
      <c r="Q1026" s="184"/>
      <c r="Z1026" s="184"/>
      <c r="AA1026" s="184"/>
      <c r="AJ1026" s="185"/>
      <c r="DU1026" s="395"/>
      <c r="DV1026" s="395"/>
      <c r="DW1026" s="395"/>
      <c r="DX1026" s="395"/>
      <c r="DY1026" s="395"/>
      <c r="DZ1026" s="395"/>
      <c r="EA1026" s="395"/>
      <c r="EB1026" s="392"/>
      <c r="EC1026" s="392"/>
      <c r="ED1026" s="392"/>
      <c r="EE1026" s="392"/>
      <c r="EF1026" s="392"/>
      <c r="EG1026" s="392"/>
      <c r="EH1026" s="392"/>
      <c r="EI1026" s="392"/>
      <c r="EJ1026" s="392"/>
      <c r="EK1026" s="392"/>
      <c r="EL1026" s="392"/>
    </row>
    <row r="1027" spans="3:142" s="182" customFormat="1" x14ac:dyDescent="0.25">
      <c r="C1027" s="395"/>
      <c r="I1027" s="184"/>
      <c r="N1027" s="184"/>
      <c r="O1027" s="184"/>
      <c r="P1027" s="184"/>
      <c r="Q1027" s="184"/>
      <c r="Z1027" s="184"/>
      <c r="AA1027" s="184"/>
      <c r="AJ1027" s="185"/>
      <c r="DU1027" s="395"/>
      <c r="DV1027" s="395"/>
      <c r="DW1027" s="395"/>
      <c r="DX1027" s="395"/>
      <c r="DY1027" s="395"/>
      <c r="DZ1027" s="395"/>
      <c r="EA1027" s="395"/>
      <c r="EB1027" s="392"/>
      <c r="EC1027" s="392"/>
      <c r="ED1027" s="392"/>
      <c r="EE1027" s="392"/>
      <c r="EF1027" s="392"/>
      <c r="EG1027" s="392"/>
      <c r="EH1027" s="392"/>
      <c r="EI1027" s="392"/>
      <c r="EJ1027" s="392"/>
      <c r="EK1027" s="392"/>
      <c r="EL1027" s="392"/>
    </row>
    <row r="1028" spans="3:142" s="182" customFormat="1" x14ac:dyDescent="0.25">
      <c r="C1028" s="395"/>
      <c r="I1028" s="184"/>
      <c r="N1028" s="184"/>
      <c r="O1028" s="184"/>
      <c r="P1028" s="184"/>
      <c r="Q1028" s="184"/>
      <c r="Z1028" s="184"/>
      <c r="AA1028" s="184"/>
      <c r="AJ1028" s="185"/>
      <c r="DU1028" s="395"/>
      <c r="DV1028" s="395"/>
      <c r="DW1028" s="395"/>
      <c r="DX1028" s="395"/>
      <c r="DY1028" s="395"/>
      <c r="DZ1028" s="395"/>
      <c r="EA1028" s="395"/>
      <c r="EB1028" s="392"/>
      <c r="EC1028" s="392"/>
      <c r="ED1028" s="392"/>
      <c r="EE1028" s="392"/>
      <c r="EF1028" s="392"/>
      <c r="EG1028" s="392"/>
      <c r="EH1028" s="392"/>
      <c r="EI1028" s="392"/>
      <c r="EJ1028" s="392"/>
      <c r="EK1028" s="392"/>
      <c r="EL1028" s="392"/>
    </row>
    <row r="1029" spans="3:142" s="182" customFormat="1" x14ac:dyDescent="0.25">
      <c r="C1029" s="395"/>
      <c r="I1029" s="184"/>
      <c r="N1029" s="184"/>
      <c r="O1029" s="184"/>
      <c r="P1029" s="184"/>
      <c r="Q1029" s="184"/>
      <c r="Z1029" s="184"/>
      <c r="AA1029" s="184"/>
      <c r="AJ1029" s="185"/>
      <c r="DU1029" s="395"/>
      <c r="DV1029" s="395"/>
      <c r="DW1029" s="395"/>
      <c r="DX1029" s="395"/>
      <c r="DY1029" s="395"/>
      <c r="DZ1029" s="395"/>
      <c r="EA1029" s="395"/>
      <c r="EB1029" s="392"/>
      <c r="EC1029" s="392"/>
      <c r="ED1029" s="392"/>
      <c r="EE1029" s="392"/>
      <c r="EF1029" s="392"/>
      <c r="EG1029" s="392"/>
      <c r="EH1029" s="392"/>
      <c r="EI1029" s="392"/>
      <c r="EJ1029" s="392"/>
      <c r="EK1029" s="392"/>
      <c r="EL1029" s="392"/>
    </row>
    <row r="1030" spans="3:142" s="182" customFormat="1" x14ac:dyDescent="0.25">
      <c r="C1030" s="395"/>
      <c r="I1030" s="184"/>
      <c r="N1030" s="184"/>
      <c r="O1030" s="184"/>
      <c r="P1030" s="184"/>
      <c r="Q1030" s="184"/>
      <c r="Z1030" s="184"/>
      <c r="AA1030" s="184"/>
      <c r="AJ1030" s="185"/>
      <c r="DU1030" s="395"/>
      <c r="DV1030" s="395"/>
      <c r="DW1030" s="395"/>
      <c r="DX1030" s="395"/>
      <c r="DY1030" s="395"/>
      <c r="DZ1030" s="395"/>
      <c r="EA1030" s="395"/>
      <c r="EB1030" s="392"/>
      <c r="EC1030" s="392"/>
      <c r="ED1030" s="392"/>
      <c r="EE1030" s="392"/>
      <c r="EF1030" s="392"/>
      <c r="EG1030" s="392"/>
      <c r="EH1030" s="392"/>
      <c r="EI1030" s="392"/>
      <c r="EJ1030" s="392"/>
      <c r="EK1030" s="392"/>
      <c r="EL1030" s="392"/>
    </row>
    <row r="1031" spans="3:142" s="182" customFormat="1" x14ac:dyDescent="0.25">
      <c r="C1031" s="395"/>
      <c r="I1031" s="184"/>
      <c r="N1031" s="184"/>
      <c r="O1031" s="184"/>
      <c r="P1031" s="184"/>
      <c r="Q1031" s="184"/>
      <c r="Z1031" s="184"/>
      <c r="AA1031" s="184"/>
      <c r="AJ1031" s="185"/>
      <c r="DU1031" s="395"/>
      <c r="DV1031" s="395"/>
      <c r="DW1031" s="395"/>
      <c r="DX1031" s="395"/>
      <c r="DY1031" s="395"/>
      <c r="DZ1031" s="395"/>
      <c r="EA1031" s="395"/>
      <c r="EB1031" s="392"/>
      <c r="EC1031" s="392"/>
      <c r="ED1031" s="392"/>
      <c r="EE1031" s="392"/>
      <c r="EF1031" s="392"/>
      <c r="EG1031" s="392"/>
      <c r="EH1031" s="392"/>
      <c r="EI1031" s="392"/>
      <c r="EJ1031" s="392"/>
      <c r="EK1031" s="392"/>
      <c r="EL1031" s="392"/>
    </row>
    <row r="1032" spans="3:142" s="182" customFormat="1" x14ac:dyDescent="0.25">
      <c r="C1032" s="395"/>
      <c r="I1032" s="184"/>
      <c r="N1032" s="184"/>
      <c r="O1032" s="184"/>
      <c r="P1032" s="184"/>
      <c r="Q1032" s="184"/>
      <c r="Z1032" s="184"/>
      <c r="AA1032" s="184"/>
      <c r="AJ1032" s="185"/>
      <c r="DU1032" s="395"/>
      <c r="DV1032" s="395"/>
      <c r="DW1032" s="395"/>
      <c r="DX1032" s="395"/>
      <c r="DY1032" s="395"/>
      <c r="DZ1032" s="395"/>
      <c r="EA1032" s="395"/>
      <c r="EB1032" s="392"/>
      <c r="EC1032" s="392"/>
      <c r="ED1032" s="392"/>
      <c r="EE1032" s="392"/>
      <c r="EF1032" s="392"/>
      <c r="EG1032" s="392"/>
      <c r="EH1032" s="392"/>
      <c r="EI1032" s="392"/>
      <c r="EJ1032" s="392"/>
      <c r="EK1032" s="392"/>
      <c r="EL1032" s="392"/>
    </row>
    <row r="1033" spans="3:142" s="182" customFormat="1" x14ac:dyDescent="0.25">
      <c r="C1033" s="395"/>
      <c r="I1033" s="184"/>
      <c r="N1033" s="184"/>
      <c r="O1033" s="184"/>
      <c r="P1033" s="184"/>
      <c r="Q1033" s="184"/>
      <c r="Z1033" s="184"/>
      <c r="AA1033" s="184"/>
      <c r="AJ1033" s="185"/>
      <c r="DU1033" s="395"/>
      <c r="DV1033" s="395"/>
      <c r="DW1033" s="395"/>
      <c r="DX1033" s="395"/>
      <c r="DY1033" s="395"/>
      <c r="DZ1033" s="395"/>
      <c r="EA1033" s="395"/>
      <c r="EB1033" s="392"/>
      <c r="EC1033" s="392"/>
      <c r="ED1033" s="392"/>
      <c r="EE1033" s="392"/>
      <c r="EF1033" s="392"/>
      <c r="EG1033" s="392"/>
      <c r="EH1033" s="392"/>
      <c r="EI1033" s="392"/>
      <c r="EJ1033" s="392"/>
      <c r="EK1033" s="392"/>
      <c r="EL1033" s="392"/>
    </row>
    <row r="1034" spans="3:142" s="182" customFormat="1" x14ac:dyDescent="0.25">
      <c r="C1034" s="395"/>
      <c r="I1034" s="184"/>
      <c r="N1034" s="184"/>
      <c r="O1034" s="184"/>
      <c r="P1034" s="184"/>
      <c r="Q1034" s="184"/>
      <c r="Z1034" s="184"/>
      <c r="AA1034" s="184"/>
      <c r="AJ1034" s="185"/>
      <c r="DU1034" s="395"/>
      <c r="DV1034" s="395"/>
      <c r="DW1034" s="395"/>
      <c r="DX1034" s="395"/>
      <c r="DY1034" s="395"/>
      <c r="DZ1034" s="395"/>
      <c r="EA1034" s="395"/>
      <c r="EB1034" s="392"/>
      <c r="EC1034" s="392"/>
      <c r="ED1034" s="392"/>
      <c r="EE1034" s="392"/>
      <c r="EF1034" s="392"/>
      <c r="EG1034" s="392"/>
      <c r="EH1034" s="392"/>
      <c r="EI1034" s="392"/>
      <c r="EJ1034" s="392"/>
      <c r="EK1034" s="392"/>
      <c r="EL1034" s="392"/>
    </row>
    <row r="1035" spans="3:142" s="182" customFormat="1" x14ac:dyDescent="0.25">
      <c r="C1035" s="395"/>
      <c r="I1035" s="184"/>
      <c r="N1035" s="184"/>
      <c r="O1035" s="184"/>
      <c r="P1035" s="184"/>
      <c r="Q1035" s="184"/>
      <c r="Z1035" s="184"/>
      <c r="AA1035" s="184"/>
      <c r="AJ1035" s="185"/>
      <c r="DU1035" s="395"/>
      <c r="DV1035" s="395"/>
      <c r="DW1035" s="395"/>
      <c r="DX1035" s="395"/>
      <c r="DY1035" s="395"/>
      <c r="DZ1035" s="395"/>
      <c r="EA1035" s="395"/>
      <c r="EB1035" s="392"/>
      <c r="EC1035" s="392"/>
      <c r="ED1035" s="392"/>
      <c r="EE1035" s="392"/>
      <c r="EF1035" s="392"/>
      <c r="EG1035" s="392"/>
      <c r="EH1035" s="392"/>
      <c r="EI1035" s="392"/>
      <c r="EJ1035" s="392"/>
      <c r="EK1035" s="392"/>
      <c r="EL1035" s="392"/>
    </row>
    <row r="1036" spans="3:142" s="182" customFormat="1" x14ac:dyDescent="0.25">
      <c r="C1036" s="395"/>
      <c r="I1036" s="184"/>
      <c r="N1036" s="184"/>
      <c r="O1036" s="184"/>
      <c r="P1036" s="184"/>
      <c r="Q1036" s="184"/>
      <c r="Z1036" s="184"/>
      <c r="AA1036" s="184"/>
      <c r="AJ1036" s="185"/>
      <c r="DU1036" s="395"/>
      <c r="DV1036" s="395"/>
      <c r="DW1036" s="395"/>
      <c r="DX1036" s="395"/>
      <c r="DY1036" s="395"/>
      <c r="DZ1036" s="395"/>
      <c r="EA1036" s="395"/>
      <c r="EB1036" s="392"/>
      <c r="EC1036" s="392"/>
      <c r="ED1036" s="392"/>
      <c r="EE1036" s="392"/>
      <c r="EF1036" s="392"/>
      <c r="EG1036" s="392"/>
      <c r="EH1036" s="392"/>
      <c r="EI1036" s="392"/>
      <c r="EJ1036" s="392"/>
      <c r="EK1036" s="392"/>
      <c r="EL1036" s="392"/>
    </row>
    <row r="1037" spans="3:142" s="182" customFormat="1" x14ac:dyDescent="0.25">
      <c r="C1037" s="395"/>
      <c r="I1037" s="184"/>
      <c r="N1037" s="184"/>
      <c r="O1037" s="184"/>
      <c r="P1037" s="184"/>
      <c r="Q1037" s="184"/>
      <c r="Z1037" s="184"/>
      <c r="AA1037" s="184"/>
      <c r="AJ1037" s="185"/>
      <c r="DU1037" s="395"/>
      <c r="DV1037" s="395"/>
      <c r="DW1037" s="395"/>
      <c r="DX1037" s="395"/>
      <c r="DY1037" s="395"/>
      <c r="DZ1037" s="395"/>
      <c r="EA1037" s="395"/>
      <c r="EB1037" s="392"/>
      <c r="EC1037" s="392"/>
      <c r="ED1037" s="392"/>
      <c r="EE1037" s="392"/>
      <c r="EF1037" s="392"/>
      <c r="EG1037" s="392"/>
      <c r="EH1037" s="392"/>
      <c r="EI1037" s="392"/>
      <c r="EJ1037" s="392"/>
      <c r="EK1037" s="392"/>
      <c r="EL1037" s="392"/>
    </row>
    <row r="1038" spans="3:142" s="182" customFormat="1" x14ac:dyDescent="0.25">
      <c r="C1038" s="395"/>
      <c r="I1038" s="184"/>
      <c r="N1038" s="184"/>
      <c r="O1038" s="184"/>
      <c r="P1038" s="184"/>
      <c r="Q1038" s="184"/>
      <c r="Z1038" s="184"/>
      <c r="AA1038" s="184"/>
      <c r="AJ1038" s="185"/>
      <c r="DU1038" s="395"/>
      <c r="DV1038" s="395"/>
      <c r="DW1038" s="395"/>
      <c r="DX1038" s="395"/>
      <c r="DY1038" s="395"/>
      <c r="DZ1038" s="395"/>
      <c r="EA1038" s="395"/>
      <c r="EB1038" s="392"/>
      <c r="EC1038" s="392"/>
      <c r="ED1038" s="392"/>
      <c r="EE1038" s="392"/>
      <c r="EF1038" s="392"/>
      <c r="EG1038" s="392"/>
      <c r="EH1038" s="392"/>
      <c r="EI1038" s="392"/>
      <c r="EJ1038" s="392"/>
      <c r="EK1038" s="392"/>
      <c r="EL1038" s="392"/>
    </row>
    <row r="1039" spans="3:142" s="182" customFormat="1" x14ac:dyDescent="0.25">
      <c r="C1039" s="395"/>
      <c r="I1039" s="184"/>
      <c r="N1039" s="184"/>
      <c r="O1039" s="184"/>
      <c r="P1039" s="184"/>
      <c r="Q1039" s="184"/>
      <c r="Z1039" s="184"/>
      <c r="AA1039" s="184"/>
      <c r="AJ1039" s="185"/>
      <c r="DU1039" s="395"/>
      <c r="DV1039" s="395"/>
      <c r="DW1039" s="395"/>
      <c r="DX1039" s="395"/>
      <c r="DY1039" s="395"/>
      <c r="DZ1039" s="395"/>
      <c r="EA1039" s="395"/>
      <c r="EB1039" s="392"/>
      <c r="EC1039" s="392"/>
      <c r="ED1039" s="392"/>
      <c r="EE1039" s="392"/>
      <c r="EF1039" s="392"/>
      <c r="EG1039" s="392"/>
      <c r="EH1039" s="392"/>
      <c r="EI1039" s="392"/>
      <c r="EJ1039" s="392"/>
      <c r="EK1039" s="392"/>
      <c r="EL1039" s="392"/>
    </row>
    <row r="1040" spans="3:142" s="182" customFormat="1" x14ac:dyDescent="0.25">
      <c r="C1040" s="395"/>
      <c r="I1040" s="184"/>
      <c r="N1040" s="184"/>
      <c r="O1040" s="184"/>
      <c r="P1040" s="184"/>
      <c r="Q1040" s="184"/>
      <c r="Z1040" s="184"/>
      <c r="AA1040" s="184"/>
      <c r="AJ1040" s="185"/>
      <c r="DU1040" s="395"/>
      <c r="DV1040" s="395"/>
      <c r="DW1040" s="395"/>
      <c r="DX1040" s="395"/>
      <c r="DY1040" s="395"/>
      <c r="DZ1040" s="395"/>
      <c r="EA1040" s="395"/>
      <c r="EB1040" s="392"/>
      <c r="EC1040" s="392"/>
      <c r="ED1040" s="392"/>
      <c r="EE1040" s="392"/>
      <c r="EF1040" s="392"/>
      <c r="EG1040" s="392"/>
      <c r="EH1040" s="392"/>
      <c r="EI1040" s="392"/>
      <c r="EJ1040" s="392"/>
      <c r="EK1040" s="392"/>
      <c r="EL1040" s="392"/>
    </row>
    <row r="1041" spans="3:142" s="182" customFormat="1" x14ac:dyDescent="0.25">
      <c r="C1041" s="395"/>
      <c r="I1041" s="184"/>
      <c r="N1041" s="184"/>
      <c r="O1041" s="184"/>
      <c r="P1041" s="184"/>
      <c r="Q1041" s="184"/>
      <c r="Z1041" s="184"/>
      <c r="AA1041" s="184"/>
      <c r="AJ1041" s="185"/>
      <c r="DU1041" s="395"/>
      <c r="DV1041" s="395"/>
      <c r="DW1041" s="395"/>
      <c r="DX1041" s="395"/>
      <c r="DY1041" s="395"/>
      <c r="DZ1041" s="395"/>
      <c r="EA1041" s="395"/>
      <c r="EB1041" s="392"/>
      <c r="EC1041" s="392"/>
      <c r="ED1041" s="392"/>
      <c r="EE1041" s="392"/>
      <c r="EF1041" s="392"/>
      <c r="EG1041" s="392"/>
      <c r="EH1041" s="392"/>
      <c r="EI1041" s="392"/>
      <c r="EJ1041" s="392"/>
      <c r="EK1041" s="392"/>
      <c r="EL1041" s="392"/>
    </row>
    <row r="1042" spans="3:142" s="182" customFormat="1" x14ac:dyDescent="0.25">
      <c r="C1042" s="395"/>
      <c r="I1042" s="184"/>
      <c r="N1042" s="184"/>
      <c r="O1042" s="184"/>
      <c r="P1042" s="184"/>
      <c r="Q1042" s="184"/>
      <c r="Z1042" s="184"/>
      <c r="AA1042" s="184"/>
      <c r="AJ1042" s="185"/>
      <c r="DU1042" s="395"/>
      <c r="DV1042" s="395"/>
      <c r="DW1042" s="395"/>
      <c r="DX1042" s="395"/>
      <c r="DY1042" s="395"/>
      <c r="DZ1042" s="395"/>
      <c r="EA1042" s="395"/>
      <c r="EB1042" s="392"/>
      <c r="EC1042" s="392"/>
      <c r="ED1042" s="392"/>
      <c r="EE1042" s="392"/>
      <c r="EF1042" s="392"/>
      <c r="EG1042" s="392"/>
      <c r="EH1042" s="392"/>
      <c r="EI1042" s="392"/>
      <c r="EJ1042" s="392"/>
      <c r="EK1042" s="392"/>
      <c r="EL1042" s="392"/>
    </row>
    <row r="1043" spans="3:142" s="182" customFormat="1" x14ac:dyDescent="0.25">
      <c r="C1043" s="395"/>
      <c r="I1043" s="184"/>
      <c r="N1043" s="184"/>
      <c r="O1043" s="184"/>
      <c r="P1043" s="184"/>
      <c r="Q1043" s="184"/>
      <c r="Z1043" s="184"/>
      <c r="AA1043" s="184"/>
      <c r="AJ1043" s="185"/>
      <c r="DU1043" s="395"/>
      <c r="DV1043" s="395"/>
      <c r="DW1043" s="395"/>
      <c r="DX1043" s="395"/>
      <c r="DY1043" s="395"/>
      <c r="DZ1043" s="395"/>
      <c r="EA1043" s="395"/>
      <c r="EB1043" s="392"/>
      <c r="EC1043" s="392"/>
      <c r="ED1043" s="392"/>
      <c r="EE1043" s="392"/>
      <c r="EF1043" s="392"/>
      <c r="EG1043" s="392"/>
      <c r="EH1043" s="392"/>
      <c r="EI1043" s="392"/>
      <c r="EJ1043" s="392"/>
      <c r="EK1043" s="392"/>
      <c r="EL1043" s="392"/>
    </row>
    <row r="1044" spans="3:142" s="182" customFormat="1" x14ac:dyDescent="0.25">
      <c r="C1044" s="395"/>
      <c r="I1044" s="184"/>
      <c r="N1044" s="184"/>
      <c r="O1044" s="184"/>
      <c r="P1044" s="184"/>
      <c r="Q1044" s="184"/>
      <c r="Z1044" s="184"/>
      <c r="AA1044" s="184"/>
      <c r="AJ1044" s="185"/>
      <c r="DU1044" s="395"/>
      <c r="DV1044" s="395"/>
      <c r="DW1044" s="395"/>
      <c r="DX1044" s="395"/>
      <c r="DY1044" s="395"/>
      <c r="DZ1044" s="395"/>
      <c r="EA1044" s="395"/>
      <c r="EB1044" s="392"/>
      <c r="EC1044" s="392"/>
      <c r="ED1044" s="392"/>
      <c r="EE1044" s="392"/>
      <c r="EF1044" s="392"/>
      <c r="EG1044" s="392"/>
      <c r="EH1044" s="392"/>
      <c r="EI1044" s="392"/>
      <c r="EJ1044" s="392"/>
      <c r="EK1044" s="392"/>
      <c r="EL1044" s="392"/>
    </row>
    <row r="1045" spans="3:142" s="182" customFormat="1" x14ac:dyDescent="0.25">
      <c r="C1045" s="395"/>
      <c r="I1045" s="184"/>
      <c r="N1045" s="184"/>
      <c r="O1045" s="184"/>
      <c r="P1045" s="184"/>
      <c r="Q1045" s="184"/>
      <c r="Z1045" s="184"/>
      <c r="AA1045" s="184"/>
      <c r="AJ1045" s="185"/>
      <c r="DU1045" s="395"/>
      <c r="DV1045" s="395"/>
      <c r="DW1045" s="395"/>
      <c r="DX1045" s="395"/>
      <c r="DY1045" s="395"/>
      <c r="DZ1045" s="395"/>
      <c r="EA1045" s="395"/>
      <c r="EB1045" s="392"/>
      <c r="EC1045" s="392"/>
      <c r="ED1045" s="392"/>
      <c r="EE1045" s="392"/>
      <c r="EF1045" s="392"/>
      <c r="EG1045" s="392"/>
      <c r="EH1045" s="392"/>
      <c r="EI1045" s="392"/>
      <c r="EJ1045" s="392"/>
      <c r="EK1045" s="392"/>
      <c r="EL1045" s="392"/>
    </row>
    <row r="1046" spans="3:142" s="182" customFormat="1" x14ac:dyDescent="0.25">
      <c r="C1046" s="395"/>
      <c r="I1046" s="184"/>
      <c r="N1046" s="184"/>
      <c r="O1046" s="184"/>
      <c r="P1046" s="184"/>
      <c r="Q1046" s="184"/>
      <c r="Z1046" s="184"/>
      <c r="AA1046" s="184"/>
      <c r="AJ1046" s="185"/>
      <c r="DU1046" s="395"/>
      <c r="DV1046" s="395"/>
      <c r="DW1046" s="395"/>
      <c r="DX1046" s="395"/>
      <c r="DY1046" s="395"/>
      <c r="DZ1046" s="395"/>
      <c r="EA1046" s="395"/>
      <c r="EB1046" s="392"/>
      <c r="EC1046" s="392"/>
      <c r="ED1046" s="392"/>
      <c r="EE1046" s="392"/>
      <c r="EF1046" s="392"/>
      <c r="EG1046" s="392"/>
      <c r="EH1046" s="392"/>
      <c r="EI1046" s="392"/>
      <c r="EJ1046" s="392"/>
      <c r="EK1046" s="392"/>
      <c r="EL1046" s="392"/>
    </row>
    <row r="1047" spans="3:142" s="182" customFormat="1" x14ac:dyDescent="0.25">
      <c r="C1047" s="395"/>
      <c r="I1047" s="184"/>
      <c r="N1047" s="184"/>
      <c r="O1047" s="184"/>
      <c r="P1047" s="184"/>
      <c r="Q1047" s="184"/>
      <c r="Z1047" s="184"/>
      <c r="AA1047" s="184"/>
      <c r="AJ1047" s="185"/>
      <c r="DU1047" s="395"/>
      <c r="DV1047" s="395"/>
      <c r="DW1047" s="395"/>
      <c r="DX1047" s="395"/>
      <c r="DY1047" s="395"/>
      <c r="DZ1047" s="395"/>
      <c r="EA1047" s="395"/>
      <c r="EB1047" s="392"/>
      <c r="EC1047" s="392"/>
      <c r="ED1047" s="392"/>
      <c r="EE1047" s="392"/>
      <c r="EF1047" s="392"/>
      <c r="EG1047" s="392"/>
      <c r="EH1047" s="392"/>
      <c r="EI1047" s="392"/>
      <c r="EJ1047" s="392"/>
      <c r="EK1047" s="392"/>
      <c r="EL1047" s="392"/>
    </row>
    <row r="1048" spans="3:142" s="182" customFormat="1" x14ac:dyDescent="0.25">
      <c r="C1048" s="395"/>
      <c r="I1048" s="184"/>
      <c r="N1048" s="184"/>
      <c r="O1048" s="184"/>
      <c r="P1048" s="184"/>
      <c r="Q1048" s="184"/>
      <c r="Z1048" s="184"/>
      <c r="AA1048" s="184"/>
      <c r="AJ1048" s="185"/>
      <c r="DU1048" s="395"/>
      <c r="DV1048" s="395"/>
      <c r="DW1048" s="395"/>
      <c r="DX1048" s="395"/>
      <c r="DY1048" s="395"/>
      <c r="DZ1048" s="395"/>
      <c r="EA1048" s="395"/>
      <c r="EB1048" s="392"/>
      <c r="EC1048" s="392"/>
      <c r="ED1048" s="392"/>
      <c r="EE1048" s="392"/>
      <c r="EF1048" s="392"/>
      <c r="EG1048" s="392"/>
      <c r="EH1048" s="392"/>
      <c r="EI1048" s="392"/>
      <c r="EJ1048" s="392"/>
      <c r="EK1048" s="392"/>
      <c r="EL1048" s="392"/>
    </row>
    <row r="1049" spans="3:142" s="182" customFormat="1" x14ac:dyDescent="0.25">
      <c r="C1049" s="395"/>
      <c r="I1049" s="184"/>
      <c r="N1049" s="184"/>
      <c r="O1049" s="184"/>
      <c r="P1049" s="184"/>
      <c r="Q1049" s="184"/>
      <c r="Z1049" s="184"/>
      <c r="AA1049" s="184"/>
      <c r="AJ1049" s="185"/>
      <c r="DU1049" s="395"/>
      <c r="DV1049" s="395"/>
      <c r="DW1049" s="395"/>
      <c r="DX1049" s="395"/>
      <c r="DY1049" s="395"/>
      <c r="DZ1049" s="395"/>
      <c r="EA1049" s="395"/>
      <c r="EB1049" s="392"/>
      <c r="EC1049" s="392"/>
      <c r="ED1049" s="392"/>
      <c r="EE1049" s="392"/>
      <c r="EF1049" s="392"/>
      <c r="EG1049" s="392"/>
      <c r="EH1049" s="392"/>
      <c r="EI1049" s="392"/>
      <c r="EJ1049" s="392"/>
      <c r="EK1049" s="392"/>
      <c r="EL1049" s="392"/>
    </row>
    <row r="1050" spans="3:142" s="182" customFormat="1" x14ac:dyDescent="0.25">
      <c r="C1050" s="395"/>
      <c r="I1050" s="184"/>
      <c r="N1050" s="184"/>
      <c r="O1050" s="184"/>
      <c r="P1050" s="184"/>
      <c r="Q1050" s="184"/>
      <c r="Z1050" s="184"/>
      <c r="AA1050" s="184"/>
      <c r="AJ1050" s="185"/>
      <c r="DU1050" s="395"/>
      <c r="DV1050" s="395"/>
      <c r="DW1050" s="395"/>
      <c r="DX1050" s="395"/>
      <c r="DY1050" s="395"/>
      <c r="DZ1050" s="395"/>
      <c r="EA1050" s="395"/>
      <c r="EB1050" s="392"/>
      <c r="EC1050" s="392"/>
      <c r="ED1050" s="392"/>
      <c r="EE1050" s="392"/>
      <c r="EF1050" s="392"/>
      <c r="EG1050" s="392"/>
      <c r="EH1050" s="392"/>
      <c r="EI1050" s="392"/>
      <c r="EJ1050" s="392"/>
      <c r="EK1050" s="392"/>
      <c r="EL1050" s="392"/>
    </row>
    <row r="1051" spans="3:142" s="182" customFormat="1" x14ac:dyDescent="0.25">
      <c r="C1051" s="395"/>
      <c r="I1051" s="184"/>
      <c r="N1051" s="184"/>
      <c r="O1051" s="184"/>
      <c r="P1051" s="184"/>
      <c r="Q1051" s="184"/>
      <c r="Z1051" s="184"/>
      <c r="AA1051" s="184"/>
      <c r="AJ1051" s="185"/>
      <c r="DU1051" s="395"/>
      <c r="DV1051" s="395"/>
      <c r="DW1051" s="395"/>
      <c r="DX1051" s="395"/>
      <c r="DY1051" s="395"/>
      <c r="DZ1051" s="395"/>
      <c r="EA1051" s="395"/>
      <c r="EB1051" s="392"/>
      <c r="EC1051" s="392"/>
      <c r="ED1051" s="392"/>
      <c r="EE1051" s="392"/>
      <c r="EF1051" s="392"/>
      <c r="EG1051" s="392"/>
      <c r="EH1051" s="392"/>
      <c r="EI1051" s="392"/>
      <c r="EJ1051" s="392"/>
      <c r="EK1051" s="392"/>
      <c r="EL1051" s="392"/>
    </row>
    <row r="1052" spans="3:142" s="182" customFormat="1" x14ac:dyDescent="0.25">
      <c r="C1052" s="395"/>
      <c r="I1052" s="184"/>
      <c r="N1052" s="184"/>
      <c r="O1052" s="184"/>
      <c r="P1052" s="184"/>
      <c r="Q1052" s="184"/>
      <c r="Z1052" s="184"/>
      <c r="AA1052" s="184"/>
      <c r="AJ1052" s="185"/>
      <c r="DU1052" s="395"/>
      <c r="DV1052" s="395"/>
      <c r="DW1052" s="395"/>
      <c r="DX1052" s="395"/>
      <c r="DY1052" s="395"/>
      <c r="DZ1052" s="395"/>
      <c r="EA1052" s="395"/>
      <c r="EB1052" s="392"/>
      <c r="EC1052" s="392"/>
      <c r="ED1052" s="392"/>
      <c r="EE1052" s="392"/>
      <c r="EF1052" s="392"/>
      <c r="EG1052" s="392"/>
      <c r="EH1052" s="392"/>
      <c r="EI1052" s="392"/>
      <c r="EJ1052" s="392"/>
      <c r="EK1052" s="392"/>
      <c r="EL1052" s="392"/>
    </row>
    <row r="1053" spans="3:142" s="182" customFormat="1" x14ac:dyDescent="0.25">
      <c r="C1053" s="395"/>
      <c r="I1053" s="184"/>
      <c r="N1053" s="184"/>
      <c r="O1053" s="184"/>
      <c r="P1053" s="184"/>
      <c r="Q1053" s="184"/>
      <c r="Z1053" s="184"/>
      <c r="AA1053" s="184"/>
      <c r="AJ1053" s="185"/>
      <c r="DU1053" s="395"/>
      <c r="DV1053" s="395"/>
      <c r="DW1053" s="395"/>
      <c r="DX1053" s="395"/>
      <c r="DY1053" s="395"/>
      <c r="DZ1053" s="395"/>
      <c r="EA1053" s="395"/>
      <c r="EB1053" s="392"/>
      <c r="EC1053" s="392"/>
      <c r="ED1053" s="392"/>
      <c r="EE1053" s="392"/>
      <c r="EF1053" s="392"/>
      <c r="EG1053" s="392"/>
      <c r="EH1053" s="392"/>
      <c r="EI1053" s="392"/>
      <c r="EJ1053" s="392"/>
      <c r="EK1053" s="392"/>
      <c r="EL1053" s="392"/>
    </row>
    <row r="1054" spans="3:142" s="182" customFormat="1" x14ac:dyDescent="0.25">
      <c r="C1054" s="395"/>
      <c r="I1054" s="184"/>
      <c r="N1054" s="184"/>
      <c r="O1054" s="184"/>
      <c r="P1054" s="184"/>
      <c r="Q1054" s="184"/>
      <c r="Z1054" s="184"/>
      <c r="AA1054" s="184"/>
      <c r="AJ1054" s="185"/>
      <c r="DU1054" s="395"/>
      <c r="DV1054" s="395"/>
      <c r="DW1054" s="395"/>
      <c r="DX1054" s="395"/>
      <c r="DY1054" s="395"/>
      <c r="DZ1054" s="395"/>
      <c r="EA1054" s="395"/>
      <c r="EB1054" s="392"/>
      <c r="EC1054" s="392"/>
      <c r="ED1054" s="392"/>
      <c r="EE1054" s="392"/>
      <c r="EF1054" s="392"/>
      <c r="EG1054" s="392"/>
      <c r="EH1054" s="392"/>
      <c r="EI1054" s="392"/>
      <c r="EJ1054" s="392"/>
      <c r="EK1054" s="392"/>
      <c r="EL1054" s="392"/>
    </row>
    <row r="1055" spans="3:142" s="182" customFormat="1" x14ac:dyDescent="0.25">
      <c r="C1055" s="395"/>
      <c r="I1055" s="184"/>
      <c r="N1055" s="184"/>
      <c r="O1055" s="184"/>
      <c r="P1055" s="184"/>
      <c r="Q1055" s="184"/>
      <c r="Z1055" s="184"/>
      <c r="AA1055" s="184"/>
      <c r="AJ1055" s="185"/>
      <c r="DU1055" s="395"/>
      <c r="DV1055" s="395"/>
      <c r="DW1055" s="395"/>
      <c r="DX1055" s="395"/>
      <c r="DY1055" s="395"/>
      <c r="DZ1055" s="395"/>
      <c r="EA1055" s="395"/>
      <c r="EB1055" s="392"/>
      <c r="EC1055" s="392"/>
      <c r="ED1055" s="392"/>
      <c r="EE1055" s="392"/>
      <c r="EF1055" s="392"/>
      <c r="EG1055" s="392"/>
      <c r="EH1055" s="392"/>
      <c r="EI1055" s="392"/>
      <c r="EJ1055" s="392"/>
      <c r="EK1055" s="392"/>
      <c r="EL1055" s="392"/>
    </row>
    <row r="1056" spans="3:142" s="182" customFormat="1" x14ac:dyDescent="0.25">
      <c r="C1056" s="395"/>
      <c r="I1056" s="184"/>
      <c r="N1056" s="184"/>
      <c r="O1056" s="184"/>
      <c r="P1056" s="184"/>
      <c r="Q1056" s="184"/>
      <c r="Z1056" s="184"/>
      <c r="AA1056" s="184"/>
      <c r="AJ1056" s="185"/>
      <c r="DU1056" s="395"/>
      <c r="DV1056" s="395"/>
      <c r="DW1056" s="395"/>
      <c r="DX1056" s="395"/>
      <c r="DY1056" s="395"/>
      <c r="DZ1056" s="395"/>
      <c r="EA1056" s="395"/>
      <c r="EB1056" s="392"/>
      <c r="EC1056" s="392"/>
      <c r="ED1056" s="392"/>
      <c r="EE1056" s="392"/>
      <c r="EF1056" s="392"/>
      <c r="EG1056" s="392"/>
      <c r="EH1056" s="392"/>
      <c r="EI1056" s="392"/>
      <c r="EJ1056" s="392"/>
      <c r="EK1056" s="392"/>
      <c r="EL1056" s="392"/>
    </row>
    <row r="1057" spans="3:142" s="182" customFormat="1" x14ac:dyDescent="0.25">
      <c r="C1057" s="395"/>
      <c r="I1057" s="184"/>
      <c r="N1057" s="184"/>
      <c r="O1057" s="184"/>
      <c r="P1057" s="184"/>
      <c r="Q1057" s="184"/>
      <c r="Z1057" s="184"/>
      <c r="AA1057" s="184"/>
      <c r="AJ1057" s="185"/>
      <c r="DU1057" s="395"/>
      <c r="DV1057" s="395"/>
      <c r="DW1057" s="395"/>
      <c r="DX1057" s="395"/>
      <c r="DY1057" s="395"/>
      <c r="DZ1057" s="395"/>
      <c r="EA1057" s="395"/>
      <c r="EB1057" s="392"/>
      <c r="EC1057" s="392"/>
      <c r="ED1057" s="392"/>
      <c r="EE1057" s="392"/>
      <c r="EF1057" s="392"/>
      <c r="EG1057" s="392"/>
      <c r="EH1057" s="392"/>
      <c r="EI1057" s="392"/>
      <c r="EJ1057" s="392"/>
      <c r="EK1057" s="392"/>
      <c r="EL1057" s="392"/>
    </row>
    <row r="1058" spans="3:142" s="182" customFormat="1" x14ac:dyDescent="0.25">
      <c r="C1058" s="395"/>
      <c r="I1058" s="184"/>
      <c r="N1058" s="184"/>
      <c r="O1058" s="184"/>
      <c r="P1058" s="184"/>
      <c r="Q1058" s="184"/>
      <c r="Z1058" s="184"/>
      <c r="AA1058" s="184"/>
      <c r="AJ1058" s="185"/>
      <c r="DU1058" s="395"/>
      <c r="DV1058" s="395"/>
      <c r="DW1058" s="395"/>
      <c r="DX1058" s="395"/>
      <c r="DY1058" s="395"/>
      <c r="DZ1058" s="395"/>
      <c r="EA1058" s="395"/>
      <c r="EB1058" s="392"/>
      <c r="EC1058" s="392"/>
      <c r="ED1058" s="392"/>
      <c r="EE1058" s="392"/>
      <c r="EF1058" s="392"/>
      <c r="EG1058" s="392"/>
      <c r="EH1058" s="392"/>
      <c r="EI1058" s="392"/>
      <c r="EJ1058" s="392"/>
      <c r="EK1058" s="392"/>
      <c r="EL1058" s="392"/>
    </row>
    <row r="1059" spans="3:142" s="182" customFormat="1" x14ac:dyDescent="0.25">
      <c r="C1059" s="395"/>
      <c r="I1059" s="184"/>
      <c r="N1059" s="184"/>
      <c r="O1059" s="184"/>
      <c r="P1059" s="184"/>
      <c r="Q1059" s="184"/>
      <c r="Z1059" s="184"/>
      <c r="AA1059" s="184"/>
      <c r="AJ1059" s="185"/>
      <c r="DU1059" s="395"/>
      <c r="DV1059" s="395"/>
      <c r="DW1059" s="395"/>
      <c r="DX1059" s="395"/>
      <c r="DY1059" s="395"/>
      <c r="DZ1059" s="395"/>
      <c r="EA1059" s="395"/>
      <c r="EB1059" s="392"/>
      <c r="EC1059" s="392"/>
      <c r="ED1059" s="392"/>
      <c r="EE1059" s="392"/>
      <c r="EF1059" s="392"/>
      <c r="EG1059" s="392"/>
      <c r="EH1059" s="392"/>
      <c r="EI1059" s="392"/>
      <c r="EJ1059" s="392"/>
      <c r="EK1059" s="392"/>
      <c r="EL1059" s="392"/>
    </row>
    <row r="1060" spans="3:142" s="182" customFormat="1" x14ac:dyDescent="0.25">
      <c r="C1060" s="395"/>
      <c r="I1060" s="184"/>
      <c r="N1060" s="184"/>
      <c r="O1060" s="184"/>
      <c r="P1060" s="184"/>
      <c r="Q1060" s="184"/>
      <c r="Z1060" s="184"/>
      <c r="AA1060" s="184"/>
      <c r="AJ1060" s="185"/>
      <c r="DU1060" s="395"/>
      <c r="DV1060" s="395"/>
      <c r="DW1060" s="395"/>
      <c r="DX1060" s="395"/>
      <c r="DY1060" s="395"/>
      <c r="DZ1060" s="395"/>
      <c r="EA1060" s="395"/>
      <c r="EB1060" s="392"/>
      <c r="EC1060" s="392"/>
      <c r="ED1060" s="392"/>
      <c r="EE1060" s="392"/>
      <c r="EF1060" s="392"/>
      <c r="EG1060" s="392"/>
      <c r="EH1060" s="392"/>
      <c r="EI1060" s="392"/>
      <c r="EJ1060" s="392"/>
      <c r="EK1060" s="392"/>
      <c r="EL1060" s="392"/>
    </row>
    <row r="1061" spans="3:142" s="182" customFormat="1" x14ac:dyDescent="0.25">
      <c r="C1061" s="395"/>
      <c r="I1061" s="184"/>
      <c r="N1061" s="184"/>
      <c r="O1061" s="184"/>
      <c r="P1061" s="184"/>
      <c r="Q1061" s="184"/>
      <c r="Z1061" s="184"/>
      <c r="AA1061" s="184"/>
      <c r="AJ1061" s="185"/>
      <c r="DU1061" s="395"/>
      <c r="DV1061" s="395"/>
      <c r="DW1061" s="395"/>
      <c r="DX1061" s="395"/>
      <c r="DY1061" s="395"/>
      <c r="DZ1061" s="395"/>
      <c r="EA1061" s="395"/>
      <c r="EB1061" s="392"/>
      <c r="EC1061" s="392"/>
      <c r="ED1061" s="392"/>
      <c r="EE1061" s="392"/>
      <c r="EF1061" s="392"/>
      <c r="EG1061" s="392"/>
      <c r="EH1061" s="392"/>
      <c r="EI1061" s="392"/>
      <c r="EJ1061" s="392"/>
      <c r="EK1061" s="392"/>
      <c r="EL1061" s="392"/>
    </row>
    <row r="1062" spans="3:142" s="182" customFormat="1" x14ac:dyDescent="0.25">
      <c r="C1062" s="395"/>
      <c r="I1062" s="184"/>
      <c r="N1062" s="184"/>
      <c r="O1062" s="184"/>
      <c r="P1062" s="184"/>
      <c r="Q1062" s="184"/>
      <c r="Z1062" s="184"/>
      <c r="AA1062" s="184"/>
      <c r="AJ1062" s="185"/>
      <c r="DU1062" s="395"/>
      <c r="DV1062" s="395"/>
      <c r="DW1062" s="395"/>
      <c r="DX1062" s="395"/>
      <c r="DY1062" s="395"/>
      <c r="DZ1062" s="395"/>
      <c r="EA1062" s="395"/>
      <c r="EB1062" s="392"/>
      <c r="EC1062" s="392"/>
      <c r="ED1062" s="392"/>
      <c r="EE1062" s="392"/>
      <c r="EF1062" s="392"/>
      <c r="EG1062" s="392"/>
      <c r="EH1062" s="392"/>
      <c r="EI1062" s="392"/>
      <c r="EJ1062" s="392"/>
      <c r="EK1062" s="392"/>
      <c r="EL1062" s="392"/>
    </row>
    <row r="1063" spans="3:142" s="182" customFormat="1" x14ac:dyDescent="0.25">
      <c r="C1063" s="395"/>
      <c r="I1063" s="184"/>
      <c r="N1063" s="184"/>
      <c r="O1063" s="184"/>
      <c r="P1063" s="184"/>
      <c r="Q1063" s="184"/>
      <c r="Z1063" s="184"/>
      <c r="AA1063" s="184"/>
      <c r="AJ1063" s="185"/>
      <c r="DU1063" s="395"/>
      <c r="DV1063" s="395"/>
      <c r="DW1063" s="395"/>
      <c r="DX1063" s="395"/>
      <c r="DY1063" s="395"/>
      <c r="DZ1063" s="395"/>
      <c r="EA1063" s="395"/>
      <c r="EB1063" s="392"/>
      <c r="EC1063" s="392"/>
      <c r="ED1063" s="392"/>
      <c r="EE1063" s="392"/>
      <c r="EF1063" s="392"/>
      <c r="EG1063" s="392"/>
      <c r="EH1063" s="392"/>
      <c r="EI1063" s="392"/>
      <c r="EJ1063" s="392"/>
      <c r="EK1063" s="392"/>
      <c r="EL1063" s="392"/>
    </row>
    <row r="1064" spans="3:142" s="182" customFormat="1" x14ac:dyDescent="0.25">
      <c r="C1064" s="395"/>
      <c r="I1064" s="184"/>
      <c r="N1064" s="184"/>
      <c r="O1064" s="184"/>
      <c r="P1064" s="184"/>
      <c r="Q1064" s="184"/>
      <c r="Z1064" s="184"/>
      <c r="AA1064" s="184"/>
      <c r="AJ1064" s="185"/>
      <c r="DU1064" s="395"/>
      <c r="DV1064" s="395"/>
      <c r="DW1064" s="395"/>
      <c r="DX1064" s="395"/>
      <c r="DY1064" s="395"/>
      <c r="DZ1064" s="395"/>
      <c r="EA1064" s="395"/>
      <c r="EB1064" s="392"/>
      <c r="EC1064" s="392"/>
      <c r="ED1064" s="392"/>
      <c r="EE1064" s="392"/>
      <c r="EF1064" s="392"/>
      <c r="EG1064" s="392"/>
      <c r="EH1064" s="392"/>
      <c r="EI1064" s="392"/>
      <c r="EJ1064" s="392"/>
      <c r="EK1064" s="392"/>
      <c r="EL1064" s="392"/>
    </row>
    <row r="1065" spans="3:142" s="182" customFormat="1" x14ac:dyDescent="0.25">
      <c r="C1065" s="395"/>
      <c r="I1065" s="184"/>
      <c r="N1065" s="184"/>
      <c r="O1065" s="184"/>
      <c r="P1065" s="184"/>
      <c r="Q1065" s="184"/>
      <c r="Z1065" s="184"/>
      <c r="AA1065" s="184"/>
      <c r="AJ1065" s="185"/>
      <c r="DU1065" s="395"/>
      <c r="DV1065" s="395"/>
      <c r="DW1065" s="395"/>
      <c r="DX1065" s="395"/>
      <c r="DY1065" s="395"/>
      <c r="DZ1065" s="395"/>
      <c r="EA1065" s="395"/>
      <c r="EB1065" s="392"/>
      <c r="EC1065" s="392"/>
      <c r="ED1065" s="392"/>
      <c r="EE1065" s="392"/>
      <c r="EF1065" s="392"/>
      <c r="EG1065" s="392"/>
      <c r="EH1065" s="392"/>
      <c r="EI1065" s="392"/>
      <c r="EJ1065" s="392"/>
      <c r="EK1065" s="392"/>
      <c r="EL1065" s="392"/>
    </row>
    <row r="1066" spans="3:142" s="182" customFormat="1" x14ac:dyDescent="0.25">
      <c r="C1066" s="395"/>
      <c r="I1066" s="184"/>
      <c r="N1066" s="184"/>
      <c r="O1066" s="184"/>
      <c r="P1066" s="184"/>
      <c r="Q1066" s="184"/>
      <c r="Z1066" s="184"/>
      <c r="AA1066" s="184"/>
      <c r="AJ1066" s="185"/>
      <c r="DU1066" s="395"/>
      <c r="DV1066" s="395"/>
      <c r="DW1066" s="395"/>
      <c r="DX1066" s="395"/>
      <c r="DY1066" s="395"/>
      <c r="DZ1066" s="395"/>
      <c r="EA1066" s="395"/>
      <c r="EB1066" s="392"/>
      <c r="EC1066" s="392"/>
      <c r="ED1066" s="392"/>
      <c r="EE1066" s="392"/>
      <c r="EF1066" s="392"/>
      <c r="EG1066" s="392"/>
      <c r="EH1066" s="392"/>
      <c r="EI1066" s="392"/>
      <c r="EJ1066" s="392"/>
      <c r="EK1066" s="392"/>
      <c r="EL1066" s="392"/>
    </row>
    <row r="1067" spans="3:142" s="182" customFormat="1" x14ac:dyDescent="0.25">
      <c r="C1067" s="395"/>
      <c r="I1067" s="184"/>
      <c r="N1067" s="184"/>
      <c r="O1067" s="184"/>
      <c r="P1067" s="184"/>
      <c r="Q1067" s="184"/>
      <c r="Z1067" s="184"/>
      <c r="AA1067" s="184"/>
      <c r="AJ1067" s="185"/>
      <c r="DU1067" s="395"/>
      <c r="DV1067" s="395"/>
      <c r="DW1067" s="395"/>
      <c r="DX1067" s="395"/>
      <c r="DY1067" s="395"/>
      <c r="DZ1067" s="395"/>
      <c r="EA1067" s="395"/>
      <c r="EB1067" s="392"/>
      <c r="EC1067" s="392"/>
      <c r="ED1067" s="392"/>
      <c r="EE1067" s="392"/>
      <c r="EF1067" s="392"/>
      <c r="EG1067" s="392"/>
      <c r="EH1067" s="392"/>
      <c r="EI1067" s="392"/>
      <c r="EJ1067" s="392"/>
      <c r="EK1067" s="392"/>
      <c r="EL1067" s="392"/>
    </row>
    <row r="1068" spans="3:142" s="182" customFormat="1" x14ac:dyDescent="0.25">
      <c r="C1068" s="395"/>
      <c r="I1068" s="184"/>
      <c r="N1068" s="184"/>
      <c r="O1068" s="184"/>
      <c r="P1068" s="184"/>
      <c r="Q1068" s="184"/>
      <c r="Z1068" s="184"/>
      <c r="AA1068" s="184"/>
      <c r="AJ1068" s="185"/>
      <c r="DU1068" s="395"/>
      <c r="DV1068" s="395"/>
      <c r="DW1068" s="395"/>
      <c r="DX1068" s="395"/>
      <c r="DY1068" s="395"/>
      <c r="DZ1068" s="395"/>
      <c r="EA1068" s="395"/>
      <c r="EB1068" s="392"/>
      <c r="EC1068" s="392"/>
      <c r="ED1068" s="392"/>
      <c r="EE1068" s="392"/>
      <c r="EF1068" s="392"/>
      <c r="EG1068" s="392"/>
      <c r="EH1068" s="392"/>
      <c r="EI1068" s="392"/>
      <c r="EJ1068" s="392"/>
      <c r="EK1068" s="392"/>
      <c r="EL1068" s="392"/>
    </row>
    <row r="1069" spans="3:142" s="182" customFormat="1" x14ac:dyDescent="0.25">
      <c r="C1069" s="395"/>
      <c r="I1069" s="184"/>
      <c r="N1069" s="184"/>
      <c r="O1069" s="184"/>
      <c r="P1069" s="184"/>
      <c r="Q1069" s="184"/>
      <c r="Z1069" s="184"/>
      <c r="AA1069" s="184"/>
      <c r="AJ1069" s="185"/>
      <c r="DU1069" s="395"/>
      <c r="DV1069" s="395"/>
      <c r="DW1069" s="395"/>
      <c r="DX1069" s="395"/>
      <c r="DY1069" s="395"/>
      <c r="DZ1069" s="395"/>
      <c r="EA1069" s="395"/>
      <c r="EB1069" s="392"/>
      <c r="EC1069" s="392"/>
      <c r="ED1069" s="392"/>
      <c r="EE1069" s="392"/>
      <c r="EF1069" s="392"/>
      <c r="EG1069" s="392"/>
      <c r="EH1069" s="392"/>
      <c r="EI1069" s="392"/>
      <c r="EJ1069" s="392"/>
      <c r="EK1069" s="392"/>
      <c r="EL1069" s="392"/>
    </row>
    <row r="1070" spans="3:142" s="182" customFormat="1" x14ac:dyDescent="0.25">
      <c r="C1070" s="395"/>
      <c r="I1070" s="184"/>
      <c r="N1070" s="184"/>
      <c r="O1070" s="184"/>
      <c r="P1070" s="184"/>
      <c r="Q1070" s="184"/>
      <c r="Z1070" s="184"/>
      <c r="AA1070" s="184"/>
      <c r="AJ1070" s="185"/>
      <c r="DU1070" s="395"/>
      <c r="DV1070" s="395"/>
      <c r="DW1070" s="395"/>
      <c r="DX1070" s="395"/>
      <c r="DY1070" s="395"/>
      <c r="DZ1070" s="395"/>
      <c r="EA1070" s="395"/>
      <c r="EB1070" s="392"/>
      <c r="EC1070" s="392"/>
      <c r="ED1070" s="392"/>
      <c r="EE1070" s="392"/>
      <c r="EF1070" s="392"/>
      <c r="EG1070" s="392"/>
      <c r="EH1070" s="392"/>
      <c r="EI1070" s="392"/>
      <c r="EJ1070" s="392"/>
      <c r="EK1070" s="392"/>
      <c r="EL1070" s="392"/>
    </row>
    <row r="1071" spans="3:142" s="182" customFormat="1" x14ac:dyDescent="0.25">
      <c r="C1071" s="395"/>
      <c r="I1071" s="184"/>
      <c r="N1071" s="184"/>
      <c r="O1071" s="184"/>
      <c r="P1071" s="184"/>
      <c r="Q1071" s="184"/>
      <c r="Z1071" s="184"/>
      <c r="AA1071" s="184"/>
      <c r="AJ1071" s="185"/>
      <c r="DU1071" s="395"/>
      <c r="DV1071" s="395"/>
      <c r="DW1071" s="395"/>
      <c r="DX1071" s="395"/>
      <c r="DY1071" s="395"/>
      <c r="DZ1071" s="395"/>
      <c r="EA1071" s="395"/>
      <c r="EB1071" s="392"/>
      <c r="EC1071" s="392"/>
      <c r="ED1071" s="392"/>
      <c r="EE1071" s="392"/>
      <c r="EF1071" s="392"/>
      <c r="EG1071" s="392"/>
      <c r="EH1071" s="392"/>
      <c r="EI1071" s="392"/>
      <c r="EJ1071" s="392"/>
      <c r="EK1071" s="392"/>
      <c r="EL1071" s="392"/>
    </row>
    <row r="1072" spans="3:142" s="182" customFormat="1" x14ac:dyDescent="0.25">
      <c r="C1072" s="395"/>
      <c r="I1072" s="184"/>
      <c r="N1072" s="184"/>
      <c r="O1072" s="184"/>
      <c r="P1072" s="184"/>
      <c r="Q1072" s="184"/>
      <c r="Z1072" s="184"/>
      <c r="AA1072" s="184"/>
      <c r="AJ1072" s="185"/>
      <c r="DU1072" s="395"/>
      <c r="DV1072" s="395"/>
      <c r="DW1072" s="395"/>
      <c r="DX1072" s="395"/>
      <c r="DY1072" s="395"/>
      <c r="DZ1072" s="395"/>
      <c r="EA1072" s="395"/>
      <c r="EB1072" s="392"/>
      <c r="EC1072" s="392"/>
      <c r="ED1072" s="392"/>
      <c r="EE1072" s="392"/>
      <c r="EF1072" s="392"/>
      <c r="EG1072" s="392"/>
      <c r="EH1072" s="392"/>
      <c r="EI1072" s="392"/>
      <c r="EJ1072" s="392"/>
      <c r="EK1072" s="392"/>
      <c r="EL1072" s="392"/>
    </row>
    <row r="1073" spans="3:142" s="182" customFormat="1" x14ac:dyDescent="0.25">
      <c r="C1073" s="395"/>
      <c r="I1073" s="184"/>
      <c r="N1073" s="184"/>
      <c r="O1073" s="184"/>
      <c r="P1073" s="184"/>
      <c r="Q1073" s="184"/>
      <c r="Z1073" s="184"/>
      <c r="AA1073" s="184"/>
      <c r="AJ1073" s="185"/>
      <c r="DU1073" s="395"/>
      <c r="DV1073" s="395"/>
      <c r="DW1073" s="395"/>
      <c r="DX1073" s="395"/>
      <c r="DY1073" s="395"/>
      <c r="DZ1073" s="395"/>
      <c r="EA1073" s="395"/>
      <c r="EB1073" s="392"/>
      <c r="EC1073" s="392"/>
      <c r="ED1073" s="392"/>
      <c r="EE1073" s="392"/>
      <c r="EF1073" s="392"/>
      <c r="EG1073" s="392"/>
      <c r="EH1073" s="392"/>
      <c r="EI1073" s="392"/>
      <c r="EJ1073" s="392"/>
      <c r="EK1073" s="392"/>
      <c r="EL1073" s="392"/>
    </row>
    <row r="1074" spans="3:142" s="182" customFormat="1" x14ac:dyDescent="0.25">
      <c r="C1074" s="395"/>
      <c r="I1074" s="184"/>
      <c r="N1074" s="184"/>
      <c r="O1074" s="184"/>
      <c r="P1074" s="184"/>
      <c r="Q1074" s="184"/>
      <c r="Z1074" s="184"/>
      <c r="AA1074" s="184"/>
      <c r="AJ1074" s="185"/>
      <c r="DU1074" s="395"/>
      <c r="DV1074" s="395"/>
      <c r="DW1074" s="395"/>
      <c r="DX1074" s="395"/>
      <c r="DY1074" s="395"/>
      <c r="DZ1074" s="395"/>
      <c r="EA1074" s="395"/>
      <c r="EB1074" s="392"/>
      <c r="EC1074" s="392"/>
      <c r="ED1074" s="392"/>
      <c r="EE1074" s="392"/>
      <c r="EF1074" s="392"/>
      <c r="EG1074" s="392"/>
      <c r="EH1074" s="392"/>
      <c r="EI1074" s="392"/>
      <c r="EJ1074" s="392"/>
      <c r="EK1074" s="392"/>
      <c r="EL1074" s="392"/>
    </row>
    <row r="1075" spans="3:142" s="182" customFormat="1" x14ac:dyDescent="0.25">
      <c r="C1075" s="395"/>
      <c r="I1075" s="184"/>
      <c r="N1075" s="184"/>
      <c r="O1075" s="184"/>
      <c r="P1075" s="184"/>
      <c r="Q1075" s="184"/>
      <c r="Z1075" s="184"/>
      <c r="AA1075" s="184"/>
      <c r="AJ1075" s="185"/>
      <c r="DU1075" s="395"/>
      <c r="DV1075" s="395"/>
      <c r="DW1075" s="395"/>
      <c r="DX1075" s="395"/>
      <c r="DY1075" s="395"/>
      <c r="DZ1075" s="395"/>
      <c r="EA1075" s="395"/>
      <c r="EB1075" s="392"/>
      <c r="EC1075" s="392"/>
      <c r="ED1075" s="392"/>
      <c r="EE1075" s="392"/>
      <c r="EF1075" s="392"/>
      <c r="EG1075" s="392"/>
      <c r="EH1075" s="392"/>
      <c r="EI1075" s="392"/>
      <c r="EJ1075" s="392"/>
      <c r="EK1075" s="392"/>
      <c r="EL1075" s="392"/>
    </row>
    <row r="1076" spans="3:142" s="182" customFormat="1" x14ac:dyDescent="0.25">
      <c r="C1076" s="395"/>
      <c r="I1076" s="184"/>
      <c r="N1076" s="184"/>
      <c r="O1076" s="184"/>
      <c r="P1076" s="184"/>
      <c r="Q1076" s="184"/>
      <c r="Z1076" s="184"/>
      <c r="AA1076" s="184"/>
      <c r="AJ1076" s="185"/>
      <c r="DU1076" s="395"/>
      <c r="DV1076" s="395"/>
      <c r="DW1076" s="395"/>
      <c r="DX1076" s="395"/>
      <c r="DY1076" s="395"/>
      <c r="DZ1076" s="395"/>
      <c r="EA1076" s="395"/>
      <c r="EB1076" s="392"/>
      <c r="EC1076" s="392"/>
      <c r="ED1076" s="392"/>
      <c r="EE1076" s="392"/>
      <c r="EF1076" s="392"/>
      <c r="EG1076" s="392"/>
      <c r="EH1076" s="392"/>
      <c r="EI1076" s="392"/>
      <c r="EJ1076" s="392"/>
      <c r="EK1076" s="392"/>
      <c r="EL1076" s="392"/>
    </row>
    <row r="1077" spans="3:142" s="182" customFormat="1" x14ac:dyDescent="0.25">
      <c r="C1077" s="395"/>
      <c r="I1077" s="184"/>
      <c r="N1077" s="184"/>
      <c r="O1077" s="184"/>
      <c r="P1077" s="184"/>
      <c r="Q1077" s="184"/>
      <c r="Z1077" s="184"/>
      <c r="AA1077" s="184"/>
      <c r="AJ1077" s="185"/>
      <c r="DU1077" s="395"/>
      <c r="DV1077" s="395"/>
      <c r="DW1077" s="395"/>
      <c r="DX1077" s="395"/>
      <c r="DY1077" s="395"/>
      <c r="DZ1077" s="395"/>
      <c r="EA1077" s="395"/>
      <c r="EB1077" s="392"/>
      <c r="EC1077" s="392"/>
      <c r="ED1077" s="392"/>
      <c r="EE1077" s="392"/>
      <c r="EF1077" s="392"/>
      <c r="EG1077" s="392"/>
      <c r="EH1077" s="392"/>
      <c r="EI1077" s="392"/>
      <c r="EJ1077" s="392"/>
      <c r="EK1077" s="392"/>
      <c r="EL1077" s="392"/>
    </row>
    <row r="1078" spans="3:142" s="182" customFormat="1" x14ac:dyDescent="0.25">
      <c r="C1078" s="395"/>
      <c r="I1078" s="184"/>
      <c r="N1078" s="184"/>
      <c r="O1078" s="184"/>
      <c r="P1078" s="184"/>
      <c r="Q1078" s="184"/>
      <c r="Z1078" s="184"/>
      <c r="AA1078" s="184"/>
      <c r="AJ1078" s="185"/>
      <c r="DU1078" s="395"/>
      <c r="DV1078" s="395"/>
      <c r="DW1078" s="395"/>
      <c r="DX1078" s="395"/>
      <c r="DY1078" s="395"/>
      <c r="DZ1078" s="395"/>
      <c r="EA1078" s="395"/>
      <c r="EB1078" s="392"/>
      <c r="EC1078" s="392"/>
      <c r="ED1078" s="392"/>
      <c r="EE1078" s="392"/>
      <c r="EF1078" s="392"/>
      <c r="EG1078" s="392"/>
      <c r="EH1078" s="392"/>
      <c r="EI1078" s="392"/>
      <c r="EJ1078" s="392"/>
      <c r="EK1078" s="392"/>
      <c r="EL1078" s="392"/>
    </row>
    <row r="1079" spans="3:142" s="182" customFormat="1" x14ac:dyDescent="0.25">
      <c r="C1079" s="395"/>
      <c r="I1079" s="184"/>
      <c r="N1079" s="184"/>
      <c r="O1079" s="184"/>
      <c r="P1079" s="184"/>
      <c r="Q1079" s="184"/>
      <c r="Z1079" s="184"/>
      <c r="AA1079" s="184"/>
      <c r="AJ1079" s="185"/>
      <c r="DU1079" s="395"/>
      <c r="DV1079" s="395"/>
      <c r="DW1079" s="395"/>
      <c r="DX1079" s="395"/>
      <c r="DY1079" s="395"/>
      <c r="DZ1079" s="395"/>
      <c r="EA1079" s="395"/>
      <c r="EB1079" s="392"/>
      <c r="EC1079" s="392"/>
      <c r="ED1079" s="392"/>
      <c r="EE1079" s="392"/>
      <c r="EF1079" s="392"/>
      <c r="EG1079" s="392"/>
      <c r="EH1079" s="392"/>
      <c r="EI1079" s="392"/>
      <c r="EJ1079" s="392"/>
      <c r="EK1079" s="392"/>
      <c r="EL1079" s="392"/>
    </row>
    <row r="1080" spans="3:142" s="182" customFormat="1" x14ac:dyDescent="0.25">
      <c r="C1080" s="395"/>
      <c r="I1080" s="184"/>
      <c r="N1080" s="184"/>
      <c r="O1080" s="184"/>
      <c r="P1080" s="184"/>
      <c r="Q1080" s="184"/>
      <c r="Z1080" s="184"/>
      <c r="AA1080" s="184"/>
      <c r="AJ1080" s="185"/>
      <c r="DU1080" s="395"/>
      <c r="DV1080" s="395"/>
      <c r="DW1080" s="395"/>
      <c r="DX1080" s="395"/>
      <c r="DY1080" s="395"/>
      <c r="DZ1080" s="395"/>
      <c r="EA1080" s="395"/>
      <c r="EB1080" s="392"/>
      <c r="EC1080" s="392"/>
      <c r="ED1080" s="392"/>
      <c r="EE1080" s="392"/>
      <c r="EF1080" s="392"/>
      <c r="EG1080" s="392"/>
      <c r="EH1080" s="392"/>
      <c r="EI1080" s="392"/>
      <c r="EJ1080" s="392"/>
      <c r="EK1080" s="392"/>
      <c r="EL1080" s="392"/>
    </row>
    <row r="1081" spans="3:142" s="182" customFormat="1" x14ac:dyDescent="0.25">
      <c r="C1081" s="395"/>
      <c r="I1081" s="184"/>
      <c r="N1081" s="184"/>
      <c r="O1081" s="184"/>
      <c r="P1081" s="184"/>
      <c r="Q1081" s="184"/>
      <c r="Z1081" s="184"/>
      <c r="AA1081" s="184"/>
      <c r="AJ1081" s="185"/>
      <c r="DU1081" s="395"/>
      <c r="DV1081" s="395"/>
      <c r="DW1081" s="395"/>
      <c r="DX1081" s="395"/>
      <c r="DY1081" s="395"/>
      <c r="DZ1081" s="395"/>
      <c r="EA1081" s="395"/>
      <c r="EB1081" s="392"/>
      <c r="EC1081" s="392"/>
      <c r="ED1081" s="392"/>
      <c r="EE1081" s="392"/>
      <c r="EF1081" s="392"/>
      <c r="EG1081" s="392"/>
      <c r="EH1081" s="392"/>
      <c r="EI1081" s="392"/>
      <c r="EJ1081" s="392"/>
      <c r="EK1081" s="392"/>
      <c r="EL1081" s="392"/>
    </row>
    <row r="1082" spans="3:142" s="182" customFormat="1" x14ac:dyDescent="0.25">
      <c r="C1082" s="395"/>
      <c r="I1082" s="184"/>
      <c r="N1082" s="184"/>
      <c r="O1082" s="184"/>
      <c r="P1082" s="184"/>
      <c r="Q1082" s="184"/>
      <c r="Z1082" s="184"/>
      <c r="AA1082" s="184"/>
      <c r="AJ1082" s="185"/>
      <c r="DU1082" s="395"/>
      <c r="DV1082" s="395"/>
      <c r="DW1082" s="395"/>
      <c r="DX1082" s="395"/>
      <c r="DY1082" s="395"/>
      <c r="DZ1082" s="395"/>
      <c r="EA1082" s="395"/>
      <c r="EB1082" s="392"/>
      <c r="EC1082" s="392"/>
      <c r="ED1082" s="392"/>
      <c r="EE1082" s="392"/>
      <c r="EF1082" s="392"/>
      <c r="EG1082" s="392"/>
      <c r="EH1082" s="392"/>
      <c r="EI1082" s="392"/>
      <c r="EJ1082" s="392"/>
      <c r="EK1082" s="392"/>
      <c r="EL1082" s="392"/>
    </row>
    <row r="1083" spans="3:142" s="182" customFormat="1" x14ac:dyDescent="0.25">
      <c r="C1083" s="395"/>
      <c r="I1083" s="184"/>
      <c r="N1083" s="184"/>
      <c r="O1083" s="184"/>
      <c r="P1083" s="184"/>
      <c r="Q1083" s="184"/>
      <c r="Z1083" s="184"/>
      <c r="AA1083" s="184"/>
      <c r="AJ1083" s="185"/>
      <c r="DU1083" s="395"/>
      <c r="DV1083" s="395"/>
      <c r="DW1083" s="395"/>
      <c r="DX1083" s="395"/>
      <c r="DY1083" s="395"/>
      <c r="DZ1083" s="395"/>
      <c r="EA1083" s="395"/>
      <c r="EB1083" s="392"/>
      <c r="EC1083" s="392"/>
      <c r="ED1083" s="392"/>
      <c r="EE1083" s="392"/>
      <c r="EF1083" s="392"/>
      <c r="EG1083" s="392"/>
      <c r="EH1083" s="392"/>
      <c r="EI1083" s="392"/>
      <c r="EJ1083" s="392"/>
      <c r="EK1083" s="392"/>
      <c r="EL1083" s="392"/>
    </row>
    <row r="1084" spans="3:142" s="182" customFormat="1" x14ac:dyDescent="0.25">
      <c r="C1084" s="395"/>
      <c r="I1084" s="184"/>
      <c r="N1084" s="184"/>
      <c r="O1084" s="184"/>
      <c r="P1084" s="184"/>
      <c r="Q1084" s="184"/>
      <c r="Z1084" s="184"/>
      <c r="AA1084" s="184"/>
      <c r="AJ1084" s="185"/>
      <c r="DU1084" s="395"/>
      <c r="DV1084" s="395"/>
      <c r="DW1084" s="395"/>
      <c r="DX1084" s="395"/>
      <c r="DY1084" s="395"/>
      <c r="DZ1084" s="395"/>
      <c r="EA1084" s="395"/>
      <c r="EB1084" s="392"/>
      <c r="EC1084" s="392"/>
      <c r="ED1084" s="392"/>
      <c r="EE1084" s="392"/>
      <c r="EF1084" s="392"/>
      <c r="EG1084" s="392"/>
      <c r="EH1084" s="392"/>
      <c r="EI1084" s="392"/>
      <c r="EJ1084" s="392"/>
      <c r="EK1084" s="392"/>
      <c r="EL1084" s="392"/>
    </row>
    <row r="1085" spans="3:142" s="182" customFormat="1" x14ac:dyDescent="0.25">
      <c r="C1085" s="395"/>
      <c r="I1085" s="184"/>
      <c r="N1085" s="184"/>
      <c r="O1085" s="184"/>
      <c r="P1085" s="184"/>
      <c r="Q1085" s="184"/>
      <c r="Z1085" s="184"/>
      <c r="AA1085" s="184"/>
      <c r="AJ1085" s="185"/>
      <c r="DU1085" s="395"/>
      <c r="DV1085" s="395"/>
      <c r="DW1085" s="395"/>
      <c r="DX1085" s="395"/>
      <c r="DY1085" s="395"/>
      <c r="DZ1085" s="395"/>
      <c r="EA1085" s="395"/>
      <c r="EB1085" s="392"/>
      <c r="EC1085" s="392"/>
      <c r="ED1085" s="392"/>
      <c r="EE1085" s="392"/>
      <c r="EF1085" s="392"/>
      <c r="EG1085" s="392"/>
      <c r="EH1085" s="392"/>
      <c r="EI1085" s="392"/>
      <c r="EJ1085" s="392"/>
      <c r="EK1085" s="392"/>
      <c r="EL1085" s="392"/>
    </row>
    <row r="1086" spans="3:142" s="182" customFormat="1" x14ac:dyDescent="0.25">
      <c r="C1086" s="395"/>
      <c r="I1086" s="184"/>
      <c r="N1086" s="184"/>
      <c r="O1086" s="184"/>
      <c r="P1086" s="184"/>
      <c r="Q1086" s="184"/>
      <c r="Z1086" s="184"/>
      <c r="AA1086" s="184"/>
      <c r="AJ1086" s="185"/>
      <c r="DU1086" s="395"/>
      <c r="DV1086" s="395"/>
      <c r="DW1086" s="395"/>
      <c r="DX1086" s="395"/>
      <c r="DY1086" s="395"/>
      <c r="DZ1086" s="395"/>
      <c r="EA1086" s="395"/>
      <c r="EB1086" s="392"/>
      <c r="EC1086" s="392"/>
      <c r="ED1086" s="392"/>
      <c r="EE1086" s="392"/>
      <c r="EF1086" s="392"/>
      <c r="EG1086" s="392"/>
      <c r="EH1086" s="392"/>
      <c r="EI1086" s="392"/>
      <c r="EJ1086" s="392"/>
      <c r="EK1086" s="392"/>
      <c r="EL1086" s="392"/>
    </row>
    <row r="1087" spans="3:142" s="182" customFormat="1" x14ac:dyDescent="0.25">
      <c r="C1087" s="395"/>
      <c r="I1087" s="184"/>
      <c r="N1087" s="184"/>
      <c r="O1087" s="184"/>
      <c r="P1087" s="184"/>
      <c r="Q1087" s="184"/>
      <c r="Z1087" s="184"/>
      <c r="AA1087" s="184"/>
      <c r="AJ1087" s="185"/>
      <c r="DU1087" s="395"/>
      <c r="DV1087" s="395"/>
      <c r="DW1087" s="395"/>
      <c r="DX1087" s="395"/>
      <c r="DY1087" s="395"/>
      <c r="DZ1087" s="395"/>
      <c r="EA1087" s="395"/>
      <c r="EB1087" s="392"/>
      <c r="EC1087" s="392"/>
      <c r="ED1087" s="392"/>
      <c r="EE1087" s="392"/>
      <c r="EF1087" s="392"/>
      <c r="EG1087" s="392"/>
      <c r="EH1087" s="392"/>
      <c r="EI1087" s="392"/>
      <c r="EJ1087" s="392"/>
      <c r="EK1087" s="392"/>
      <c r="EL1087" s="392"/>
    </row>
    <row r="1088" spans="3:142" s="182" customFormat="1" x14ac:dyDescent="0.25">
      <c r="C1088" s="395"/>
      <c r="I1088" s="184"/>
      <c r="N1088" s="184"/>
      <c r="O1088" s="184"/>
      <c r="P1088" s="184"/>
      <c r="Q1088" s="184"/>
      <c r="Z1088" s="184"/>
      <c r="AA1088" s="184"/>
      <c r="AJ1088" s="185"/>
      <c r="DU1088" s="395"/>
      <c r="DV1088" s="395"/>
      <c r="DW1088" s="395"/>
      <c r="DX1088" s="395"/>
      <c r="DY1088" s="395"/>
      <c r="DZ1088" s="395"/>
      <c r="EA1088" s="395"/>
      <c r="EB1088" s="392"/>
      <c r="EC1088" s="392"/>
      <c r="ED1088" s="392"/>
      <c r="EE1088" s="392"/>
      <c r="EF1088" s="392"/>
      <c r="EG1088" s="392"/>
      <c r="EH1088" s="392"/>
      <c r="EI1088" s="392"/>
      <c r="EJ1088" s="392"/>
      <c r="EK1088" s="392"/>
      <c r="EL1088" s="392"/>
    </row>
    <row r="1089" spans="3:142" s="182" customFormat="1" x14ac:dyDescent="0.25">
      <c r="C1089" s="395"/>
      <c r="I1089" s="184"/>
      <c r="N1089" s="184"/>
      <c r="O1089" s="184"/>
      <c r="P1089" s="184"/>
      <c r="Q1089" s="184"/>
      <c r="Z1089" s="184"/>
      <c r="AA1089" s="184"/>
      <c r="AJ1089" s="185"/>
      <c r="DU1089" s="395"/>
      <c r="DV1089" s="395"/>
      <c r="DW1089" s="395"/>
      <c r="DX1089" s="395"/>
      <c r="DY1089" s="395"/>
      <c r="DZ1089" s="395"/>
      <c r="EA1089" s="395"/>
      <c r="EB1089" s="392"/>
      <c r="EC1089" s="392"/>
      <c r="ED1089" s="392"/>
      <c r="EE1089" s="392"/>
      <c r="EF1089" s="392"/>
      <c r="EG1089" s="392"/>
      <c r="EH1089" s="392"/>
      <c r="EI1089" s="392"/>
      <c r="EJ1089" s="392"/>
      <c r="EK1089" s="392"/>
      <c r="EL1089" s="392"/>
    </row>
    <row r="1090" spans="3:142" s="182" customFormat="1" x14ac:dyDescent="0.25">
      <c r="C1090" s="395"/>
      <c r="I1090" s="184"/>
      <c r="N1090" s="184"/>
      <c r="O1090" s="184"/>
      <c r="P1090" s="184"/>
      <c r="Q1090" s="184"/>
      <c r="Z1090" s="184"/>
      <c r="AA1090" s="184"/>
      <c r="AJ1090" s="185"/>
      <c r="DU1090" s="395"/>
      <c r="DV1090" s="395"/>
      <c r="DW1090" s="395"/>
      <c r="DX1090" s="395"/>
      <c r="DY1090" s="395"/>
      <c r="DZ1090" s="395"/>
      <c r="EA1090" s="395"/>
      <c r="EB1090" s="392"/>
      <c r="EC1090" s="392"/>
      <c r="ED1090" s="392"/>
      <c r="EE1090" s="392"/>
      <c r="EF1090" s="392"/>
      <c r="EG1090" s="392"/>
      <c r="EH1090" s="392"/>
      <c r="EI1090" s="392"/>
      <c r="EJ1090" s="392"/>
      <c r="EK1090" s="392"/>
      <c r="EL1090" s="392"/>
    </row>
    <row r="1091" spans="3:142" s="182" customFormat="1" x14ac:dyDescent="0.25">
      <c r="C1091" s="395"/>
      <c r="I1091" s="184"/>
      <c r="N1091" s="184"/>
      <c r="O1091" s="184"/>
      <c r="P1091" s="184"/>
      <c r="Q1091" s="184"/>
      <c r="Z1091" s="184"/>
      <c r="AA1091" s="184"/>
      <c r="AJ1091" s="185"/>
      <c r="DU1091" s="395"/>
      <c r="DV1091" s="395"/>
      <c r="DW1091" s="395"/>
      <c r="DX1091" s="395"/>
      <c r="DY1091" s="395"/>
      <c r="DZ1091" s="395"/>
      <c r="EA1091" s="395"/>
      <c r="EB1091" s="392"/>
      <c r="EC1091" s="392"/>
      <c r="ED1091" s="392"/>
      <c r="EE1091" s="392"/>
      <c r="EF1091" s="392"/>
      <c r="EG1091" s="392"/>
      <c r="EH1091" s="392"/>
      <c r="EI1091" s="392"/>
      <c r="EJ1091" s="392"/>
      <c r="EK1091" s="392"/>
      <c r="EL1091" s="392"/>
    </row>
    <row r="1092" spans="3:142" s="182" customFormat="1" x14ac:dyDescent="0.25">
      <c r="C1092" s="395"/>
      <c r="I1092" s="184"/>
      <c r="N1092" s="184"/>
      <c r="O1092" s="184"/>
      <c r="P1092" s="184"/>
      <c r="Q1092" s="184"/>
      <c r="Z1092" s="184"/>
      <c r="AA1092" s="184"/>
      <c r="AJ1092" s="185"/>
      <c r="DU1092" s="395"/>
      <c r="DV1092" s="395"/>
      <c r="DW1092" s="395"/>
      <c r="DX1092" s="395"/>
      <c r="DY1092" s="395"/>
      <c r="DZ1092" s="395"/>
      <c r="EA1092" s="395"/>
      <c r="EB1092" s="392"/>
      <c r="EC1092" s="392"/>
      <c r="ED1092" s="392"/>
      <c r="EE1092" s="392"/>
      <c r="EF1092" s="392"/>
      <c r="EG1092" s="392"/>
      <c r="EH1092" s="392"/>
      <c r="EI1092" s="392"/>
      <c r="EJ1092" s="392"/>
      <c r="EK1092" s="392"/>
      <c r="EL1092" s="392"/>
    </row>
    <row r="1093" spans="3:142" s="182" customFormat="1" x14ac:dyDescent="0.25">
      <c r="C1093" s="395"/>
      <c r="I1093" s="184"/>
      <c r="N1093" s="184"/>
      <c r="O1093" s="184"/>
      <c r="P1093" s="184"/>
      <c r="Q1093" s="184"/>
      <c r="Z1093" s="184"/>
      <c r="AA1093" s="184"/>
      <c r="AJ1093" s="185"/>
      <c r="DU1093" s="395"/>
      <c r="DV1093" s="395"/>
      <c r="DW1093" s="395"/>
      <c r="DX1093" s="395"/>
      <c r="DY1093" s="395"/>
      <c r="DZ1093" s="395"/>
      <c r="EA1093" s="395"/>
      <c r="EB1093" s="392"/>
      <c r="EC1093" s="392"/>
      <c r="ED1093" s="392"/>
      <c r="EE1093" s="392"/>
      <c r="EF1093" s="392"/>
      <c r="EG1093" s="392"/>
      <c r="EH1093" s="392"/>
      <c r="EI1093" s="392"/>
      <c r="EJ1093" s="392"/>
      <c r="EK1093" s="392"/>
      <c r="EL1093" s="392"/>
    </row>
    <row r="1094" spans="3:142" s="182" customFormat="1" x14ac:dyDescent="0.25">
      <c r="C1094" s="395"/>
      <c r="I1094" s="184"/>
      <c r="N1094" s="184"/>
      <c r="O1094" s="184"/>
      <c r="P1094" s="184"/>
      <c r="Q1094" s="184"/>
      <c r="Z1094" s="184"/>
      <c r="AA1094" s="184"/>
      <c r="AJ1094" s="185"/>
      <c r="DU1094" s="395"/>
      <c r="DV1094" s="395"/>
      <c r="DW1094" s="395"/>
      <c r="DX1094" s="395"/>
      <c r="DY1094" s="395"/>
      <c r="DZ1094" s="395"/>
      <c r="EA1094" s="395"/>
      <c r="EB1094" s="392"/>
      <c r="EC1094" s="392"/>
      <c r="ED1094" s="392"/>
      <c r="EE1094" s="392"/>
      <c r="EF1094" s="392"/>
      <c r="EG1094" s="392"/>
      <c r="EH1094" s="392"/>
      <c r="EI1094" s="392"/>
      <c r="EJ1094" s="392"/>
      <c r="EK1094" s="392"/>
      <c r="EL1094" s="392"/>
    </row>
    <row r="1095" spans="3:142" s="182" customFormat="1" x14ac:dyDescent="0.25">
      <c r="C1095" s="395"/>
      <c r="I1095" s="184"/>
      <c r="N1095" s="184"/>
      <c r="O1095" s="184"/>
      <c r="P1095" s="184"/>
      <c r="Q1095" s="184"/>
      <c r="Z1095" s="184"/>
      <c r="AA1095" s="184"/>
      <c r="AJ1095" s="185"/>
      <c r="DU1095" s="395"/>
      <c r="DV1095" s="395"/>
      <c r="DW1095" s="395"/>
      <c r="DX1095" s="395"/>
      <c r="DY1095" s="395"/>
      <c r="DZ1095" s="395"/>
      <c r="EA1095" s="395"/>
      <c r="EB1095" s="392"/>
      <c r="EC1095" s="392"/>
      <c r="ED1095" s="392"/>
      <c r="EE1095" s="392"/>
      <c r="EF1095" s="392"/>
      <c r="EG1095" s="392"/>
      <c r="EH1095" s="392"/>
      <c r="EI1095" s="392"/>
      <c r="EJ1095" s="392"/>
      <c r="EK1095" s="392"/>
      <c r="EL1095" s="392"/>
    </row>
    <row r="1096" spans="3:142" s="182" customFormat="1" x14ac:dyDescent="0.25">
      <c r="C1096" s="395"/>
      <c r="I1096" s="184"/>
      <c r="N1096" s="184"/>
      <c r="O1096" s="184"/>
      <c r="P1096" s="184"/>
      <c r="Q1096" s="184"/>
      <c r="Z1096" s="184"/>
      <c r="AA1096" s="184"/>
      <c r="AJ1096" s="185"/>
      <c r="DU1096" s="395"/>
      <c r="DV1096" s="395"/>
      <c r="DW1096" s="395"/>
      <c r="DX1096" s="395"/>
      <c r="DY1096" s="395"/>
      <c r="DZ1096" s="395"/>
      <c r="EA1096" s="395"/>
      <c r="EB1096" s="392"/>
      <c r="EC1096" s="392"/>
      <c r="ED1096" s="392"/>
      <c r="EE1096" s="392"/>
      <c r="EF1096" s="392"/>
      <c r="EG1096" s="392"/>
      <c r="EH1096" s="392"/>
      <c r="EI1096" s="392"/>
      <c r="EJ1096" s="392"/>
      <c r="EK1096" s="392"/>
      <c r="EL1096" s="392"/>
    </row>
    <row r="1097" spans="3:142" s="182" customFormat="1" x14ac:dyDescent="0.25">
      <c r="C1097" s="395"/>
      <c r="I1097" s="184"/>
      <c r="N1097" s="184"/>
      <c r="O1097" s="184"/>
      <c r="P1097" s="184"/>
      <c r="Q1097" s="184"/>
      <c r="Z1097" s="184"/>
      <c r="AA1097" s="184"/>
      <c r="AJ1097" s="185"/>
      <c r="DU1097" s="395"/>
      <c r="DV1097" s="395"/>
      <c r="DW1097" s="395"/>
      <c r="DX1097" s="395"/>
      <c r="DY1097" s="395"/>
      <c r="DZ1097" s="395"/>
      <c r="EA1097" s="395"/>
      <c r="EB1097" s="392"/>
      <c r="EC1097" s="392"/>
      <c r="ED1097" s="392"/>
      <c r="EE1097" s="392"/>
      <c r="EF1097" s="392"/>
      <c r="EG1097" s="392"/>
      <c r="EH1097" s="392"/>
      <c r="EI1097" s="392"/>
      <c r="EJ1097" s="392"/>
      <c r="EK1097" s="392"/>
      <c r="EL1097" s="392"/>
    </row>
    <row r="1098" spans="3:142" s="182" customFormat="1" x14ac:dyDescent="0.25">
      <c r="C1098" s="395"/>
      <c r="I1098" s="184"/>
      <c r="N1098" s="184"/>
      <c r="O1098" s="184"/>
      <c r="P1098" s="184"/>
      <c r="Q1098" s="184"/>
      <c r="Z1098" s="184"/>
      <c r="AA1098" s="184"/>
      <c r="AJ1098" s="185"/>
      <c r="DU1098" s="395"/>
      <c r="DV1098" s="395"/>
      <c r="DW1098" s="395"/>
      <c r="DX1098" s="395"/>
      <c r="DY1098" s="395"/>
      <c r="DZ1098" s="395"/>
      <c r="EA1098" s="395"/>
      <c r="EB1098" s="392"/>
      <c r="EC1098" s="392"/>
      <c r="ED1098" s="392"/>
      <c r="EE1098" s="392"/>
      <c r="EF1098" s="392"/>
      <c r="EG1098" s="392"/>
      <c r="EH1098" s="392"/>
      <c r="EI1098" s="392"/>
      <c r="EJ1098" s="392"/>
      <c r="EK1098" s="392"/>
      <c r="EL1098" s="392"/>
    </row>
    <row r="1099" spans="3:142" s="182" customFormat="1" x14ac:dyDescent="0.25">
      <c r="C1099" s="395"/>
      <c r="I1099" s="184"/>
      <c r="N1099" s="184"/>
      <c r="O1099" s="184"/>
      <c r="P1099" s="184"/>
      <c r="Q1099" s="184"/>
      <c r="Z1099" s="184"/>
      <c r="AA1099" s="184"/>
      <c r="AJ1099" s="185"/>
      <c r="DU1099" s="395"/>
      <c r="DV1099" s="395"/>
      <c r="DW1099" s="395"/>
      <c r="DX1099" s="395"/>
      <c r="DY1099" s="395"/>
      <c r="DZ1099" s="395"/>
      <c r="EA1099" s="395"/>
      <c r="EB1099" s="392"/>
      <c r="EC1099" s="392"/>
      <c r="ED1099" s="392"/>
      <c r="EE1099" s="392"/>
      <c r="EF1099" s="392"/>
      <c r="EG1099" s="392"/>
      <c r="EH1099" s="392"/>
      <c r="EI1099" s="392"/>
      <c r="EJ1099" s="392"/>
      <c r="EK1099" s="392"/>
      <c r="EL1099" s="392"/>
    </row>
    <row r="1100" spans="3:142" s="182" customFormat="1" x14ac:dyDescent="0.25">
      <c r="C1100" s="395"/>
      <c r="I1100" s="184"/>
      <c r="N1100" s="184"/>
      <c r="O1100" s="184"/>
      <c r="P1100" s="184"/>
      <c r="Q1100" s="184"/>
      <c r="Z1100" s="184"/>
      <c r="AA1100" s="184"/>
      <c r="AJ1100" s="185"/>
      <c r="DU1100" s="395"/>
      <c r="DV1100" s="395"/>
      <c r="DW1100" s="395"/>
      <c r="DX1100" s="395"/>
      <c r="DY1100" s="395"/>
      <c r="DZ1100" s="395"/>
      <c r="EA1100" s="395"/>
      <c r="EB1100" s="392"/>
      <c r="EC1100" s="392"/>
      <c r="ED1100" s="392"/>
      <c r="EE1100" s="392"/>
      <c r="EF1100" s="392"/>
      <c r="EG1100" s="392"/>
      <c r="EH1100" s="392"/>
      <c r="EI1100" s="392"/>
      <c r="EJ1100" s="392"/>
      <c r="EK1100" s="392"/>
      <c r="EL1100" s="392"/>
    </row>
    <row r="1101" spans="3:142" s="182" customFormat="1" x14ac:dyDescent="0.25">
      <c r="C1101" s="395"/>
      <c r="I1101" s="184"/>
      <c r="N1101" s="184"/>
      <c r="O1101" s="184"/>
      <c r="P1101" s="184"/>
      <c r="Q1101" s="184"/>
      <c r="Z1101" s="184"/>
      <c r="AA1101" s="184"/>
      <c r="AJ1101" s="185"/>
      <c r="DU1101" s="395"/>
      <c r="DV1101" s="395"/>
      <c r="DW1101" s="395"/>
      <c r="DX1101" s="395"/>
      <c r="DY1101" s="395"/>
      <c r="DZ1101" s="395"/>
      <c r="EA1101" s="395"/>
      <c r="EB1101" s="392"/>
      <c r="EC1101" s="392"/>
      <c r="ED1101" s="392"/>
      <c r="EE1101" s="392"/>
      <c r="EF1101" s="392"/>
      <c r="EG1101" s="392"/>
      <c r="EH1101" s="392"/>
      <c r="EI1101" s="392"/>
      <c r="EJ1101" s="392"/>
      <c r="EK1101" s="392"/>
      <c r="EL1101" s="392"/>
    </row>
    <row r="1102" spans="3:142" s="182" customFormat="1" x14ac:dyDescent="0.25">
      <c r="C1102" s="395"/>
      <c r="I1102" s="184"/>
      <c r="N1102" s="184"/>
      <c r="O1102" s="184"/>
      <c r="P1102" s="184"/>
      <c r="Q1102" s="184"/>
      <c r="Z1102" s="184"/>
      <c r="AA1102" s="184"/>
      <c r="AJ1102" s="185"/>
      <c r="DU1102" s="395"/>
      <c r="DV1102" s="395"/>
      <c r="DW1102" s="395"/>
      <c r="DX1102" s="395"/>
      <c r="DY1102" s="395"/>
      <c r="DZ1102" s="395"/>
      <c r="EA1102" s="395"/>
      <c r="EB1102" s="392"/>
      <c r="EC1102" s="392"/>
      <c r="ED1102" s="392"/>
      <c r="EE1102" s="392"/>
      <c r="EF1102" s="392"/>
      <c r="EG1102" s="392"/>
      <c r="EH1102" s="392"/>
      <c r="EI1102" s="392"/>
      <c r="EJ1102" s="392"/>
      <c r="EK1102" s="392"/>
      <c r="EL1102" s="392"/>
    </row>
    <row r="1103" spans="3:142" s="182" customFormat="1" x14ac:dyDescent="0.25">
      <c r="C1103" s="395"/>
      <c r="I1103" s="184"/>
      <c r="N1103" s="184"/>
      <c r="O1103" s="184"/>
      <c r="P1103" s="184"/>
      <c r="Q1103" s="184"/>
      <c r="Z1103" s="184"/>
      <c r="AA1103" s="184"/>
      <c r="AJ1103" s="185"/>
      <c r="DU1103" s="395"/>
      <c r="DV1103" s="395"/>
      <c r="DW1103" s="395"/>
      <c r="DX1103" s="395"/>
      <c r="DY1103" s="395"/>
      <c r="DZ1103" s="395"/>
      <c r="EA1103" s="395"/>
      <c r="EB1103" s="392"/>
      <c r="EC1103" s="392"/>
      <c r="ED1103" s="392"/>
      <c r="EE1103" s="392"/>
      <c r="EF1103" s="392"/>
      <c r="EG1103" s="392"/>
      <c r="EH1103" s="392"/>
      <c r="EI1103" s="392"/>
      <c r="EJ1103" s="392"/>
      <c r="EK1103" s="392"/>
      <c r="EL1103" s="392"/>
    </row>
    <row r="1104" spans="3:142" s="182" customFormat="1" x14ac:dyDescent="0.25">
      <c r="C1104" s="395"/>
      <c r="I1104" s="184"/>
      <c r="N1104" s="184"/>
      <c r="O1104" s="184"/>
      <c r="P1104" s="184"/>
      <c r="Q1104" s="184"/>
      <c r="Z1104" s="184"/>
      <c r="AA1104" s="184"/>
      <c r="AJ1104" s="185"/>
      <c r="DU1104" s="395"/>
      <c r="DV1104" s="395"/>
      <c r="DW1104" s="395"/>
      <c r="DX1104" s="395"/>
      <c r="DY1104" s="395"/>
      <c r="DZ1104" s="395"/>
      <c r="EA1104" s="395"/>
      <c r="EB1104" s="392"/>
      <c r="EC1104" s="392"/>
      <c r="ED1104" s="392"/>
      <c r="EE1104" s="392"/>
      <c r="EF1104" s="392"/>
      <c r="EG1104" s="392"/>
      <c r="EH1104" s="392"/>
      <c r="EI1104" s="392"/>
      <c r="EJ1104" s="392"/>
      <c r="EK1104" s="392"/>
      <c r="EL1104" s="392"/>
    </row>
    <row r="1105" spans="3:142" s="182" customFormat="1" x14ac:dyDescent="0.25">
      <c r="C1105" s="395"/>
      <c r="I1105" s="184"/>
      <c r="N1105" s="184"/>
      <c r="O1105" s="184"/>
      <c r="P1105" s="184"/>
      <c r="Q1105" s="184"/>
      <c r="Z1105" s="184"/>
      <c r="AA1105" s="184"/>
      <c r="AJ1105" s="185"/>
      <c r="DU1105" s="395"/>
      <c r="DV1105" s="395"/>
      <c r="DW1105" s="395"/>
      <c r="DX1105" s="395"/>
      <c r="DY1105" s="395"/>
      <c r="DZ1105" s="395"/>
      <c r="EA1105" s="395"/>
      <c r="EB1105" s="392"/>
      <c r="EC1105" s="392"/>
      <c r="ED1105" s="392"/>
      <c r="EE1105" s="392"/>
      <c r="EF1105" s="392"/>
      <c r="EG1105" s="392"/>
      <c r="EH1105" s="392"/>
      <c r="EI1105" s="392"/>
      <c r="EJ1105" s="392"/>
      <c r="EK1105" s="392"/>
      <c r="EL1105" s="392"/>
    </row>
    <row r="1106" spans="3:142" s="182" customFormat="1" x14ac:dyDescent="0.25">
      <c r="C1106" s="395"/>
      <c r="I1106" s="184"/>
      <c r="N1106" s="184"/>
      <c r="O1106" s="184"/>
      <c r="P1106" s="184"/>
      <c r="Q1106" s="184"/>
      <c r="Z1106" s="184"/>
      <c r="AA1106" s="184"/>
      <c r="AJ1106" s="185"/>
      <c r="DU1106" s="395"/>
      <c r="DV1106" s="395"/>
      <c r="DW1106" s="395"/>
      <c r="DX1106" s="395"/>
      <c r="DY1106" s="395"/>
      <c r="DZ1106" s="395"/>
      <c r="EA1106" s="395"/>
      <c r="EB1106" s="392"/>
      <c r="EC1106" s="392"/>
      <c r="ED1106" s="392"/>
      <c r="EE1106" s="392"/>
      <c r="EF1106" s="392"/>
      <c r="EG1106" s="392"/>
      <c r="EH1106" s="392"/>
      <c r="EI1106" s="392"/>
      <c r="EJ1106" s="392"/>
      <c r="EK1106" s="392"/>
      <c r="EL1106" s="392"/>
    </row>
    <row r="1107" spans="3:142" s="182" customFormat="1" x14ac:dyDescent="0.25">
      <c r="C1107" s="395"/>
      <c r="I1107" s="184"/>
      <c r="N1107" s="184"/>
      <c r="O1107" s="184"/>
      <c r="P1107" s="184"/>
      <c r="Q1107" s="184"/>
      <c r="Z1107" s="184"/>
      <c r="AA1107" s="184"/>
      <c r="AJ1107" s="185"/>
      <c r="DU1107" s="395"/>
      <c r="DV1107" s="395"/>
      <c r="DW1107" s="395"/>
      <c r="DX1107" s="395"/>
      <c r="DY1107" s="395"/>
      <c r="DZ1107" s="395"/>
      <c r="EA1107" s="395"/>
      <c r="EB1107" s="392"/>
      <c r="EC1107" s="392"/>
      <c r="ED1107" s="392"/>
      <c r="EE1107" s="392"/>
      <c r="EF1107" s="392"/>
      <c r="EG1107" s="392"/>
      <c r="EH1107" s="392"/>
      <c r="EI1107" s="392"/>
      <c r="EJ1107" s="392"/>
      <c r="EK1107" s="392"/>
      <c r="EL1107" s="392"/>
    </row>
  </sheetData>
  <sheetProtection password="CFC3" sheet="1" objects="1"/>
  <mergeCells count="142">
    <mergeCell ref="HS6:HT7"/>
    <mergeCell ref="X12:X13"/>
    <mergeCell ref="H12:H13"/>
    <mergeCell ref="P2:T2"/>
    <mergeCell ref="P3:T3"/>
    <mergeCell ref="P4:Q4"/>
    <mergeCell ref="R4:S4"/>
    <mergeCell ref="R16:S16"/>
    <mergeCell ref="N19:O19"/>
    <mergeCell ref="P16:Q16"/>
    <mergeCell ref="P14:Q14"/>
    <mergeCell ref="I12:I13"/>
    <mergeCell ref="N14:O14"/>
    <mergeCell ref="N15:O15"/>
    <mergeCell ref="N16:O16"/>
    <mergeCell ref="R5:S5"/>
    <mergeCell ref="HP6:HR7"/>
    <mergeCell ref="R15:S15"/>
    <mergeCell ref="T12:T13"/>
    <mergeCell ref="AE11:AF11"/>
    <mergeCell ref="T8:V9"/>
    <mergeCell ref="W8:X9"/>
    <mergeCell ref="R6:T6"/>
    <mergeCell ref="R7:T7"/>
    <mergeCell ref="E12:E13"/>
    <mergeCell ref="G12:G13"/>
    <mergeCell ref="N12:O13"/>
    <mergeCell ref="I11:J11"/>
    <mergeCell ref="K11:L11"/>
    <mergeCell ref="N7:O7"/>
    <mergeCell ref="N6:O6"/>
    <mergeCell ref="F5:F6"/>
    <mergeCell ref="N30:Q30"/>
    <mergeCell ref="N27:O27"/>
    <mergeCell ref="G38:I39"/>
    <mergeCell ref="G36:I36"/>
    <mergeCell ref="E33:I33"/>
    <mergeCell ref="N26:O26"/>
    <mergeCell ref="N25:O25"/>
    <mergeCell ref="AG11:AH11"/>
    <mergeCell ref="P24:Q24"/>
    <mergeCell ref="P18:Q18"/>
    <mergeCell ref="R14:S14"/>
    <mergeCell ref="V17:W17"/>
    <mergeCell ref="R20:S20"/>
    <mergeCell ref="P15:Q15"/>
    <mergeCell ref="P17:Q17"/>
    <mergeCell ref="N24:O24"/>
    <mergeCell ref="P20:Q20"/>
    <mergeCell ref="N17:O17"/>
    <mergeCell ref="P19:Q19"/>
    <mergeCell ref="N18:O18"/>
    <mergeCell ref="P22:Q22"/>
    <mergeCell ref="R17:S17"/>
    <mergeCell ref="R18:S18"/>
    <mergeCell ref="R30:T30"/>
    <mergeCell ref="V25:W25"/>
    <mergeCell ref="V21:W21"/>
    <mergeCell ref="E272:I272"/>
    <mergeCell ref="P21:Q21"/>
    <mergeCell ref="E53:G53"/>
    <mergeCell ref="E50:G50"/>
    <mergeCell ref="E30:I30"/>
    <mergeCell ref="G37:I37"/>
    <mergeCell ref="E48:G48"/>
    <mergeCell ref="E49:G49"/>
    <mergeCell ref="E32:I32"/>
    <mergeCell ref="I199:Q199"/>
    <mergeCell ref="P25:Q25"/>
    <mergeCell ref="E140:I140"/>
    <mergeCell ref="E31:I31"/>
    <mergeCell ref="E34:I34"/>
    <mergeCell ref="E52:G52"/>
    <mergeCell ref="E139:I139"/>
    <mergeCell ref="E138:I138"/>
    <mergeCell ref="E91:J91"/>
    <mergeCell ref="E87:J87"/>
    <mergeCell ref="E83:J83"/>
    <mergeCell ref="E51:G51"/>
    <mergeCell ref="N236:P236"/>
    <mergeCell ref="E54:G54"/>
    <mergeCell ref="P23:Q23"/>
    <mergeCell ref="X144:X146"/>
    <mergeCell ref="AA56:AE56"/>
    <mergeCell ref="AF59:AG59"/>
    <mergeCell ref="AF57:AG57"/>
    <mergeCell ref="V191:W193"/>
    <mergeCell ref="E94:J94"/>
    <mergeCell ref="E89:J89"/>
    <mergeCell ref="E95:J95"/>
    <mergeCell ref="AF58:AG58"/>
    <mergeCell ref="AA59:AE59"/>
    <mergeCell ref="E68:X70"/>
    <mergeCell ref="AA58:AE58"/>
    <mergeCell ref="E79:J79"/>
    <mergeCell ref="E93:J93"/>
    <mergeCell ref="X191:X193"/>
    <mergeCell ref="P132:X132"/>
    <mergeCell ref="E84:J84"/>
    <mergeCell ref="E88:J88"/>
    <mergeCell ref="E86:J86"/>
    <mergeCell ref="E81:J81"/>
    <mergeCell ref="E80:J80"/>
    <mergeCell ref="AA57:AE57"/>
    <mergeCell ref="AA55:AE55"/>
    <mergeCell ref="AF56:AG56"/>
    <mergeCell ref="AF55:AG55"/>
    <mergeCell ref="M2:O2"/>
    <mergeCell ref="M3:O3"/>
    <mergeCell ref="M4:O4"/>
    <mergeCell ref="Q270:T270"/>
    <mergeCell ref="M270:P270"/>
    <mergeCell ref="M5:O5"/>
    <mergeCell ref="P5:Q5"/>
    <mergeCell ref="N20:O20"/>
    <mergeCell ref="M6:M7"/>
    <mergeCell ref="I198:Q198"/>
    <mergeCell ref="R21:S21"/>
    <mergeCell ref="P26:Q26"/>
    <mergeCell ref="R25:S25"/>
    <mergeCell ref="N21:O21"/>
    <mergeCell ref="N22:O22"/>
    <mergeCell ref="R19:S19"/>
    <mergeCell ref="R23:S23"/>
    <mergeCell ref="R22:S22"/>
    <mergeCell ref="R24:S24"/>
    <mergeCell ref="N23:O23"/>
    <mergeCell ref="R26:S26"/>
    <mergeCell ref="V26:W26"/>
    <mergeCell ref="P27:Q27"/>
    <mergeCell ref="V19:W19"/>
    <mergeCell ref="V12:W13"/>
    <mergeCell ref="V16:W16"/>
    <mergeCell ref="V14:W14"/>
    <mergeCell ref="V23:W23"/>
    <mergeCell ref="V18:W18"/>
    <mergeCell ref="V24:W24"/>
    <mergeCell ref="V22:W22"/>
    <mergeCell ref="V20:W20"/>
    <mergeCell ref="V15:W15"/>
    <mergeCell ref="P12:Q13"/>
    <mergeCell ref="R12:S13"/>
  </mergeCells>
  <phoneticPr fontId="18" type="noConversion"/>
  <conditionalFormatting sqref="F7:F10 H10">
    <cfRule type="expression" dxfId="32" priority="28" stopIfTrue="1">
      <formula>$AJ$13&gt;0</formula>
    </cfRule>
  </conditionalFormatting>
  <conditionalFormatting sqref="H14:H25">
    <cfRule type="expression" dxfId="31" priority="12" stopIfTrue="1">
      <formula>$AA$7=0</formula>
    </cfRule>
  </conditionalFormatting>
  <conditionalFormatting sqref="H26">
    <cfRule type="expression" dxfId="30" priority="2" stopIfTrue="1">
      <formula>$AA$7=0</formula>
    </cfRule>
  </conditionalFormatting>
  <conditionalFormatting sqref="J14:J25">
    <cfRule type="expression" dxfId="29" priority="26" stopIfTrue="1">
      <formula>$AF$14&gt;$I$14</formula>
    </cfRule>
  </conditionalFormatting>
  <conditionalFormatting sqref="J15:J25">
    <cfRule type="expression" dxfId="28" priority="25" stopIfTrue="1">
      <formula>$AF$16&gt;$I$16</formula>
    </cfRule>
    <cfRule type="expression" dxfId="27" priority="27" stopIfTrue="1">
      <formula>$AF$15&gt;$I$15</formula>
    </cfRule>
  </conditionalFormatting>
  <conditionalFormatting sqref="J17">
    <cfRule type="expression" dxfId="26" priority="23" stopIfTrue="1">
      <formula>$AF$17&gt;$I$17</formula>
    </cfRule>
  </conditionalFormatting>
  <conditionalFormatting sqref="J18">
    <cfRule type="expression" dxfId="25" priority="24" stopIfTrue="1">
      <formula>$AF$18&gt;$I$18</formula>
    </cfRule>
  </conditionalFormatting>
  <conditionalFormatting sqref="J19:J25">
    <cfRule type="expression" dxfId="24" priority="22" stopIfTrue="1">
      <formula>$AF$19&gt;$I$19</formula>
    </cfRule>
  </conditionalFormatting>
  <conditionalFormatting sqref="J20">
    <cfRule type="expression" dxfId="23" priority="21" stopIfTrue="1">
      <formula>$AF$20&gt;$I$20</formula>
    </cfRule>
  </conditionalFormatting>
  <conditionalFormatting sqref="J21">
    <cfRule type="expression" dxfId="22" priority="19" stopIfTrue="1">
      <formula>$AF$21&gt;$I$21</formula>
    </cfRule>
  </conditionalFormatting>
  <conditionalFormatting sqref="J22">
    <cfRule type="expression" dxfId="21" priority="18" stopIfTrue="1">
      <formula>$AF$22&gt;$I$22</formula>
    </cfRule>
  </conditionalFormatting>
  <conditionalFormatting sqref="J23">
    <cfRule type="expression" dxfId="20" priority="17" stopIfTrue="1">
      <formula>$AF$23&gt;$I$23</formula>
    </cfRule>
  </conditionalFormatting>
  <conditionalFormatting sqref="J24:J25">
    <cfRule type="expression" dxfId="19" priority="16" stopIfTrue="1">
      <formula>$AF$24&gt;$I$24</formula>
    </cfRule>
  </conditionalFormatting>
  <conditionalFormatting sqref="J25">
    <cfRule type="expression" dxfId="18" priority="15" stopIfTrue="1">
      <formula>$AF$25&gt;$I$25</formula>
    </cfRule>
  </conditionalFormatting>
  <conditionalFormatting sqref="R5:S5">
    <cfRule type="expression" dxfId="17" priority="6" stopIfTrue="1">
      <formula>$P$5=""</formula>
    </cfRule>
  </conditionalFormatting>
  <conditionalFormatting sqref="R7:T7">
    <cfRule type="expression" dxfId="16" priority="3" stopIfTrue="1">
      <formula>$Q$7=" "</formula>
    </cfRule>
  </conditionalFormatting>
  <conditionalFormatting sqref="T5">
    <cfRule type="expression" dxfId="15" priority="1" stopIfTrue="1">
      <formula>$R$5=0</formula>
    </cfRule>
    <cfRule type="expression" dxfId="14" priority="5" stopIfTrue="1">
      <formula>$P$5=" "</formula>
    </cfRule>
  </conditionalFormatting>
  <dataValidations count="7">
    <dataValidation type="custom" allowBlank="1" showInputMessage="1" showErrorMessage="1" error="APV directo supera máximo anual permitido._x000a_" sqref="Y132 R198:R199 J115 M88 M90:M91" xr:uid="{75D5FC94-464E-4DE0-B32A-BC8ADAEED004}">
      <formula1>J88&lt;(#REF!+1)</formula1>
    </dataValidation>
    <dataValidation type="list" allowBlank="1" showInputMessage="1" showErrorMessage="1" sqref="HS6:HT7 S10" xr:uid="{1DF50E98-4709-4096-8FA8-405415B854A2}">
      <formula1>$AK$40:$AK$41</formula1>
    </dataValidation>
    <dataValidation type="list" allowBlank="1" showInputMessage="1" showErrorMessage="1" sqref="P3:T3" xr:uid="{683F931A-F3D2-4147-9657-77638158B08C}">
      <formula1>$Z$34:$Z$37</formula1>
    </dataValidation>
    <dataValidation type="whole" allowBlank="1" showInputMessage="1" showErrorMessage="1" error="APV directo supera máximo anual permitido._x000a_" sqref="J34" xr:uid="{D7222280-EE2C-424E-B305-A7414BDCDB9E}">
      <formula1>0</formula1>
      <formula2>J31+1</formula2>
    </dataValidation>
    <dataValidation type="list" allowBlank="1" showInputMessage="1" showErrorMessage="1" sqref="P7" xr:uid="{17B2F0CA-FEA0-433D-AF6B-57869E2027F0}">
      <formula1>$R$46:$R$50</formula1>
    </dataValidation>
    <dataValidation type="list" allowBlank="1" showInputMessage="1" showErrorMessage="1" sqref="G6 P2:T2" xr:uid="{572F0D58-43B7-4E81-9281-1BB05EF43249}">
      <formula1>$CF$14:$CF$19</formula1>
    </dataValidation>
    <dataValidation type="list" allowBlank="1" showInputMessage="1" showErrorMessage="1" sqref="Q270" xr:uid="{89E67C4A-FF3E-4DB9-9339-34C1A00C4F86}">
      <formula1>$AF$5:$AG$5</formula1>
    </dataValidation>
  </dataValidations>
  <pageMargins left="0.43307086614173229" right="0.47244094488188981" top="0.74803149606299213" bottom="0.43307086614173229" header="0.31496062992125984" footer="0.31496062992125984"/>
  <pageSetup paperSize="9" orientation="landscape" r:id="rId1"/>
  <headerFooter>
    <oddFooter>&amp;C&amp;1#&amp;"Calibri"&amp;10&amp;K000000Uso Interno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52641" r:id="rId4" name="Drop Down 1">
              <controlPr locked="0" defaultSize="0" autoLine="0" autoPict="0">
                <anchor moveWithCells="1">
                  <from>
                    <xdr:col>9</xdr:col>
                    <xdr:colOff>30480</xdr:colOff>
                    <xdr:row>12</xdr:row>
                    <xdr:rowOff>0</xdr:rowOff>
                  </from>
                  <to>
                    <xdr:col>10</xdr:col>
                    <xdr:colOff>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2643" r:id="rId5" name="Drop Down 3">
              <controlPr locked="0" defaultSize="0" autoLine="0" autoPict="0">
                <anchor moveWithCells="1">
                  <from>
                    <xdr:col>12</xdr:col>
                    <xdr:colOff>30480</xdr:colOff>
                    <xdr:row>12</xdr:row>
                    <xdr:rowOff>0</xdr:rowOff>
                  </from>
                  <to>
                    <xdr:col>13</xdr:col>
                    <xdr:colOff>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2760" r:id="rId6" name="Drop Down 120">
              <controlPr locked="0" defaultSize="0" autoLine="0" autoPict="0">
                <anchor moveWithCells="1">
                  <from>
                    <xdr:col>15</xdr:col>
                    <xdr:colOff>38100</xdr:colOff>
                    <xdr:row>5</xdr:row>
                    <xdr:rowOff>15240</xdr:rowOff>
                  </from>
                  <to>
                    <xdr:col>17</xdr:col>
                    <xdr:colOff>53340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914C7-1110-40D5-AD18-C6675A933714}">
  <dimension ref="A1"/>
  <sheetViews>
    <sheetView workbookViewId="0"/>
  </sheetViews>
  <sheetFormatPr baseColWidth="10" defaultColWidth="8.77734375" defaultRowHeight="13.2" x14ac:dyDescent="0.25"/>
  <cols>
    <col min="1" max="256" width="11.44140625" customWidth="1"/>
  </cols>
  <sheetData/>
  <pageMargins left="0.7" right="0.7" top="0.75" bottom="0.75" header="0.3" footer="0.3"/>
  <pageSetup orientation="portrait" r:id="rId1"/>
  <headerFooter>
    <oddFooter>&amp;C&amp;1#&amp;"Calibri"&amp;10&amp;K000000Uso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589EA-F4BC-4D2E-AB36-92E91461CD51}">
  <dimension ref="A1"/>
  <sheetViews>
    <sheetView zoomScaleNormal="100" workbookViewId="0">
      <selection sqref="A1:J25"/>
    </sheetView>
  </sheetViews>
  <sheetFormatPr baseColWidth="10" defaultColWidth="8.77734375" defaultRowHeight="13.2" x14ac:dyDescent="0.25"/>
  <cols>
    <col min="1" max="256" width="11.44140625" customWidth="1"/>
  </cols>
  <sheetData/>
  <pageMargins left="0.7" right="0.7" top="0.75" bottom="0.75" header="0.3" footer="0.3"/>
  <pageSetup orientation="portrait" r:id="rId1"/>
  <headerFooter>
    <oddFooter>&amp;C&amp;1#&amp;"Calibri"&amp;10&amp;K000000Uso Interno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CB120-55CF-48D3-92B9-4C97501E175A}">
  <dimension ref="B2:AU126"/>
  <sheetViews>
    <sheetView topLeftCell="A94" zoomScale="85" zoomScaleNormal="85" workbookViewId="0">
      <selection activeCell="C94" sqref="C1:AU65536"/>
    </sheetView>
  </sheetViews>
  <sheetFormatPr baseColWidth="10" defaultColWidth="11.44140625" defaultRowHeight="10.199999999999999" x14ac:dyDescent="0.2"/>
  <cols>
    <col min="1" max="1" width="3.21875" style="20" customWidth="1"/>
    <col min="2" max="2" width="10.44140625" style="17" customWidth="1"/>
    <col min="3" max="3" width="15.77734375" style="17" hidden="1" customWidth="1"/>
    <col min="4" max="4" width="3.77734375" style="17" hidden="1" customWidth="1"/>
    <col min="5" max="6" width="13" style="17" hidden="1" customWidth="1"/>
    <col min="7" max="7" width="6.44140625" style="17" hidden="1" customWidth="1"/>
    <col min="8" max="8" width="9.21875" style="17" hidden="1" customWidth="1"/>
    <col min="9" max="9" width="3.77734375" style="20" hidden="1" customWidth="1"/>
    <col min="10" max="10" width="10.77734375" style="20" hidden="1" customWidth="1"/>
    <col min="11" max="11" width="13.77734375" style="20" hidden="1" customWidth="1"/>
    <col min="12" max="12" width="14.77734375" style="20" hidden="1" customWidth="1"/>
    <col min="13" max="14" width="12.21875" style="20" hidden="1" customWidth="1"/>
    <col min="15" max="15" width="10" style="20" hidden="1" customWidth="1"/>
    <col min="16" max="16" width="5.77734375" style="20" hidden="1" customWidth="1"/>
    <col min="17" max="17" width="12.21875" style="20" hidden="1" customWidth="1"/>
    <col min="18" max="18" width="10" style="20" hidden="1" customWidth="1"/>
    <col min="19" max="19" width="7" style="20" hidden="1" customWidth="1"/>
    <col min="20" max="20" width="3.77734375" style="20" hidden="1" customWidth="1"/>
    <col min="21" max="21" width="8" style="20" hidden="1" customWidth="1"/>
    <col min="22" max="22" width="3.5546875" style="20" hidden="1" customWidth="1"/>
    <col min="23" max="23" width="13.21875" style="20" hidden="1" customWidth="1"/>
    <col min="24" max="24" width="19.21875" style="20" hidden="1" customWidth="1"/>
    <col min="25" max="25" width="7.77734375" style="20" hidden="1" customWidth="1"/>
    <col min="26" max="26" width="13.21875" style="20" hidden="1" customWidth="1"/>
    <col min="27" max="27" width="8.21875" style="20" hidden="1" customWidth="1"/>
    <col min="28" max="28" width="8.77734375" style="20" hidden="1" customWidth="1"/>
    <col min="29" max="29" width="13.21875" style="20" hidden="1" customWidth="1"/>
    <col min="30" max="30" width="37.21875" style="20" hidden="1" customWidth="1"/>
    <col min="31" max="31" width="20.44140625" style="20" hidden="1" customWidth="1"/>
    <col min="32" max="32" width="20.5546875" style="20" hidden="1" customWidth="1"/>
    <col min="33" max="33" width="21.77734375" style="20" hidden="1" customWidth="1"/>
    <col min="34" max="35" width="3.77734375" style="20" hidden="1" customWidth="1"/>
    <col min="36" max="36" width="9.21875" style="20" hidden="1" customWidth="1"/>
    <col min="37" max="38" width="11.21875" style="20" hidden="1" customWidth="1"/>
    <col min="39" max="39" width="1.21875" style="20" hidden="1" customWidth="1"/>
    <col min="40" max="43" width="3.77734375" style="20" hidden="1" customWidth="1"/>
    <col min="44" max="47" width="11.44140625" style="20" hidden="1" customWidth="1"/>
    <col min="48" max="16384" width="11.44140625" style="20"/>
  </cols>
  <sheetData>
    <row r="2" spans="2:39" x14ac:dyDescent="0.2">
      <c r="F2" s="37"/>
    </row>
    <row r="5" spans="2:39" ht="10.8" thickBot="1" x14ac:dyDescent="0.25"/>
    <row r="6" spans="2:39" ht="13.2" thickBot="1" x14ac:dyDescent="0.25">
      <c r="B6" s="15" t="s">
        <v>52</v>
      </c>
      <c r="C6" s="192">
        <f>Hoja14!I229</f>
        <v>67429</v>
      </c>
      <c r="E6" s="18">
        <f>$C$6*J6</f>
        <v>0</v>
      </c>
      <c r="F6" s="18">
        <f>$C$6*$K$6</f>
        <v>910291.5</v>
      </c>
      <c r="G6" s="19">
        <f t="shared" ref="G6:G13" si="0">L6</f>
        <v>0</v>
      </c>
      <c r="H6" s="18">
        <f>$C$6*$M$6</f>
        <v>0</v>
      </c>
      <c r="J6" s="21">
        <v>0</v>
      </c>
      <c r="K6" s="22">
        <v>13.5</v>
      </c>
      <c r="L6" s="186">
        <v>0</v>
      </c>
      <c r="M6" s="187">
        <v>0</v>
      </c>
      <c r="U6" s="192">
        <f>C6</f>
        <v>67429</v>
      </c>
      <c r="AJ6" s="20" t="str">
        <f>B6</f>
        <v>Enero</v>
      </c>
      <c r="AK6" s="208">
        <f>Hoja14!P14/C6</f>
        <v>8.0044057706951044</v>
      </c>
    </row>
    <row r="7" spans="2:39" ht="13.2" thickBot="1" x14ac:dyDescent="0.25">
      <c r="B7" s="25" t="s">
        <v>139</v>
      </c>
      <c r="C7" s="192">
        <f>Hoja14!I230</f>
        <v>67294</v>
      </c>
      <c r="E7" s="18">
        <f>$C$6*$J$7</f>
        <v>910291.50067429</v>
      </c>
      <c r="F7" s="18">
        <f>$C$6*$K$7</f>
        <v>2022870</v>
      </c>
      <c r="G7" s="19">
        <f t="shared" si="0"/>
        <v>0.04</v>
      </c>
      <c r="H7" s="18">
        <f>$C$6*$M$7</f>
        <v>36411.660000000003</v>
      </c>
      <c r="J7" s="26">
        <v>13.500000010000001</v>
      </c>
      <c r="K7" s="27">
        <v>30</v>
      </c>
      <c r="L7" s="186">
        <v>0.04</v>
      </c>
      <c r="M7" s="187">
        <v>0.54</v>
      </c>
      <c r="O7" s="16">
        <v>36679</v>
      </c>
      <c r="U7" s="192">
        <f t="shared" ref="U7:U17" si="1">C7</f>
        <v>67294</v>
      </c>
      <c r="AJ7" s="20" t="str">
        <f t="shared" ref="AJ7:AJ17" si="2">B7</f>
        <v> Febrero</v>
      </c>
      <c r="AK7" s="208">
        <f>Hoja14!P15/C7</f>
        <v>8.010254985211164</v>
      </c>
    </row>
    <row r="8" spans="2:39" ht="13.2" thickBot="1" x14ac:dyDescent="0.25">
      <c r="B8" s="25" t="s">
        <v>140</v>
      </c>
      <c r="C8" s="192">
        <f>Hoja14!I231</f>
        <v>68034</v>
      </c>
      <c r="E8" s="18">
        <f>$C$6*$J$8</f>
        <v>2022870.0006742901</v>
      </c>
      <c r="F8" s="18">
        <f>$C$6*$K$8</f>
        <v>3371450</v>
      </c>
      <c r="G8" s="19">
        <f t="shared" si="0"/>
        <v>0.08</v>
      </c>
      <c r="H8" s="18">
        <f>$C$6*$M$8</f>
        <v>117326.46</v>
      </c>
      <c r="J8" s="26">
        <v>30.000000010000001</v>
      </c>
      <c r="K8" s="27">
        <v>50</v>
      </c>
      <c r="L8" s="186">
        <v>0.08</v>
      </c>
      <c r="M8" s="187">
        <v>1.74</v>
      </c>
      <c r="O8" s="16">
        <v>36569</v>
      </c>
      <c r="U8" s="192">
        <f t="shared" si="1"/>
        <v>68034</v>
      </c>
      <c r="AJ8" s="20" t="str">
        <f t="shared" si="2"/>
        <v> Marzo</v>
      </c>
      <c r="AK8" s="208">
        <f>Hoja14!P16/C8</f>
        <v>117.53790046118118</v>
      </c>
    </row>
    <row r="9" spans="2:39" ht="13.2" thickBot="1" x14ac:dyDescent="0.25">
      <c r="B9" s="25" t="s">
        <v>141</v>
      </c>
      <c r="C9" s="192">
        <f>Hoja14!I232</f>
        <v>68306</v>
      </c>
      <c r="E9" s="18">
        <f>$C$6*$J$9</f>
        <v>3371450.0006742901</v>
      </c>
      <c r="F9" s="18">
        <f>$C$6*$K$9</f>
        <v>4720030</v>
      </c>
      <c r="G9" s="19">
        <f t="shared" si="0"/>
        <v>0.13500000000000001</v>
      </c>
      <c r="H9" s="18">
        <f>$C$6*$M$9</f>
        <v>302756.21000000002</v>
      </c>
      <c r="J9" s="26">
        <v>50.000000010000001</v>
      </c>
      <c r="K9" s="27">
        <v>70</v>
      </c>
      <c r="L9" s="186">
        <v>0.13500000000000001</v>
      </c>
      <c r="M9" s="187">
        <v>4.49</v>
      </c>
      <c r="O9" s="16">
        <v>36752</v>
      </c>
      <c r="U9" s="192">
        <f t="shared" si="1"/>
        <v>68306</v>
      </c>
      <c r="AJ9" s="20" t="str">
        <f t="shared" si="2"/>
        <v> Abril</v>
      </c>
      <c r="AK9" s="208">
        <f>Hoja14!P17/C9</f>
        <v>7.6745031612479151</v>
      </c>
    </row>
    <row r="10" spans="2:39" ht="13.2" thickBot="1" x14ac:dyDescent="0.25">
      <c r="B10" s="25" t="s">
        <v>142</v>
      </c>
      <c r="C10" s="192">
        <f>Hoja14!I233</f>
        <v>68648</v>
      </c>
      <c r="E10" s="18">
        <f>$C$6*$J$10</f>
        <v>4720030.0006742897</v>
      </c>
      <c r="F10" s="18">
        <f>$C$6*$K$10</f>
        <v>6068610</v>
      </c>
      <c r="G10" s="19">
        <f t="shared" si="0"/>
        <v>0.23</v>
      </c>
      <c r="H10" s="18">
        <f>$C$6*$M$10</f>
        <v>751159.06</v>
      </c>
      <c r="J10" s="26">
        <v>70.000000009999994</v>
      </c>
      <c r="K10" s="27">
        <v>90</v>
      </c>
      <c r="L10" s="186">
        <v>0.23</v>
      </c>
      <c r="M10" s="187">
        <v>11.14</v>
      </c>
      <c r="O10" s="16">
        <v>36862</v>
      </c>
      <c r="U10" s="192">
        <f t="shared" si="1"/>
        <v>68648</v>
      </c>
      <c r="AJ10" s="20" t="str">
        <f t="shared" si="2"/>
        <v> Mayo</v>
      </c>
      <c r="AK10" s="208">
        <f>Hoja14!P18/C10</f>
        <v>7.5669597405459745</v>
      </c>
    </row>
    <row r="11" spans="2:39" ht="18.75" customHeight="1" thickBot="1" x14ac:dyDescent="0.3">
      <c r="B11" s="25" t="s">
        <v>143</v>
      </c>
      <c r="C11" s="192">
        <f>Hoja14!I234</f>
        <v>68785</v>
      </c>
      <c r="E11" s="18">
        <f>$C$6*$J$11</f>
        <v>6068610.0006742897</v>
      </c>
      <c r="F11" s="18">
        <f>$C$6*$K$11</f>
        <v>8091480</v>
      </c>
      <c r="G11" s="19">
        <f t="shared" si="0"/>
        <v>0.30399999999999999</v>
      </c>
      <c r="H11" s="18">
        <f>$C$6*$M$11</f>
        <v>1200236.1999999997</v>
      </c>
      <c r="J11" s="26">
        <v>90.000000009999994</v>
      </c>
      <c r="K11" s="27">
        <v>120</v>
      </c>
      <c r="L11" s="186">
        <v>0.30399999999999999</v>
      </c>
      <c r="M11" s="187">
        <v>17.799999999999997</v>
      </c>
      <c r="O11" s="16">
        <v>36899</v>
      </c>
      <c r="U11" s="192">
        <f t="shared" si="1"/>
        <v>68785</v>
      </c>
      <c r="AA11">
        <v>2014</v>
      </c>
      <c r="AB11" s="202" t="s">
        <v>144</v>
      </c>
      <c r="AC11" s="202" t="s">
        <v>145</v>
      </c>
      <c r="AD11" s="193" t="s">
        <v>146</v>
      </c>
      <c r="AE11" s="204" t="s">
        <v>147</v>
      </c>
      <c r="AF11" s="205"/>
      <c r="AG11" s="206"/>
      <c r="AJ11" s="20" t="str">
        <f t="shared" si="2"/>
        <v> Junio</v>
      </c>
      <c r="AK11" s="208">
        <f>Hoja14!P19/C11</f>
        <v>7.5203194328618155</v>
      </c>
    </row>
    <row r="12" spans="2:39" ht="15.75" customHeight="1" thickBot="1" x14ac:dyDescent="0.25">
      <c r="B12" s="25" t="s">
        <v>148</v>
      </c>
      <c r="C12" s="192">
        <f>Hoja14!I235</f>
        <v>68923</v>
      </c>
      <c r="E12" s="18">
        <f>$C$6*$J$12</f>
        <v>8091480.0006742897</v>
      </c>
      <c r="F12" s="18">
        <f>$C$6*$K$12</f>
        <v>20902990</v>
      </c>
      <c r="G12" s="19">
        <f t="shared" si="0"/>
        <v>0.35</v>
      </c>
      <c r="H12" s="18">
        <f>$C$6*$M$12</f>
        <v>1572444.28</v>
      </c>
      <c r="J12" s="28">
        <v>120.00000000999999</v>
      </c>
      <c r="K12" s="27">
        <v>310</v>
      </c>
      <c r="L12" s="186">
        <v>0.35</v>
      </c>
      <c r="M12" s="187">
        <v>23.32</v>
      </c>
      <c r="O12" s="16">
        <v>37083</v>
      </c>
      <c r="U12" s="192">
        <f t="shared" si="1"/>
        <v>68923</v>
      </c>
      <c r="AA12" s="201"/>
      <c r="AB12" s="203"/>
      <c r="AC12" s="203"/>
      <c r="AD12" s="193" t="s">
        <v>149</v>
      </c>
      <c r="AE12" s="193" t="s">
        <v>150</v>
      </c>
      <c r="AF12" s="193" t="s">
        <v>151</v>
      </c>
      <c r="AG12" s="193" t="s">
        <v>152</v>
      </c>
      <c r="AJ12" s="20" t="str">
        <f t="shared" si="2"/>
        <v> Julio</v>
      </c>
      <c r="AK12" s="208">
        <f>Hoja14!P20/C12</f>
        <v>7.4935790091000101</v>
      </c>
    </row>
    <row r="13" spans="2:39" ht="13.2" thickBot="1" x14ac:dyDescent="0.25">
      <c r="B13" s="25" t="s">
        <v>153</v>
      </c>
      <c r="C13" s="192">
        <f>Hoja14!I236</f>
        <v>68647</v>
      </c>
      <c r="E13" s="18">
        <f>$C$6*$J$13</f>
        <v>20902990.000674289</v>
      </c>
      <c r="F13" s="18">
        <f>$C$6*$K$13</f>
        <v>674290000</v>
      </c>
      <c r="G13" s="19">
        <f t="shared" si="0"/>
        <v>0.4</v>
      </c>
      <c r="H13" s="18">
        <f>$C$6*$M$13</f>
        <v>2617593.7799999998</v>
      </c>
      <c r="J13" s="29">
        <v>310.00000001000001</v>
      </c>
      <c r="K13" s="30">
        <v>10000</v>
      </c>
      <c r="L13" s="186">
        <v>0.4</v>
      </c>
      <c r="M13" s="187">
        <v>38.82</v>
      </c>
      <c r="O13" s="16">
        <v>37231</v>
      </c>
      <c r="U13" s="192">
        <f t="shared" si="1"/>
        <v>68647</v>
      </c>
      <c r="AA13" s="194" t="s">
        <v>52</v>
      </c>
      <c r="AB13" s="192">
        <v>40935</v>
      </c>
      <c r="AC13" s="192">
        <v>491220</v>
      </c>
      <c r="AD13" s="193">
        <v>101.69</v>
      </c>
      <c r="AE13" s="193">
        <v>0.2</v>
      </c>
      <c r="AF13" s="193">
        <v>0.2</v>
      </c>
      <c r="AG13" s="193">
        <v>3</v>
      </c>
      <c r="AJ13" s="20" t="str">
        <f t="shared" si="2"/>
        <v> Agosto</v>
      </c>
      <c r="AK13" s="208">
        <f>Hoja14!P21/C13</f>
        <v>7.5437836600201038</v>
      </c>
    </row>
    <row r="14" spans="2:39" ht="25.8" thickBot="1" x14ac:dyDescent="0.25">
      <c r="B14" s="25" t="s">
        <v>154</v>
      </c>
      <c r="C14" s="192">
        <f>Hoja14!I237</f>
        <v>69265</v>
      </c>
      <c r="O14" s="16">
        <v>37231</v>
      </c>
      <c r="U14" s="192">
        <f t="shared" si="1"/>
        <v>69265</v>
      </c>
      <c r="AA14" s="194" t="s">
        <v>54</v>
      </c>
      <c r="AB14" s="192">
        <v>41181</v>
      </c>
      <c r="AC14" s="192">
        <v>494172</v>
      </c>
      <c r="AD14" s="193">
        <v>102.18</v>
      </c>
      <c r="AE14" s="193">
        <v>0.5</v>
      </c>
      <c r="AF14" s="193">
        <v>0.7</v>
      </c>
      <c r="AG14" s="193">
        <v>3.4</v>
      </c>
      <c r="AJ14" s="20" t="str">
        <f t="shared" si="2"/>
        <v> Septiembre</v>
      </c>
      <c r="AK14" s="208">
        <f>Hoja14!P22/C14</f>
        <v>7.364769939695373</v>
      </c>
      <c r="AM14" s="20" t="s">
        <v>155</v>
      </c>
    </row>
    <row r="15" spans="2:39" ht="13.2" thickBot="1" x14ac:dyDescent="0.25">
      <c r="B15" s="25" t="s">
        <v>156</v>
      </c>
      <c r="C15" s="192">
        <f>Hoja14!I238</f>
        <v>69265</v>
      </c>
      <c r="E15" s="18">
        <f>$C$7*J6</f>
        <v>0</v>
      </c>
      <c r="F15" s="18">
        <f>$C$7*K6</f>
        <v>908469</v>
      </c>
      <c r="G15" s="19">
        <v>0</v>
      </c>
      <c r="H15" s="18">
        <f>$C$7*M6</f>
        <v>0</v>
      </c>
      <c r="O15" s="16">
        <v>37231</v>
      </c>
      <c r="U15" s="192">
        <f t="shared" si="1"/>
        <v>69265</v>
      </c>
      <c r="AA15" s="194" t="s">
        <v>57</v>
      </c>
      <c r="AB15" s="192">
        <v>41263</v>
      </c>
      <c r="AC15" s="192">
        <v>495156</v>
      </c>
      <c r="AD15" s="193">
        <v>103.04</v>
      </c>
      <c r="AE15" s="193">
        <v>0.8</v>
      </c>
      <c r="AF15" s="193">
        <v>1.5</v>
      </c>
      <c r="AG15" s="193">
        <v>3.9</v>
      </c>
      <c r="AJ15" s="20" t="str">
        <f t="shared" si="2"/>
        <v> Octubre</v>
      </c>
      <c r="AK15" s="208">
        <f>Hoja14!P23/C15</f>
        <v>7.364769939695373</v>
      </c>
    </row>
    <row r="16" spans="2:39" ht="13.2" thickBot="1" x14ac:dyDescent="0.25">
      <c r="B16" s="25" t="s">
        <v>157</v>
      </c>
      <c r="C16" s="192">
        <f>Hoja14!I239</f>
        <v>69542</v>
      </c>
      <c r="E16" s="18">
        <f t="shared" ref="E16:E21" si="3">$C$7*J7</f>
        <v>908469.00067294005</v>
      </c>
      <c r="F16" s="18">
        <f t="shared" ref="F16:F21" si="4">$C$7*K7</f>
        <v>2018820</v>
      </c>
      <c r="G16" s="19">
        <v>0.04</v>
      </c>
      <c r="H16" s="18">
        <f t="shared" ref="H16:H21" si="5">$C$7*M7</f>
        <v>36338.76</v>
      </c>
      <c r="O16" s="16">
        <v>37231</v>
      </c>
      <c r="U16" s="192">
        <f t="shared" si="1"/>
        <v>69542</v>
      </c>
      <c r="AA16" s="194" t="s">
        <v>61</v>
      </c>
      <c r="AB16" s="192">
        <v>41469</v>
      </c>
      <c r="AC16" s="192">
        <v>497628</v>
      </c>
      <c r="AD16" s="193">
        <v>103.68</v>
      </c>
      <c r="AE16" s="193">
        <v>0.6</v>
      </c>
      <c r="AF16" s="193">
        <v>2.1</v>
      </c>
      <c r="AG16" s="193">
        <v>5</v>
      </c>
      <c r="AJ16" s="20" t="str">
        <f t="shared" si="2"/>
        <v> Noviembre</v>
      </c>
      <c r="AK16" s="208">
        <f>Hoja14!P24/C16</f>
        <v>7.2776699353110379</v>
      </c>
    </row>
    <row r="17" spans="2:38" ht="13.2" thickBot="1" x14ac:dyDescent="0.25">
      <c r="B17" s="25" t="s">
        <v>158</v>
      </c>
      <c r="C17" s="192">
        <f>Hoja14!I240</f>
        <v>69542</v>
      </c>
      <c r="E17" s="18">
        <f t="shared" si="3"/>
        <v>2018820.0006729402</v>
      </c>
      <c r="F17" s="18">
        <f t="shared" si="4"/>
        <v>3364700</v>
      </c>
      <c r="G17" s="19">
        <v>0.08</v>
      </c>
      <c r="H17" s="18">
        <f t="shared" si="5"/>
        <v>117091.56</v>
      </c>
      <c r="J17" s="31">
        <f>Hoja14!N15*Hoja15!G17-Hoja15!H17</f>
        <v>331150.96486080001</v>
      </c>
      <c r="O17" s="16">
        <v>37231</v>
      </c>
      <c r="U17" s="192">
        <f t="shared" si="1"/>
        <v>69542</v>
      </c>
      <c r="AA17" s="194" t="s">
        <v>64</v>
      </c>
      <c r="AB17" s="192">
        <v>41801</v>
      </c>
      <c r="AC17" s="192">
        <v>501612</v>
      </c>
      <c r="AD17" s="193">
        <v>104.03</v>
      </c>
      <c r="AE17" s="193">
        <v>0.3</v>
      </c>
      <c r="AF17" s="193">
        <v>2.5</v>
      </c>
      <c r="AG17" s="193">
        <v>5.4</v>
      </c>
      <c r="AJ17" s="20" t="str">
        <f t="shared" si="2"/>
        <v> Diciembre</v>
      </c>
      <c r="AK17" s="208">
        <f>Hoja14!P25/C17</f>
        <v>7.2721803089902508</v>
      </c>
    </row>
    <row r="18" spans="2:38" ht="13.2" thickBot="1" x14ac:dyDescent="0.25">
      <c r="E18" s="18">
        <f t="shared" si="3"/>
        <v>3364700.0006729402</v>
      </c>
      <c r="F18" s="18">
        <f t="shared" si="4"/>
        <v>4710580</v>
      </c>
      <c r="G18" s="19">
        <v>0.13500000000000001</v>
      </c>
      <c r="H18" s="18">
        <f t="shared" si="5"/>
        <v>302150.06</v>
      </c>
      <c r="O18" s="16">
        <v>37231</v>
      </c>
      <c r="AA18" s="194" t="s">
        <v>67</v>
      </c>
      <c r="AB18" s="192">
        <v>42052</v>
      </c>
      <c r="AC18" s="192">
        <v>504624</v>
      </c>
      <c r="AD18" s="193">
        <v>104.08</v>
      </c>
      <c r="AE18" s="193">
        <v>0.1</v>
      </c>
      <c r="AF18" s="193">
        <v>2.5</v>
      </c>
      <c r="AG18" s="193">
        <v>4.8</v>
      </c>
      <c r="AK18" s="208">
        <f>SUM(AK6:AK17)</f>
        <v>200.63109634455529</v>
      </c>
      <c r="AL18" s="209">
        <f>AK18*C17</f>
        <v>13952287.701993063</v>
      </c>
    </row>
    <row r="19" spans="2:38" ht="13.2" thickBot="1" x14ac:dyDescent="0.25">
      <c r="E19" s="18">
        <f t="shared" si="3"/>
        <v>4710580.0006729392</v>
      </c>
      <c r="F19" s="18">
        <f t="shared" si="4"/>
        <v>6056460</v>
      </c>
      <c r="G19" s="19">
        <v>0.23</v>
      </c>
      <c r="H19" s="18">
        <f t="shared" si="5"/>
        <v>749655.16</v>
      </c>
      <c r="J19" s="20">
        <f>8*C17*12</f>
        <v>6676032</v>
      </c>
      <c r="AA19" s="194" t="s">
        <v>70</v>
      </c>
      <c r="AB19" s="192">
        <v>42178</v>
      </c>
      <c r="AC19" s="192">
        <v>506136</v>
      </c>
      <c r="AD19" s="193">
        <v>104.32</v>
      </c>
      <c r="AE19" s="193">
        <v>0.2</v>
      </c>
      <c r="AF19" s="193">
        <v>2.8</v>
      </c>
      <c r="AG19" s="193">
        <v>4.7</v>
      </c>
      <c r="AK19" s="74"/>
    </row>
    <row r="20" spans="2:38" ht="25.8" thickBot="1" x14ac:dyDescent="0.25">
      <c r="C20" s="32">
        <f>(C17-C6)/C6</f>
        <v>3.133666523305996E-2</v>
      </c>
      <c r="E20" s="18">
        <f>$C$7*J11</f>
        <v>6056460.0006729392</v>
      </c>
      <c r="F20" s="18">
        <f t="shared" si="4"/>
        <v>8075280</v>
      </c>
      <c r="G20" s="19">
        <v>0.30399999999999999</v>
      </c>
      <c r="H20" s="18">
        <f t="shared" si="5"/>
        <v>1197833.1999999997</v>
      </c>
      <c r="Q20" s="51">
        <f>Hoja14!J138+Hoja14!J140-Hoja14!J272-Hoja14!J34</f>
        <v>89358140.646076918</v>
      </c>
      <c r="X20" s="20">
        <f>455*34000</f>
        <v>15470000</v>
      </c>
      <c r="AA20" s="194" t="s">
        <v>72</v>
      </c>
      <c r="AB20" s="192">
        <v>42220</v>
      </c>
      <c r="AC20" s="192">
        <v>506640</v>
      </c>
      <c r="AD20" s="193">
        <v>104.66</v>
      </c>
      <c r="AE20" s="193">
        <v>0.3</v>
      </c>
      <c r="AF20" s="193">
        <v>3.1</v>
      </c>
      <c r="AG20" s="193">
        <v>4.8</v>
      </c>
      <c r="AK20" s="74"/>
    </row>
    <row r="21" spans="2:38" ht="25.8" thickBot="1" x14ac:dyDescent="0.25">
      <c r="E21" s="18">
        <f t="shared" si="3"/>
        <v>8075280.0006729392</v>
      </c>
      <c r="F21" s="18">
        <f t="shared" si="4"/>
        <v>20861140</v>
      </c>
      <c r="G21" s="19">
        <v>0.35</v>
      </c>
      <c r="H21" s="18">
        <f t="shared" si="5"/>
        <v>1569296.08</v>
      </c>
      <c r="AA21" s="194" t="s">
        <v>74</v>
      </c>
      <c r="AB21" s="192">
        <v>42304</v>
      </c>
      <c r="AC21" s="192">
        <v>507648</v>
      </c>
      <c r="AD21" s="193">
        <v>105.54</v>
      </c>
      <c r="AE21" s="193">
        <v>0.8</v>
      </c>
      <c r="AF21" s="193">
        <v>4</v>
      </c>
      <c r="AG21" s="193">
        <v>5.0999999999999996</v>
      </c>
    </row>
    <row r="22" spans="2:38" ht="25.8" thickBot="1" x14ac:dyDescent="0.3">
      <c r="C22" s="33"/>
      <c r="E22" s="18">
        <f>$C$7*J13</f>
        <v>20861140.00067294</v>
      </c>
      <c r="F22" s="18">
        <f>$C$7*K13</f>
        <v>672940000</v>
      </c>
      <c r="G22" s="19">
        <v>0.4</v>
      </c>
      <c r="H22" s="18">
        <f>$C$7*M13</f>
        <v>2612353.08</v>
      </c>
      <c r="M22" s="51">
        <v>0</v>
      </c>
      <c r="N22" s="51">
        <f>90*B23</f>
        <v>75105360</v>
      </c>
      <c r="O22" s="52">
        <v>1</v>
      </c>
      <c r="Q22" s="20">
        <f>Q20/B23</f>
        <v>107.07934371324393</v>
      </c>
      <c r="AA22" s="195" t="s">
        <v>76</v>
      </c>
      <c r="AB22" s="192">
        <v>42431</v>
      </c>
      <c r="AC22" s="192">
        <v>509172</v>
      </c>
      <c r="AD22" s="193">
        <v>106.64</v>
      </c>
      <c r="AE22" s="131">
        <v>1</v>
      </c>
      <c r="AF22" s="131">
        <v>5.0999999999999996</v>
      </c>
      <c r="AG22" s="196">
        <v>6.1</v>
      </c>
      <c r="AK22" s="209">
        <f>Hoja14!N26*Hoja15!L111-Hoja15!M111</f>
        <v>11340401.634166993</v>
      </c>
    </row>
    <row r="23" spans="2:38" x14ac:dyDescent="0.2">
      <c r="B23" s="50">
        <f>C17*12</f>
        <v>834504</v>
      </c>
      <c r="C23" s="20"/>
      <c r="D23" s="20"/>
      <c r="M23" s="51">
        <f>N22+0.1</f>
        <v>75105360.099999994</v>
      </c>
      <c r="N23" s="51">
        <f>150*B23</f>
        <v>125175600</v>
      </c>
      <c r="O23" s="53">
        <f>Q23</f>
        <v>0.71498734030022382</v>
      </c>
      <c r="Q23" s="20">
        <f>(250-Q22*1.667)/100</f>
        <v>0.71498734030022382</v>
      </c>
      <c r="AA23" s="20" t="s">
        <v>78</v>
      </c>
      <c r="AB23" s="74">
        <v>42770</v>
      </c>
      <c r="AC23" s="74">
        <v>513240</v>
      </c>
    </row>
    <row r="24" spans="2:38" x14ac:dyDescent="0.2">
      <c r="C24" s="20"/>
      <c r="D24" s="20"/>
      <c r="E24" s="18">
        <f>$C$8*J6</f>
        <v>0</v>
      </c>
      <c r="F24" s="18">
        <f>$C$8*K6</f>
        <v>918459</v>
      </c>
      <c r="G24" s="19">
        <v>0</v>
      </c>
      <c r="H24" s="18">
        <f>$C$8*M6</f>
        <v>0</v>
      </c>
      <c r="M24" s="51">
        <f>N23+0.1</f>
        <v>125175600.09999999</v>
      </c>
      <c r="N24" s="51" t="s">
        <v>159</v>
      </c>
      <c r="O24" s="52">
        <v>0</v>
      </c>
      <c r="AA24" s="20" t="s">
        <v>80</v>
      </c>
      <c r="AB24" s="74">
        <v>43198</v>
      </c>
      <c r="AC24" s="74">
        <v>518376</v>
      </c>
    </row>
    <row r="25" spans="2:38" x14ac:dyDescent="0.2">
      <c r="C25" s="20"/>
      <c r="D25" s="20"/>
      <c r="E25" s="18">
        <f t="shared" ref="E25:E30" si="6">$C$8*J7</f>
        <v>918459.0006803401</v>
      </c>
      <c r="F25" s="18">
        <f t="shared" ref="F25:F30" si="7">$C$8*K7</f>
        <v>2041020</v>
      </c>
      <c r="G25" s="19">
        <v>0.04</v>
      </c>
      <c r="H25" s="18">
        <f t="shared" ref="H25:H30" si="8">$C$8*M7</f>
        <v>36738.36</v>
      </c>
      <c r="J25" s="20">
        <v>47646523.899999999</v>
      </c>
    </row>
    <row r="26" spans="2:38" x14ac:dyDescent="0.2">
      <c r="C26" s="20"/>
      <c r="D26" s="20"/>
      <c r="E26" s="18">
        <f t="shared" si="6"/>
        <v>2041020.00068034</v>
      </c>
      <c r="F26" s="18">
        <f t="shared" si="7"/>
        <v>3401700</v>
      </c>
      <c r="G26" s="19">
        <v>0.08</v>
      </c>
      <c r="H26" s="18">
        <f t="shared" si="8"/>
        <v>118379.16</v>
      </c>
    </row>
    <row r="27" spans="2:38" x14ac:dyDescent="0.2">
      <c r="B27" s="17">
        <f>Hoja14!P14/Hoja15!C6</f>
        <v>8.0044057706951044</v>
      </c>
      <c r="C27" s="20">
        <f>Hoja14!P14/Hoja14!F14</f>
        <v>14.061153387851999</v>
      </c>
      <c r="D27" s="20"/>
      <c r="E27" s="18">
        <f t="shared" si="6"/>
        <v>3401700.00068034</v>
      </c>
      <c r="F27" s="18">
        <f t="shared" si="7"/>
        <v>4762380</v>
      </c>
      <c r="G27" s="19">
        <v>0.13500000000000001</v>
      </c>
      <c r="H27" s="18">
        <f t="shared" si="8"/>
        <v>305472.66000000003</v>
      </c>
      <c r="N27" s="53">
        <f>VLOOKUP($Q$20,$M$22:$O$24,3)</f>
        <v>0.71498734030022382</v>
      </c>
    </row>
    <row r="28" spans="2:38" x14ac:dyDescent="0.2">
      <c r="B28" s="17">
        <f>Hoja14!P15/Hoja15!C7</f>
        <v>8.010254985211164</v>
      </c>
      <c r="C28" s="20">
        <f>Hoja14!P15/Hoja14!F15</f>
        <v>13.947498856984359</v>
      </c>
      <c r="D28" s="20"/>
      <c r="E28" s="18">
        <f>$C$8*J10</f>
        <v>4762380.0006803395</v>
      </c>
      <c r="F28" s="18">
        <f t="shared" si="7"/>
        <v>6123060</v>
      </c>
      <c r="G28" s="19">
        <v>0.23</v>
      </c>
      <c r="H28" s="18">
        <f t="shared" si="8"/>
        <v>757898.76</v>
      </c>
    </row>
    <row r="29" spans="2:38" x14ac:dyDescent="0.2">
      <c r="B29" s="17">
        <f>Hoja14!P16/Hoja15!C8</f>
        <v>117.53790046118118</v>
      </c>
      <c r="C29" s="20">
        <f>Hoja14!P16/Hoja14!F16</f>
        <v>205.59857315094754</v>
      </c>
      <c r="D29" s="20"/>
      <c r="E29" s="18">
        <f t="shared" si="6"/>
        <v>6123060.0006803395</v>
      </c>
      <c r="F29" s="18">
        <f t="shared" si="7"/>
        <v>8164080</v>
      </c>
      <c r="G29" s="19">
        <v>0.30399999999999999</v>
      </c>
      <c r="H29" s="18">
        <f t="shared" si="8"/>
        <v>1211005.1999999997</v>
      </c>
    </row>
    <row r="30" spans="2:38" x14ac:dyDescent="0.2">
      <c r="B30" s="17">
        <f>Hoja14!P17/Hoja15!C9</f>
        <v>7.6745031612479151</v>
      </c>
      <c r="C30" s="20">
        <f>Hoja14!P17/Hoja14!F17</f>
        <v>13.415460335085417</v>
      </c>
      <c r="D30" s="20"/>
      <c r="E30" s="18">
        <f t="shared" si="6"/>
        <v>8164080.0006803395</v>
      </c>
      <c r="F30" s="18">
        <f t="shared" si="7"/>
        <v>21090540</v>
      </c>
      <c r="G30" s="19">
        <v>0.35</v>
      </c>
      <c r="H30" s="18">
        <f t="shared" si="8"/>
        <v>1586552.8800000001</v>
      </c>
      <c r="J30" s="209">
        <f>J25*G31-H31</f>
        <v>16417529.68</v>
      </c>
    </row>
    <row r="31" spans="2:38" x14ac:dyDescent="0.2">
      <c r="B31" s="17">
        <f>Hoja14!P18/Hoja15!C10</f>
        <v>7.5669597405459745</v>
      </c>
      <c r="C31" s="20">
        <f>Hoja14!P18/Hoja14!F18</f>
        <v>13.25501256764257</v>
      </c>
      <c r="E31" s="18">
        <f>$C$8*J13</f>
        <v>21090540.000680342</v>
      </c>
      <c r="F31" s="18">
        <f>$C$8*K13</f>
        <v>680340000</v>
      </c>
      <c r="G31" s="19">
        <v>0.4</v>
      </c>
      <c r="H31" s="18">
        <f>$C$8*M13</f>
        <v>2641079.88</v>
      </c>
    </row>
    <row r="32" spans="2:38" x14ac:dyDescent="0.2">
      <c r="B32" s="17">
        <f>Hoja14!P19/Hoja15!C11</f>
        <v>7.5203194328618155</v>
      </c>
      <c r="C32" s="20">
        <f>Hoja14!P19/Hoja14!F19</f>
        <v>13.173510837182402</v>
      </c>
      <c r="M32" s="188"/>
      <c r="N32" s="189"/>
      <c r="O32" s="190"/>
      <c r="P32" s="191"/>
    </row>
    <row r="33" spans="2:16" x14ac:dyDescent="0.2">
      <c r="B33" s="17">
        <f>Hoja14!P20/Hoja15!C12</f>
        <v>7.4935790091000101</v>
      </c>
      <c r="C33" s="20">
        <f>Hoja14!P20/Hoja14!F20</f>
        <v>13.182567554519625</v>
      </c>
      <c r="E33" s="18">
        <f>$C$9*$J$6</f>
        <v>0</v>
      </c>
      <c r="F33" s="18">
        <f>$C$9*$K$6</f>
        <v>922131</v>
      </c>
      <c r="G33" s="200">
        <v>0</v>
      </c>
      <c r="H33" s="18">
        <f>$C$9*$M$6</f>
        <v>0</v>
      </c>
      <c r="M33" s="188"/>
      <c r="N33" s="188"/>
      <c r="O33" s="190"/>
      <c r="P33" s="191"/>
    </row>
    <row r="34" spans="2:16" x14ac:dyDescent="0.2">
      <c r="B34" s="17">
        <f>Hoja14!P21/Hoja15!C13</f>
        <v>7.5437836600201038</v>
      </c>
      <c r="C34" s="20">
        <f>Hoja14!P21/Hoja14!F21</f>
        <v>13.149257203905131</v>
      </c>
      <c r="E34" s="18">
        <f>$C$9*$J$7</f>
        <v>922131.00068306003</v>
      </c>
      <c r="F34" s="18">
        <f>$C$9*$K$7</f>
        <v>2049180</v>
      </c>
      <c r="G34" s="200">
        <v>0.04</v>
      </c>
      <c r="H34" s="18">
        <f>$C$9*$M$7</f>
        <v>36885.240000000005</v>
      </c>
      <c r="M34" s="188"/>
      <c r="N34" s="188"/>
      <c r="O34" s="190"/>
      <c r="P34" s="191"/>
    </row>
    <row r="35" spans="2:16" x14ac:dyDescent="0.2">
      <c r="B35" s="17">
        <f>Hoja14!P22/Hoja15!C14</f>
        <v>7.364769939695373</v>
      </c>
      <c r="C35" s="20">
        <f>Hoja14!P22/Hoja14!F22</f>
        <v>12.919143786996035</v>
      </c>
      <c r="E35" s="18">
        <f>$C$9*$J$8</f>
        <v>2049180.0006830601</v>
      </c>
      <c r="F35" s="18">
        <f>$C$9*$K$8</f>
        <v>3415300</v>
      </c>
      <c r="G35" s="200">
        <v>0.08</v>
      </c>
      <c r="H35" s="18">
        <f>$C$9*$M$8</f>
        <v>118852.44</v>
      </c>
      <c r="J35" s="20">
        <f>Hoja14!N17*Hoja15!G35-Hoja15!H35</f>
        <v>328153.97841120005</v>
      </c>
      <c r="M35" s="188"/>
      <c r="N35" s="188"/>
      <c r="O35" s="190"/>
      <c r="P35" s="191"/>
    </row>
    <row r="36" spans="2:16" x14ac:dyDescent="0.2">
      <c r="B36" s="17">
        <f>Hoja14!P23/Hoja15!C15</f>
        <v>7.364769939695373</v>
      </c>
      <c r="C36" s="20">
        <f>Hoja14!P23/Hoja14!F23</f>
        <v>12.919143786996035</v>
      </c>
      <c r="E36" s="18">
        <f>$C$9*$J$9</f>
        <v>3415300.0006830599</v>
      </c>
      <c r="F36" s="18">
        <f>$C$9*$K$9</f>
        <v>4781420</v>
      </c>
      <c r="G36" s="200">
        <v>0.13500000000000001</v>
      </c>
      <c r="H36" s="18">
        <f>$C$9*$M$9</f>
        <v>306693.94</v>
      </c>
      <c r="M36" s="188"/>
      <c r="N36" s="188"/>
      <c r="O36" s="190"/>
      <c r="P36" s="191"/>
    </row>
    <row r="37" spans="2:16" x14ac:dyDescent="0.2">
      <c r="B37" s="17">
        <f>Hoja14!P24/Hoja15!C16</f>
        <v>7.2776699353110379</v>
      </c>
      <c r="C37" s="20">
        <f>Hoja14!P24/Hoja14!F24</f>
        <v>12.781149058553197</v>
      </c>
      <c r="E37" s="18">
        <f>$C$9*$J$10</f>
        <v>4781420.0006830599</v>
      </c>
      <c r="F37" s="18">
        <f>$C$9*$K$10</f>
        <v>6147540</v>
      </c>
      <c r="G37" s="200">
        <v>0.23</v>
      </c>
      <c r="H37" s="18">
        <f>$C$9*$M$10</f>
        <v>760928.84000000008</v>
      </c>
      <c r="M37" s="188"/>
      <c r="N37" s="188"/>
      <c r="O37" s="190"/>
      <c r="P37" s="191"/>
    </row>
    <row r="38" spans="2:16" x14ac:dyDescent="0.2">
      <c r="B38" s="17">
        <f>Hoja14!P25/Hoja15!C17</f>
        <v>7.2721803089902508</v>
      </c>
      <c r="C38" s="20">
        <f>Hoja14!P25/Hoja14!F25</f>
        <v>12.756714592391861</v>
      </c>
      <c r="E38" s="18">
        <f>$C$9*$J$11</f>
        <v>6147540.0006830599</v>
      </c>
      <c r="F38" s="18">
        <f>$C$9*$K$11</f>
        <v>8196720</v>
      </c>
      <c r="G38" s="200">
        <v>0.30399999999999999</v>
      </c>
      <c r="H38" s="18">
        <f>$C$9*$M$11</f>
        <v>1215846.7999999998</v>
      </c>
      <c r="M38" s="188"/>
      <c r="N38" s="188"/>
      <c r="O38" s="190"/>
      <c r="P38" s="191"/>
    </row>
    <row r="39" spans="2:16" x14ac:dyDescent="0.2">
      <c r="B39" s="17">
        <f>SUM(B27:B38)</f>
        <v>200.63109634455529</v>
      </c>
      <c r="C39" s="17">
        <f>SUM(C27:C38)</f>
        <v>351.15918511905608</v>
      </c>
      <c r="E39" s="18">
        <f>$C$9*$J$12</f>
        <v>8196720.0006830599</v>
      </c>
      <c r="F39" s="18">
        <f>$C$9*$K$12</f>
        <v>21174860</v>
      </c>
      <c r="G39" s="200">
        <v>0.35</v>
      </c>
      <c r="H39" s="18">
        <f>$C$9*$M$12</f>
        <v>1592895.92</v>
      </c>
      <c r="M39" s="188"/>
      <c r="N39" s="189"/>
      <c r="O39" s="190"/>
      <c r="P39" s="191"/>
    </row>
    <row r="40" spans="2:16" x14ac:dyDescent="0.2">
      <c r="C40" s="17">
        <f>C39*Hoja14!F25</f>
        <v>13921210.75959396</v>
      </c>
      <c r="E40" s="18">
        <f>$C$9*$J$13</f>
        <v>21174860.000683062</v>
      </c>
      <c r="F40" s="18">
        <f>$C$9*$K$13</f>
        <v>683060000</v>
      </c>
      <c r="G40" s="200">
        <v>0.4</v>
      </c>
      <c r="H40" s="18">
        <f>$C$9*$M$13</f>
        <v>2651638.92</v>
      </c>
    </row>
    <row r="42" spans="2:16" x14ac:dyDescent="0.2">
      <c r="E42" s="18">
        <f>$C$10*$J$6</f>
        <v>0</v>
      </c>
      <c r="F42" s="18">
        <f>$C$10*$K$6</f>
        <v>926748</v>
      </c>
      <c r="G42" s="19">
        <v>0</v>
      </c>
      <c r="H42" s="18">
        <f>$C$10*$M$6</f>
        <v>0</v>
      </c>
    </row>
    <row r="43" spans="2:16" x14ac:dyDescent="0.2">
      <c r="E43" s="18">
        <f>$C$10*$J$7</f>
        <v>926748.00068648008</v>
      </c>
      <c r="F43" s="18">
        <f>$C$10*$K$7</f>
        <v>2059440</v>
      </c>
      <c r="G43" s="19">
        <v>0.04</v>
      </c>
      <c r="H43" s="18">
        <f>$C$10*$M$7</f>
        <v>37069.920000000006</v>
      </c>
      <c r="K43" s="20">
        <f>25629*8*50</f>
        <v>10251600</v>
      </c>
    </row>
    <row r="44" spans="2:16" x14ac:dyDescent="0.2">
      <c r="E44" s="18">
        <f>$C$10*$J$8</f>
        <v>2059440.00068648</v>
      </c>
      <c r="F44" s="18">
        <f>$C$10*$K$8</f>
        <v>3432400</v>
      </c>
      <c r="G44" s="19">
        <v>0.08</v>
      </c>
      <c r="H44" s="18">
        <f>$C$10*$M$8</f>
        <v>119447.52</v>
      </c>
    </row>
    <row r="45" spans="2:16" x14ac:dyDescent="0.2">
      <c r="E45" s="18">
        <f>$C$10*$J$9</f>
        <v>3432400.0006864802</v>
      </c>
      <c r="F45" s="18">
        <f>$C$10*$K$9</f>
        <v>4805360</v>
      </c>
      <c r="G45" s="19">
        <v>0.13500000000000001</v>
      </c>
      <c r="H45" s="18">
        <f>$C$10*$M$9</f>
        <v>308229.52</v>
      </c>
    </row>
    <row r="46" spans="2:16" x14ac:dyDescent="0.2">
      <c r="E46" s="18">
        <f>$C$10*$J$10</f>
        <v>4805360.0006864797</v>
      </c>
      <c r="F46" s="18">
        <f>$C$10*$K$10</f>
        <v>6178320</v>
      </c>
      <c r="G46" s="19">
        <v>0.23</v>
      </c>
      <c r="H46" s="18">
        <f>$C$10*$M$10</f>
        <v>764738.72000000009</v>
      </c>
    </row>
    <row r="47" spans="2:16" x14ac:dyDescent="0.2">
      <c r="E47" s="18">
        <f>$C$10*$J$11</f>
        <v>6178320.0006864797</v>
      </c>
      <c r="F47" s="18">
        <f>$C$10*$K$11</f>
        <v>8237760</v>
      </c>
      <c r="G47" s="19">
        <v>0.30399999999999999</v>
      </c>
      <c r="H47" s="18">
        <f>$C$10*$M$11</f>
        <v>1221934.3999999999</v>
      </c>
    </row>
    <row r="48" spans="2:16" x14ac:dyDescent="0.2">
      <c r="E48" s="18">
        <f>$C$10*$J$12</f>
        <v>8237760.0006864797</v>
      </c>
      <c r="F48" s="18">
        <f>$C$10*$K$12</f>
        <v>21280880</v>
      </c>
      <c r="G48" s="19">
        <v>0.35</v>
      </c>
      <c r="H48" s="18">
        <f>$C$10*$M$12</f>
        <v>1600871.36</v>
      </c>
    </row>
    <row r="49" spans="5:8" x14ac:dyDescent="0.2">
      <c r="E49" s="18">
        <f>$C$10*$J$13</f>
        <v>21280880.000686482</v>
      </c>
      <c r="F49" s="18">
        <f>$C$10*$K$13</f>
        <v>686480000</v>
      </c>
      <c r="G49" s="19">
        <v>0.4</v>
      </c>
      <c r="H49" s="18">
        <f>$C$10*$M$13</f>
        <v>2664915.36</v>
      </c>
    </row>
    <row r="51" spans="5:8" x14ac:dyDescent="0.2">
      <c r="E51" s="18">
        <f>$C$11*$J$6</f>
        <v>0</v>
      </c>
      <c r="F51" s="18">
        <f>$C$11*$K$6</f>
        <v>928597.5</v>
      </c>
      <c r="G51" s="19">
        <v>0</v>
      </c>
      <c r="H51" s="18">
        <f>$C$11*$M$6</f>
        <v>0</v>
      </c>
    </row>
    <row r="52" spans="5:8" x14ac:dyDescent="0.2">
      <c r="E52" s="18">
        <f>$C$11*$J$7</f>
        <v>928597.50068785006</v>
      </c>
      <c r="F52" s="18">
        <f>$C$11*$K$7</f>
        <v>2063550</v>
      </c>
      <c r="G52" s="19">
        <v>0.04</v>
      </c>
      <c r="H52" s="18">
        <f>$C$11*$M$7</f>
        <v>37143.9</v>
      </c>
    </row>
    <row r="53" spans="5:8" x14ac:dyDescent="0.2">
      <c r="E53" s="18">
        <f>$C$11*$J$8</f>
        <v>2063550.0006878499</v>
      </c>
      <c r="F53" s="18">
        <f>$C$11*$K$8</f>
        <v>3439250</v>
      </c>
      <c r="G53" s="19">
        <v>0.08</v>
      </c>
      <c r="H53" s="18">
        <f>$C$11*$M$8</f>
        <v>119685.9</v>
      </c>
    </row>
    <row r="54" spans="5:8" x14ac:dyDescent="0.2">
      <c r="E54" s="18">
        <f>$C$11*$J$9</f>
        <v>3439250.0006878502</v>
      </c>
      <c r="F54" s="18">
        <f>$C$11*$K$9</f>
        <v>4814950</v>
      </c>
      <c r="G54" s="19">
        <v>0.13500000000000001</v>
      </c>
      <c r="H54" s="18">
        <f>$C$11*$M$9</f>
        <v>308844.65000000002</v>
      </c>
    </row>
    <row r="55" spans="5:8" x14ac:dyDescent="0.2">
      <c r="E55" s="18">
        <f>$C$11*$J$10</f>
        <v>4814950.0006878497</v>
      </c>
      <c r="F55" s="18">
        <f>$C$11*$K$10</f>
        <v>6190650</v>
      </c>
      <c r="G55" s="19">
        <v>0.23</v>
      </c>
      <c r="H55" s="18">
        <f>$C$11*$M$10</f>
        <v>766264.9</v>
      </c>
    </row>
    <row r="56" spans="5:8" x14ac:dyDescent="0.2">
      <c r="E56" s="18">
        <f>$C$11*$J$11</f>
        <v>6190650.0006878497</v>
      </c>
      <c r="F56" s="18">
        <f>$C$11*$K$11</f>
        <v>8254200</v>
      </c>
      <c r="G56" s="19">
        <v>0.30399999999999999</v>
      </c>
      <c r="H56" s="18">
        <f>$C$11*$M$11</f>
        <v>1224372.9999999998</v>
      </c>
    </row>
    <row r="57" spans="5:8" x14ac:dyDescent="0.2">
      <c r="E57" s="18">
        <f>$C$11*$J$12</f>
        <v>8254200.0006878497</v>
      </c>
      <c r="F57" s="18">
        <f>$C$11*$K$12</f>
        <v>21323350</v>
      </c>
      <c r="G57" s="19">
        <v>0.35</v>
      </c>
      <c r="H57" s="18">
        <f>$C$11*$M$12</f>
        <v>1604066.2</v>
      </c>
    </row>
    <row r="58" spans="5:8" x14ac:dyDescent="0.2">
      <c r="E58" s="18">
        <f>$C$11*$J$13</f>
        <v>21323350.000687849</v>
      </c>
      <c r="F58" s="18">
        <f>$C$11*$K$13</f>
        <v>687850000</v>
      </c>
      <c r="G58" s="19">
        <v>0.4</v>
      </c>
      <c r="H58" s="18">
        <f>$C$11*$M$13</f>
        <v>2670233.7000000002</v>
      </c>
    </row>
    <row r="60" spans="5:8" x14ac:dyDescent="0.2">
      <c r="E60" s="18">
        <f>$C$12*$J$6</f>
        <v>0</v>
      </c>
      <c r="F60" s="18">
        <f>$C$12*$K$6</f>
        <v>930460.5</v>
      </c>
      <c r="G60" s="19">
        <v>0</v>
      </c>
      <c r="H60" s="18">
        <f>$C$12*$M$6</f>
        <v>0</v>
      </c>
    </row>
    <row r="61" spans="5:8" x14ac:dyDescent="0.2">
      <c r="E61" s="18">
        <f>$C$12*$J$7</f>
        <v>930460.50068923004</v>
      </c>
      <c r="F61" s="18">
        <f>$C$12*$K$7</f>
        <v>2067690</v>
      </c>
      <c r="G61" s="19">
        <v>0.04</v>
      </c>
      <c r="H61" s="18">
        <f>$C$12*$M$7</f>
        <v>37218.420000000006</v>
      </c>
    </row>
    <row r="62" spans="5:8" x14ac:dyDescent="0.2">
      <c r="E62" s="18">
        <f>$C$12*$J$8</f>
        <v>2067690.0006892302</v>
      </c>
      <c r="F62" s="18">
        <f>$C$12*$K$8</f>
        <v>3446150</v>
      </c>
      <c r="G62" s="19">
        <v>0.08</v>
      </c>
      <c r="H62" s="18">
        <f>$C$12*$M$8</f>
        <v>119926.02</v>
      </c>
    </row>
    <row r="63" spans="5:8" x14ac:dyDescent="0.2">
      <c r="E63" s="18">
        <f>$C$12*$J$9</f>
        <v>3446150.0006892299</v>
      </c>
      <c r="F63" s="18">
        <f>$C$12*$K$9</f>
        <v>4824610</v>
      </c>
      <c r="G63" s="19">
        <v>0.13500000000000001</v>
      </c>
      <c r="H63" s="18">
        <f>$C$12*$M$9</f>
        <v>309464.27</v>
      </c>
    </row>
    <row r="64" spans="5:8" x14ac:dyDescent="0.2">
      <c r="E64" s="18">
        <f>$C$12*$J$10</f>
        <v>4824610.0006892299</v>
      </c>
      <c r="F64" s="18">
        <f>$C$12*$K$10</f>
        <v>6203070</v>
      </c>
      <c r="G64" s="19">
        <v>0.23</v>
      </c>
      <c r="H64" s="18">
        <f>$C$12*$M$10</f>
        <v>767802.22000000009</v>
      </c>
    </row>
    <row r="65" spans="5:8" x14ac:dyDescent="0.2">
      <c r="E65" s="18">
        <f>$C$12*$J$11</f>
        <v>6203070.0006892299</v>
      </c>
      <c r="F65" s="18">
        <f>$C$12*$K$11</f>
        <v>8270760</v>
      </c>
      <c r="G65" s="19">
        <v>0.30399999999999999</v>
      </c>
      <c r="H65" s="18">
        <f>$C$12*$M$11</f>
        <v>1226829.3999999999</v>
      </c>
    </row>
    <row r="66" spans="5:8" x14ac:dyDescent="0.2">
      <c r="E66" s="18">
        <f>$C$12*$J$12</f>
        <v>8270760.0006892299</v>
      </c>
      <c r="F66" s="18">
        <f>$C$12*$K$12</f>
        <v>21366130</v>
      </c>
      <c r="G66" s="19">
        <v>0.35</v>
      </c>
      <c r="H66" s="18">
        <f>$C$12*$M$12</f>
        <v>1607284.36</v>
      </c>
    </row>
    <row r="67" spans="5:8" x14ac:dyDescent="0.2">
      <c r="E67" s="18">
        <f>$C$12*$J$13</f>
        <v>21366130.000689231</v>
      </c>
      <c r="F67" s="18">
        <f>$C$12*$K$13</f>
        <v>689230000</v>
      </c>
      <c r="G67" s="19">
        <v>0.4</v>
      </c>
      <c r="H67" s="18">
        <f>$C$12*$M$13</f>
        <v>2675590.86</v>
      </c>
    </row>
    <row r="69" spans="5:8" x14ac:dyDescent="0.2">
      <c r="E69" s="18">
        <f>$C$13*$J$6</f>
        <v>0</v>
      </c>
      <c r="F69" s="18">
        <f>$C$13*$K$6</f>
        <v>926734.5</v>
      </c>
      <c r="G69" s="19">
        <v>0</v>
      </c>
      <c r="H69" s="18">
        <f>$C$13*$M$6</f>
        <v>0</v>
      </c>
    </row>
    <row r="70" spans="5:8" x14ac:dyDescent="0.2">
      <c r="E70" s="18">
        <f>$C$13*$J$7</f>
        <v>926734.50068647007</v>
      </c>
      <c r="F70" s="18">
        <f>$C$13*$K$7</f>
        <v>2059410</v>
      </c>
      <c r="G70" s="19">
        <v>0.04</v>
      </c>
      <c r="H70" s="18">
        <f>$C$13*$M$7</f>
        <v>37069.380000000005</v>
      </c>
    </row>
    <row r="71" spans="5:8" x14ac:dyDescent="0.2">
      <c r="E71" s="18">
        <f>$C$13*$J$8</f>
        <v>2059410.00068647</v>
      </c>
      <c r="F71" s="18">
        <f>$C$13*$K$8</f>
        <v>3432350</v>
      </c>
      <c r="G71" s="19">
        <v>0.08</v>
      </c>
      <c r="H71" s="18">
        <f>$C$13*$M$8</f>
        <v>119445.78</v>
      </c>
    </row>
    <row r="72" spans="5:8" x14ac:dyDescent="0.2">
      <c r="E72" s="18">
        <f>$C$13*$J$9</f>
        <v>3432350.00068647</v>
      </c>
      <c r="F72" s="18">
        <f>$C$13*$K$9</f>
        <v>4805290</v>
      </c>
      <c r="G72" s="19">
        <v>0.13500000000000001</v>
      </c>
      <c r="H72" s="18">
        <f>$C$13*$M$9</f>
        <v>308225.03000000003</v>
      </c>
    </row>
    <row r="73" spans="5:8" x14ac:dyDescent="0.2">
      <c r="E73" s="18">
        <f>$C$13*$J$10</f>
        <v>4805290.0006864695</v>
      </c>
      <c r="F73" s="18">
        <f>$C$13*$K$10</f>
        <v>6178230</v>
      </c>
      <c r="G73" s="19">
        <v>0.23</v>
      </c>
      <c r="H73" s="18">
        <f>$C$13*$M$10</f>
        <v>764727.58000000007</v>
      </c>
    </row>
    <row r="74" spans="5:8" x14ac:dyDescent="0.2">
      <c r="E74" s="18">
        <f>$C$13*$J$11</f>
        <v>6178230.0006864695</v>
      </c>
      <c r="F74" s="18">
        <f>$C$13*$K$11</f>
        <v>8237640</v>
      </c>
      <c r="G74" s="19">
        <v>0.30399999999999999</v>
      </c>
      <c r="H74" s="18">
        <f>$C$13*$M$11</f>
        <v>1221916.5999999999</v>
      </c>
    </row>
    <row r="75" spans="5:8" x14ac:dyDescent="0.2">
      <c r="E75" s="18">
        <f>$C$13*$J$12</f>
        <v>8237640.0006864695</v>
      </c>
      <c r="F75" s="18">
        <f>$C$13*$K$12</f>
        <v>21280570</v>
      </c>
      <c r="G75" s="19">
        <v>0.35</v>
      </c>
      <c r="H75" s="18">
        <f>$C$13*$M$12</f>
        <v>1600848.04</v>
      </c>
    </row>
    <row r="76" spans="5:8" x14ac:dyDescent="0.2">
      <c r="E76" s="18">
        <f>$C$13*$J$13</f>
        <v>21280570.00068647</v>
      </c>
      <c r="F76" s="18">
        <f>$C$13*$K$13</f>
        <v>686470000</v>
      </c>
      <c r="G76" s="19">
        <v>0.4</v>
      </c>
      <c r="H76" s="18">
        <f>$C$13*$M$13</f>
        <v>2664876.54</v>
      </c>
    </row>
    <row r="78" spans="5:8" x14ac:dyDescent="0.2">
      <c r="E78" s="18">
        <f>$C$14*$J$6</f>
        <v>0</v>
      </c>
      <c r="F78" s="18">
        <f>$C$14*$K$6</f>
        <v>935077.5</v>
      </c>
      <c r="G78" s="19">
        <v>0</v>
      </c>
      <c r="H78" s="18">
        <f>$C$14*$M$6</f>
        <v>0</v>
      </c>
    </row>
    <row r="79" spans="5:8" x14ac:dyDescent="0.2">
      <c r="E79" s="18">
        <f>$C$14*$J$7</f>
        <v>935077.50069265009</v>
      </c>
      <c r="F79" s="18">
        <f>$C$14*$K$7</f>
        <v>2077950</v>
      </c>
      <c r="G79" s="19">
        <v>0.04</v>
      </c>
      <c r="H79" s="18">
        <f>$C$14*$M$7</f>
        <v>37403.100000000006</v>
      </c>
    </row>
    <row r="80" spans="5:8" x14ac:dyDescent="0.2">
      <c r="E80" s="18">
        <f>$C$14*$J$8</f>
        <v>2077950.00069265</v>
      </c>
      <c r="F80" s="18">
        <f>$C$14*$K$8</f>
        <v>3463250</v>
      </c>
      <c r="G80" s="19">
        <v>0.08</v>
      </c>
      <c r="H80" s="18">
        <f>$C$14*$M$8</f>
        <v>120521.1</v>
      </c>
    </row>
    <row r="81" spans="5:32" x14ac:dyDescent="0.2">
      <c r="E81" s="18">
        <f>$C$14*$J$9</f>
        <v>3463250.0006926502</v>
      </c>
      <c r="F81" s="18">
        <f>$C$14*$K$9</f>
        <v>4848550</v>
      </c>
      <c r="G81" s="19">
        <v>0.13500000000000001</v>
      </c>
      <c r="H81" s="18">
        <f>$C$14*$M$9</f>
        <v>310999.85000000003</v>
      </c>
    </row>
    <row r="82" spans="5:32" x14ac:dyDescent="0.2">
      <c r="E82" s="18">
        <f>$C$14*$J$10</f>
        <v>4848550.0006926497</v>
      </c>
      <c r="F82" s="18">
        <f>$C$14*$K$10</f>
        <v>6233850</v>
      </c>
      <c r="G82" s="19">
        <v>0.23</v>
      </c>
      <c r="H82" s="18">
        <f>$C$14*$M$10</f>
        <v>771612.10000000009</v>
      </c>
    </row>
    <row r="83" spans="5:32" x14ac:dyDescent="0.2">
      <c r="E83" s="18">
        <f>$C$14*$J$11</f>
        <v>6233850.0006926497</v>
      </c>
      <c r="F83" s="18">
        <f>$C$14*$K$11</f>
        <v>8311800</v>
      </c>
      <c r="G83" s="19">
        <v>0.30399999999999999</v>
      </c>
      <c r="H83" s="18">
        <f>$C$14*$M$11</f>
        <v>1232916.9999999998</v>
      </c>
    </row>
    <row r="84" spans="5:32" x14ac:dyDescent="0.2">
      <c r="E84" s="18">
        <f>$C$14*$J$12</f>
        <v>8311800.0006926497</v>
      </c>
      <c r="F84" s="18">
        <f>$C$14*$K$12</f>
        <v>21472150</v>
      </c>
      <c r="G84" s="19">
        <v>0.35</v>
      </c>
      <c r="H84" s="18">
        <f>$C$14*$M$12</f>
        <v>1615259.8</v>
      </c>
    </row>
    <row r="85" spans="5:32" x14ac:dyDescent="0.2">
      <c r="E85" s="18">
        <f>$C$14*$J$13</f>
        <v>21472150.000692651</v>
      </c>
      <c r="F85" s="18">
        <f>$C$14*$K$13</f>
        <v>692650000</v>
      </c>
      <c r="G85" s="19">
        <v>0.4</v>
      </c>
      <c r="H85" s="18">
        <f>$C$14*$M$13</f>
        <v>2688867.3</v>
      </c>
    </row>
    <row r="87" spans="5:32" x14ac:dyDescent="0.2">
      <c r="E87" s="18">
        <f>$C$15*$J$6</f>
        <v>0</v>
      </c>
      <c r="F87" s="18">
        <f>$C$15*$K$6</f>
        <v>935077.5</v>
      </c>
      <c r="G87" s="19">
        <v>0</v>
      </c>
      <c r="H87" s="18">
        <f>$C$15*$M$6</f>
        <v>0</v>
      </c>
    </row>
    <row r="88" spans="5:32" x14ac:dyDescent="0.2">
      <c r="E88" s="18">
        <f>$C$15*$J$7</f>
        <v>935077.50069265009</v>
      </c>
      <c r="F88" s="18">
        <f>$C$15*$K$7</f>
        <v>2077950</v>
      </c>
      <c r="G88" s="19">
        <v>0.04</v>
      </c>
      <c r="H88" s="18">
        <f>$C$15*$M$7</f>
        <v>37403.100000000006</v>
      </c>
    </row>
    <row r="89" spans="5:32" x14ac:dyDescent="0.2">
      <c r="E89" s="18">
        <f>$C$15*$J$8</f>
        <v>2077950.00069265</v>
      </c>
      <c r="F89" s="18">
        <f>$C$15*$K$8</f>
        <v>3463250</v>
      </c>
      <c r="G89" s="19">
        <v>0.08</v>
      </c>
      <c r="H89" s="18">
        <f>$C$15*$M$8</f>
        <v>120521.1</v>
      </c>
    </row>
    <row r="90" spans="5:32" ht="72" x14ac:dyDescent="0.2">
      <c r="E90" s="18">
        <f>$C$15*$J$9</f>
        <v>3463250.0006926502</v>
      </c>
      <c r="F90" s="18">
        <f>$C$15*$K$9</f>
        <v>4848550</v>
      </c>
      <c r="G90" s="19">
        <v>0.13500000000000001</v>
      </c>
      <c r="H90" s="18">
        <f>$C$15*$M$9</f>
        <v>310999.85000000003</v>
      </c>
      <c r="O90" s="211" t="s">
        <v>160</v>
      </c>
      <c r="P90" s="212" t="s">
        <v>161</v>
      </c>
      <c r="Q90" s="212" t="s">
        <v>162</v>
      </c>
      <c r="R90" s="213" t="s">
        <v>163</v>
      </c>
      <c r="S90" s="213" t="s">
        <v>36</v>
      </c>
      <c r="V90" s="211" t="s">
        <v>160</v>
      </c>
      <c r="W90" s="212" t="s">
        <v>161</v>
      </c>
      <c r="X90" s="212" t="s">
        <v>162</v>
      </c>
      <c r="Y90" s="213" t="s">
        <v>163</v>
      </c>
      <c r="Z90" s="213" t="s">
        <v>36</v>
      </c>
      <c r="AB90" s="211" t="s">
        <v>160</v>
      </c>
      <c r="AC90" s="212" t="s">
        <v>161</v>
      </c>
      <c r="AD90" s="212" t="s">
        <v>162</v>
      </c>
      <c r="AE90" s="213" t="s">
        <v>163</v>
      </c>
      <c r="AF90" s="213" t="s">
        <v>36</v>
      </c>
    </row>
    <row r="91" spans="5:32" ht="20.399999999999999" x14ac:dyDescent="0.2">
      <c r="E91" s="18">
        <f>$C$15*$J$10</f>
        <v>4848550.0006926497</v>
      </c>
      <c r="F91" s="18">
        <f>$C$15*$K$10</f>
        <v>6233850</v>
      </c>
      <c r="G91" s="19">
        <v>0.23</v>
      </c>
      <c r="H91" s="18">
        <f>$C$15*$M$10</f>
        <v>771612.10000000009</v>
      </c>
      <c r="O91" s="214">
        <v>1</v>
      </c>
      <c r="P91" s="215">
        <v>0</v>
      </c>
      <c r="Q91" s="215">
        <v>13.5</v>
      </c>
      <c r="R91" s="216">
        <v>0</v>
      </c>
      <c r="S91" s="217">
        <v>0</v>
      </c>
      <c r="V91" s="214">
        <v>1</v>
      </c>
      <c r="W91" s="220">
        <f t="shared" ref="W91:X97" si="9">E105</f>
        <v>0</v>
      </c>
      <c r="X91" s="220">
        <f t="shared" si="9"/>
        <v>938817</v>
      </c>
      <c r="Y91" s="221">
        <v>0</v>
      </c>
      <c r="Z91" s="223">
        <f>H105</f>
        <v>0</v>
      </c>
      <c r="AB91" s="214">
        <v>1</v>
      </c>
      <c r="AC91" s="220">
        <f>P91*$C$17</f>
        <v>0</v>
      </c>
      <c r="AD91" s="220">
        <f>Q91*$C$17</f>
        <v>938817</v>
      </c>
      <c r="AE91" s="221">
        <v>0</v>
      </c>
      <c r="AF91" s="223">
        <f>S91*$C$17</f>
        <v>0</v>
      </c>
    </row>
    <row r="92" spans="5:32" ht="20.399999999999999" x14ac:dyDescent="0.2">
      <c r="E92" s="18">
        <f>$C$15*$J$11</f>
        <v>6233850.0006926497</v>
      </c>
      <c r="F92" s="18">
        <f>$C$15*$K$11</f>
        <v>8311800</v>
      </c>
      <c r="G92" s="19">
        <v>0.30399999999999999</v>
      </c>
      <c r="H92" s="18">
        <f>$C$15*$M$11</f>
        <v>1232916.9999999998</v>
      </c>
      <c r="K92" s="20">
        <f>Hoja14!AA134*Hoja15!L112-Hoja15!M112</f>
        <v>3347810.9784307703</v>
      </c>
      <c r="O92" s="214">
        <v>2</v>
      </c>
      <c r="P92" s="215">
        <v>13.5</v>
      </c>
      <c r="Q92" s="215">
        <v>30</v>
      </c>
      <c r="R92" s="216">
        <v>0.04</v>
      </c>
      <c r="S92" s="217">
        <v>0.54</v>
      </c>
      <c r="V92" s="214">
        <v>2</v>
      </c>
      <c r="W92" s="220">
        <f t="shared" si="9"/>
        <v>938817.00069542008</v>
      </c>
      <c r="X92" s="220">
        <f t="shared" si="9"/>
        <v>2086260</v>
      </c>
      <c r="Y92" s="221">
        <v>0.04</v>
      </c>
      <c r="Z92" s="223">
        <f t="shared" ref="Z92:Z98" si="10">H106</f>
        <v>37552.68</v>
      </c>
      <c r="AB92" s="214">
        <v>2</v>
      </c>
      <c r="AC92" s="220">
        <f t="shared" ref="AC92:AC97" si="11">P92*$C$17</f>
        <v>938817</v>
      </c>
      <c r="AD92" s="220">
        <f>Q92*$C$17</f>
        <v>2086260</v>
      </c>
      <c r="AE92" s="221">
        <v>0.04</v>
      </c>
      <c r="AF92" s="223">
        <f t="shared" ref="AF92:AF97" si="12">S92*$C$17</f>
        <v>37552.68</v>
      </c>
    </row>
    <row r="93" spans="5:32" ht="20.399999999999999" x14ac:dyDescent="0.2">
      <c r="E93" s="18">
        <f>$C$15*$J$12</f>
        <v>8311800.0006926497</v>
      </c>
      <c r="F93" s="18">
        <f>$C$15*$K$12</f>
        <v>21472150</v>
      </c>
      <c r="G93" s="19">
        <v>0.35</v>
      </c>
      <c r="H93" s="18">
        <f>$C$15*$M$12</f>
        <v>1615259.8</v>
      </c>
      <c r="O93" s="214">
        <v>3</v>
      </c>
      <c r="P93" s="215">
        <v>30</v>
      </c>
      <c r="Q93" s="215">
        <v>50</v>
      </c>
      <c r="R93" s="216">
        <v>0.08</v>
      </c>
      <c r="S93" s="217">
        <v>1.74</v>
      </c>
      <c r="V93" s="214">
        <v>3</v>
      </c>
      <c r="W93" s="220">
        <f t="shared" si="9"/>
        <v>2086260.00069542</v>
      </c>
      <c r="X93" s="220">
        <f t="shared" si="9"/>
        <v>3477100</v>
      </c>
      <c r="Y93" s="221">
        <v>0.08</v>
      </c>
      <c r="Z93" s="223">
        <f t="shared" si="10"/>
        <v>121003.08</v>
      </c>
      <c r="AB93" s="214">
        <v>3</v>
      </c>
      <c r="AC93" s="220">
        <f t="shared" si="11"/>
        <v>2086260</v>
      </c>
      <c r="AD93" s="220">
        <f>Q93*$C$17</f>
        <v>3477100</v>
      </c>
      <c r="AE93" s="221">
        <v>0.08</v>
      </c>
      <c r="AF93" s="223">
        <f t="shared" si="12"/>
        <v>121003.08</v>
      </c>
    </row>
    <row r="94" spans="5:32" ht="20.399999999999999" x14ac:dyDescent="0.2">
      <c r="E94" s="18">
        <f>$C$15*$J$13</f>
        <v>21472150.000692651</v>
      </c>
      <c r="F94" s="18">
        <f>$C$15*$K$13</f>
        <v>692650000</v>
      </c>
      <c r="G94" s="19">
        <v>0.4</v>
      </c>
      <c r="H94" s="18">
        <f>$C$15*$M$13</f>
        <v>2688867.3</v>
      </c>
      <c r="O94" s="214">
        <v>4</v>
      </c>
      <c r="P94" s="215">
        <v>50</v>
      </c>
      <c r="Q94" s="215">
        <v>70</v>
      </c>
      <c r="R94" s="216">
        <v>0.13500000000000001</v>
      </c>
      <c r="S94" s="217">
        <v>4.49</v>
      </c>
      <c r="V94" s="214">
        <v>4</v>
      </c>
      <c r="W94" s="220">
        <f t="shared" si="9"/>
        <v>3477100.00069542</v>
      </c>
      <c r="X94" s="220">
        <f t="shared" si="9"/>
        <v>4867940</v>
      </c>
      <c r="Y94" s="221">
        <v>0.13500000000000001</v>
      </c>
      <c r="Z94" s="223">
        <f t="shared" si="10"/>
        <v>312243.58</v>
      </c>
      <c r="AB94" s="214">
        <v>4</v>
      </c>
      <c r="AC94" s="220">
        <f t="shared" si="11"/>
        <v>3477100</v>
      </c>
      <c r="AD94" s="220">
        <f>Q94*$C$17</f>
        <v>4867940</v>
      </c>
      <c r="AE94" s="221">
        <v>0.13500000000000001</v>
      </c>
      <c r="AF94" s="223">
        <f t="shared" si="12"/>
        <v>312243.58</v>
      </c>
    </row>
    <row r="95" spans="5:32" ht="20.399999999999999" x14ac:dyDescent="0.2">
      <c r="O95" s="214">
        <v>5</v>
      </c>
      <c r="P95" s="215">
        <v>70</v>
      </c>
      <c r="Q95" s="215">
        <v>90</v>
      </c>
      <c r="R95" s="216">
        <v>0.23</v>
      </c>
      <c r="S95" s="217">
        <v>11.14</v>
      </c>
      <c r="V95" s="214">
        <v>5</v>
      </c>
      <c r="W95" s="220">
        <f t="shared" si="9"/>
        <v>4867940.0006954195</v>
      </c>
      <c r="X95" s="220">
        <f t="shared" si="9"/>
        <v>6258780</v>
      </c>
      <c r="Y95" s="221">
        <v>0.23</v>
      </c>
      <c r="Z95" s="223">
        <f t="shared" si="10"/>
        <v>774697.88</v>
      </c>
      <c r="AB95" s="214">
        <v>5</v>
      </c>
      <c r="AC95" s="220">
        <f t="shared" si="11"/>
        <v>4867940</v>
      </c>
      <c r="AD95" s="220">
        <f>Q95*$C$17</f>
        <v>6258780</v>
      </c>
      <c r="AE95" s="221">
        <v>0.23</v>
      </c>
      <c r="AF95" s="223">
        <f t="shared" si="12"/>
        <v>774697.88</v>
      </c>
    </row>
    <row r="96" spans="5:32" ht="20.399999999999999" x14ac:dyDescent="0.2">
      <c r="E96" s="18">
        <f>$C$16*$J$6</f>
        <v>0</v>
      </c>
      <c r="F96" s="18">
        <f>$C$16*$K$6</f>
        <v>938817</v>
      </c>
      <c r="G96" s="19">
        <v>0</v>
      </c>
      <c r="H96" s="18">
        <f>$C$16*$M$6</f>
        <v>0</v>
      </c>
      <c r="O96" s="214">
        <v>6</v>
      </c>
      <c r="P96" s="215">
        <v>90</v>
      </c>
      <c r="Q96" s="215">
        <v>120</v>
      </c>
      <c r="R96" s="216">
        <v>0.30399999999999999</v>
      </c>
      <c r="S96" s="217">
        <v>17.8</v>
      </c>
      <c r="V96" s="214">
        <v>6</v>
      </c>
      <c r="W96" s="220">
        <f t="shared" si="9"/>
        <v>6258780.0006954195</v>
      </c>
      <c r="X96" s="220">
        <f t="shared" si="9"/>
        <v>8345040</v>
      </c>
      <c r="Y96" s="221">
        <v>0.30399999999999999</v>
      </c>
      <c r="Z96" s="223">
        <f t="shared" si="10"/>
        <v>1237847.5999999999</v>
      </c>
      <c r="AB96" s="214">
        <v>6</v>
      </c>
      <c r="AC96" s="220">
        <f t="shared" si="11"/>
        <v>6258780</v>
      </c>
      <c r="AD96" s="220">
        <f>Q96*$C$17</f>
        <v>8345040</v>
      </c>
      <c r="AE96" s="221">
        <v>0.30399999999999999</v>
      </c>
      <c r="AF96" s="223">
        <f t="shared" si="12"/>
        <v>1237847.6000000001</v>
      </c>
    </row>
    <row r="97" spans="5:32" ht="20.399999999999999" x14ac:dyDescent="0.2">
      <c r="E97" s="18">
        <f>$C$16*$J$7</f>
        <v>938817.00069542008</v>
      </c>
      <c r="F97" s="18">
        <f>$C$16*$K$7</f>
        <v>2086260</v>
      </c>
      <c r="G97" s="19">
        <v>0.04</v>
      </c>
      <c r="H97" s="18">
        <f>$C$16*$M$7</f>
        <v>37552.68</v>
      </c>
      <c r="O97" s="214">
        <v>7</v>
      </c>
      <c r="P97" s="218">
        <v>120</v>
      </c>
      <c r="Q97" s="215" t="s">
        <v>159</v>
      </c>
      <c r="R97" s="219">
        <v>0.35</v>
      </c>
      <c r="S97" s="217">
        <v>23.32</v>
      </c>
      <c r="V97" s="214">
        <v>7</v>
      </c>
      <c r="W97" s="220">
        <f t="shared" si="9"/>
        <v>8345040.0006954195</v>
      </c>
      <c r="X97" s="220">
        <f t="shared" si="9"/>
        <v>21558020</v>
      </c>
      <c r="Y97" s="221">
        <v>0.35499999999999998</v>
      </c>
      <c r="Z97" s="223">
        <f t="shared" si="10"/>
        <v>1621719.44</v>
      </c>
      <c r="AB97" s="214">
        <v>7</v>
      </c>
      <c r="AC97" s="220">
        <f t="shared" si="11"/>
        <v>8345040</v>
      </c>
      <c r="AD97" s="220" t="s">
        <v>159</v>
      </c>
      <c r="AE97" s="222">
        <v>0.35</v>
      </c>
      <c r="AF97" s="223">
        <f t="shared" si="12"/>
        <v>1621719.44</v>
      </c>
    </row>
    <row r="98" spans="5:32" ht="20.399999999999999" x14ac:dyDescent="0.2">
      <c r="E98" s="18">
        <f>$C$16*$J$8</f>
        <v>2086260.00069542</v>
      </c>
      <c r="F98" s="18">
        <f>$C$16*$K$8</f>
        <v>3477100</v>
      </c>
      <c r="G98" s="19">
        <v>0.08</v>
      </c>
      <c r="H98" s="18">
        <f>$C$16*$M$8</f>
        <v>121003.08</v>
      </c>
      <c r="V98" s="214">
        <v>7</v>
      </c>
      <c r="W98" s="220">
        <f>E112</f>
        <v>21558020.000695422</v>
      </c>
      <c r="X98" s="215" t="s">
        <v>159</v>
      </c>
      <c r="Y98" s="222">
        <v>0.4</v>
      </c>
      <c r="Z98" s="223">
        <f t="shared" si="10"/>
        <v>2699620.44</v>
      </c>
    </row>
    <row r="99" spans="5:32" x14ac:dyDescent="0.2">
      <c r="E99" s="18">
        <f>$C$16*$J$9</f>
        <v>3477100.00069542</v>
      </c>
      <c r="F99" s="18">
        <f>$C$16*$K$9</f>
        <v>4867940</v>
      </c>
      <c r="G99" s="19">
        <v>0.13500000000000001</v>
      </c>
      <c r="H99" s="18">
        <f>$C$16*$M$9</f>
        <v>312243.58</v>
      </c>
      <c r="J99" s="36">
        <f>2700000*G109-H109</f>
        <v>-153697.88</v>
      </c>
    </row>
    <row r="100" spans="5:32" x14ac:dyDescent="0.2">
      <c r="E100" s="18">
        <f>$C$16*$J$10</f>
        <v>4867940.0006954195</v>
      </c>
      <c r="F100" s="18">
        <f>$C$16*$K$10</f>
        <v>6258780</v>
      </c>
      <c r="G100" s="19">
        <v>0.23</v>
      </c>
      <c r="H100" s="18">
        <f>$C$16*$M$10</f>
        <v>774697.88</v>
      </c>
    </row>
    <row r="101" spans="5:32" x14ac:dyDescent="0.2">
      <c r="E101" s="18">
        <f>$C$16*$J$11</f>
        <v>6258780.0006954195</v>
      </c>
      <c r="F101" s="18">
        <f>$C$16*$K$11</f>
        <v>8345040</v>
      </c>
      <c r="G101" s="19">
        <v>0.30399999999999999</v>
      </c>
      <c r="H101" s="18">
        <f>$C$16*$M$11</f>
        <v>1237847.5999999999</v>
      </c>
    </row>
    <row r="102" spans="5:32" x14ac:dyDescent="0.2">
      <c r="E102" s="18">
        <f>$C$16*$J$12</f>
        <v>8345040.0006954195</v>
      </c>
      <c r="F102" s="18">
        <f>$C$16*$K$12</f>
        <v>21558020</v>
      </c>
      <c r="G102" s="19">
        <v>0.35</v>
      </c>
      <c r="H102" s="18">
        <f>$C$16*$M$12</f>
        <v>1621719.44</v>
      </c>
    </row>
    <row r="103" spans="5:32" x14ac:dyDescent="0.2">
      <c r="E103" s="18">
        <f>$C$16*$J$13</f>
        <v>21558020.000695422</v>
      </c>
      <c r="F103" s="18">
        <f>$C$16*$K$13</f>
        <v>695420000</v>
      </c>
      <c r="G103" s="19">
        <v>0.4</v>
      </c>
      <c r="H103" s="18">
        <f>$C$16*$M$13</f>
        <v>2699620.44</v>
      </c>
    </row>
    <row r="105" spans="5:32" x14ac:dyDescent="0.2">
      <c r="E105" s="18">
        <f>$C$17*$J$6</f>
        <v>0</v>
      </c>
      <c r="F105" s="18">
        <f>$C$17*$K$6</f>
        <v>938817</v>
      </c>
      <c r="G105" s="19">
        <v>0</v>
      </c>
      <c r="H105" s="18">
        <f>$C$17*$M$6</f>
        <v>0</v>
      </c>
      <c r="J105" s="18">
        <f>E105*12</f>
        <v>0</v>
      </c>
      <c r="K105" s="18">
        <f>F105*12</f>
        <v>11265804</v>
      </c>
      <c r="L105" s="200">
        <v>0</v>
      </c>
      <c r="M105" s="18">
        <f>H105*12</f>
        <v>0</v>
      </c>
      <c r="O105" s="18">
        <f>Hoja14!AZ38</f>
        <v>88002956.897619992</v>
      </c>
      <c r="P105" s="19">
        <f>VLOOKUP(O105,$J$105:$M$112,3)</f>
        <v>0.30399999999999999</v>
      </c>
      <c r="Q105" s="18">
        <f>VLOOKUP(O105,$J$105:$M$112,4)</f>
        <v>14854171.199999999</v>
      </c>
      <c r="R105" s="42">
        <f>O105*P105-Q105</f>
        <v>11898727.696876477</v>
      </c>
    </row>
    <row r="106" spans="5:32" x14ac:dyDescent="0.2">
      <c r="E106" s="18">
        <f>$C$17*$J$7</f>
        <v>938817.00069542008</v>
      </c>
      <c r="F106" s="18">
        <f>$C$17*$K$7</f>
        <v>2086260</v>
      </c>
      <c r="G106" s="19">
        <v>0.04</v>
      </c>
      <c r="H106" s="18">
        <f>$C$17*$M$7</f>
        <v>37552.68</v>
      </c>
      <c r="J106" s="18">
        <f t="shared" ref="J106:K111" si="13">E106*12</f>
        <v>11265804.008345041</v>
      </c>
      <c r="K106" s="18">
        <f t="shared" si="13"/>
        <v>25035120</v>
      </c>
      <c r="L106" s="200">
        <v>0.04</v>
      </c>
      <c r="M106" s="18">
        <f t="shared" ref="M106:M111" si="14">H106*12</f>
        <v>450632.16000000003</v>
      </c>
      <c r="O106" s="18">
        <f>Hoja14!BA38</f>
        <v>88002956.897619992</v>
      </c>
      <c r="P106" s="19">
        <f>VLOOKUP(O106,$J$105:$M$112,3)</f>
        <v>0.30399999999999999</v>
      </c>
      <c r="Q106" s="18">
        <f>VLOOKUP(O106,$J$105:$M$112,4)</f>
        <v>14854171.199999999</v>
      </c>
      <c r="R106" s="42">
        <f>O106*P106-Q106</f>
        <v>11898727.696876477</v>
      </c>
    </row>
    <row r="107" spans="5:32" x14ac:dyDescent="0.2">
      <c r="E107" s="18">
        <f>$C$17*$J$8</f>
        <v>2086260.00069542</v>
      </c>
      <c r="F107" s="18">
        <f>$C$17*$K$8</f>
        <v>3477100</v>
      </c>
      <c r="G107" s="19">
        <v>0.08</v>
      </c>
      <c r="H107" s="18">
        <f>$C$17*$M$8</f>
        <v>121003.08</v>
      </c>
      <c r="J107" s="18">
        <f t="shared" si="13"/>
        <v>25035120.008345038</v>
      </c>
      <c r="K107" s="18">
        <f t="shared" si="13"/>
        <v>41725200</v>
      </c>
      <c r="L107" s="200">
        <v>0.08</v>
      </c>
      <c r="M107" s="18">
        <f t="shared" si="14"/>
        <v>1452036.96</v>
      </c>
      <c r="R107" s="36">
        <f>R106-R105</f>
        <v>0</v>
      </c>
    </row>
    <row r="108" spans="5:32" x14ac:dyDescent="0.2">
      <c r="E108" s="18">
        <f>$C$17*$J$9</f>
        <v>3477100.00069542</v>
      </c>
      <c r="F108" s="18">
        <f>$C$17*$K$9</f>
        <v>4867940</v>
      </c>
      <c r="G108" s="19">
        <v>0.13500000000000001</v>
      </c>
      <c r="H108" s="18">
        <f>$C$17*$M$9</f>
        <v>312243.58</v>
      </c>
      <c r="J108" s="18">
        <f t="shared" si="13"/>
        <v>41725200.008345038</v>
      </c>
      <c r="K108" s="18">
        <f t="shared" si="13"/>
        <v>58415280</v>
      </c>
      <c r="L108" s="200">
        <v>0.13500000000000001</v>
      </c>
      <c r="M108" s="18">
        <f t="shared" si="14"/>
        <v>3746922.96</v>
      </c>
      <c r="R108" s="36">
        <f>Hoja14!X26</f>
        <v>0</v>
      </c>
    </row>
    <row r="109" spans="5:32" x14ac:dyDescent="0.2">
      <c r="E109" s="18">
        <f>$C$17*$J$10</f>
        <v>4867940.0006954195</v>
      </c>
      <c r="F109" s="18">
        <f>$C$17*$K$10</f>
        <v>6258780</v>
      </c>
      <c r="G109" s="19">
        <v>0.23</v>
      </c>
      <c r="H109" s="18">
        <f>$C$17*$M$10</f>
        <v>774697.88</v>
      </c>
      <c r="J109" s="18">
        <f t="shared" si="13"/>
        <v>58415280.008345038</v>
      </c>
      <c r="K109" s="18">
        <f t="shared" si="13"/>
        <v>75105360</v>
      </c>
      <c r="L109" s="200">
        <v>0.23</v>
      </c>
      <c r="M109" s="18">
        <f t="shared" si="14"/>
        <v>9296374.5600000005</v>
      </c>
      <c r="R109" s="36">
        <f>(R107-R108)*-1</f>
        <v>0</v>
      </c>
    </row>
    <row r="110" spans="5:32" x14ac:dyDescent="0.2">
      <c r="E110" s="18">
        <f>$C$17*$J$11</f>
        <v>6258780.0006954195</v>
      </c>
      <c r="F110" s="18">
        <f>$C$17*$K$11</f>
        <v>8345040</v>
      </c>
      <c r="G110" s="19">
        <v>0.30399999999999999</v>
      </c>
      <c r="H110" s="18">
        <f>$C$17*$M$11</f>
        <v>1237847.5999999999</v>
      </c>
      <c r="J110" s="18">
        <f t="shared" si="13"/>
        <v>75105360.008345038</v>
      </c>
      <c r="K110" s="18">
        <f t="shared" si="13"/>
        <v>100140480</v>
      </c>
      <c r="L110" s="200">
        <v>0.30399999999999999</v>
      </c>
      <c r="M110" s="18">
        <f t="shared" si="14"/>
        <v>14854171.199999999</v>
      </c>
    </row>
    <row r="111" spans="5:32" x14ac:dyDescent="0.2">
      <c r="E111" s="18">
        <f>$C$17*$J$12</f>
        <v>8345040.0006954195</v>
      </c>
      <c r="F111" s="18">
        <f>$C$17*$K$12</f>
        <v>21558020</v>
      </c>
      <c r="G111" s="19">
        <v>0.35</v>
      </c>
      <c r="H111" s="18">
        <f>$C$17*$M$12</f>
        <v>1621719.44</v>
      </c>
      <c r="J111" s="18">
        <f t="shared" si="13"/>
        <v>100140480.00834504</v>
      </c>
      <c r="K111" s="18">
        <f t="shared" si="13"/>
        <v>258696240</v>
      </c>
      <c r="L111" s="200">
        <v>0.35</v>
      </c>
      <c r="M111" s="18">
        <f t="shared" si="14"/>
        <v>19460633.280000001</v>
      </c>
    </row>
    <row r="112" spans="5:32" x14ac:dyDescent="0.2">
      <c r="E112" s="18">
        <f>$C$17*$J$13</f>
        <v>21558020.000695422</v>
      </c>
      <c r="F112" s="18">
        <f>$C$17*$K$13</f>
        <v>695420000</v>
      </c>
      <c r="G112" s="19">
        <v>0.4</v>
      </c>
      <c r="H112" s="18">
        <f>$C$17*$M$13</f>
        <v>2699620.44</v>
      </c>
      <c r="J112" s="18">
        <f>E112*12</f>
        <v>258696240.00834507</v>
      </c>
      <c r="K112" s="18">
        <f>F112*12</f>
        <v>8345040000</v>
      </c>
      <c r="L112" s="200">
        <v>0.4</v>
      </c>
      <c r="M112" s="18">
        <f>H112*12</f>
        <v>32395445.280000001</v>
      </c>
    </row>
    <row r="113" spans="5:18" x14ac:dyDescent="0.2">
      <c r="O113" s="18">
        <f>Hoja14!M93</f>
        <v>100002956.89761999</v>
      </c>
      <c r="P113" s="20">
        <f>VLOOKUP(O113,$J$105:$M$112,3)</f>
        <v>0.30399999999999999</v>
      </c>
      <c r="Q113" s="36">
        <f>VLOOKUP(O113,$J$105:$M$112,4)</f>
        <v>14854171.199999999</v>
      </c>
      <c r="R113" s="36">
        <f>O113*P113-Q113</f>
        <v>15546727.696876477</v>
      </c>
    </row>
    <row r="114" spans="5:18" x14ac:dyDescent="0.2">
      <c r="J114" s="34">
        <f>VLOOKUP(Hoja14!M93,Hoja15!$J$105:$M$112,3)</f>
        <v>0.30399999999999999</v>
      </c>
      <c r="K114" s="35">
        <f>VLOOKUP(Hoja14!M93,Hoja15!$J$105:$M$112,4)</f>
        <v>14854171.199999999</v>
      </c>
      <c r="M114" s="20">
        <f>Hoja14!M93*Hoja15!J114-Hoja15!K114</f>
        <v>15546727.696876477</v>
      </c>
      <c r="O114" s="18">
        <f>O113+Hoja14!W8</f>
        <v>100002956.89761999</v>
      </c>
      <c r="P114" s="20">
        <f>VLOOKUP(O114,$J$105:$M$112,3)</f>
        <v>0.30399999999999999</v>
      </c>
      <c r="Q114" s="36">
        <f>VLOOKUP(O114,$J$105:$M$112,4)</f>
        <v>14854171.199999999</v>
      </c>
      <c r="R114" s="36">
        <f>O114*P114-Q114</f>
        <v>15546727.696876477</v>
      </c>
    </row>
    <row r="115" spans="5:18" x14ac:dyDescent="0.2">
      <c r="F115" s="370">
        <f>O113*L111-M111</f>
        <v>15540401.634166993</v>
      </c>
      <c r="J115" s="34">
        <f>VLOOKUP(Hoja14!J61,Hoja15!$J$105:$M$112,3)</f>
        <v>0</v>
      </c>
      <c r="K115" s="35">
        <f>VLOOKUP(Hoja14!J61,Hoja15!$J$105:$M$112,4)</f>
        <v>0</v>
      </c>
    </row>
    <row r="117" spans="5:18" x14ac:dyDescent="0.2">
      <c r="Q117" s="20" t="s">
        <v>164</v>
      </c>
      <c r="R117" s="53" t="e">
        <f>(R114-R113)/Hoja14!W8</f>
        <v>#DIV/0!</v>
      </c>
    </row>
    <row r="118" spans="5:18" x14ac:dyDescent="0.2">
      <c r="M118" s="36">
        <f>Hoja14!M93*Hoja15!L107-Hoja15!M107</f>
        <v>6548199.5918095997</v>
      </c>
      <c r="Q118" s="20" t="s">
        <v>165</v>
      </c>
      <c r="R118" s="53" t="e">
        <f>3%+(1.1*((R114-R113)/Hoja14!W8))</f>
        <v>#DIV/0!</v>
      </c>
    </row>
    <row r="119" spans="5:18" x14ac:dyDescent="0.2">
      <c r="F119" s="17">
        <f>58226000*L110-M110</f>
        <v>2846532.8000000007</v>
      </c>
      <c r="M119" s="36">
        <f>Hoja14!M84-Hoja15!M118</f>
        <v>7154506.869632802</v>
      </c>
    </row>
    <row r="122" spans="5:18" x14ac:dyDescent="0.2">
      <c r="E122" s="37"/>
    </row>
    <row r="123" spans="5:18" x14ac:dyDescent="0.2">
      <c r="E123" s="37"/>
    </row>
    <row r="124" spans="5:18" x14ac:dyDescent="0.2">
      <c r="E124" s="37"/>
    </row>
    <row r="125" spans="5:18" x14ac:dyDescent="0.2">
      <c r="E125" s="37"/>
    </row>
    <row r="126" spans="5:18" x14ac:dyDescent="0.2">
      <c r="E126" s="37"/>
    </row>
  </sheetData>
  <sheetProtection password="CFC3" sheet="1"/>
  <pageMargins left="0.7" right="0.7" top="0.75" bottom="0.75" header="0.3" footer="0.3"/>
  <pageSetup paperSize="9" orientation="portrait" r:id="rId1"/>
  <headerFooter>
    <oddFooter>&amp;C&amp;1#&amp;"Calibri"&amp;10&amp;K000000Uso Interno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7EE29-1E32-41A4-9D7E-3E7A0AFDE226}">
  <dimension ref="B2:W27"/>
  <sheetViews>
    <sheetView workbookViewId="0">
      <selection activeCell="AH37" sqref="AH37"/>
    </sheetView>
  </sheetViews>
  <sheetFormatPr baseColWidth="10" defaultColWidth="8.77734375" defaultRowHeight="13.2" x14ac:dyDescent="0.25"/>
  <cols>
    <col min="1" max="1" width="11.44140625" customWidth="1"/>
    <col min="2" max="2" width="18.44140625" hidden="1" customWidth="1"/>
    <col min="3" max="3" width="12.21875" hidden="1" customWidth="1"/>
    <col min="4" max="7" width="11.44140625" hidden="1" customWidth="1"/>
    <col min="8" max="8" width="16.21875" hidden="1" customWidth="1"/>
    <col min="9" max="15" width="11.44140625" hidden="1" customWidth="1"/>
    <col min="16" max="17" width="12.21875" hidden="1" customWidth="1"/>
    <col min="18" max="21" width="11.44140625" hidden="1" customWidth="1"/>
    <col min="22" max="22" width="11.77734375" hidden="1" customWidth="1"/>
    <col min="23" max="23" width="11.44140625" hidden="1" customWidth="1"/>
    <col min="24" max="24" width="0" hidden="1" customWidth="1"/>
    <col min="25" max="256" width="11.44140625" customWidth="1"/>
  </cols>
  <sheetData>
    <row r="2" spans="2:22" x14ac:dyDescent="0.25">
      <c r="L2" t="s">
        <v>166</v>
      </c>
      <c r="M2" s="232">
        <f>Hoja14!I240*12</f>
        <v>834504</v>
      </c>
    </row>
    <row r="3" spans="2:22" x14ac:dyDescent="0.25">
      <c r="B3" s="147" t="s">
        <v>44</v>
      </c>
      <c r="C3" s="147" t="s">
        <v>45</v>
      </c>
      <c r="D3" s="147" t="s">
        <v>46</v>
      </c>
      <c r="E3" s="147" t="s">
        <v>47</v>
      </c>
      <c r="F3" s="147" t="s">
        <v>48</v>
      </c>
      <c r="G3" s="147" t="s">
        <v>49</v>
      </c>
      <c r="H3" s="147" t="s">
        <v>50</v>
      </c>
      <c r="I3" s="147" t="s">
        <v>51</v>
      </c>
      <c r="L3" s="147" t="s">
        <v>167</v>
      </c>
      <c r="M3" s="232">
        <f>Hoja14!I240*12*15</f>
        <v>12517560</v>
      </c>
    </row>
    <row r="4" spans="2:22" x14ac:dyDescent="0.25">
      <c r="B4" s="130">
        <f>Hoja14!CM26</f>
        <v>88002956.897619992</v>
      </c>
      <c r="C4" s="130">
        <f>Hoja14!CN26</f>
        <v>0</v>
      </c>
      <c r="D4" s="130">
        <f>Hoja14!CO26</f>
        <v>13702706.461442402</v>
      </c>
      <c r="E4" s="130">
        <f>Hoja14!CP26</f>
        <v>0</v>
      </c>
      <c r="F4" s="130">
        <f>Hoja14!CQ26</f>
        <v>0</v>
      </c>
      <c r="G4" s="130">
        <f>Hoja14!CR26</f>
        <v>0</v>
      </c>
      <c r="H4" s="130">
        <f>Hoja14!CS26</f>
        <v>14106990.899999999</v>
      </c>
      <c r="I4" s="130">
        <f>Hoja14!AM32</f>
        <v>0</v>
      </c>
      <c r="L4" t="s">
        <v>168</v>
      </c>
      <c r="M4" s="232">
        <f>Hoja14!I240*12*8</f>
        <v>6676032</v>
      </c>
    </row>
    <row r="6" spans="2:22" x14ac:dyDescent="0.25">
      <c r="L6" t="s">
        <v>169</v>
      </c>
      <c r="M6">
        <f>C13/M2</f>
        <v>119.83520378286981</v>
      </c>
      <c r="O6" t="s">
        <v>170</v>
      </c>
      <c r="P6" s="232">
        <f>Hoja14!P5</f>
        <v>0</v>
      </c>
    </row>
    <row r="7" spans="2:22" x14ac:dyDescent="0.25">
      <c r="P7">
        <f>P6/M2</f>
        <v>0</v>
      </c>
      <c r="R7">
        <v>0</v>
      </c>
      <c r="S7">
        <v>90</v>
      </c>
      <c r="T7" s="236">
        <v>1</v>
      </c>
    </row>
    <row r="8" spans="2:22" x14ac:dyDescent="0.25">
      <c r="B8" t="s">
        <v>171</v>
      </c>
      <c r="C8" s="130">
        <f>B4+Hoja14!R30</f>
        <v>100002956.89761999</v>
      </c>
      <c r="O8" t="s">
        <v>172</v>
      </c>
      <c r="P8" s="233">
        <f>MIN(P7*T12,8)*M2</f>
        <v>0</v>
      </c>
      <c r="R8">
        <v>90.000100000000003</v>
      </c>
      <c r="S8">
        <v>150</v>
      </c>
      <c r="T8" s="238">
        <f>(250-1.667*M6)/100</f>
        <v>0.50234715293956012</v>
      </c>
      <c r="V8" s="312"/>
    </row>
    <row r="9" spans="2:22" x14ac:dyDescent="0.25">
      <c r="B9" t="s">
        <v>101</v>
      </c>
      <c r="C9" s="130">
        <f>C4</f>
        <v>0</v>
      </c>
      <c r="L9" t="s">
        <v>173</v>
      </c>
      <c r="M9">
        <f>MIN(30%*Hoja14!CQ26,Hoja9!M3)</f>
        <v>0</v>
      </c>
      <c r="P9" s="237"/>
      <c r="R9">
        <v>150.0001</v>
      </c>
      <c r="S9" t="s">
        <v>159</v>
      </c>
      <c r="T9" s="236">
        <v>0</v>
      </c>
    </row>
    <row r="10" spans="2:22" x14ac:dyDescent="0.25">
      <c r="B10" t="s">
        <v>48</v>
      </c>
      <c r="C10" s="130">
        <f>F4</f>
        <v>0</v>
      </c>
      <c r="G10" t="s">
        <v>174</v>
      </c>
      <c r="H10" s="232">
        <f>H15*15%</f>
        <v>1500000</v>
      </c>
      <c r="P10" s="233"/>
    </row>
    <row r="11" spans="2:22" x14ac:dyDescent="0.25">
      <c r="B11" t="s">
        <v>175</v>
      </c>
      <c r="C11" s="232">
        <f>MIN(C10*30%,M3)</f>
        <v>0</v>
      </c>
      <c r="Q11" s="233"/>
      <c r="R11" s="236"/>
    </row>
    <row r="12" spans="2:22" x14ac:dyDescent="0.25">
      <c r="B12" t="s">
        <v>51</v>
      </c>
      <c r="C12" s="130">
        <f>I4+Hoja14!J34</f>
        <v>0</v>
      </c>
      <c r="P12" s="233"/>
      <c r="Q12" s="233"/>
      <c r="T12" s="232">
        <f>VLOOKUP(M6,R7:T9,3)</f>
        <v>0.50234715293956012</v>
      </c>
    </row>
    <row r="13" spans="2:22" x14ac:dyDescent="0.25">
      <c r="B13" t="s">
        <v>176</v>
      </c>
      <c r="C13" s="233">
        <f>C8+C9+C10-C11-C12</f>
        <v>100002956.89761999</v>
      </c>
      <c r="G13" t="s">
        <v>177</v>
      </c>
      <c r="H13" s="232">
        <f>Hoja14!R7</f>
        <v>0</v>
      </c>
      <c r="P13" s="233"/>
      <c r="R13" s="236"/>
    </row>
    <row r="14" spans="2:22" x14ac:dyDescent="0.25">
      <c r="B14" t="s">
        <v>178</v>
      </c>
      <c r="C14" s="233">
        <f>Q15</f>
        <v>0</v>
      </c>
      <c r="Q14" s="233">
        <f>MIN(M4,Hoja14!P5)</f>
        <v>0</v>
      </c>
      <c r="R14" s="237">
        <f>IF(M6&lt;=90,100%,IF(M6&gt;150,0%,T8))</f>
        <v>0.50234715293956012</v>
      </c>
    </row>
    <row r="15" spans="2:22" x14ac:dyDescent="0.25">
      <c r="B15" t="s">
        <v>179</v>
      </c>
      <c r="C15" s="233">
        <f>C13-C14</f>
        <v>100002956.89761999</v>
      </c>
      <c r="G15" t="s">
        <v>180</v>
      </c>
      <c r="H15" s="130">
        <f>Hoja14!P4</f>
        <v>10000000</v>
      </c>
      <c r="Q15" s="233">
        <f>Q14*R14</f>
        <v>0</v>
      </c>
    </row>
    <row r="16" spans="2:22" x14ac:dyDescent="0.25">
      <c r="B16" t="s">
        <v>181</v>
      </c>
      <c r="C16" s="233">
        <f>C15*VLOOKUP(C15,Hoja15!$J$105:$M$112,3)-VLOOKUP(C15,Hoja15!$J$105:$M$112,4)</f>
        <v>15546727.696876477</v>
      </c>
      <c r="G16" t="s">
        <v>182</v>
      </c>
      <c r="H16" s="233">
        <f>C15+H15</f>
        <v>110002956.89761999</v>
      </c>
    </row>
    <row r="17" spans="2:9" x14ac:dyDescent="0.25">
      <c r="B17" t="s">
        <v>183</v>
      </c>
      <c r="C17" s="130">
        <f>D4+E4</f>
        <v>13702706.461442402</v>
      </c>
      <c r="D17" s="233">
        <f>C16-C17</f>
        <v>1844021.2354340758</v>
      </c>
      <c r="G17" t="s">
        <v>184</v>
      </c>
      <c r="H17" s="233">
        <f>H16*VLOOKUP(H16,Hoja15!$J$105:$M$112,3)-VLOOKUP(H16,Hoja15!$J$105:$M$112,4)</f>
        <v>19040401.634166993</v>
      </c>
    </row>
    <row r="18" spans="2:9" x14ac:dyDescent="0.25">
      <c r="B18" s="130" t="s">
        <v>49</v>
      </c>
      <c r="C18" s="130">
        <f>G4</f>
        <v>0</v>
      </c>
      <c r="G18" t="s">
        <v>164</v>
      </c>
      <c r="H18" s="238">
        <f>IFERROR((H17-C16)/H15,0)</f>
        <v>0.34936739372905157</v>
      </c>
      <c r="I18" s="232">
        <f>H18*H15</f>
        <v>3493673.9372905158</v>
      </c>
    </row>
    <row r="19" spans="2:9" x14ac:dyDescent="0.25">
      <c r="B19" s="233" t="s">
        <v>185</v>
      </c>
      <c r="C19" s="233">
        <f>C16-C17-C18</f>
        <v>1844021.2354340758</v>
      </c>
      <c r="G19" t="s">
        <v>91</v>
      </c>
      <c r="H19" s="239">
        <f>(H18*1.1)+3%</f>
        <v>0.4143041331019568</v>
      </c>
      <c r="I19" s="232">
        <f>H19*H15</f>
        <v>4143041.3310195678</v>
      </c>
    </row>
    <row r="20" spans="2:9" x14ac:dyDescent="0.25">
      <c r="B20" t="s">
        <v>97</v>
      </c>
      <c r="C20" s="233">
        <f>H13</f>
        <v>0</v>
      </c>
      <c r="I20" s="232">
        <f>IF(Hoja14!P3="no pensionado",Hoja9!I19,Hoja9!I18)</f>
        <v>3493673.9372905158</v>
      </c>
    </row>
    <row r="21" spans="2:9" x14ac:dyDescent="0.25">
      <c r="B21" t="s">
        <v>106</v>
      </c>
      <c r="C21" s="233">
        <f>I20</f>
        <v>3493673.9372905158</v>
      </c>
      <c r="I21" s="238">
        <f>IFERROR(I20/H15," ")</f>
        <v>0.34936739372905157</v>
      </c>
    </row>
    <row r="22" spans="2:9" x14ac:dyDescent="0.25">
      <c r="B22" t="s">
        <v>174</v>
      </c>
      <c r="C22" s="233">
        <f>-H10</f>
        <v>-1500000</v>
      </c>
    </row>
    <row r="23" spans="2:9" x14ac:dyDescent="0.25">
      <c r="B23" t="s">
        <v>186</v>
      </c>
      <c r="C23" s="233">
        <f>C19+C20+C21+C22</f>
        <v>3837695.1727245916</v>
      </c>
    </row>
    <row r="26" spans="2:9" x14ac:dyDescent="0.25">
      <c r="E26" s="232">
        <f>Hoja14!P26+Hoja14!T26</f>
        <v>13702706.461442402</v>
      </c>
    </row>
    <row r="27" spans="2:9" x14ac:dyDescent="0.25">
      <c r="E27" s="330">
        <f>C16-E26</f>
        <v>1844021.2354340758</v>
      </c>
    </row>
  </sheetData>
  <sheetProtection password="CFC3" sheet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87C71-5131-4E80-9CEB-8465D2BBB5B0}">
  <dimension ref="B5:Q26"/>
  <sheetViews>
    <sheetView workbookViewId="0">
      <selection activeCell="B1" sqref="B1:Q65536"/>
    </sheetView>
  </sheetViews>
  <sheetFormatPr baseColWidth="10" defaultColWidth="8.77734375" defaultRowHeight="13.2" x14ac:dyDescent="0.25"/>
  <cols>
    <col min="1" max="1" width="5.44140625" customWidth="1"/>
    <col min="2" max="2" width="5.44140625" hidden="1" customWidth="1"/>
    <col min="3" max="3" width="12.21875" hidden="1" customWidth="1"/>
    <col min="4" max="4" width="6.5546875" hidden="1" customWidth="1"/>
    <col min="5" max="5" width="5.44140625" hidden="1" customWidth="1"/>
    <col min="6" max="7" width="12" hidden="1" customWidth="1"/>
    <col min="8" max="8" width="5.44140625" hidden="1" customWidth="1"/>
    <col min="9" max="10" width="12" hidden="1" customWidth="1"/>
    <col min="11" max="11" width="5.44140625" hidden="1" customWidth="1"/>
    <col min="12" max="12" width="8.21875" hidden="1" customWidth="1"/>
    <col min="13" max="13" width="5.44140625" hidden="1" customWidth="1"/>
    <col min="14" max="15" width="2" hidden="1" customWidth="1"/>
    <col min="16" max="17" width="5.44140625" hidden="1" customWidth="1"/>
    <col min="18" max="20" width="5.44140625" customWidth="1"/>
    <col min="21" max="256" width="11.44140625" customWidth="1"/>
  </cols>
  <sheetData>
    <row r="5" spans="3:15" x14ac:dyDescent="0.25">
      <c r="C5" s="70" t="s">
        <v>52</v>
      </c>
      <c r="D5" s="71">
        <f>Hoja15!C6</f>
        <v>67429</v>
      </c>
      <c r="F5" s="71">
        <f>Hoja14!N14/D5*$D$16</f>
        <v>5788435.9395899083</v>
      </c>
      <c r="G5">
        <f>Hoja14!P14/Hoja1!D5*Hoja1!$D$16</f>
        <v>556642.38610567898</v>
      </c>
      <c r="I5" s="71">
        <f>Hoja2!K13/D5*$D$16</f>
        <v>8412468.3071229123</v>
      </c>
      <c r="J5">
        <f>Hoja2!M13/Hoja1!D5*Hoja1!$D$16</f>
        <v>1322644.4674930198</v>
      </c>
      <c r="N5">
        <f>Hoja14!R14/D5*$D$16</f>
        <v>0</v>
      </c>
      <c r="O5">
        <f>Hoja14!T14/Hoja1!D5*Hoja1!$D$16</f>
        <v>0</v>
      </c>
    </row>
    <row r="6" spans="3:15" x14ac:dyDescent="0.25">
      <c r="C6" s="72" t="s">
        <v>187</v>
      </c>
      <c r="D6" s="71">
        <f>Hoja15!C7</f>
        <v>67294</v>
      </c>
      <c r="F6" s="71">
        <f>Hoja14!N15/D6*$D$16</f>
        <v>5790204.4877458895</v>
      </c>
      <c r="G6">
        <f>Hoja14!P15/Hoja1!D6*Hoja1!$D$16</f>
        <v>557049.15218155482</v>
      </c>
      <c r="I6" s="71">
        <f>Hoja2!K14/D6*$D$16</f>
        <v>8425136.4782732371</v>
      </c>
      <c r="J6">
        <f>Hoja2!M14/Hoja1!D6*Hoja1!$D$16</f>
        <v>1327078.3273956326</v>
      </c>
      <c r="N6">
        <f>Hoja14!R15/D6*$D$16</f>
        <v>0</v>
      </c>
      <c r="O6">
        <f>Hoja14!T15/Hoja1!D6*Hoja1!$D$16</f>
        <v>0</v>
      </c>
    </row>
    <row r="7" spans="3:15" x14ac:dyDescent="0.25">
      <c r="C7" s="72" t="s">
        <v>188</v>
      </c>
      <c r="D7" s="71">
        <f>Hoja15!C8</f>
        <v>68034</v>
      </c>
      <c r="F7" s="71">
        <f>Hoja14!N16/D7*$D$16</f>
        <v>27183602.784678653</v>
      </c>
      <c r="G7">
        <f>Hoja14!P16/Hoja1!D7*Hoja1!$D$16</f>
        <v>8173820.6738714613</v>
      </c>
      <c r="I7" s="71">
        <f>Hoja2!K15/D7*$D$16</f>
        <v>8329608.6962825833</v>
      </c>
      <c r="J7">
        <f>Hoja2!M15/Hoja1!D7*Hoja1!$D$16</f>
        <v>1294353.4436699057</v>
      </c>
      <c r="N7">
        <f>Hoja14!R16/D7*$D$16</f>
        <v>0</v>
      </c>
      <c r="O7">
        <f>Hoja14!T16/Hoja1!D7*Hoja1!$D$16</f>
        <v>0</v>
      </c>
    </row>
    <row r="8" spans="3:15" x14ac:dyDescent="0.25">
      <c r="C8" s="72" t="s">
        <v>189</v>
      </c>
      <c r="D8" s="71">
        <f>Hoja15!C9</f>
        <v>68306</v>
      </c>
      <c r="F8" s="71">
        <f>Hoja14!N17/D8*$D$16</f>
        <v>5688687.7340847934</v>
      </c>
      <c r="G8">
        <f>Hoja14!P17/Hoja1!D8*Hoja1!$D$16</f>
        <v>533700.2988395025</v>
      </c>
      <c r="I8" s="71">
        <f>Hoja2!K16/D8*$D$16</f>
        <v>8293587.2647321271</v>
      </c>
      <c r="J8">
        <f>Hoja2!M16/Hoja1!D8*Hoja1!$D$16</f>
        <v>1283402.9284785669</v>
      </c>
      <c r="N8">
        <f>Hoja14!R17/D8*$D$16</f>
        <v>0</v>
      </c>
      <c r="O8">
        <f>Hoja14!T17/Hoja1!D8*Hoja1!$D$16</f>
        <v>0</v>
      </c>
    </row>
    <row r="9" spans="3:15" x14ac:dyDescent="0.25">
      <c r="C9" s="72" t="s">
        <v>190</v>
      </c>
      <c r="D9" s="71">
        <f>Hoja15!C10</f>
        <v>68648</v>
      </c>
      <c r="F9" s="71">
        <f>Hoja14!N18/D9*$D$16</f>
        <v>5656171.2794654267</v>
      </c>
      <c r="G9">
        <f>Hoja14!P18/Hoja1!D9*Hoja1!$D$16</f>
        <v>526221.51427704818</v>
      </c>
      <c r="I9" s="71">
        <f>Hoja2!K17/D9*$D$16</f>
        <v>8250483.9684554935</v>
      </c>
      <c r="J9">
        <f>Hoja2!M17/Hoja1!D9*Hoja1!$D$16</f>
        <v>1270299.5264104705</v>
      </c>
      <c r="N9">
        <f>Hoja14!R18/D9*$D$16</f>
        <v>0</v>
      </c>
      <c r="O9">
        <f>Hoja14!T18/Hoja1!D9*Hoja1!$D$16</f>
        <v>0</v>
      </c>
    </row>
    <row r="10" spans="3:15" x14ac:dyDescent="0.25">
      <c r="C10" s="72" t="s">
        <v>191</v>
      </c>
      <c r="D10" s="71">
        <f>Hoja15!C11</f>
        <v>68785</v>
      </c>
      <c r="F10" s="71">
        <f>Hoja14!N19/D10*$D$16</f>
        <v>5642069.2782612015</v>
      </c>
      <c r="G10">
        <f>Hoja14!P19/Hoja1!D10*Hoja1!$D$16</f>
        <v>522978.05400007637</v>
      </c>
      <c r="I10" s="71">
        <f>Hoja2!K18/D10*$D$16</f>
        <v>8232838.7356704315</v>
      </c>
      <c r="J10">
        <f>Hoja2!M18/Hoja1!D10*Hoja1!$D$16</f>
        <v>1264935.3756438114</v>
      </c>
      <c r="N10">
        <f>Hoja14!R19/D10*$D$16</f>
        <v>0</v>
      </c>
      <c r="O10">
        <f>Hoja14!T19/Hoja1!D10*Hoja1!$D$16</f>
        <v>0</v>
      </c>
    </row>
    <row r="11" spans="3:15" x14ac:dyDescent="0.25">
      <c r="C11" s="72" t="s">
        <v>192</v>
      </c>
      <c r="D11" s="71">
        <f>Hoja15!C12</f>
        <v>68923</v>
      </c>
      <c r="F11" s="71">
        <f>Hoja14!N20/D11*$D$16</f>
        <v>5633984.136742752</v>
      </c>
      <c r="G11">
        <f>Hoja14!P20/Hoja1!D11*Hoja1!$D$16</f>
        <v>521118.47145083291</v>
      </c>
      <c r="I11" s="71">
        <f>Hoja2!K19/D11*$D$16</f>
        <v>8217727.6434388747</v>
      </c>
      <c r="J11">
        <f>Hoja2!M19/Hoja1!D11*Hoja1!$D$16</f>
        <v>1260341.6036054178</v>
      </c>
      <c r="N11">
        <f>Hoja14!R20/D11*$D$16</f>
        <v>0</v>
      </c>
      <c r="O11">
        <f>Hoja14!T20/Hoja1!D11*Hoja1!$D$16</f>
        <v>0</v>
      </c>
    </row>
    <row r="12" spans="3:15" x14ac:dyDescent="0.25">
      <c r="C12" s="72" t="s">
        <v>193</v>
      </c>
      <c r="D12" s="71">
        <f>Hoja15!C13</f>
        <v>68647</v>
      </c>
      <c r="F12" s="71">
        <f>Hoja14!N21/D12*$D$16</f>
        <v>5649163.8403700786</v>
      </c>
      <c r="G12">
        <f>Hoja14!P21/Hoja1!D12*Hoja1!$D$16</f>
        <v>524609.80328511808</v>
      </c>
      <c r="I12" s="71">
        <f>Hoja2!K20/D12*$D$16</f>
        <v>8247573.2073382456</v>
      </c>
      <c r="J12">
        <f>Hoja2!M20/Hoja1!D12*Hoja1!$D$16</f>
        <v>1269414.6550308263</v>
      </c>
      <c r="N12">
        <f>Hoja14!R21/D12*$D$16</f>
        <v>0</v>
      </c>
      <c r="O12">
        <f>Hoja14!T21/Hoja1!D12*Hoja1!$D$16</f>
        <v>0</v>
      </c>
    </row>
    <row r="13" spans="3:15" x14ac:dyDescent="0.25">
      <c r="C13" s="72" t="s">
        <v>194</v>
      </c>
      <c r="D13" s="71">
        <f>Hoja15!C14</f>
        <v>69265</v>
      </c>
      <c r="F13" s="71">
        <f>Hoja14!N22/D13*$D$16</f>
        <v>5595037.8745491123</v>
      </c>
      <c r="G13">
        <f>Hoja14!P22/Hoja1!D13*Hoja1!$D$16</f>
        <v>512160.83114629565</v>
      </c>
      <c r="I13" s="71">
        <f>Hoja2!K21/D13*$D$16</f>
        <v>8172394.7842017487</v>
      </c>
      <c r="J13">
        <f>Hoja2!M21/Hoja1!D13*Hoja1!$D$16</f>
        <v>1246560.4143973317</v>
      </c>
      <c r="N13">
        <f>Hoja14!R22/D13*$D$16</f>
        <v>0</v>
      </c>
      <c r="O13">
        <f>Hoja14!T22/Hoja1!D13*Hoja1!$D$16</f>
        <v>0</v>
      </c>
    </row>
    <row r="14" spans="3:15" x14ac:dyDescent="0.25">
      <c r="C14" s="72" t="s">
        <v>195</v>
      </c>
      <c r="D14" s="71">
        <f>Hoja15!C15</f>
        <v>69265</v>
      </c>
      <c r="F14" s="71">
        <f>Hoja14!N23/D14*$D$16</f>
        <v>5595037.8745491123</v>
      </c>
      <c r="G14">
        <f>Hoja14!P23/Hoja1!D14*Hoja1!$D$16</f>
        <v>512160.83114629565</v>
      </c>
      <c r="I14" s="71">
        <f>Hoja2!K22/D14*$D$16</f>
        <v>8172394.7842017487</v>
      </c>
      <c r="J14">
        <f>Hoja2!M22/Hoja1!D14*Hoja1!$D$16</f>
        <v>1246560.4143973317</v>
      </c>
      <c r="N14">
        <f>Hoja14!R23/D14*$D$16</f>
        <v>0</v>
      </c>
      <c r="O14">
        <f>Hoja14!T23/Hoja1!D14*Hoja1!$D$16</f>
        <v>0</v>
      </c>
    </row>
    <row r="15" spans="3:15" x14ac:dyDescent="0.25">
      <c r="C15" s="72" t="s">
        <v>196</v>
      </c>
      <c r="D15" s="71">
        <f>Hoja15!C16</f>
        <v>69542</v>
      </c>
      <c r="F15" s="71">
        <f>Hoja14!N24/D15*$D$16</f>
        <v>5568702.6201800015</v>
      </c>
      <c r="G15">
        <f>Hoja14!P24/Hoja1!D15*Hoja1!$D$16</f>
        <v>506103.72264140018</v>
      </c>
      <c r="I15" s="71">
        <f>Hoja2!K23/D15*$D$16</f>
        <v>8138111.4606511993</v>
      </c>
      <c r="J15">
        <f>Hoja2!M23/Hoja1!D15*Hoja1!$D$16</f>
        <v>1236138.2840379647</v>
      </c>
      <c r="N15">
        <f>Hoja14!R24/D15*$D$16</f>
        <v>0</v>
      </c>
      <c r="O15">
        <f>Hoja14!T24/Hoja1!D15*Hoja1!$D$16</f>
        <v>0</v>
      </c>
    </row>
    <row r="16" spans="3:15" x14ac:dyDescent="0.25">
      <c r="C16" s="72" t="s">
        <v>197</v>
      </c>
      <c r="D16" s="71">
        <f>Hoja15!C17</f>
        <v>69542</v>
      </c>
      <c r="F16" s="71">
        <f>Hoja14!N25/D16*$D$16</f>
        <v>5567042.79586</v>
      </c>
      <c r="G16">
        <f>Hoja14!P25/Hoja1!D16*Hoja1!$D$16</f>
        <v>505721.9630478</v>
      </c>
      <c r="I16" s="71">
        <f>Hoja2!K24/D16*$D$16</f>
        <v>8137401.8754224014</v>
      </c>
      <c r="J16">
        <f>Hoja2!M24/Hoja1!D16*Hoja1!$D$16</f>
        <v>1235922.5701284099</v>
      </c>
      <c r="N16">
        <f>Hoja14!R25/D16*$D$16</f>
        <v>0</v>
      </c>
      <c r="O16">
        <f>Hoja14!T25/Hoja1!D16*Hoja1!$D$16</f>
        <v>0</v>
      </c>
    </row>
    <row r="17" spans="6:15" x14ac:dyDescent="0.25">
      <c r="F17" s="71">
        <f>SUM(F5:F16)</f>
        <v>89358140.646076918</v>
      </c>
      <c r="G17" s="71">
        <f>SUM(G5:G16)</f>
        <v>13952287.701993067</v>
      </c>
      <c r="I17" s="71">
        <f>SUM(I5:I16)</f>
        <v>99029727.205790997</v>
      </c>
      <c r="J17" s="71">
        <f>SUM(J5:J16)</f>
        <v>15257652.010688687</v>
      </c>
      <c r="L17" s="130">
        <f>G17-J17</f>
        <v>-1305364.3086956199</v>
      </c>
      <c r="N17" s="71">
        <f>SUM(N5:N16)</f>
        <v>0</v>
      </c>
      <c r="O17" s="71">
        <f>SUM(O5:O16)</f>
        <v>0</v>
      </c>
    </row>
    <row r="18" spans="6:15" x14ac:dyDescent="0.25">
      <c r="F18" s="71">
        <f>F23</f>
        <v>12310703.556407385</v>
      </c>
      <c r="I18" s="71">
        <f>I23</f>
        <v>15250865.870560464</v>
      </c>
      <c r="N18" s="71">
        <f>N23</f>
        <v>0</v>
      </c>
    </row>
    <row r="20" spans="6:15" x14ac:dyDescent="0.25">
      <c r="F20">
        <f>VLOOKUP(F17,Hoja15!$J$105:$M$112,3)</f>
        <v>0.30399999999999999</v>
      </c>
      <c r="I20">
        <f>VLOOKUP(I17,Hoja15!$J$105:$M$112,3)</f>
        <v>0.30399999999999999</v>
      </c>
      <c r="N20">
        <f>VLOOKUP(N17,Hoja15!$J$105:$M$112,3)</f>
        <v>0</v>
      </c>
    </row>
    <row r="21" spans="6:15" x14ac:dyDescent="0.25">
      <c r="F21">
        <f>VLOOKUP(F17,Hoja15!$J$105:$M$112,4)</f>
        <v>14854171.199999999</v>
      </c>
      <c r="I21">
        <f>VLOOKUP(I17,Hoja15!$J$105:$M$112,4)</f>
        <v>14854171.199999999</v>
      </c>
      <c r="N21">
        <f>VLOOKUP(N17,Hoja15!$J$105:$M$112,4)</f>
        <v>0</v>
      </c>
    </row>
    <row r="23" spans="6:15" x14ac:dyDescent="0.25">
      <c r="F23">
        <f>F17*F20-F21</f>
        <v>12310703.556407385</v>
      </c>
      <c r="I23">
        <f>I17*I20-I21</f>
        <v>15250865.870560464</v>
      </c>
      <c r="N23">
        <f>N17*N20-N21</f>
        <v>0</v>
      </c>
    </row>
    <row r="26" spans="6:15" x14ac:dyDescent="0.25">
      <c r="G26" s="130">
        <f>G17-F18</f>
        <v>1641584.1455856822</v>
      </c>
    </row>
  </sheetData>
  <sheetProtection password="CFC3" sheet="1"/>
  <pageMargins left="0.7" right="0.7" top="0.75" bottom="0.75" header="0.3" footer="0.3"/>
  <pageSetup orientation="portrait" r:id="rId1"/>
  <headerFooter>
    <oddFooter>&amp;C&amp;1#&amp;"Calibri"&amp;10&amp;K000000Uso Interno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5474A-6740-404E-A9F6-4CBFDE54B6C7}">
  <dimension ref="B6:U126"/>
  <sheetViews>
    <sheetView topLeftCell="A18" workbookViewId="0">
      <selection activeCell="B18" sqref="B1:U65536"/>
    </sheetView>
  </sheetViews>
  <sheetFormatPr baseColWidth="10" defaultColWidth="11.44140625" defaultRowHeight="10.199999999999999" x14ac:dyDescent="0.2"/>
  <cols>
    <col min="1" max="1" width="4.77734375" style="20" customWidth="1"/>
    <col min="2" max="3" width="10.44140625" style="17" hidden="1" customWidth="1"/>
    <col min="4" max="4" width="2.21875" style="17" hidden="1" customWidth="1"/>
    <col min="5" max="6" width="9.21875" style="17" hidden="1" customWidth="1"/>
    <col min="7" max="7" width="4" style="17" hidden="1" customWidth="1"/>
    <col min="8" max="8" width="9.21875" style="17" hidden="1" customWidth="1"/>
    <col min="9" max="9" width="2.21875" style="20" hidden="1" customWidth="1"/>
    <col min="10" max="10" width="10.77734375" style="20" hidden="1" customWidth="1"/>
    <col min="11" max="11" width="10" style="20" hidden="1" customWidth="1"/>
    <col min="12" max="12" width="9.21875" style="20" hidden="1" customWidth="1"/>
    <col min="13" max="14" width="12.21875" style="20" hidden="1" customWidth="1"/>
    <col min="15" max="15" width="10.77734375" style="20" hidden="1" customWidth="1"/>
    <col min="16" max="16" width="4" style="20" hidden="1" customWidth="1"/>
    <col min="17" max="17" width="13" style="20" hidden="1" customWidth="1"/>
    <col min="18" max="18" width="10" style="20" hidden="1" customWidth="1"/>
    <col min="19" max="20" width="4.77734375" style="20" hidden="1" customWidth="1"/>
    <col min="21" max="21" width="11.44140625" style="20" hidden="1" customWidth="1"/>
    <col min="22" max="24" width="11.44140625" style="20" customWidth="1"/>
    <col min="25" max="16384" width="11.44140625" style="20"/>
  </cols>
  <sheetData>
    <row r="6" spans="2:15" x14ac:dyDescent="0.2">
      <c r="B6" s="15" t="s">
        <v>52</v>
      </c>
      <c r="C6" s="76">
        <f>Hoja15!C6</f>
        <v>67429</v>
      </c>
      <c r="E6" s="18">
        <f>$C$6*J6</f>
        <v>0</v>
      </c>
      <c r="F6" s="18">
        <f>$C$6*$K$6</f>
        <v>910291.5</v>
      </c>
      <c r="G6" s="19">
        <f>Hoja15!G6</f>
        <v>0</v>
      </c>
      <c r="H6" s="18">
        <f>$C$6*$M$6</f>
        <v>0</v>
      </c>
      <c r="J6" s="21">
        <v>0</v>
      </c>
      <c r="K6" s="22">
        <v>13.5</v>
      </c>
      <c r="L6" s="23">
        <f>Hoja15!L6</f>
        <v>0</v>
      </c>
      <c r="M6" s="24">
        <f>Hoja15!M6</f>
        <v>0</v>
      </c>
    </row>
    <row r="7" spans="2:15" x14ac:dyDescent="0.2">
      <c r="B7" s="25" t="s">
        <v>139</v>
      </c>
      <c r="C7" s="76">
        <f>Hoja15!C7</f>
        <v>67294</v>
      </c>
      <c r="E7" s="18">
        <f>$C$6*$J$7</f>
        <v>910291.50067429</v>
      </c>
      <c r="F7" s="18">
        <f>$C$6*$K$7</f>
        <v>2022870</v>
      </c>
      <c r="G7" s="19">
        <f>Hoja15!G7</f>
        <v>0.04</v>
      </c>
      <c r="H7" s="18">
        <f>$C$6*$M$7</f>
        <v>36411.660000000003</v>
      </c>
      <c r="J7" s="26">
        <v>13.500000010000001</v>
      </c>
      <c r="K7" s="27">
        <v>30</v>
      </c>
      <c r="L7" s="23">
        <f>Hoja15!L7</f>
        <v>0.04</v>
      </c>
      <c r="M7" s="24">
        <f>Hoja15!M7</f>
        <v>0.54</v>
      </c>
      <c r="O7" s="16">
        <v>36679</v>
      </c>
    </row>
    <row r="8" spans="2:15" x14ac:dyDescent="0.2">
      <c r="B8" s="25" t="s">
        <v>140</v>
      </c>
      <c r="C8" s="76">
        <f>Hoja15!C8</f>
        <v>68034</v>
      </c>
      <c r="E8" s="18">
        <f>$C$6*$J$8</f>
        <v>2022870.0006742901</v>
      </c>
      <c r="F8" s="18">
        <f>$C$6*$K$8</f>
        <v>3371450</v>
      </c>
      <c r="G8" s="19">
        <f>Hoja15!G8</f>
        <v>0.08</v>
      </c>
      <c r="H8" s="18">
        <f>$C$6*$M$8</f>
        <v>117326.46</v>
      </c>
      <c r="J8" s="26">
        <v>30.000000010000001</v>
      </c>
      <c r="K8" s="27">
        <v>50</v>
      </c>
      <c r="L8" s="23">
        <f>Hoja15!L8</f>
        <v>0.08</v>
      </c>
      <c r="M8" s="24">
        <f>Hoja15!M8</f>
        <v>1.74</v>
      </c>
      <c r="O8" s="16">
        <v>36569</v>
      </c>
    </row>
    <row r="9" spans="2:15" x14ac:dyDescent="0.2">
      <c r="B9" s="25" t="s">
        <v>141</v>
      </c>
      <c r="C9" s="76">
        <f>Hoja15!C9</f>
        <v>68306</v>
      </c>
      <c r="E9" s="18">
        <f>$C$6*$J$9</f>
        <v>3371450.0006742901</v>
      </c>
      <c r="F9" s="18">
        <f>$C$6*$K$9</f>
        <v>4720030</v>
      </c>
      <c r="G9" s="19">
        <f>Hoja15!G9</f>
        <v>0.13500000000000001</v>
      </c>
      <c r="H9" s="18">
        <f>$C$6*$M$9</f>
        <v>302756.21000000002</v>
      </c>
      <c r="J9" s="26">
        <v>50.000000010000001</v>
      </c>
      <c r="K9" s="27">
        <v>70</v>
      </c>
      <c r="L9" s="23">
        <f>Hoja15!L9</f>
        <v>0.13500000000000001</v>
      </c>
      <c r="M9" s="24">
        <f>Hoja15!M9</f>
        <v>4.49</v>
      </c>
      <c r="O9" s="16">
        <v>36752</v>
      </c>
    </row>
    <row r="10" spans="2:15" x14ac:dyDescent="0.2">
      <c r="B10" s="25" t="s">
        <v>142</v>
      </c>
      <c r="C10" s="76">
        <f>Hoja15!C10</f>
        <v>68648</v>
      </c>
      <c r="E10" s="18">
        <f>$C$6*$J$10</f>
        <v>4720030.0006742897</v>
      </c>
      <c r="F10" s="18">
        <f>$C$6*$K$10</f>
        <v>6068610</v>
      </c>
      <c r="G10" s="19">
        <f>Hoja15!G10</f>
        <v>0.23</v>
      </c>
      <c r="H10" s="18">
        <f>$C$6*$M$10</f>
        <v>751159.06</v>
      </c>
      <c r="J10" s="26">
        <v>70.000000009999994</v>
      </c>
      <c r="K10" s="27">
        <v>90</v>
      </c>
      <c r="L10" s="23">
        <f>Hoja15!L10</f>
        <v>0.23</v>
      </c>
      <c r="M10" s="24">
        <f>Hoja15!M10</f>
        <v>11.14</v>
      </c>
      <c r="O10" s="16">
        <v>36862</v>
      </c>
    </row>
    <row r="11" spans="2:15" x14ac:dyDescent="0.2">
      <c r="B11" s="25" t="s">
        <v>143</v>
      </c>
      <c r="C11" s="76">
        <f>Hoja15!C11</f>
        <v>68785</v>
      </c>
      <c r="E11" s="18">
        <f>$C$6*$J$11</f>
        <v>6068610.0006742897</v>
      </c>
      <c r="F11" s="18">
        <f>$C$6*$K$11</f>
        <v>8091480</v>
      </c>
      <c r="G11" s="19">
        <f>Hoja15!G11</f>
        <v>0.30399999999999999</v>
      </c>
      <c r="H11" s="18">
        <f>$C$6*$M$11</f>
        <v>1200236.1999999997</v>
      </c>
      <c r="J11" s="26">
        <v>90.000000009999994</v>
      </c>
      <c r="K11" s="27">
        <v>120</v>
      </c>
      <c r="L11" s="23">
        <f>Hoja15!L11</f>
        <v>0.30399999999999999</v>
      </c>
      <c r="M11" s="24">
        <f>Hoja15!M11</f>
        <v>17.799999999999997</v>
      </c>
      <c r="O11" s="16">
        <v>36899</v>
      </c>
    </row>
    <row r="12" spans="2:15" x14ac:dyDescent="0.2">
      <c r="B12" s="25" t="s">
        <v>148</v>
      </c>
      <c r="C12" s="76">
        <f>Hoja15!C12</f>
        <v>68923</v>
      </c>
      <c r="E12" s="18">
        <f>$C$6*$J$12</f>
        <v>8091480.0006742897</v>
      </c>
      <c r="F12" s="18">
        <f>$C$6*$K$12</f>
        <v>10114350</v>
      </c>
      <c r="G12" s="19">
        <f>Hoja15!G12</f>
        <v>0.35</v>
      </c>
      <c r="H12" s="18">
        <f>$C$6*$M$12</f>
        <v>1572444.28</v>
      </c>
      <c r="J12" s="28">
        <v>120.00000000999999</v>
      </c>
      <c r="K12" s="27">
        <v>150</v>
      </c>
      <c r="L12" s="23">
        <f>Hoja15!L12</f>
        <v>0.35</v>
      </c>
      <c r="M12" s="24">
        <f>Hoja15!M12</f>
        <v>23.32</v>
      </c>
      <c r="O12" s="16">
        <v>37083</v>
      </c>
    </row>
    <row r="13" spans="2:15" x14ac:dyDescent="0.2">
      <c r="B13" s="25" t="s">
        <v>153</v>
      </c>
      <c r="C13" s="76">
        <f>Hoja15!C13</f>
        <v>68647</v>
      </c>
      <c r="E13" s="18">
        <f>$C$6*$J$13</f>
        <v>10114350.000674291</v>
      </c>
      <c r="F13" s="18" t="s">
        <v>159</v>
      </c>
      <c r="G13" s="19">
        <f>Hoja15!G13</f>
        <v>0.4</v>
      </c>
      <c r="H13" s="18">
        <f>$C$6*$M$13</f>
        <v>2617593.7799999998</v>
      </c>
      <c r="J13" s="29">
        <v>150.00000001000001</v>
      </c>
      <c r="K13" s="30" t="s">
        <v>159</v>
      </c>
      <c r="L13" s="23">
        <f>Hoja15!L13</f>
        <v>0.4</v>
      </c>
      <c r="M13" s="24">
        <f>Hoja15!M13</f>
        <v>38.82</v>
      </c>
      <c r="O13" s="16">
        <v>37231</v>
      </c>
    </row>
    <row r="14" spans="2:15" x14ac:dyDescent="0.2">
      <c r="B14" s="25" t="s">
        <v>154</v>
      </c>
      <c r="C14" s="76">
        <f>Hoja15!C14</f>
        <v>69265</v>
      </c>
      <c r="G14" s="19">
        <f>Hoja15!G14</f>
        <v>0</v>
      </c>
      <c r="O14" s="16">
        <v>37231</v>
      </c>
    </row>
    <row r="15" spans="2:15" x14ac:dyDescent="0.2">
      <c r="B15" s="25" t="s">
        <v>156</v>
      </c>
      <c r="C15" s="76">
        <f>Hoja15!C15</f>
        <v>69265</v>
      </c>
      <c r="E15" s="18">
        <f>$C$7*J6</f>
        <v>0</v>
      </c>
      <c r="F15" s="18">
        <f>$C$7*K6</f>
        <v>908469</v>
      </c>
      <c r="G15" s="19">
        <f>Hoja15!G15</f>
        <v>0</v>
      </c>
      <c r="H15" s="18">
        <f>$C$7*M6</f>
        <v>0</v>
      </c>
      <c r="O15" s="16">
        <v>37231</v>
      </c>
    </row>
    <row r="16" spans="2:15" x14ac:dyDescent="0.2">
      <c r="B16" s="25" t="s">
        <v>157</v>
      </c>
      <c r="C16" s="76">
        <f>Hoja15!C16</f>
        <v>69542</v>
      </c>
      <c r="E16" s="18">
        <f t="shared" ref="E16:F22" si="0">$C$7*J7</f>
        <v>908469.00067294005</v>
      </c>
      <c r="F16" s="18">
        <f t="shared" si="0"/>
        <v>2018820</v>
      </c>
      <c r="G16" s="19">
        <f>Hoja15!G16</f>
        <v>0.04</v>
      </c>
      <c r="H16" s="18">
        <f t="shared" ref="H16:H22" si="1">$C$7*M7</f>
        <v>36338.76</v>
      </c>
      <c r="O16" s="16">
        <v>37231</v>
      </c>
    </row>
    <row r="17" spans="2:17" x14ac:dyDescent="0.2">
      <c r="B17" s="25" t="s">
        <v>158</v>
      </c>
      <c r="C17" s="76">
        <f>Hoja15!C17</f>
        <v>69542</v>
      </c>
      <c r="E17" s="18">
        <f t="shared" si="0"/>
        <v>2018820.0006729402</v>
      </c>
      <c r="F17" s="18">
        <f t="shared" si="0"/>
        <v>3364700</v>
      </c>
      <c r="G17" s="19">
        <f>Hoja15!G17</f>
        <v>0.08</v>
      </c>
      <c r="H17" s="18">
        <f t="shared" si="1"/>
        <v>117091.56</v>
      </c>
      <c r="J17" s="31">
        <f>Hoja14!N15*Hoja15!G17-Hoja15!H17</f>
        <v>331150.96486080001</v>
      </c>
      <c r="O17" s="16">
        <v>37231</v>
      </c>
    </row>
    <row r="18" spans="2:17" x14ac:dyDescent="0.2">
      <c r="E18" s="18">
        <f t="shared" si="0"/>
        <v>3364700.0006729402</v>
      </c>
      <c r="F18" s="18">
        <f t="shared" si="0"/>
        <v>4710580</v>
      </c>
      <c r="G18" s="19">
        <f>Hoja15!G18</f>
        <v>0.13500000000000001</v>
      </c>
      <c r="H18" s="18">
        <f t="shared" si="1"/>
        <v>302150.06</v>
      </c>
      <c r="O18" s="16">
        <v>37231</v>
      </c>
    </row>
    <row r="19" spans="2:17" x14ac:dyDescent="0.2">
      <c r="E19" s="18">
        <f t="shared" si="0"/>
        <v>4710580.0006729392</v>
      </c>
      <c r="F19" s="18">
        <f t="shared" si="0"/>
        <v>6056460</v>
      </c>
      <c r="G19" s="19">
        <f>Hoja15!G19</f>
        <v>0.23</v>
      </c>
      <c r="H19" s="18">
        <f t="shared" si="1"/>
        <v>749655.16</v>
      </c>
    </row>
    <row r="20" spans="2:17" x14ac:dyDescent="0.2">
      <c r="C20" s="32">
        <f>(C17-C6)/C6</f>
        <v>3.133666523305996E-2</v>
      </c>
      <c r="E20" s="18">
        <f t="shared" si="0"/>
        <v>6056460.0006729392</v>
      </c>
      <c r="F20" s="18">
        <f t="shared" si="0"/>
        <v>8075280</v>
      </c>
      <c r="G20" s="19">
        <f>Hoja15!G20</f>
        <v>0.30399999999999999</v>
      </c>
      <c r="H20" s="18">
        <f t="shared" si="1"/>
        <v>1197833.1999999997</v>
      </c>
      <c r="Q20" s="51">
        <f>Hoja14!J138+Hoja14!J140-Hoja14!J272-Hoja14!J34</f>
        <v>89358140.646076918</v>
      </c>
    </row>
    <row r="21" spans="2:17" x14ac:dyDescent="0.2">
      <c r="E21" s="18">
        <f t="shared" si="0"/>
        <v>8075280.0006729392</v>
      </c>
      <c r="F21" s="18">
        <f t="shared" si="0"/>
        <v>10094100</v>
      </c>
      <c r="G21" s="19">
        <f>Hoja15!G21</f>
        <v>0.35</v>
      </c>
      <c r="H21" s="18">
        <f t="shared" si="1"/>
        <v>1569296.08</v>
      </c>
    </row>
    <row r="22" spans="2:17" x14ac:dyDescent="0.2">
      <c r="C22" s="33"/>
      <c r="E22" s="18">
        <f t="shared" si="0"/>
        <v>10094100.00067294</v>
      </c>
      <c r="F22" s="18" t="s">
        <v>159</v>
      </c>
      <c r="G22" s="19">
        <f>Hoja15!G22</f>
        <v>0.4</v>
      </c>
      <c r="H22" s="18">
        <f t="shared" si="1"/>
        <v>2612353.08</v>
      </c>
      <c r="M22" s="51">
        <v>0</v>
      </c>
      <c r="N22" s="51">
        <f>90*B23</f>
        <v>75105360</v>
      </c>
      <c r="O22" s="52">
        <v>1</v>
      </c>
      <c r="Q22" s="20">
        <f>Q20/B23</f>
        <v>107.07934371324393</v>
      </c>
    </row>
    <row r="23" spans="2:17" x14ac:dyDescent="0.2">
      <c r="B23" s="50">
        <f>C17*12</f>
        <v>834504</v>
      </c>
      <c r="C23" s="20"/>
      <c r="D23" s="20"/>
      <c r="G23" s="19">
        <f>Hoja15!G23</f>
        <v>0</v>
      </c>
      <c r="M23" s="51">
        <f>N22+0.1</f>
        <v>75105360.099999994</v>
      </c>
      <c r="N23" s="51">
        <f>150*B23</f>
        <v>125175600</v>
      </c>
      <c r="O23" s="53">
        <f>Q23</f>
        <v>0.71498734030022382</v>
      </c>
      <c r="Q23" s="20">
        <f>(250-Q22*1.667)/100</f>
        <v>0.71498734030022382</v>
      </c>
    </row>
    <row r="24" spans="2:17" x14ac:dyDescent="0.2">
      <c r="C24" s="20"/>
      <c r="D24" s="20"/>
      <c r="E24" s="18">
        <f>$C$8*J6</f>
        <v>0</v>
      </c>
      <c r="F24" s="18">
        <f>$C$8*K6</f>
        <v>918459</v>
      </c>
      <c r="G24" s="19">
        <f>Hoja15!G24</f>
        <v>0</v>
      </c>
      <c r="H24" s="18">
        <f>$C$8*M6</f>
        <v>0</v>
      </c>
      <c r="M24" s="51">
        <f>N23+0.1</f>
        <v>125175600.09999999</v>
      </c>
      <c r="N24" s="51" t="s">
        <v>159</v>
      </c>
      <c r="O24" s="52">
        <v>0</v>
      </c>
    </row>
    <row r="25" spans="2:17" x14ac:dyDescent="0.2">
      <c r="C25" s="20"/>
      <c r="D25" s="20"/>
      <c r="E25" s="18">
        <f t="shared" ref="E25:F31" si="2">$C$8*J7</f>
        <v>918459.0006803401</v>
      </c>
      <c r="F25" s="18">
        <f t="shared" si="2"/>
        <v>2041020</v>
      </c>
      <c r="G25" s="19">
        <f>Hoja15!G25</f>
        <v>0.04</v>
      </c>
      <c r="H25" s="18">
        <f t="shared" ref="H25:H31" si="3">$C$8*M7</f>
        <v>36738.36</v>
      </c>
    </row>
    <row r="26" spans="2:17" x14ac:dyDescent="0.2">
      <c r="C26" s="20"/>
      <c r="D26" s="20"/>
      <c r="E26" s="18">
        <f t="shared" si="2"/>
        <v>2041020.00068034</v>
      </c>
      <c r="F26" s="18">
        <f t="shared" si="2"/>
        <v>3401700</v>
      </c>
      <c r="G26" s="19">
        <f>Hoja15!G26</f>
        <v>0.08</v>
      </c>
      <c r="H26" s="18">
        <f t="shared" si="3"/>
        <v>118379.16</v>
      </c>
    </row>
    <row r="27" spans="2:17" x14ac:dyDescent="0.2">
      <c r="B27" s="17">
        <f>Hoja14!P14/Hoja15!C6</f>
        <v>8.0044057706951044</v>
      </c>
      <c r="C27" s="20">
        <f>Hoja14!P14/Hoja14!F14</f>
        <v>14.061153387851999</v>
      </c>
      <c r="D27" s="20"/>
      <c r="E27" s="18">
        <f t="shared" si="2"/>
        <v>3401700.00068034</v>
      </c>
      <c r="F27" s="18">
        <f t="shared" si="2"/>
        <v>4762380</v>
      </c>
      <c r="G27" s="19">
        <f>Hoja15!G27</f>
        <v>0.13500000000000001</v>
      </c>
      <c r="H27" s="18">
        <f t="shared" si="3"/>
        <v>305472.66000000003</v>
      </c>
      <c r="N27" s="53">
        <f>VLOOKUP($Q$20,$M$22:$O$24,3)</f>
        <v>0.71498734030022382</v>
      </c>
    </row>
    <row r="28" spans="2:17" x14ac:dyDescent="0.2">
      <c r="B28" s="17">
        <f>Hoja14!P15/Hoja15!C7</f>
        <v>8.010254985211164</v>
      </c>
      <c r="C28" s="20">
        <f>Hoja14!P15/Hoja14!F15</f>
        <v>13.947498856984359</v>
      </c>
      <c r="D28" s="20"/>
      <c r="E28" s="18">
        <f t="shared" si="2"/>
        <v>4762380.0006803395</v>
      </c>
      <c r="F28" s="18">
        <f t="shared" si="2"/>
        <v>6123060</v>
      </c>
      <c r="G28" s="19">
        <f>Hoja15!G28</f>
        <v>0.23</v>
      </c>
      <c r="H28" s="18">
        <f t="shared" si="3"/>
        <v>757898.76</v>
      </c>
    </row>
    <row r="29" spans="2:17" x14ac:dyDescent="0.2">
      <c r="B29" s="17">
        <f>Hoja14!P16/Hoja15!C8</f>
        <v>117.53790046118118</v>
      </c>
      <c r="C29" s="20">
        <f>Hoja14!P16/Hoja14!F16</f>
        <v>205.59857315094754</v>
      </c>
      <c r="D29" s="20"/>
      <c r="E29" s="18">
        <f t="shared" si="2"/>
        <v>6123060.0006803395</v>
      </c>
      <c r="F29" s="18">
        <f t="shared" si="2"/>
        <v>8164080</v>
      </c>
      <c r="G29" s="19">
        <f>Hoja15!G29</f>
        <v>0.30399999999999999</v>
      </c>
      <c r="H29" s="18">
        <f t="shared" si="3"/>
        <v>1211005.1999999997</v>
      </c>
    </row>
    <row r="30" spans="2:17" x14ac:dyDescent="0.2">
      <c r="B30" s="17">
        <f>Hoja14!P17/Hoja15!C9</f>
        <v>7.6745031612479151</v>
      </c>
      <c r="C30" s="20">
        <f>Hoja14!P17/Hoja14!F17</f>
        <v>13.415460335085417</v>
      </c>
      <c r="D30" s="20"/>
      <c r="E30" s="18">
        <f t="shared" si="2"/>
        <v>8164080.0006803395</v>
      </c>
      <c r="F30" s="18">
        <f t="shared" si="2"/>
        <v>10205100</v>
      </c>
      <c r="G30" s="19">
        <f>Hoja15!G30</f>
        <v>0.35</v>
      </c>
      <c r="H30" s="18">
        <f t="shared" si="3"/>
        <v>1586552.8800000001</v>
      </c>
    </row>
    <row r="31" spans="2:17" x14ac:dyDescent="0.2">
      <c r="B31" s="17">
        <f>Hoja14!P18/Hoja15!C10</f>
        <v>7.5669597405459745</v>
      </c>
      <c r="C31" s="20">
        <f>Hoja14!P18/Hoja14!F18</f>
        <v>13.25501256764257</v>
      </c>
      <c r="E31" s="18">
        <f t="shared" si="2"/>
        <v>10205100.00068034</v>
      </c>
      <c r="F31" s="18" t="s">
        <v>159</v>
      </c>
      <c r="G31" s="19">
        <f>Hoja15!G31</f>
        <v>0.4</v>
      </c>
      <c r="H31" s="18">
        <f t="shared" si="3"/>
        <v>2641079.88</v>
      </c>
    </row>
    <row r="32" spans="2:17" x14ac:dyDescent="0.2">
      <c r="B32" s="17">
        <f>Hoja14!P19/Hoja15!C11</f>
        <v>7.5203194328618155</v>
      </c>
      <c r="C32" s="20">
        <f>Hoja14!P19/Hoja14!F19</f>
        <v>13.173510837182402</v>
      </c>
      <c r="G32" s="19">
        <f>Hoja15!G32</f>
        <v>0</v>
      </c>
    </row>
    <row r="33" spans="2:14" x14ac:dyDescent="0.2">
      <c r="B33" s="17">
        <f>Hoja14!P20/Hoja15!C12</f>
        <v>7.4935790091000101</v>
      </c>
      <c r="C33" s="20">
        <f>Hoja14!P20/Hoja14!F20</f>
        <v>13.182567554519625</v>
      </c>
      <c r="E33" s="18">
        <f>$C$9*$J$6</f>
        <v>0</v>
      </c>
      <c r="F33" s="18">
        <f>$C$9*$K$6</f>
        <v>922131</v>
      </c>
      <c r="G33" s="19">
        <f>Hoja15!G33</f>
        <v>0</v>
      </c>
      <c r="H33" s="18">
        <f>$C$9*$M$6</f>
        <v>0</v>
      </c>
    </row>
    <row r="34" spans="2:14" x14ac:dyDescent="0.2">
      <c r="B34" s="17">
        <f>Hoja14!P21/Hoja15!C13</f>
        <v>7.5437836600201038</v>
      </c>
      <c r="C34" s="20">
        <f>Hoja14!P21/Hoja14!F21</f>
        <v>13.149257203905131</v>
      </c>
      <c r="E34" s="18">
        <f>$C$9*$J$7</f>
        <v>922131.00068306003</v>
      </c>
      <c r="F34" s="18">
        <f>$C$9*$K$7</f>
        <v>2049180</v>
      </c>
      <c r="G34" s="19">
        <f>Hoja15!G34</f>
        <v>0.04</v>
      </c>
      <c r="H34" s="18">
        <f>$C$9*$M$7</f>
        <v>36885.240000000005</v>
      </c>
    </row>
    <row r="35" spans="2:14" x14ac:dyDescent="0.2">
      <c r="B35" s="17">
        <f>Hoja14!P22/Hoja15!C14</f>
        <v>7.364769939695373</v>
      </c>
      <c r="C35" s="20">
        <f>Hoja14!P22/Hoja14!F22</f>
        <v>12.919143786996035</v>
      </c>
      <c r="E35" s="18">
        <f>$C$9*$J$8</f>
        <v>2049180.0006830601</v>
      </c>
      <c r="F35" s="18">
        <f>$C$9*$K$8</f>
        <v>3415300</v>
      </c>
      <c r="G35" s="19">
        <f>Hoja15!G35</f>
        <v>0.08</v>
      </c>
      <c r="H35" s="18">
        <f>$C$9*$M$8</f>
        <v>118852.44</v>
      </c>
      <c r="J35" s="20">
        <f>Hoja14!N17*Hoja15!G35-Hoja15!H35</f>
        <v>328153.97841120005</v>
      </c>
    </row>
    <row r="36" spans="2:14" x14ac:dyDescent="0.2">
      <c r="B36" s="17">
        <f>Hoja14!P23/Hoja15!C15</f>
        <v>7.364769939695373</v>
      </c>
      <c r="C36" s="20">
        <f>Hoja14!P23/Hoja14!F23</f>
        <v>12.919143786996035</v>
      </c>
      <c r="E36" s="18">
        <f>$C$9*$J$9</f>
        <v>3415300.0006830599</v>
      </c>
      <c r="F36" s="18">
        <f>$C$9*$K$9</f>
        <v>4781420</v>
      </c>
      <c r="G36" s="19">
        <f>Hoja15!G36</f>
        <v>0.13500000000000001</v>
      </c>
      <c r="H36" s="18">
        <f>$C$9*$M$9</f>
        <v>306693.94</v>
      </c>
      <c r="L36" s="20" t="str">
        <f>B6</f>
        <v>Enero</v>
      </c>
      <c r="M36" s="74">
        <f>Hoja14!N14</f>
        <v>5612557.1161400005</v>
      </c>
      <c r="N36" s="20">
        <f>(M36*VLOOKUP(M36,$E$6:$H$13,3))-(VLOOKUP(M36,$E$6:$H$13,4))</f>
        <v>539729.07671220019</v>
      </c>
    </row>
    <row r="37" spans="2:14" x14ac:dyDescent="0.2">
      <c r="B37" s="17">
        <f>Hoja14!P24/Hoja15!C16</f>
        <v>7.2776699353110379</v>
      </c>
      <c r="C37" s="20">
        <f>Hoja14!P24/Hoja14!F24</f>
        <v>12.781149058553197</v>
      </c>
      <c r="E37" s="18">
        <f>$C$9*$J$10</f>
        <v>4781420.0006830599</v>
      </c>
      <c r="F37" s="18">
        <f>$C$9*$K$10</f>
        <v>6147540</v>
      </c>
      <c r="G37" s="19">
        <f>Hoja15!G37</f>
        <v>0.23</v>
      </c>
      <c r="H37" s="18">
        <f>$C$9*$M$10</f>
        <v>760928.84000000008</v>
      </c>
      <c r="L37" s="20" t="str">
        <f t="shared" ref="L37:L47" si="4">B7</f>
        <v> Febrero</v>
      </c>
      <c r="M37" s="74">
        <f>Hoja14!N15</f>
        <v>5603031.5607599998</v>
      </c>
      <c r="N37" s="20">
        <f t="shared" ref="N37:N47" si="5">(M37*VLOOKUP(M37,$E$6:$H$13,3))-(VLOOKUP(M37,$E$6:$H$13,4))</f>
        <v>537538.19897480006</v>
      </c>
    </row>
    <row r="38" spans="2:14" x14ac:dyDescent="0.2">
      <c r="B38" s="17">
        <f>Hoja14!P25/Hoja15!C17</f>
        <v>7.2721803089902508</v>
      </c>
      <c r="C38" s="20">
        <f>Hoja14!P25/Hoja14!F25</f>
        <v>12.756714592391861</v>
      </c>
      <c r="E38" s="18">
        <f>$C$9*$J$11</f>
        <v>6147540.0006830599</v>
      </c>
      <c r="F38" s="18">
        <f>$C$9*$K$11</f>
        <v>8196720</v>
      </c>
      <c r="G38" s="19">
        <f>Hoja15!G38</f>
        <v>0.30399999999999999</v>
      </c>
      <c r="H38" s="18">
        <f>$C$9*$M$11</f>
        <v>1215846.7999999998</v>
      </c>
      <c r="L38" s="20" t="str">
        <f t="shared" si="4"/>
        <v> Marzo</v>
      </c>
      <c r="M38" s="74">
        <f>Hoja14!N16</f>
        <v>26594133.49994</v>
      </c>
      <c r="N38" s="20">
        <f t="shared" si="5"/>
        <v>8020059.6199760009</v>
      </c>
    </row>
    <row r="39" spans="2:14" x14ac:dyDescent="0.2">
      <c r="B39" s="17">
        <f>SUM(B27:B38)</f>
        <v>200.63109634455529</v>
      </c>
      <c r="C39" s="17">
        <f>SUM(C27:C38)</f>
        <v>351.15918511905608</v>
      </c>
      <c r="E39" s="18">
        <f>$C$9*$J$12</f>
        <v>8196720.0006830599</v>
      </c>
      <c r="F39" s="18">
        <f>$C$9*$K$12</f>
        <v>10245900</v>
      </c>
      <c r="G39" s="19">
        <f>Hoja15!G39</f>
        <v>0.35</v>
      </c>
      <c r="H39" s="18">
        <f>$C$9*$M$12</f>
        <v>1592895.92</v>
      </c>
      <c r="L39" s="20" t="str">
        <f t="shared" si="4"/>
        <v> Abril</v>
      </c>
      <c r="M39" s="74">
        <f>Hoja14!N17</f>
        <v>5587580.2301400006</v>
      </c>
      <c r="N39" s="20">
        <f t="shared" si="5"/>
        <v>533984.39293220011</v>
      </c>
    </row>
    <row r="40" spans="2:14" x14ac:dyDescent="0.2">
      <c r="C40" s="17">
        <f>C39*Hoja14!F25</f>
        <v>13921210.75959396</v>
      </c>
      <c r="E40" s="18">
        <f>$C$9*$J$13</f>
        <v>10245900.00068306</v>
      </c>
      <c r="F40" s="18" t="s">
        <v>159</v>
      </c>
      <c r="G40" s="19">
        <f>Hoja15!G40</f>
        <v>0.4</v>
      </c>
      <c r="H40" s="18">
        <f>$C$9*$M$13</f>
        <v>2651638.92</v>
      </c>
      <c r="L40" s="20" t="str">
        <f t="shared" si="4"/>
        <v> Mayo</v>
      </c>
      <c r="M40" s="74">
        <f>Hoja14!N18</f>
        <v>5583458.1403000001</v>
      </c>
      <c r="N40" s="20">
        <f t="shared" si="5"/>
        <v>533036.3122690001</v>
      </c>
    </row>
    <row r="41" spans="2:14" x14ac:dyDescent="0.2">
      <c r="G41" s="19">
        <f>Hoja15!G41</f>
        <v>0</v>
      </c>
      <c r="L41" s="20" t="str">
        <f t="shared" si="4"/>
        <v> Junio</v>
      </c>
      <c r="M41" s="74">
        <f>Hoja14!N19</f>
        <v>5580652.4877799992</v>
      </c>
      <c r="N41" s="20">
        <f t="shared" si="5"/>
        <v>532391.01218939992</v>
      </c>
    </row>
    <row r="42" spans="2:14" x14ac:dyDescent="0.2">
      <c r="E42" s="18">
        <f>$C$10*$J$6</f>
        <v>0</v>
      </c>
      <c r="F42" s="18">
        <f>$C$10*$K$6</f>
        <v>926748</v>
      </c>
      <c r="G42" s="19">
        <f>Hoja15!G42</f>
        <v>0</v>
      </c>
      <c r="H42" s="18">
        <f>$C$10*$M$6</f>
        <v>0</v>
      </c>
      <c r="L42" s="20" t="str">
        <f t="shared" si="4"/>
        <v> Julio</v>
      </c>
      <c r="M42" s="74">
        <f>Hoja14!N20</f>
        <v>5583835.5045400001</v>
      </c>
      <c r="N42" s="20">
        <f t="shared" si="5"/>
        <v>533123.10604420002</v>
      </c>
    </row>
    <row r="43" spans="2:14" x14ac:dyDescent="0.2">
      <c r="E43" s="18">
        <f>$C$10*$J$7</f>
        <v>926748.00068648008</v>
      </c>
      <c r="F43" s="18">
        <f>$C$10*$K$7</f>
        <v>2059440</v>
      </c>
      <c r="G43" s="19">
        <f>Hoja15!G43</f>
        <v>0.04</v>
      </c>
      <c r="H43" s="18">
        <f>$C$10*$M$7</f>
        <v>37069.920000000006</v>
      </c>
      <c r="L43" s="20" t="str">
        <f t="shared" si="4"/>
        <v> Agosto</v>
      </c>
      <c r="M43" s="74">
        <f>Hoja14!N21</f>
        <v>5576459.5517800003</v>
      </c>
      <c r="N43" s="20">
        <f t="shared" si="5"/>
        <v>531426.63690940011</v>
      </c>
    </row>
    <row r="44" spans="2:14" x14ac:dyDescent="0.2">
      <c r="E44" s="18">
        <f>$C$10*$J$8</f>
        <v>2059440.00068648</v>
      </c>
      <c r="F44" s="18">
        <f>$C$10*$K$8</f>
        <v>3432400</v>
      </c>
      <c r="G44" s="19">
        <f>Hoja15!G44</f>
        <v>0.08</v>
      </c>
      <c r="H44" s="18">
        <f>$C$10*$M$8</f>
        <v>119447.52</v>
      </c>
      <c r="L44" s="20" t="str">
        <f t="shared" si="4"/>
        <v> Septiembre</v>
      </c>
      <c r="M44" s="74">
        <f>Hoja14!N22</f>
        <v>5572751.6951000001</v>
      </c>
      <c r="N44" s="20">
        <f t="shared" si="5"/>
        <v>530573.82987300004</v>
      </c>
    </row>
    <row r="45" spans="2:14" x14ac:dyDescent="0.2">
      <c r="E45" s="18">
        <f>$C$10*$J$9</f>
        <v>3432400.0006864802</v>
      </c>
      <c r="F45" s="18">
        <f>$C$10*$K$9</f>
        <v>4805360</v>
      </c>
      <c r="G45" s="19">
        <f>Hoja15!G45</f>
        <v>0.13500000000000001</v>
      </c>
      <c r="H45" s="18">
        <f>$C$10*$M$9</f>
        <v>308229.52</v>
      </c>
      <c r="L45" s="20" t="str">
        <f t="shared" si="4"/>
        <v> Octubre</v>
      </c>
      <c r="M45" s="74">
        <f>Hoja14!N23</f>
        <v>5572751.6951000001</v>
      </c>
      <c r="N45" s="20">
        <f t="shared" si="5"/>
        <v>530573.82987300004</v>
      </c>
    </row>
    <row r="46" spans="2:14" x14ac:dyDescent="0.2">
      <c r="E46" s="18">
        <f>$C$10*$J$10</f>
        <v>4805360.0006864797</v>
      </c>
      <c r="F46" s="18">
        <f>$C$10*$K$10</f>
        <v>6178320</v>
      </c>
      <c r="G46" s="19">
        <f>Hoja15!G46</f>
        <v>0.23</v>
      </c>
      <c r="H46" s="18">
        <f>$C$10*$M$10</f>
        <v>764738.72000000009</v>
      </c>
      <c r="L46" s="20" t="str">
        <f t="shared" si="4"/>
        <v> Noviembre</v>
      </c>
      <c r="M46" s="74">
        <f>Hoja14!N24</f>
        <v>5568702.6201800006</v>
      </c>
      <c r="N46" s="20">
        <f t="shared" si="5"/>
        <v>529642.54264140013</v>
      </c>
    </row>
    <row r="47" spans="2:14" x14ac:dyDescent="0.2">
      <c r="E47" s="18">
        <f>$C$10*$J$11</f>
        <v>6178320.0006864797</v>
      </c>
      <c r="F47" s="18">
        <f>$C$10*$K$11</f>
        <v>8237760</v>
      </c>
      <c r="G47" s="19">
        <f>Hoja15!G47</f>
        <v>0.30399999999999999</v>
      </c>
      <c r="H47" s="18">
        <f>$C$10*$M$11</f>
        <v>1221934.3999999999</v>
      </c>
      <c r="L47" s="20" t="str">
        <f t="shared" si="4"/>
        <v> Diciembre</v>
      </c>
      <c r="M47" s="74">
        <f>Hoja14!N25</f>
        <v>5567042.79586</v>
      </c>
      <c r="N47" s="20">
        <f t="shared" si="5"/>
        <v>529260.78304779995</v>
      </c>
    </row>
    <row r="48" spans="2:14" x14ac:dyDescent="0.2">
      <c r="E48" s="18">
        <f>$C$10*$J$12</f>
        <v>8237760.0006864797</v>
      </c>
      <c r="F48" s="18">
        <f>$C$10*$K$12</f>
        <v>10297200</v>
      </c>
      <c r="G48" s="19">
        <f>Hoja15!G48</f>
        <v>0.35</v>
      </c>
      <c r="H48" s="18">
        <f>$C$10*$M$12</f>
        <v>1600871.36</v>
      </c>
      <c r="N48" s="36">
        <f>SUM(N36:N47)</f>
        <v>13881339.341442399</v>
      </c>
    </row>
    <row r="49" spans="5:8" x14ac:dyDescent="0.2">
      <c r="E49" s="18">
        <f>$C$10*$J$13</f>
        <v>10297200.00068648</v>
      </c>
      <c r="F49" s="18" t="s">
        <v>159</v>
      </c>
      <c r="G49" s="19">
        <f>Hoja15!G49</f>
        <v>0.4</v>
      </c>
      <c r="H49" s="18">
        <f>$C$10*$M$13</f>
        <v>2664915.36</v>
      </c>
    </row>
    <row r="50" spans="5:8" x14ac:dyDescent="0.2">
      <c r="G50" s="19">
        <f>Hoja15!G50</f>
        <v>0</v>
      </c>
    </row>
    <row r="51" spans="5:8" x14ac:dyDescent="0.2">
      <c r="E51" s="18">
        <f>$C$11*$J$6</f>
        <v>0</v>
      </c>
      <c r="F51" s="18">
        <f>$C$11*$K$6</f>
        <v>928597.5</v>
      </c>
      <c r="G51" s="19">
        <f>Hoja15!G51</f>
        <v>0</v>
      </c>
      <c r="H51" s="18">
        <f>$C$11*$M$6</f>
        <v>0</v>
      </c>
    </row>
    <row r="52" spans="5:8" x14ac:dyDescent="0.2">
      <c r="E52" s="18">
        <f>$C$11*$J$7</f>
        <v>928597.50068785006</v>
      </c>
      <c r="F52" s="18">
        <f>$C$11*$K$7</f>
        <v>2063550</v>
      </c>
      <c r="G52" s="19">
        <f>Hoja15!G52</f>
        <v>0.04</v>
      </c>
      <c r="H52" s="18">
        <f>$C$11*$M$7</f>
        <v>37143.9</v>
      </c>
    </row>
    <row r="53" spans="5:8" x14ac:dyDescent="0.2">
      <c r="E53" s="18">
        <f>$C$11*$J$8</f>
        <v>2063550.0006878499</v>
      </c>
      <c r="F53" s="18">
        <f>$C$11*$K$8</f>
        <v>3439250</v>
      </c>
      <c r="G53" s="19">
        <f>Hoja15!G53</f>
        <v>0.08</v>
      </c>
      <c r="H53" s="18">
        <f>$C$11*$M$8</f>
        <v>119685.9</v>
      </c>
    </row>
    <row r="54" spans="5:8" x14ac:dyDescent="0.2">
      <c r="E54" s="18">
        <f>$C$11*$J$9</f>
        <v>3439250.0006878502</v>
      </c>
      <c r="F54" s="18">
        <f>$C$11*$K$9</f>
        <v>4814950</v>
      </c>
      <c r="G54" s="19">
        <f>Hoja15!G54</f>
        <v>0.13500000000000001</v>
      </c>
      <c r="H54" s="18">
        <f>$C$11*$M$9</f>
        <v>308844.65000000002</v>
      </c>
    </row>
    <row r="55" spans="5:8" x14ac:dyDescent="0.2">
      <c r="E55" s="18">
        <f>$C$11*$J$10</f>
        <v>4814950.0006878497</v>
      </c>
      <c r="F55" s="18">
        <f>$C$11*$K$10</f>
        <v>6190650</v>
      </c>
      <c r="G55" s="19">
        <f>Hoja15!G55</f>
        <v>0.23</v>
      </c>
      <c r="H55" s="18">
        <f>$C$11*$M$10</f>
        <v>766264.9</v>
      </c>
    </row>
    <row r="56" spans="5:8" x14ac:dyDescent="0.2">
      <c r="E56" s="18">
        <f>$C$11*$J$11</f>
        <v>6190650.0006878497</v>
      </c>
      <c r="F56" s="18">
        <f>$C$11*$K$11</f>
        <v>8254200</v>
      </c>
      <c r="G56" s="19">
        <f>Hoja15!G56</f>
        <v>0.30399999999999999</v>
      </c>
      <c r="H56" s="18">
        <f>$C$11*$M$11</f>
        <v>1224372.9999999998</v>
      </c>
    </row>
    <row r="57" spans="5:8" x14ac:dyDescent="0.2">
      <c r="E57" s="18">
        <f>$C$11*$J$12</f>
        <v>8254200.0006878497</v>
      </c>
      <c r="F57" s="18">
        <f>$C$11*$K$12</f>
        <v>10317750</v>
      </c>
      <c r="G57" s="19">
        <f>Hoja15!G57</f>
        <v>0.35</v>
      </c>
      <c r="H57" s="18">
        <f>$C$11*$M$12</f>
        <v>1604066.2</v>
      </c>
    </row>
    <row r="58" spans="5:8" x14ac:dyDescent="0.2">
      <c r="E58" s="18">
        <f>$C$11*$J$13</f>
        <v>10317750.000687851</v>
      </c>
      <c r="F58" s="18" t="s">
        <v>159</v>
      </c>
      <c r="G58" s="19">
        <f>Hoja15!G58</f>
        <v>0.4</v>
      </c>
      <c r="H58" s="18">
        <f>$C$11*$M$13</f>
        <v>2670233.7000000002</v>
      </c>
    </row>
    <row r="59" spans="5:8" x14ac:dyDescent="0.2">
      <c r="G59" s="19">
        <f>Hoja15!G59</f>
        <v>0</v>
      </c>
    </row>
    <row r="60" spans="5:8" x14ac:dyDescent="0.2">
      <c r="E60" s="18">
        <f>$C$12*$J$6</f>
        <v>0</v>
      </c>
      <c r="F60" s="18">
        <f>$C$12*$K$6</f>
        <v>930460.5</v>
      </c>
      <c r="G60" s="19">
        <f>Hoja15!G60</f>
        <v>0</v>
      </c>
      <c r="H60" s="18">
        <f>$C$12*$M$6</f>
        <v>0</v>
      </c>
    </row>
    <row r="61" spans="5:8" x14ac:dyDescent="0.2">
      <c r="E61" s="18">
        <f>$C$12*$J$7</f>
        <v>930460.50068923004</v>
      </c>
      <c r="F61" s="18">
        <f>$C$12*$K$7</f>
        <v>2067690</v>
      </c>
      <c r="G61" s="19">
        <f>Hoja15!G61</f>
        <v>0.04</v>
      </c>
      <c r="H61" s="18">
        <f>$C$12*$M$7</f>
        <v>37218.420000000006</v>
      </c>
    </row>
    <row r="62" spans="5:8" x14ac:dyDescent="0.2">
      <c r="E62" s="18">
        <f>$C$12*$J$8</f>
        <v>2067690.0006892302</v>
      </c>
      <c r="F62" s="18">
        <f>$C$12*$K$8</f>
        <v>3446150</v>
      </c>
      <c r="G62" s="19">
        <f>Hoja15!G62</f>
        <v>0.08</v>
      </c>
      <c r="H62" s="18">
        <f>$C$12*$M$8</f>
        <v>119926.02</v>
      </c>
    </row>
    <row r="63" spans="5:8" x14ac:dyDescent="0.2">
      <c r="E63" s="18">
        <f>$C$12*$J$9</f>
        <v>3446150.0006892299</v>
      </c>
      <c r="F63" s="18">
        <f>$C$12*$K$9</f>
        <v>4824610</v>
      </c>
      <c r="G63" s="19">
        <f>Hoja15!G63</f>
        <v>0.13500000000000001</v>
      </c>
      <c r="H63" s="18">
        <f>$C$12*$M$9</f>
        <v>309464.27</v>
      </c>
    </row>
    <row r="64" spans="5:8" x14ac:dyDescent="0.2">
      <c r="E64" s="18">
        <f>$C$12*$J$10</f>
        <v>4824610.0006892299</v>
      </c>
      <c r="F64" s="18">
        <f>$C$12*$K$10</f>
        <v>6203070</v>
      </c>
      <c r="G64" s="19">
        <f>Hoja15!G64</f>
        <v>0.23</v>
      </c>
      <c r="H64" s="18">
        <f>$C$12*$M$10</f>
        <v>767802.22000000009</v>
      </c>
    </row>
    <row r="65" spans="5:8" x14ac:dyDescent="0.2">
      <c r="E65" s="18">
        <f>$C$12*$J$11</f>
        <v>6203070.0006892299</v>
      </c>
      <c r="F65" s="18">
        <f>$C$12*$K$11</f>
        <v>8270760</v>
      </c>
      <c r="G65" s="19">
        <f>Hoja15!G65</f>
        <v>0.30399999999999999</v>
      </c>
      <c r="H65" s="18">
        <f>$C$12*$M$11</f>
        <v>1226829.3999999999</v>
      </c>
    </row>
    <row r="66" spans="5:8" x14ac:dyDescent="0.2">
      <c r="E66" s="18">
        <f>$C$12*$J$12</f>
        <v>8270760.0006892299</v>
      </c>
      <c r="F66" s="18">
        <f>$C$12*$K$12</f>
        <v>10338450</v>
      </c>
      <c r="G66" s="19">
        <f>Hoja15!G66</f>
        <v>0.35</v>
      </c>
      <c r="H66" s="18">
        <f>$C$12*$M$12</f>
        <v>1607284.36</v>
      </c>
    </row>
    <row r="67" spans="5:8" x14ac:dyDescent="0.2">
      <c r="E67" s="18">
        <f>$C$12*$J$13</f>
        <v>10338450.000689231</v>
      </c>
      <c r="F67" s="18" t="s">
        <v>159</v>
      </c>
      <c r="G67" s="19">
        <f>Hoja15!G67</f>
        <v>0.4</v>
      </c>
      <c r="H67" s="18">
        <f>$C$12*$M$13</f>
        <v>2675590.86</v>
      </c>
    </row>
    <row r="68" spans="5:8" x14ac:dyDescent="0.2">
      <c r="G68" s="19">
        <f>Hoja15!G68</f>
        <v>0</v>
      </c>
    </row>
    <row r="69" spans="5:8" x14ac:dyDescent="0.2">
      <c r="E69" s="18">
        <f>$C$13*$J$6</f>
        <v>0</v>
      </c>
      <c r="F69" s="18">
        <f>$C$13*$K$6</f>
        <v>926734.5</v>
      </c>
      <c r="G69" s="19">
        <f>Hoja15!G69</f>
        <v>0</v>
      </c>
      <c r="H69" s="18">
        <f>$C$13*$M$6</f>
        <v>0</v>
      </c>
    </row>
    <row r="70" spans="5:8" x14ac:dyDescent="0.2">
      <c r="E70" s="18">
        <f>$C$13*$J$7</f>
        <v>926734.50068647007</v>
      </c>
      <c r="F70" s="18">
        <f>$C$13*$K$7</f>
        <v>2059410</v>
      </c>
      <c r="G70" s="19">
        <f>Hoja15!G70</f>
        <v>0.04</v>
      </c>
      <c r="H70" s="18">
        <f>$C$13*$M$7</f>
        <v>37069.380000000005</v>
      </c>
    </row>
    <row r="71" spans="5:8" x14ac:dyDescent="0.2">
      <c r="E71" s="18">
        <f>$C$13*$J$8</f>
        <v>2059410.00068647</v>
      </c>
      <c r="F71" s="18">
        <f>$C$13*$K$8</f>
        <v>3432350</v>
      </c>
      <c r="G71" s="19">
        <f>Hoja15!G71</f>
        <v>0.08</v>
      </c>
      <c r="H71" s="18">
        <f>$C$13*$M$8</f>
        <v>119445.78</v>
      </c>
    </row>
    <row r="72" spans="5:8" x14ac:dyDescent="0.2">
      <c r="E72" s="18">
        <f>$C$13*$J$9</f>
        <v>3432350.00068647</v>
      </c>
      <c r="F72" s="18">
        <f>$C$13*$K$9</f>
        <v>4805290</v>
      </c>
      <c r="G72" s="19">
        <f>Hoja15!G72</f>
        <v>0.13500000000000001</v>
      </c>
      <c r="H72" s="18">
        <f>$C$13*$M$9</f>
        <v>308225.03000000003</v>
      </c>
    </row>
    <row r="73" spans="5:8" x14ac:dyDescent="0.2">
      <c r="E73" s="18">
        <f>$C$13*$J$10</f>
        <v>4805290.0006864695</v>
      </c>
      <c r="F73" s="18">
        <f>$C$13*$K$10</f>
        <v>6178230</v>
      </c>
      <c r="G73" s="19">
        <f>Hoja15!G73</f>
        <v>0.23</v>
      </c>
      <c r="H73" s="18">
        <f>$C$13*$M$10</f>
        <v>764727.58000000007</v>
      </c>
    </row>
    <row r="74" spans="5:8" x14ac:dyDescent="0.2">
      <c r="E74" s="18">
        <f>$C$13*$J$11</f>
        <v>6178230.0006864695</v>
      </c>
      <c r="F74" s="18">
        <f>$C$13*$K$11</f>
        <v>8237640</v>
      </c>
      <c r="G74" s="19">
        <f>Hoja15!G74</f>
        <v>0.30399999999999999</v>
      </c>
      <c r="H74" s="18">
        <f>$C$13*$M$11</f>
        <v>1221916.5999999999</v>
      </c>
    </row>
    <row r="75" spans="5:8" x14ac:dyDescent="0.2">
      <c r="E75" s="18">
        <f>$C$13*$J$12</f>
        <v>8237640.0006864695</v>
      </c>
      <c r="F75" s="18">
        <f>$C$13*$K$12</f>
        <v>10297050</v>
      </c>
      <c r="G75" s="19">
        <f>Hoja15!G75</f>
        <v>0.35</v>
      </c>
      <c r="H75" s="18">
        <f>$C$13*$M$12</f>
        <v>1600848.04</v>
      </c>
    </row>
    <row r="76" spans="5:8" x14ac:dyDescent="0.2">
      <c r="E76" s="18">
        <f>$C$13*$J$13</f>
        <v>10297050.00068647</v>
      </c>
      <c r="F76" s="18" t="s">
        <v>159</v>
      </c>
      <c r="G76" s="19">
        <f>Hoja15!G76</f>
        <v>0.4</v>
      </c>
      <c r="H76" s="18">
        <f>$C$13*$M$13</f>
        <v>2664876.54</v>
      </c>
    </row>
    <row r="77" spans="5:8" x14ac:dyDescent="0.2">
      <c r="G77" s="19">
        <f>Hoja15!G77</f>
        <v>0</v>
      </c>
    </row>
    <row r="78" spans="5:8" x14ac:dyDescent="0.2">
      <c r="E78" s="18">
        <f>$C$14*$J$6</f>
        <v>0</v>
      </c>
      <c r="F78" s="18">
        <f>$C$14*$K$6</f>
        <v>935077.5</v>
      </c>
      <c r="G78" s="19">
        <f>Hoja15!G78</f>
        <v>0</v>
      </c>
      <c r="H78" s="18">
        <f>$C$14*$M$6</f>
        <v>0</v>
      </c>
    </row>
    <row r="79" spans="5:8" x14ac:dyDescent="0.2">
      <c r="E79" s="18">
        <f>$C$14*$J$7</f>
        <v>935077.50069265009</v>
      </c>
      <c r="F79" s="18">
        <f>$C$14*$K$7</f>
        <v>2077950</v>
      </c>
      <c r="G79" s="19">
        <f>Hoja15!G79</f>
        <v>0.04</v>
      </c>
      <c r="H79" s="18">
        <f>$C$14*$M$7</f>
        <v>37403.100000000006</v>
      </c>
    </row>
    <row r="80" spans="5:8" x14ac:dyDescent="0.2">
      <c r="E80" s="18">
        <f>$C$14*$J$8</f>
        <v>2077950.00069265</v>
      </c>
      <c r="F80" s="18">
        <f>$C$14*$K$8</f>
        <v>3463250</v>
      </c>
      <c r="G80" s="19">
        <f>Hoja15!G80</f>
        <v>0.08</v>
      </c>
      <c r="H80" s="18">
        <f>$C$14*$M$8</f>
        <v>120521.1</v>
      </c>
    </row>
    <row r="81" spans="5:11" x14ac:dyDescent="0.2">
      <c r="E81" s="18">
        <f>$C$14*$J$9</f>
        <v>3463250.0006926502</v>
      </c>
      <c r="F81" s="18">
        <f>$C$14*$K$9</f>
        <v>4848550</v>
      </c>
      <c r="G81" s="19">
        <f>Hoja15!G81</f>
        <v>0.13500000000000001</v>
      </c>
      <c r="H81" s="18">
        <f>$C$14*$M$9</f>
        <v>310999.85000000003</v>
      </c>
    </row>
    <row r="82" spans="5:11" x14ac:dyDescent="0.2">
      <c r="E82" s="18">
        <f>$C$14*$J$10</f>
        <v>4848550.0006926497</v>
      </c>
      <c r="F82" s="18">
        <f>$C$14*$K$10</f>
        <v>6233850</v>
      </c>
      <c r="G82" s="19">
        <f>Hoja15!G82</f>
        <v>0.23</v>
      </c>
      <c r="H82" s="18">
        <f>$C$14*$M$10</f>
        <v>771612.10000000009</v>
      </c>
    </row>
    <row r="83" spans="5:11" x14ac:dyDescent="0.2">
      <c r="E83" s="18">
        <f>$C$14*$J$11</f>
        <v>6233850.0006926497</v>
      </c>
      <c r="F83" s="18">
        <f>$C$14*$K$11</f>
        <v>8311800</v>
      </c>
      <c r="G83" s="19">
        <f>Hoja15!G83</f>
        <v>0.30399999999999999</v>
      </c>
      <c r="H83" s="18">
        <f>$C$14*$M$11</f>
        <v>1232916.9999999998</v>
      </c>
    </row>
    <row r="84" spans="5:11" x14ac:dyDescent="0.2">
      <c r="E84" s="18">
        <f>$C$14*$J$12</f>
        <v>8311800.0006926497</v>
      </c>
      <c r="F84" s="18">
        <f>$C$14*$K$12</f>
        <v>10389750</v>
      </c>
      <c r="G84" s="19">
        <f>Hoja15!G84</f>
        <v>0.35</v>
      </c>
      <c r="H84" s="18">
        <f>$C$14*$M$12</f>
        <v>1615259.8</v>
      </c>
    </row>
    <row r="85" spans="5:11" x14ac:dyDescent="0.2">
      <c r="E85" s="18">
        <f>$C$14*$J$13</f>
        <v>10389750.000692651</v>
      </c>
      <c r="F85" s="18" t="s">
        <v>159</v>
      </c>
      <c r="G85" s="19">
        <f>Hoja15!G85</f>
        <v>0.4</v>
      </c>
      <c r="H85" s="18">
        <f>$C$14*$M$13</f>
        <v>2688867.3</v>
      </c>
    </row>
    <row r="86" spans="5:11" x14ac:dyDescent="0.2">
      <c r="G86" s="19">
        <f>Hoja15!G86</f>
        <v>0</v>
      </c>
    </row>
    <row r="87" spans="5:11" x14ac:dyDescent="0.2">
      <c r="E87" s="18">
        <f>$C$15*$J$6</f>
        <v>0</v>
      </c>
      <c r="F87" s="18">
        <f>$C$15*$K$6</f>
        <v>935077.5</v>
      </c>
      <c r="G87" s="19">
        <f>Hoja15!G87</f>
        <v>0</v>
      </c>
      <c r="H87" s="18">
        <f>$C$15*$M$6</f>
        <v>0</v>
      </c>
    </row>
    <row r="88" spans="5:11" x14ac:dyDescent="0.2">
      <c r="E88" s="18">
        <f>$C$15*$J$7</f>
        <v>935077.50069265009</v>
      </c>
      <c r="F88" s="18">
        <f>$C$15*$K$7</f>
        <v>2077950</v>
      </c>
      <c r="G88" s="19">
        <f>Hoja15!G88</f>
        <v>0.04</v>
      </c>
      <c r="H88" s="18">
        <f>$C$15*$M$7</f>
        <v>37403.100000000006</v>
      </c>
    </row>
    <row r="89" spans="5:11" x14ac:dyDescent="0.2">
      <c r="E89" s="18">
        <f>$C$15*$J$8</f>
        <v>2077950.00069265</v>
      </c>
      <c r="F89" s="18">
        <f>$C$15*$K$8</f>
        <v>3463250</v>
      </c>
      <c r="G89" s="19">
        <f>Hoja15!G89</f>
        <v>0.08</v>
      </c>
      <c r="H89" s="18">
        <f>$C$15*$M$8</f>
        <v>120521.1</v>
      </c>
    </row>
    <row r="90" spans="5:11" x14ac:dyDescent="0.2">
      <c r="E90" s="18">
        <f>$C$15*$J$9</f>
        <v>3463250.0006926502</v>
      </c>
      <c r="F90" s="18">
        <f>$C$15*$K$9</f>
        <v>4848550</v>
      </c>
      <c r="G90" s="19">
        <f>Hoja15!G90</f>
        <v>0.13500000000000001</v>
      </c>
      <c r="H90" s="18">
        <f>$C$15*$M$9</f>
        <v>310999.85000000003</v>
      </c>
    </row>
    <row r="91" spans="5:11" x14ac:dyDescent="0.2">
      <c r="E91" s="18">
        <f>$C$15*$J$10</f>
        <v>4848550.0006926497</v>
      </c>
      <c r="F91" s="18">
        <f>$C$15*$K$10</f>
        <v>6233850</v>
      </c>
      <c r="G91" s="19">
        <f>Hoja15!G91</f>
        <v>0.23</v>
      </c>
      <c r="H91" s="18">
        <f>$C$15*$M$10</f>
        <v>771612.10000000009</v>
      </c>
    </row>
    <row r="92" spans="5:11" x14ac:dyDescent="0.2">
      <c r="E92" s="18">
        <f>$C$15*$J$11</f>
        <v>6233850.0006926497</v>
      </c>
      <c r="F92" s="18">
        <f>$C$15*$K$11</f>
        <v>8311800</v>
      </c>
      <c r="G92" s="19">
        <f>Hoja15!G92</f>
        <v>0.30399999999999999</v>
      </c>
      <c r="H92" s="18">
        <f>$C$15*$M$11</f>
        <v>1232916.9999999998</v>
      </c>
      <c r="K92" s="20">
        <f>Hoja14!AA134*Hoja15!L112-Hoja15!M112</f>
        <v>3347810.9784307703</v>
      </c>
    </row>
    <row r="93" spans="5:11" x14ac:dyDescent="0.2">
      <c r="E93" s="18">
        <f>$C$15*$J$12</f>
        <v>8311800.0006926497</v>
      </c>
      <c r="F93" s="18">
        <f>$C$15*$K$12</f>
        <v>10389750</v>
      </c>
      <c r="G93" s="19">
        <f>Hoja15!G93</f>
        <v>0.35</v>
      </c>
      <c r="H93" s="18">
        <f>$C$15*$M$12</f>
        <v>1615259.8</v>
      </c>
    </row>
    <row r="94" spans="5:11" x14ac:dyDescent="0.2">
      <c r="E94" s="18">
        <f>$C$15*$J$13</f>
        <v>10389750.000692651</v>
      </c>
      <c r="F94" s="18" t="s">
        <v>159</v>
      </c>
      <c r="G94" s="19">
        <f>Hoja15!G94</f>
        <v>0.4</v>
      </c>
      <c r="H94" s="18">
        <f>$C$15*$M$13</f>
        <v>2688867.3</v>
      </c>
    </row>
    <row r="95" spans="5:11" x14ac:dyDescent="0.2">
      <c r="G95" s="19">
        <f>Hoja15!G95</f>
        <v>0</v>
      </c>
    </row>
    <row r="96" spans="5:11" x14ac:dyDescent="0.2">
      <c r="E96" s="18">
        <f>$C$16*$J$6</f>
        <v>0</v>
      </c>
      <c r="F96" s="18">
        <f>$C$16*$K$6</f>
        <v>938817</v>
      </c>
      <c r="G96" s="19">
        <f>Hoja15!G96</f>
        <v>0</v>
      </c>
      <c r="H96" s="18">
        <f>$C$16*$M$6</f>
        <v>0</v>
      </c>
    </row>
    <row r="97" spans="5:18" x14ac:dyDescent="0.2">
      <c r="E97" s="18">
        <f>$C$16*$J$7</f>
        <v>938817.00069542008</v>
      </c>
      <c r="F97" s="18">
        <f>$C$16*$K$7</f>
        <v>2086260</v>
      </c>
      <c r="G97" s="19">
        <f>Hoja15!G97</f>
        <v>0.04</v>
      </c>
      <c r="H97" s="18">
        <f>$C$16*$M$7</f>
        <v>37552.68</v>
      </c>
    </row>
    <row r="98" spans="5:18" x14ac:dyDescent="0.2">
      <c r="E98" s="18">
        <f>$C$16*$J$8</f>
        <v>2086260.00069542</v>
      </c>
      <c r="F98" s="18">
        <f>$C$16*$K$8</f>
        <v>3477100</v>
      </c>
      <c r="G98" s="19">
        <f>Hoja15!G98</f>
        <v>0.08</v>
      </c>
      <c r="H98" s="18">
        <f>$C$16*$M$8</f>
        <v>121003.08</v>
      </c>
    </row>
    <row r="99" spans="5:18" x14ac:dyDescent="0.2">
      <c r="E99" s="18">
        <f>$C$16*$J$9</f>
        <v>3477100.00069542</v>
      </c>
      <c r="F99" s="18">
        <f>$C$16*$K$9</f>
        <v>4867940</v>
      </c>
      <c r="G99" s="19">
        <f>Hoja15!G99</f>
        <v>0.13500000000000001</v>
      </c>
      <c r="H99" s="18">
        <f>$C$16*$M$9</f>
        <v>312243.58</v>
      </c>
      <c r="J99" s="36">
        <f>2700000*G109-H109</f>
        <v>-153697.88</v>
      </c>
    </row>
    <row r="100" spans="5:18" x14ac:dyDescent="0.2">
      <c r="E100" s="18">
        <f>$C$16*$J$10</f>
        <v>4867940.0006954195</v>
      </c>
      <c r="F100" s="18">
        <f>$C$16*$K$10</f>
        <v>6258780</v>
      </c>
      <c r="G100" s="19">
        <f>Hoja15!G100</f>
        <v>0.23</v>
      </c>
      <c r="H100" s="18">
        <f>$C$16*$M$10</f>
        <v>774697.88</v>
      </c>
    </row>
    <row r="101" spans="5:18" x14ac:dyDescent="0.2">
      <c r="E101" s="18">
        <f>$C$16*$J$11</f>
        <v>6258780.0006954195</v>
      </c>
      <c r="F101" s="18">
        <f>$C$16*$K$11</f>
        <v>8345040</v>
      </c>
      <c r="G101" s="19">
        <f>Hoja15!G101</f>
        <v>0.30399999999999999</v>
      </c>
      <c r="H101" s="18">
        <f>$C$16*$M$11</f>
        <v>1237847.5999999999</v>
      </c>
    </row>
    <row r="102" spans="5:18" x14ac:dyDescent="0.2">
      <c r="E102" s="18">
        <f>$C$16*$J$12</f>
        <v>8345040.0006954195</v>
      </c>
      <c r="F102" s="18">
        <f>$C$16*$K$12</f>
        <v>10431300</v>
      </c>
      <c r="G102" s="19">
        <f>Hoja15!G102</f>
        <v>0.35</v>
      </c>
      <c r="H102" s="18">
        <f>$C$16*$M$12</f>
        <v>1621719.44</v>
      </c>
    </row>
    <row r="103" spans="5:18" x14ac:dyDescent="0.2">
      <c r="E103" s="18">
        <f>$C$16*$J$13</f>
        <v>10431300.00069542</v>
      </c>
      <c r="F103" s="18" t="s">
        <v>159</v>
      </c>
      <c r="G103" s="19">
        <f>Hoja15!G103</f>
        <v>0.4</v>
      </c>
      <c r="H103" s="18">
        <f>$C$16*$M$13</f>
        <v>2699620.44</v>
      </c>
    </row>
    <row r="104" spans="5:18" x14ac:dyDescent="0.2">
      <c r="G104" s="19">
        <f>Hoja15!G104</f>
        <v>0</v>
      </c>
    </row>
    <row r="105" spans="5:18" x14ac:dyDescent="0.2">
      <c r="E105" s="18">
        <f>$C$17*$J$6</f>
        <v>0</v>
      </c>
      <c r="F105" s="18">
        <f>$C$17*$K$6</f>
        <v>938817</v>
      </c>
      <c r="G105" s="19">
        <f>Hoja15!G105</f>
        <v>0</v>
      </c>
      <c r="H105" s="18">
        <f>$C$17*$M$6</f>
        <v>0</v>
      </c>
      <c r="J105" s="18">
        <f>E105*12</f>
        <v>0</v>
      </c>
      <c r="K105" s="18">
        <f>F105*12</f>
        <v>11265804</v>
      </c>
      <c r="L105" s="19">
        <v>0</v>
      </c>
      <c r="M105" s="18">
        <f>H105*12</f>
        <v>0</v>
      </c>
      <c r="O105" s="18">
        <f>Hoja14!AZ38</f>
        <v>88002956.897619992</v>
      </c>
      <c r="P105" s="19">
        <f>VLOOKUP(O105,$J$105:$M$112,3)</f>
        <v>0.32</v>
      </c>
      <c r="Q105" s="18">
        <f>VLOOKUP(O105,$J$105:$M$112,4)</f>
        <v>14854171.199999999</v>
      </c>
      <c r="R105" s="42">
        <f>O105*P105-Q105</f>
        <v>13306775.007238399</v>
      </c>
    </row>
    <row r="106" spans="5:18" x14ac:dyDescent="0.2">
      <c r="E106" s="18">
        <f>$C$17*$J$7</f>
        <v>938817.00069542008</v>
      </c>
      <c r="F106" s="18">
        <f>$C$17*$K$7</f>
        <v>2086260</v>
      </c>
      <c r="G106" s="19">
        <f>Hoja15!G106</f>
        <v>0.04</v>
      </c>
      <c r="H106" s="18">
        <f>$C$17*$M$7</f>
        <v>37552.68</v>
      </c>
      <c r="J106" s="18">
        <f t="shared" ref="J106:K112" si="6">E106*12</f>
        <v>11265804.008345041</v>
      </c>
      <c r="K106" s="18">
        <f t="shared" si="6"/>
        <v>25035120</v>
      </c>
      <c r="L106" s="19">
        <v>0.05</v>
      </c>
      <c r="M106" s="18">
        <f t="shared" ref="M106:M112" si="7">H106*12</f>
        <v>450632.16000000003</v>
      </c>
      <c r="O106" s="18">
        <f>Hoja14!BA38</f>
        <v>88002956.897619992</v>
      </c>
      <c r="P106" s="19">
        <f>VLOOKUP(O106,$J$105:$M$112,3)</f>
        <v>0.32</v>
      </c>
      <c r="Q106" s="18">
        <f>VLOOKUP(O106,$J$105:$M$112,4)</f>
        <v>14854171.199999999</v>
      </c>
      <c r="R106" s="42">
        <f>O106*P106-Q106</f>
        <v>13306775.007238399</v>
      </c>
    </row>
    <row r="107" spans="5:18" x14ac:dyDescent="0.2">
      <c r="E107" s="18">
        <f>$C$17*$J$8</f>
        <v>2086260.00069542</v>
      </c>
      <c r="F107" s="18">
        <f>$C$17*$K$8</f>
        <v>3477100</v>
      </c>
      <c r="G107" s="19">
        <f>Hoja15!G107</f>
        <v>0.08</v>
      </c>
      <c r="H107" s="18">
        <f>$C$17*$M$8</f>
        <v>121003.08</v>
      </c>
      <c r="J107" s="18">
        <f t="shared" si="6"/>
        <v>25035120.008345038</v>
      </c>
      <c r="K107" s="18">
        <f t="shared" si="6"/>
        <v>41725200</v>
      </c>
      <c r="L107" s="19">
        <v>0.1</v>
      </c>
      <c r="M107" s="18">
        <f t="shared" si="7"/>
        <v>1452036.96</v>
      </c>
      <c r="R107" s="36">
        <f>R106-R105</f>
        <v>0</v>
      </c>
    </row>
    <row r="108" spans="5:18" x14ac:dyDescent="0.2">
      <c r="E108" s="18">
        <f>$C$17*$J$9</f>
        <v>3477100.00069542</v>
      </c>
      <c r="F108" s="18">
        <f>$C$17*$K$9</f>
        <v>4867940</v>
      </c>
      <c r="G108" s="19">
        <f>Hoja15!G108</f>
        <v>0.13500000000000001</v>
      </c>
      <c r="H108" s="18">
        <f>$C$17*$M$9</f>
        <v>312243.58</v>
      </c>
      <c r="J108" s="18">
        <f t="shared" si="6"/>
        <v>41725200.008345038</v>
      </c>
      <c r="K108" s="18">
        <f t="shared" si="6"/>
        <v>58415280</v>
      </c>
      <c r="L108" s="19">
        <v>0.15</v>
      </c>
      <c r="M108" s="18">
        <f t="shared" si="7"/>
        <v>3746922.96</v>
      </c>
      <c r="R108" s="36">
        <f>Hoja14!X26</f>
        <v>0</v>
      </c>
    </row>
    <row r="109" spans="5:18" x14ac:dyDescent="0.2">
      <c r="E109" s="18">
        <f>$C$17*$J$10</f>
        <v>4867940.0006954195</v>
      </c>
      <c r="F109" s="18">
        <f>$C$17*$K$10</f>
        <v>6258780</v>
      </c>
      <c r="G109" s="19">
        <f>Hoja15!G109</f>
        <v>0.23</v>
      </c>
      <c r="H109" s="18">
        <f>$C$17*$M$10</f>
        <v>774697.88</v>
      </c>
      <c r="J109" s="18">
        <f t="shared" si="6"/>
        <v>58415280.008345038</v>
      </c>
      <c r="K109" s="18">
        <f t="shared" si="6"/>
        <v>75105360</v>
      </c>
      <c r="L109" s="19">
        <v>0.25</v>
      </c>
      <c r="M109" s="18">
        <f t="shared" si="7"/>
        <v>9296374.5600000005</v>
      </c>
      <c r="R109" s="36">
        <f>(R107-R108)*-1</f>
        <v>0</v>
      </c>
    </row>
    <row r="110" spans="5:18" x14ac:dyDescent="0.2">
      <c r="E110" s="18">
        <f>$C$17*$J$11</f>
        <v>6258780.0006954195</v>
      </c>
      <c r="F110" s="18">
        <f>$C$17*$K$11</f>
        <v>8345040</v>
      </c>
      <c r="G110" s="19">
        <f>Hoja15!G110</f>
        <v>0.30399999999999999</v>
      </c>
      <c r="H110" s="18">
        <f>$C$17*$M$11</f>
        <v>1237847.5999999999</v>
      </c>
      <c r="J110" s="18">
        <f t="shared" si="6"/>
        <v>75105360.008345038</v>
      </c>
      <c r="K110" s="18">
        <f t="shared" si="6"/>
        <v>100140480</v>
      </c>
      <c r="L110" s="19">
        <v>0.32</v>
      </c>
      <c r="M110" s="18">
        <f t="shared" si="7"/>
        <v>14854171.199999999</v>
      </c>
    </row>
    <row r="111" spans="5:18" x14ac:dyDescent="0.2">
      <c r="E111" s="18">
        <f>$C$17*$J$12</f>
        <v>8345040.0006954195</v>
      </c>
      <c r="F111" s="18">
        <f>$C$17*$K$12</f>
        <v>10431300</v>
      </c>
      <c r="G111" s="19">
        <f>Hoja15!G111</f>
        <v>0.35</v>
      </c>
      <c r="H111" s="18">
        <f>$C$17*$M$12</f>
        <v>1621719.44</v>
      </c>
      <c r="J111" s="18">
        <f t="shared" si="6"/>
        <v>100140480.00834504</v>
      </c>
      <c r="K111" s="18">
        <f t="shared" si="6"/>
        <v>125175600</v>
      </c>
      <c r="L111" s="19">
        <v>0.37</v>
      </c>
      <c r="M111" s="18">
        <f t="shared" si="7"/>
        <v>19460633.280000001</v>
      </c>
    </row>
    <row r="112" spans="5:18" x14ac:dyDescent="0.2">
      <c r="E112" s="18">
        <f>$C$17*$J$13</f>
        <v>10431300.00069542</v>
      </c>
      <c r="F112" s="18" t="s">
        <v>159</v>
      </c>
      <c r="G112" s="19">
        <f>Hoja15!G112</f>
        <v>0.4</v>
      </c>
      <c r="H112" s="18">
        <f>$C$17*$M$13</f>
        <v>2699620.44</v>
      </c>
      <c r="J112" s="18">
        <f t="shared" si="6"/>
        <v>125175600.00834504</v>
      </c>
      <c r="K112" s="18" t="s">
        <v>159</v>
      </c>
      <c r="L112" s="19">
        <v>0.4</v>
      </c>
      <c r="M112" s="18">
        <f t="shared" si="7"/>
        <v>32395445.280000001</v>
      </c>
    </row>
    <row r="113" spans="5:18" x14ac:dyDescent="0.2">
      <c r="O113" s="18">
        <f>Hoja14!M93</f>
        <v>100002956.89761999</v>
      </c>
      <c r="P113" s="20">
        <f>VLOOKUP(O113,$J$105:$M$112,3)</f>
        <v>0.32</v>
      </c>
      <c r="Q113" s="36">
        <f>VLOOKUP(O113,$J$105:$M$112,4)</f>
        <v>14854171.199999999</v>
      </c>
      <c r="R113" s="36">
        <f>O113*P113-Q113</f>
        <v>17146775.007238399</v>
      </c>
    </row>
    <row r="114" spans="5:18" x14ac:dyDescent="0.2">
      <c r="J114" s="34">
        <f>VLOOKUP(Hoja14!M93,Hoja15!$J$105:$M$112,3)</f>
        <v>0.30399999999999999</v>
      </c>
      <c r="K114" s="35">
        <f>VLOOKUP(Hoja14!M93,Hoja15!$J$105:$M$112,4)</f>
        <v>14854171.199999999</v>
      </c>
      <c r="M114" s="20">
        <f>Hoja14!M93*Hoja15!J114-Hoja15!K114</f>
        <v>15546727.696876477</v>
      </c>
      <c r="O114" s="18">
        <f>O113+Hoja14!W8</f>
        <v>100002956.89761999</v>
      </c>
      <c r="P114" s="20">
        <f>VLOOKUP(O114,$J$105:$M$112,3)</f>
        <v>0.32</v>
      </c>
      <c r="Q114" s="36">
        <f>VLOOKUP(O114,$J$105:$M$112,4)</f>
        <v>14854171.199999999</v>
      </c>
      <c r="R114" s="36">
        <f>O114*P114-Q114</f>
        <v>17146775.007238399</v>
      </c>
    </row>
    <row r="115" spans="5:18" x14ac:dyDescent="0.2">
      <c r="J115" s="34">
        <f>VLOOKUP(Hoja14!J61,Hoja15!$J$105:$M$112,3)</f>
        <v>0</v>
      </c>
      <c r="K115" s="35">
        <f>VLOOKUP(Hoja14!J61,Hoja15!$J$105:$M$112,4)</f>
        <v>0</v>
      </c>
    </row>
    <row r="117" spans="5:18" x14ac:dyDescent="0.2">
      <c r="Q117" s="20" t="s">
        <v>164</v>
      </c>
      <c r="R117" s="53" t="e">
        <f>(R114-R113)/Hoja14!W8</f>
        <v>#DIV/0!</v>
      </c>
    </row>
    <row r="118" spans="5:18" x14ac:dyDescent="0.2">
      <c r="M118" s="36">
        <f>Hoja14!M93*Hoja15!L107-Hoja15!M107</f>
        <v>6548199.5918095997</v>
      </c>
      <c r="Q118" s="20" t="s">
        <v>165</v>
      </c>
      <c r="R118" s="53" t="e">
        <f>3%+(1.1*((R114-R113)/Hoja14!W8))</f>
        <v>#DIV/0!</v>
      </c>
    </row>
    <row r="119" spans="5:18" x14ac:dyDescent="0.2">
      <c r="M119" s="36">
        <f>Hoja14!M84-Hoja15!M118</f>
        <v>7154506.869632802</v>
      </c>
    </row>
    <row r="122" spans="5:18" x14ac:dyDescent="0.2">
      <c r="E122" s="37"/>
    </row>
    <row r="123" spans="5:18" x14ac:dyDescent="0.2">
      <c r="E123" s="37"/>
    </row>
    <row r="124" spans="5:18" x14ac:dyDescent="0.2">
      <c r="E124" s="37"/>
    </row>
    <row r="125" spans="5:18" x14ac:dyDescent="0.2">
      <c r="E125" s="37"/>
    </row>
    <row r="126" spans="5:18" x14ac:dyDescent="0.2">
      <c r="E126" s="37"/>
    </row>
  </sheetData>
  <sheetProtection password="CFC3" sheet="1"/>
  <pageMargins left="0.7" right="0.7" top="0.75" bottom="0.75" header="0.3" footer="0.3"/>
  <pageSetup orientation="portrait" r:id="rId1"/>
  <headerFooter>
    <oddFooter>&amp;C&amp;1#&amp;"Calibri"&amp;10&amp;K000000Uso Interno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52CE1-BA31-44B0-AAD2-78800ADA99F5}">
  <dimension ref="B1:Q33"/>
  <sheetViews>
    <sheetView workbookViewId="0">
      <selection activeCell="B1" sqref="B1:U65536"/>
    </sheetView>
  </sheetViews>
  <sheetFormatPr baseColWidth="10" defaultColWidth="8.77734375" defaultRowHeight="13.2" x14ac:dyDescent="0.25"/>
  <cols>
    <col min="1" max="1" width="11.44140625" customWidth="1"/>
    <col min="2" max="17" width="11.44140625" hidden="1" customWidth="1"/>
    <col min="18" max="21" width="0" hidden="1" customWidth="1"/>
    <col min="22" max="256" width="11.44140625" customWidth="1"/>
  </cols>
  <sheetData>
    <row r="1" spans="2:16" ht="13.8" thickBot="1" x14ac:dyDescent="0.3"/>
    <row r="2" spans="2:16" ht="13.8" thickBot="1" x14ac:dyDescent="0.3">
      <c r="B2" s="134" t="s">
        <v>198</v>
      </c>
      <c r="C2" s="135" t="s">
        <v>199</v>
      </c>
      <c r="D2" s="135" t="s">
        <v>200</v>
      </c>
      <c r="E2" s="135" t="s">
        <v>201</v>
      </c>
      <c r="F2" s="135" t="s">
        <v>202</v>
      </c>
      <c r="G2" s="135" t="s">
        <v>203</v>
      </c>
      <c r="H2" s="135" t="s">
        <v>204</v>
      </c>
      <c r="I2" s="135" t="s">
        <v>205</v>
      </c>
      <c r="J2" s="135" t="s">
        <v>206</v>
      </c>
      <c r="K2" s="135" t="s">
        <v>207</v>
      </c>
      <c r="L2" s="135" t="s">
        <v>208</v>
      </c>
      <c r="M2" s="135" t="s">
        <v>209</v>
      </c>
      <c r="N2" s="136" t="s">
        <v>210</v>
      </c>
    </row>
    <row r="3" spans="2:16" ht="13.8" thickBot="1" x14ac:dyDescent="0.3">
      <c r="B3" s="137">
        <v>1</v>
      </c>
      <c r="C3" s="132">
        <v>22296.19</v>
      </c>
      <c r="D3" s="132">
        <v>22412.68</v>
      </c>
      <c r="E3" s="132">
        <v>22463.56</v>
      </c>
      <c r="F3" s="132">
        <v>22536.41</v>
      </c>
      <c r="G3" s="132">
        <v>22592.720000000001</v>
      </c>
      <c r="H3" s="132">
        <v>22621.53</v>
      </c>
      <c r="I3" s="132">
        <v>22627.360000000001</v>
      </c>
      <c r="J3" s="132">
        <v>22576.98</v>
      </c>
      <c r="K3" s="132">
        <v>22559.48</v>
      </c>
      <c r="L3" s="132">
        <v>22592.560000000001</v>
      </c>
      <c r="M3" s="132">
        <v>22738.63</v>
      </c>
      <c r="N3" s="133"/>
    </row>
    <row r="4" spans="2:16" ht="13.8" thickBot="1" x14ac:dyDescent="0.3">
      <c r="B4" s="137">
        <v>2</v>
      </c>
      <c r="C4" s="132">
        <v>22298.34</v>
      </c>
      <c r="D4" s="132">
        <v>22417.01</v>
      </c>
      <c r="E4" s="132">
        <v>22464.34</v>
      </c>
      <c r="F4" s="132">
        <v>22539.31</v>
      </c>
      <c r="G4" s="132">
        <v>22594.22</v>
      </c>
      <c r="H4" s="132">
        <v>22622.26</v>
      </c>
      <c r="I4" s="132">
        <v>22627.360000000001</v>
      </c>
      <c r="J4" s="132">
        <v>22574.79</v>
      </c>
      <c r="K4" s="132">
        <v>22559.48</v>
      </c>
      <c r="L4" s="132">
        <v>22594.06</v>
      </c>
      <c r="M4" s="132">
        <v>22744.48</v>
      </c>
      <c r="N4" s="133"/>
    </row>
    <row r="5" spans="2:16" ht="13.8" thickBot="1" x14ac:dyDescent="0.3">
      <c r="B5" s="137">
        <v>3</v>
      </c>
      <c r="C5" s="132">
        <v>22300.5</v>
      </c>
      <c r="D5" s="132">
        <v>22421.34</v>
      </c>
      <c r="E5" s="132">
        <v>22465.11</v>
      </c>
      <c r="F5" s="132">
        <v>22542.22</v>
      </c>
      <c r="G5" s="132">
        <v>22595.73</v>
      </c>
      <c r="H5" s="132">
        <v>22622.99</v>
      </c>
      <c r="I5" s="132">
        <v>22627.360000000001</v>
      </c>
      <c r="J5" s="132">
        <v>22572.6</v>
      </c>
      <c r="K5" s="132">
        <v>22559.48</v>
      </c>
      <c r="L5" s="132">
        <v>22595.57</v>
      </c>
      <c r="M5" s="132">
        <v>22750.32</v>
      </c>
      <c r="N5" s="133"/>
    </row>
    <row r="6" spans="2:16" ht="13.8" thickBot="1" x14ac:dyDescent="0.3">
      <c r="B6" s="137">
        <v>4</v>
      </c>
      <c r="C6" s="132">
        <v>22302.65</v>
      </c>
      <c r="D6" s="132">
        <v>22425.66</v>
      </c>
      <c r="E6" s="132">
        <v>22465.89</v>
      </c>
      <c r="F6" s="132">
        <v>22545.119999999999</v>
      </c>
      <c r="G6" s="132">
        <v>22597.23</v>
      </c>
      <c r="H6" s="132">
        <v>22623.72</v>
      </c>
      <c r="I6" s="132">
        <v>22627.360000000001</v>
      </c>
      <c r="J6" s="132">
        <v>22570.41</v>
      </c>
      <c r="K6" s="132">
        <v>22559.48</v>
      </c>
      <c r="L6" s="132">
        <v>22597.07</v>
      </c>
      <c r="M6" s="132">
        <v>22756.17</v>
      </c>
      <c r="N6" s="133"/>
    </row>
    <row r="7" spans="2:16" ht="13.8" thickBot="1" x14ac:dyDescent="0.3">
      <c r="B7" s="137">
        <v>5</v>
      </c>
      <c r="C7" s="132">
        <v>22304.81</v>
      </c>
      <c r="D7" s="132">
        <v>22429.99</v>
      </c>
      <c r="E7" s="132">
        <v>22466.66</v>
      </c>
      <c r="F7" s="132">
        <v>22548.02</v>
      </c>
      <c r="G7" s="132">
        <v>22598.74</v>
      </c>
      <c r="H7" s="132">
        <v>22624.45</v>
      </c>
      <c r="I7" s="132">
        <v>22627.360000000001</v>
      </c>
      <c r="J7" s="132">
        <v>22568.23</v>
      </c>
      <c r="K7" s="132">
        <v>22559.48</v>
      </c>
      <c r="L7" s="132">
        <v>22598.58</v>
      </c>
      <c r="M7" s="132">
        <v>22762.02</v>
      </c>
      <c r="N7" s="133"/>
    </row>
    <row r="8" spans="2:16" ht="13.8" thickBot="1" x14ac:dyDescent="0.3">
      <c r="B8" s="137">
        <v>6</v>
      </c>
      <c r="C8" s="132">
        <v>22306.959999999999</v>
      </c>
      <c r="D8" s="132">
        <v>22434.32</v>
      </c>
      <c r="E8" s="132">
        <v>22467.43</v>
      </c>
      <c r="F8" s="132">
        <v>22550.93</v>
      </c>
      <c r="G8" s="132">
        <v>22600.240000000002</v>
      </c>
      <c r="H8" s="132">
        <v>22625.18</v>
      </c>
      <c r="I8" s="132">
        <v>22627.360000000001</v>
      </c>
      <c r="J8" s="132">
        <v>22566.04</v>
      </c>
      <c r="K8" s="132">
        <v>22559.48</v>
      </c>
      <c r="L8" s="132">
        <v>22600.080000000002</v>
      </c>
      <c r="M8" s="132">
        <v>22767.87</v>
      </c>
      <c r="N8" s="133"/>
    </row>
    <row r="9" spans="2:16" ht="13.8" thickBot="1" x14ac:dyDescent="0.3">
      <c r="B9" s="137">
        <v>7</v>
      </c>
      <c r="C9" s="132">
        <v>22309.119999999999</v>
      </c>
      <c r="D9" s="132">
        <v>22438.65</v>
      </c>
      <c r="E9" s="132">
        <v>22468.21</v>
      </c>
      <c r="F9" s="132">
        <v>22553.83</v>
      </c>
      <c r="G9" s="132">
        <v>22601.75</v>
      </c>
      <c r="H9" s="132">
        <v>22625.91</v>
      </c>
      <c r="I9" s="132">
        <v>22627.360000000001</v>
      </c>
      <c r="J9" s="132">
        <v>22563.85</v>
      </c>
      <c r="K9" s="132">
        <v>22559.48</v>
      </c>
      <c r="L9" s="132">
        <v>22601.59</v>
      </c>
      <c r="M9" s="132">
        <v>22773.73</v>
      </c>
      <c r="N9" s="133"/>
    </row>
    <row r="10" spans="2:16" ht="13.8" thickBot="1" x14ac:dyDescent="0.3">
      <c r="B10" s="137">
        <v>8</v>
      </c>
      <c r="C10" s="132">
        <v>22311.27</v>
      </c>
      <c r="D10" s="132">
        <v>22442.98</v>
      </c>
      <c r="E10" s="132">
        <v>22468.98</v>
      </c>
      <c r="F10" s="132">
        <v>22556.73</v>
      </c>
      <c r="G10" s="132">
        <v>22603.25</v>
      </c>
      <c r="H10" s="132">
        <v>22626.639999999999</v>
      </c>
      <c r="I10" s="132">
        <v>22627.360000000001</v>
      </c>
      <c r="J10" s="132">
        <v>22561.66</v>
      </c>
      <c r="K10" s="132">
        <v>22559.48</v>
      </c>
      <c r="L10" s="132">
        <v>22603.09</v>
      </c>
      <c r="M10" s="132">
        <v>22779.58</v>
      </c>
      <c r="N10" s="133"/>
      <c r="P10">
        <v>22408.36</v>
      </c>
    </row>
    <row r="11" spans="2:16" ht="13.8" thickBot="1" x14ac:dyDescent="0.3">
      <c r="B11" s="137">
        <v>9</v>
      </c>
      <c r="C11" s="132">
        <v>22313.43</v>
      </c>
      <c r="D11" s="132">
        <v>22447.31</v>
      </c>
      <c r="E11" s="132">
        <v>22469.759999999998</v>
      </c>
      <c r="F11" s="132">
        <v>22559.64</v>
      </c>
      <c r="G11" s="132">
        <v>22604.76</v>
      </c>
      <c r="H11" s="132">
        <v>22627.360000000001</v>
      </c>
      <c r="I11" s="132">
        <v>22627.360000000001</v>
      </c>
      <c r="J11" s="132">
        <v>22559.48</v>
      </c>
      <c r="K11" s="132">
        <v>22559.48</v>
      </c>
      <c r="L11" s="132">
        <v>22604.6</v>
      </c>
      <c r="M11" s="132">
        <v>22785.439999999999</v>
      </c>
      <c r="N11" s="133"/>
      <c r="P11">
        <v>22462.79</v>
      </c>
    </row>
    <row r="12" spans="2:16" ht="13.8" thickBot="1" x14ac:dyDescent="0.3">
      <c r="B12" s="137">
        <v>10</v>
      </c>
      <c r="C12" s="132">
        <v>22317.74</v>
      </c>
      <c r="D12" s="132">
        <v>22448.080000000002</v>
      </c>
      <c r="E12" s="132">
        <v>22472.65</v>
      </c>
      <c r="F12" s="132">
        <v>22561.14</v>
      </c>
      <c r="G12" s="132">
        <v>22605.49</v>
      </c>
      <c r="H12" s="132">
        <v>22627.360000000001</v>
      </c>
      <c r="I12" s="132">
        <v>22625.17</v>
      </c>
      <c r="J12" s="132">
        <v>22559.48</v>
      </c>
      <c r="K12" s="132">
        <v>22560.98</v>
      </c>
      <c r="L12" s="132">
        <v>22610.41</v>
      </c>
      <c r="M12" s="132">
        <v>22785.439999999999</v>
      </c>
      <c r="N12" s="133"/>
      <c r="P12">
        <v>22533.51</v>
      </c>
    </row>
    <row r="13" spans="2:16" ht="13.8" thickBot="1" x14ac:dyDescent="0.3">
      <c r="B13" s="137">
        <v>11</v>
      </c>
      <c r="C13" s="132">
        <v>22322.04</v>
      </c>
      <c r="D13" s="132">
        <v>22448.86</v>
      </c>
      <c r="E13" s="132">
        <v>22475.55</v>
      </c>
      <c r="F13" s="132">
        <v>22562.65</v>
      </c>
      <c r="G13" s="132">
        <v>22606.22</v>
      </c>
      <c r="H13" s="132">
        <v>22627.360000000001</v>
      </c>
      <c r="I13" s="132">
        <v>22622.97</v>
      </c>
      <c r="J13" s="132">
        <v>22559.48</v>
      </c>
      <c r="K13" s="132">
        <v>22562.49</v>
      </c>
      <c r="L13" s="132">
        <v>22616.22</v>
      </c>
      <c r="M13" s="132">
        <v>22785.439999999999</v>
      </c>
      <c r="N13" s="133"/>
      <c r="P13">
        <v>22591.21</v>
      </c>
    </row>
    <row r="14" spans="2:16" ht="13.8" thickBot="1" x14ac:dyDescent="0.3">
      <c r="B14" s="137">
        <v>12</v>
      </c>
      <c r="C14" s="132">
        <v>22326.35</v>
      </c>
      <c r="D14" s="132">
        <v>22449.63</v>
      </c>
      <c r="E14" s="132">
        <v>22478.44</v>
      </c>
      <c r="F14" s="132">
        <v>22564.15</v>
      </c>
      <c r="G14" s="132">
        <v>22606.95</v>
      </c>
      <c r="H14" s="132">
        <v>22627.360000000001</v>
      </c>
      <c r="I14" s="132">
        <v>22620.78</v>
      </c>
      <c r="J14" s="132">
        <v>22559.48</v>
      </c>
      <c r="K14" s="132">
        <v>22563.99</v>
      </c>
      <c r="L14" s="132">
        <v>22622.04</v>
      </c>
      <c r="M14" s="132">
        <v>22785.439999999999</v>
      </c>
      <c r="N14" s="133"/>
      <c r="P14">
        <v>22620.799999999999</v>
      </c>
    </row>
    <row r="15" spans="2:16" ht="13.8" thickBot="1" x14ac:dyDescent="0.3">
      <c r="B15" s="137">
        <v>13</v>
      </c>
      <c r="C15" s="132">
        <v>22330.66</v>
      </c>
      <c r="D15" s="132">
        <v>22450.400000000001</v>
      </c>
      <c r="E15" s="132">
        <v>22481.34</v>
      </c>
      <c r="F15" s="132">
        <v>22565.65</v>
      </c>
      <c r="G15" s="132">
        <v>22607.68</v>
      </c>
      <c r="H15" s="132">
        <v>22627.360000000001</v>
      </c>
      <c r="I15" s="132">
        <v>22618.59</v>
      </c>
      <c r="J15" s="132">
        <v>22559.48</v>
      </c>
      <c r="K15" s="132">
        <v>22565.49</v>
      </c>
      <c r="L15" s="132">
        <v>22627.85</v>
      </c>
      <c r="M15" s="132">
        <v>22785.439999999999</v>
      </c>
      <c r="N15" s="133"/>
      <c r="P15">
        <v>22627.360000000001</v>
      </c>
    </row>
    <row r="16" spans="2:16" ht="13.8" thickBot="1" x14ac:dyDescent="0.3">
      <c r="B16" s="137">
        <v>14</v>
      </c>
      <c r="C16" s="132">
        <v>22334.97</v>
      </c>
      <c r="D16" s="132">
        <v>22451.18</v>
      </c>
      <c r="E16" s="132">
        <v>22484.23</v>
      </c>
      <c r="F16" s="132">
        <v>22567.15</v>
      </c>
      <c r="G16" s="132">
        <v>22608.400000000001</v>
      </c>
      <c r="H16" s="132">
        <v>22627.360000000001</v>
      </c>
      <c r="I16" s="132">
        <v>22616.400000000001</v>
      </c>
      <c r="J16" s="132">
        <v>22559.48</v>
      </c>
      <c r="K16" s="132">
        <v>22566.99</v>
      </c>
      <c r="L16" s="132">
        <v>22633.67</v>
      </c>
      <c r="M16" s="132">
        <v>22785.439999999999</v>
      </c>
      <c r="N16" s="133"/>
      <c r="P16">
        <v>22579.16</v>
      </c>
    </row>
    <row r="17" spans="2:16" ht="13.8" thickBot="1" x14ac:dyDescent="0.3">
      <c r="B17" s="137">
        <v>15</v>
      </c>
      <c r="C17" s="132">
        <v>22339.279999999999</v>
      </c>
      <c r="D17" s="132">
        <v>22451.95</v>
      </c>
      <c r="E17" s="132">
        <v>22487.13</v>
      </c>
      <c r="F17" s="132">
        <v>22568.66</v>
      </c>
      <c r="G17" s="132">
        <v>22609.13</v>
      </c>
      <c r="H17" s="132">
        <v>22627.360000000001</v>
      </c>
      <c r="I17" s="132">
        <v>22614.21</v>
      </c>
      <c r="J17" s="132">
        <v>22559.48</v>
      </c>
      <c r="K17" s="132">
        <v>22568.5</v>
      </c>
      <c r="L17" s="132">
        <v>22639.49</v>
      </c>
      <c r="M17" s="132">
        <v>22785.439999999999</v>
      </c>
      <c r="N17" s="133"/>
      <c r="P17">
        <v>22559.48</v>
      </c>
    </row>
    <row r="18" spans="2:16" ht="13.8" thickBot="1" x14ac:dyDescent="0.3">
      <c r="B18" s="137">
        <v>16</v>
      </c>
      <c r="C18" s="132">
        <v>22343.59</v>
      </c>
      <c r="D18" s="132">
        <v>22452.73</v>
      </c>
      <c r="E18" s="132">
        <v>22490.02</v>
      </c>
      <c r="F18" s="132">
        <v>22570.16</v>
      </c>
      <c r="G18" s="132">
        <v>22609.86</v>
      </c>
      <c r="H18" s="132">
        <v>22627.360000000001</v>
      </c>
      <c r="I18" s="132">
        <v>22612.01</v>
      </c>
      <c r="J18" s="132">
        <v>22559.48</v>
      </c>
      <c r="K18" s="132">
        <v>22570</v>
      </c>
      <c r="L18" s="132">
        <v>22645.31</v>
      </c>
      <c r="M18" s="132">
        <v>22785.439999999999</v>
      </c>
      <c r="N18" s="133"/>
      <c r="P18">
        <v>22591.05</v>
      </c>
    </row>
    <row r="19" spans="2:16" ht="13.8" thickBot="1" x14ac:dyDescent="0.3">
      <c r="B19" s="137">
        <v>17</v>
      </c>
      <c r="C19" s="132">
        <v>22347.9</v>
      </c>
      <c r="D19" s="132">
        <v>22453.5</v>
      </c>
      <c r="E19" s="132">
        <v>22492.92</v>
      </c>
      <c r="F19" s="132">
        <v>22571.66</v>
      </c>
      <c r="G19" s="132">
        <v>22610.59</v>
      </c>
      <c r="H19" s="132">
        <v>22627.360000000001</v>
      </c>
      <c r="I19" s="132">
        <v>22609.82</v>
      </c>
      <c r="J19" s="132">
        <v>22559.48</v>
      </c>
      <c r="K19" s="132">
        <v>22571.5</v>
      </c>
      <c r="L19" s="132">
        <v>22651.13</v>
      </c>
      <c r="M19" s="132">
        <v>22785.439999999999</v>
      </c>
      <c r="N19" s="133"/>
      <c r="P19">
        <v>22732.79</v>
      </c>
    </row>
    <row r="20" spans="2:16" ht="13.8" thickBot="1" x14ac:dyDescent="0.3">
      <c r="B20" s="137">
        <v>18</v>
      </c>
      <c r="C20" s="132">
        <v>22352.22</v>
      </c>
      <c r="D20" s="132">
        <v>22454.27</v>
      </c>
      <c r="E20" s="132">
        <v>22495.82</v>
      </c>
      <c r="F20" s="132">
        <v>22573.17</v>
      </c>
      <c r="G20" s="132">
        <v>22611.32</v>
      </c>
      <c r="H20" s="132">
        <v>22627.360000000001</v>
      </c>
      <c r="I20" s="132">
        <v>22607.63</v>
      </c>
      <c r="J20" s="132">
        <v>22559.48</v>
      </c>
      <c r="K20" s="132">
        <v>22573.01</v>
      </c>
      <c r="L20" s="132">
        <v>22656.95</v>
      </c>
      <c r="M20" s="132">
        <v>22785.439999999999</v>
      </c>
      <c r="N20" s="133"/>
      <c r="P20">
        <v>22785.439999999999</v>
      </c>
    </row>
    <row r="21" spans="2:16" ht="13.8" thickBot="1" x14ac:dyDescent="0.3">
      <c r="B21" s="137">
        <v>19</v>
      </c>
      <c r="C21" s="132">
        <v>22356.53</v>
      </c>
      <c r="D21" s="132">
        <v>22455.05</v>
      </c>
      <c r="E21" s="132">
        <v>22498.71</v>
      </c>
      <c r="F21" s="132">
        <v>22574.67</v>
      </c>
      <c r="G21" s="132">
        <v>22612.05</v>
      </c>
      <c r="H21" s="132">
        <v>22627.360000000001</v>
      </c>
      <c r="I21" s="132">
        <v>22605.439999999999</v>
      </c>
      <c r="J21" s="132">
        <v>22559.48</v>
      </c>
      <c r="K21" s="132">
        <v>22574.51</v>
      </c>
      <c r="L21" s="132">
        <v>22662.78</v>
      </c>
      <c r="M21" s="132">
        <v>22785.439999999999</v>
      </c>
      <c r="N21" s="133"/>
    </row>
    <row r="22" spans="2:16" ht="13.8" thickBot="1" x14ac:dyDescent="0.3">
      <c r="B22" s="137">
        <v>20</v>
      </c>
      <c r="C22" s="132">
        <v>22360.84</v>
      </c>
      <c r="D22" s="132">
        <v>22455.82</v>
      </c>
      <c r="E22" s="132">
        <v>22501.61</v>
      </c>
      <c r="F22" s="132">
        <v>22576.17</v>
      </c>
      <c r="G22" s="132">
        <v>22612.78</v>
      </c>
      <c r="H22" s="132">
        <v>22627.360000000001</v>
      </c>
      <c r="I22" s="132">
        <v>22603.25</v>
      </c>
      <c r="J22" s="132">
        <v>22559.48</v>
      </c>
      <c r="K22" s="132">
        <v>22576.01</v>
      </c>
      <c r="L22" s="132">
        <v>22668.6</v>
      </c>
      <c r="M22" s="132">
        <v>22785.439999999999</v>
      </c>
      <c r="N22" s="133"/>
    </row>
    <row r="23" spans="2:16" ht="13.8" thickBot="1" x14ac:dyDescent="0.3">
      <c r="B23" s="137">
        <v>21</v>
      </c>
      <c r="C23" s="132">
        <v>22365.16</v>
      </c>
      <c r="D23" s="132">
        <v>22456.6</v>
      </c>
      <c r="E23" s="132">
        <v>22504.51</v>
      </c>
      <c r="F23" s="132">
        <v>22577.68</v>
      </c>
      <c r="G23" s="132">
        <v>22613.51</v>
      </c>
      <c r="H23" s="132">
        <v>22627.360000000001</v>
      </c>
      <c r="I23" s="132">
        <v>22601.06</v>
      </c>
      <c r="J23" s="132">
        <v>22559.48</v>
      </c>
      <c r="K23" s="132">
        <v>22577.52</v>
      </c>
      <c r="L23" s="132">
        <v>22674.43</v>
      </c>
      <c r="M23" s="132">
        <v>22785.439999999999</v>
      </c>
      <c r="N23" s="133"/>
    </row>
    <row r="24" spans="2:16" ht="13.8" thickBot="1" x14ac:dyDescent="0.3">
      <c r="B24" s="137">
        <v>22</v>
      </c>
      <c r="C24" s="132">
        <v>22369.48</v>
      </c>
      <c r="D24" s="132">
        <v>22457.37</v>
      </c>
      <c r="E24" s="132">
        <v>22507.41</v>
      </c>
      <c r="F24" s="132">
        <v>22579.18</v>
      </c>
      <c r="G24" s="132">
        <v>22614.240000000002</v>
      </c>
      <c r="H24" s="132">
        <v>22627.360000000001</v>
      </c>
      <c r="I24" s="132">
        <v>22598.87</v>
      </c>
      <c r="J24" s="132">
        <v>22559.48</v>
      </c>
      <c r="K24" s="132">
        <v>22579.02</v>
      </c>
      <c r="L24" s="132">
        <v>22680.26</v>
      </c>
      <c r="M24" s="132">
        <v>22785.439999999999</v>
      </c>
      <c r="N24" s="133"/>
    </row>
    <row r="25" spans="2:16" ht="13.8" thickBot="1" x14ac:dyDescent="0.3">
      <c r="B25" s="137">
        <v>23</v>
      </c>
      <c r="C25" s="132">
        <v>22373.79</v>
      </c>
      <c r="D25" s="132">
        <v>22458.14</v>
      </c>
      <c r="E25" s="132">
        <v>22510.31</v>
      </c>
      <c r="F25" s="132">
        <v>22580.68</v>
      </c>
      <c r="G25" s="132">
        <v>22614.97</v>
      </c>
      <c r="H25" s="132">
        <v>22627.360000000001</v>
      </c>
      <c r="I25" s="132">
        <v>22596.68</v>
      </c>
      <c r="J25" s="132">
        <v>22559.48</v>
      </c>
      <c r="K25" s="132">
        <v>22580.52</v>
      </c>
      <c r="L25" s="132">
        <v>22686.09</v>
      </c>
      <c r="M25" s="132">
        <v>22785.439999999999</v>
      </c>
      <c r="N25" s="133"/>
    </row>
    <row r="26" spans="2:16" ht="13.8" thickBot="1" x14ac:dyDescent="0.3">
      <c r="B26" s="137">
        <v>24</v>
      </c>
      <c r="C26" s="132">
        <v>22378.11</v>
      </c>
      <c r="D26" s="132">
        <v>22458.92</v>
      </c>
      <c r="E26" s="132">
        <v>22513.21</v>
      </c>
      <c r="F26" s="132">
        <v>22582.19</v>
      </c>
      <c r="G26" s="132">
        <v>22615.69</v>
      </c>
      <c r="H26" s="132">
        <v>22627.360000000001</v>
      </c>
      <c r="I26" s="132">
        <v>22594.49</v>
      </c>
      <c r="J26" s="132">
        <v>22559.48</v>
      </c>
      <c r="K26" s="132">
        <v>22582.03</v>
      </c>
      <c r="L26" s="132">
        <v>22691.919999999998</v>
      </c>
      <c r="M26" s="132">
        <v>22785.439999999999</v>
      </c>
      <c r="N26" s="133"/>
    </row>
    <row r="27" spans="2:16" ht="13.8" thickBot="1" x14ac:dyDescent="0.3">
      <c r="B27" s="137">
        <v>25</v>
      </c>
      <c r="C27" s="132">
        <v>22382.43</v>
      </c>
      <c r="D27" s="132">
        <v>22459.69</v>
      </c>
      <c r="E27" s="132">
        <v>22516.1</v>
      </c>
      <c r="F27" s="132">
        <v>22583.69</v>
      </c>
      <c r="G27" s="132">
        <v>22616.42</v>
      </c>
      <c r="H27" s="132">
        <v>22627.360000000001</v>
      </c>
      <c r="I27" s="132">
        <v>22592.3</v>
      </c>
      <c r="J27" s="132">
        <v>22559.48</v>
      </c>
      <c r="K27" s="132">
        <v>22583.53</v>
      </c>
      <c r="L27" s="132">
        <v>22697.759999999998</v>
      </c>
      <c r="M27" s="132">
        <v>22785.439999999999</v>
      </c>
      <c r="N27" s="133"/>
    </row>
    <row r="28" spans="2:16" ht="13.8" thickBot="1" x14ac:dyDescent="0.3">
      <c r="B28" s="137">
        <v>26</v>
      </c>
      <c r="C28" s="132">
        <v>22386.75</v>
      </c>
      <c r="D28" s="132">
        <v>22460.47</v>
      </c>
      <c r="E28" s="132">
        <v>22519</v>
      </c>
      <c r="F28" s="132">
        <v>22585.200000000001</v>
      </c>
      <c r="G28" s="132">
        <v>22617.15</v>
      </c>
      <c r="H28" s="132">
        <v>22627.360000000001</v>
      </c>
      <c r="I28" s="132">
        <v>22590.11</v>
      </c>
      <c r="J28" s="132">
        <v>22559.48</v>
      </c>
      <c r="K28" s="132">
        <v>22585.040000000001</v>
      </c>
      <c r="L28" s="132">
        <v>22703.59</v>
      </c>
      <c r="M28" s="132">
        <v>22785.439999999999</v>
      </c>
      <c r="N28" s="133"/>
    </row>
    <row r="29" spans="2:16" ht="13.8" thickBot="1" x14ac:dyDescent="0.3">
      <c r="B29" s="137">
        <v>27</v>
      </c>
      <c r="C29" s="132">
        <v>22391.07</v>
      </c>
      <c r="D29" s="132">
        <v>22461.24</v>
      </c>
      <c r="E29" s="132">
        <v>22521.9</v>
      </c>
      <c r="F29" s="132">
        <v>22586.7</v>
      </c>
      <c r="G29" s="132">
        <v>22617.88</v>
      </c>
      <c r="H29" s="132">
        <v>22627.360000000001</v>
      </c>
      <c r="I29" s="132">
        <v>22587.919999999998</v>
      </c>
      <c r="J29" s="132">
        <v>22559.48</v>
      </c>
      <c r="K29" s="132">
        <v>22586.54</v>
      </c>
      <c r="L29" s="132">
        <v>22709.43</v>
      </c>
      <c r="M29" s="132">
        <v>22785.439999999999</v>
      </c>
      <c r="N29" s="133"/>
    </row>
    <row r="30" spans="2:16" ht="13.8" thickBot="1" x14ac:dyDescent="0.3">
      <c r="B30" s="137">
        <v>28</v>
      </c>
      <c r="C30" s="132">
        <v>22395.39</v>
      </c>
      <c r="D30" s="132">
        <v>22462.01</v>
      </c>
      <c r="E30" s="132">
        <v>22524.799999999999</v>
      </c>
      <c r="F30" s="132">
        <v>22588.21</v>
      </c>
      <c r="G30" s="132">
        <v>22618.61</v>
      </c>
      <c r="H30" s="132">
        <v>22627.360000000001</v>
      </c>
      <c r="I30" s="132">
        <v>22585.73</v>
      </c>
      <c r="J30" s="132">
        <v>22559.48</v>
      </c>
      <c r="K30" s="132">
        <v>22588.04</v>
      </c>
      <c r="L30" s="132">
        <v>22715.26</v>
      </c>
      <c r="M30" s="132">
        <v>22785.439999999999</v>
      </c>
      <c r="N30" s="133"/>
    </row>
    <row r="31" spans="2:16" ht="13.8" thickBot="1" x14ac:dyDescent="0.3">
      <c r="B31" s="137">
        <v>29</v>
      </c>
      <c r="C31" s="132">
        <v>22399.71</v>
      </c>
      <c r="D31" s="132">
        <v>22462.79</v>
      </c>
      <c r="E31" s="132">
        <v>22527.71</v>
      </c>
      <c r="F31" s="132">
        <v>22589.71</v>
      </c>
      <c r="G31" s="132">
        <v>22619.34</v>
      </c>
      <c r="H31" s="132">
        <v>22627.360000000001</v>
      </c>
      <c r="I31" s="132">
        <v>22583.54</v>
      </c>
      <c r="J31" s="132">
        <v>22559.48</v>
      </c>
      <c r="K31" s="132">
        <v>22589.55</v>
      </c>
      <c r="L31" s="132">
        <v>22721.1</v>
      </c>
      <c r="M31" s="132">
        <v>22785.439999999999</v>
      </c>
      <c r="N31" s="133"/>
    </row>
    <row r="32" spans="2:16" ht="13.8" thickBot="1" x14ac:dyDescent="0.3">
      <c r="B32" s="137">
        <v>30</v>
      </c>
      <c r="C32" s="132">
        <v>22404.04</v>
      </c>
      <c r="D32" s="132">
        <v>22462.79</v>
      </c>
      <c r="E32" s="132">
        <v>22530.61</v>
      </c>
      <c r="F32" s="132">
        <v>22591.21</v>
      </c>
      <c r="G32" s="132">
        <v>22620.07</v>
      </c>
      <c r="H32" s="132">
        <v>22627.360000000001</v>
      </c>
      <c r="I32" s="132">
        <v>22581.35</v>
      </c>
      <c r="J32" s="132">
        <v>22559.48</v>
      </c>
      <c r="K32" s="132">
        <v>22591.05</v>
      </c>
      <c r="L32" s="132">
        <v>22726.94</v>
      </c>
      <c r="M32" s="132">
        <v>22785.439999999999</v>
      </c>
      <c r="N32" s="133"/>
    </row>
    <row r="33" spans="2:14" ht="13.8" thickBot="1" x14ac:dyDescent="0.3">
      <c r="B33" s="138">
        <v>31</v>
      </c>
      <c r="C33" s="132">
        <v>22408.36</v>
      </c>
      <c r="D33" s="132">
        <v>22462.79</v>
      </c>
      <c r="E33" s="132">
        <v>22533.51</v>
      </c>
      <c r="F33" s="132">
        <v>22591.21</v>
      </c>
      <c r="G33" s="132">
        <v>22620.799999999999</v>
      </c>
      <c r="H33" s="132">
        <v>22627.360000000001</v>
      </c>
      <c r="I33" s="132">
        <v>22579.16</v>
      </c>
      <c r="J33" s="132">
        <v>22559.48</v>
      </c>
      <c r="K33" s="132">
        <v>22591.05</v>
      </c>
      <c r="L33" s="132">
        <v>22732.79</v>
      </c>
      <c r="M33" s="132">
        <v>22785.439999999999</v>
      </c>
      <c r="N33" s="132">
        <v>22785.439999999999</v>
      </c>
    </row>
  </sheetData>
  <sheetProtection password="CFC3" sheet="1"/>
  <pageMargins left="0.7" right="0.7" top="0.75" bottom="0.75" header="0.3" footer="0.3"/>
  <pageSetup orientation="portrait" r:id="rId1"/>
  <headerFooter>
    <oddFooter>&amp;C&amp;1#&amp;"Calibri"&amp;10&amp;K000000Uso Interno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046AE-5EAD-43A4-AC39-E5DD7468B096}">
  <dimension ref="A3:O44"/>
  <sheetViews>
    <sheetView topLeftCell="W18" workbookViewId="0">
      <selection activeCell="A18" sqref="A1:A65536"/>
    </sheetView>
  </sheetViews>
  <sheetFormatPr baseColWidth="10" defaultColWidth="8.77734375" defaultRowHeight="13.2" x14ac:dyDescent="0.25"/>
  <cols>
    <col min="1" max="1" width="11.44140625" hidden="1" customWidth="1"/>
    <col min="2" max="2" width="34" hidden="1" customWidth="1"/>
    <col min="3" max="3" width="14.21875" hidden="1" customWidth="1"/>
    <col min="4" max="5" width="13.21875" hidden="1" customWidth="1"/>
    <col min="6" max="6" width="16" hidden="1" customWidth="1"/>
    <col min="7" max="7" width="17.77734375" hidden="1" customWidth="1"/>
    <col min="8" max="8" width="14.77734375" hidden="1" customWidth="1"/>
    <col min="9" max="10" width="11.44140625" hidden="1" customWidth="1"/>
    <col min="11" max="11" width="14" hidden="1" customWidth="1"/>
    <col min="12" max="12" width="14.44140625" hidden="1" customWidth="1"/>
    <col min="13" max="13" width="15.44140625" hidden="1" customWidth="1"/>
    <col min="14" max="15" width="11.44140625" hidden="1" customWidth="1"/>
    <col min="16" max="22" width="0" hidden="1" customWidth="1"/>
    <col min="23" max="256" width="11.44140625" customWidth="1"/>
  </cols>
  <sheetData>
    <row r="3" spans="2:14" x14ac:dyDescent="0.25">
      <c r="C3" s="141" t="s">
        <v>211</v>
      </c>
      <c r="D3" s="141" t="s">
        <v>212</v>
      </c>
      <c r="E3" s="141" t="s">
        <v>213</v>
      </c>
      <c r="F3" s="141" t="s">
        <v>214</v>
      </c>
      <c r="G3" s="141" t="s">
        <v>215</v>
      </c>
      <c r="H3" s="141" t="s">
        <v>216</v>
      </c>
      <c r="I3" s="141" t="s">
        <v>48</v>
      </c>
      <c r="J3" s="141" t="s">
        <v>174</v>
      </c>
      <c r="L3" t="s">
        <v>217</v>
      </c>
      <c r="M3" s="141"/>
    </row>
    <row r="4" spans="2:14" x14ac:dyDescent="0.25">
      <c r="B4" s="49" t="s">
        <v>52</v>
      </c>
      <c r="C4">
        <f>Hoja14!P14/Hoja15!C6</f>
        <v>8.0044057706951044</v>
      </c>
      <c r="D4">
        <f>Hoja14!P14/Hoja14!F14</f>
        <v>14.061153387851999</v>
      </c>
      <c r="E4">
        <f>Hoja14!N14/Hoja15!C6</f>
        <v>83.236546829109145</v>
      </c>
      <c r="F4">
        <f>Hoja14!N14/Hoja14!F14</f>
        <v>146.21970524335271</v>
      </c>
      <c r="G4">
        <f>Hoja14!T14/Hoja15!C6</f>
        <v>0</v>
      </c>
      <c r="H4">
        <f>Hoja14!R14/Hoja15!C6</f>
        <v>0</v>
      </c>
      <c r="I4" s="141">
        <f>Hoja14!V14/Hoja15!C6</f>
        <v>0</v>
      </c>
      <c r="J4">
        <f>Hoja14!X14/Hoja15!C6</f>
        <v>0</v>
      </c>
      <c r="L4" s="130">
        <f>Hoja14!BM26</f>
        <v>13952287.701993063</v>
      </c>
    </row>
    <row r="5" spans="2:14" x14ac:dyDescent="0.25">
      <c r="B5" s="49" t="s">
        <v>54</v>
      </c>
      <c r="C5">
        <f>Hoja14!P15/Hoja15!C7</f>
        <v>8.010254985211164</v>
      </c>
      <c r="D5">
        <f>Hoja14!P15/Hoja14!F15</f>
        <v>13.947498856984359</v>
      </c>
      <c r="E5">
        <f>Hoja14!N15/Hoja15!C7</f>
        <v>83.261978196570269</v>
      </c>
      <c r="F5">
        <f>Hoja14!N15/Hoja14!F15</f>
        <v>144.97620211478281</v>
      </c>
      <c r="G5">
        <f>Hoja14!T15/Hoja15!C7</f>
        <v>0</v>
      </c>
      <c r="H5">
        <f>Hoja14!R15/Hoja15!C7</f>
        <v>0</v>
      </c>
      <c r="I5" s="141">
        <f>Hoja14!V15/Hoja15!C7</f>
        <v>0</v>
      </c>
      <c r="J5">
        <f>Hoja14!X15/Hoja15!C7</f>
        <v>0</v>
      </c>
    </row>
    <row r="6" spans="2:14" x14ac:dyDescent="0.25">
      <c r="B6" s="49" t="s">
        <v>57</v>
      </c>
      <c r="C6">
        <f>Hoja14!P16/Hoja15!C8</f>
        <v>117.53790046118118</v>
      </c>
      <c r="D6">
        <f>Hoja14!P16/Hoja14!F16</f>
        <v>205.59857315094754</v>
      </c>
      <c r="E6">
        <f>Hoja14!N16/Hoja15!C8</f>
        <v>390.89475115295295</v>
      </c>
      <c r="F6">
        <f>Hoja14!N16/Hoja14!F16</f>
        <v>683.75734783338658</v>
      </c>
      <c r="G6">
        <f>Hoja14!T16/Hoja15!C8</f>
        <v>0</v>
      </c>
      <c r="H6">
        <f>Hoja14!R16/Hoja15!C8</f>
        <v>0</v>
      </c>
      <c r="I6" s="141">
        <f>Hoja14!V16/Hoja15!C8</f>
        <v>0</v>
      </c>
      <c r="J6">
        <f>Hoja14!X16/Hoja15!C8</f>
        <v>0</v>
      </c>
    </row>
    <row r="7" spans="2:14" x14ac:dyDescent="0.25">
      <c r="B7" s="49" t="s">
        <v>61</v>
      </c>
      <c r="C7">
        <f>Hoja14!P17/Hoja15!C9</f>
        <v>7.6745031612479151</v>
      </c>
      <c r="D7">
        <f>Hoja14!P17/Hoja14!F17</f>
        <v>13.415460335085417</v>
      </c>
      <c r="E7">
        <f>Hoja14!N17/Hoja15!C9</f>
        <v>81.802187657599632</v>
      </c>
      <c r="F7">
        <f>Hoja14!N17/Hoja14!F17</f>
        <v>142.99479468392013</v>
      </c>
      <c r="G7">
        <f>Hoja14!T17/Hoja15!C9</f>
        <v>0</v>
      </c>
      <c r="H7">
        <f>Hoja14!R17/Hoja15!C9</f>
        <v>0</v>
      </c>
      <c r="I7" s="141">
        <f>Hoja14!V17/Hoja15!C9</f>
        <v>0</v>
      </c>
      <c r="J7">
        <f>Hoja14!X17/Hoja15!C9</f>
        <v>0</v>
      </c>
      <c r="L7" s="143">
        <v>2514</v>
      </c>
      <c r="M7" s="144">
        <f>C17+G17-L4</f>
        <v>0</v>
      </c>
    </row>
    <row r="8" spans="2:14" x14ac:dyDescent="0.25">
      <c r="B8" s="49" t="s">
        <v>64</v>
      </c>
      <c r="C8">
        <f>Hoja14!P18/Hoja15!C10</f>
        <v>7.5669597405459745</v>
      </c>
      <c r="D8">
        <f>Hoja14!P18/Hoja14!F18</f>
        <v>13.25501256764257</v>
      </c>
      <c r="E8">
        <f>Hoja14!N18/Hoja15!C10</f>
        <v>81.334607567591192</v>
      </c>
      <c r="F8">
        <f>Hoja14!N18/Hoja14!F18</f>
        <v>142.4735009115974</v>
      </c>
      <c r="G8">
        <f>Hoja14!T18/Hoja15!C10</f>
        <v>0</v>
      </c>
      <c r="H8">
        <f>Hoja14!R18/Hoja15!C10</f>
        <v>0</v>
      </c>
      <c r="I8" s="141">
        <f>Hoja14!V18/Hoja15!C10</f>
        <v>0</v>
      </c>
      <c r="J8">
        <f>Hoja14!X18/Hoja15!C10</f>
        <v>0</v>
      </c>
    </row>
    <row r="9" spans="2:14" x14ac:dyDescent="0.25">
      <c r="B9" s="139" t="s">
        <v>67</v>
      </c>
      <c r="C9">
        <f>Hoja14!P19/Hoja15!C11</f>
        <v>7.5203194328618155</v>
      </c>
      <c r="D9">
        <f>Hoja14!P19/Hoja14!F19</f>
        <v>13.173510837182402</v>
      </c>
      <c r="E9">
        <f>Hoja14!N19/Hoja15!C11</f>
        <v>81.131823621138324</v>
      </c>
      <c r="F9">
        <f>Hoja14!N19/Hoja14!F19</f>
        <v>142.12042018362968</v>
      </c>
      <c r="G9">
        <f>Hoja14!T19/Hoja15!C11</f>
        <v>0</v>
      </c>
      <c r="H9">
        <f>Hoja14!R19/Hoja15!C11</f>
        <v>0</v>
      </c>
      <c r="I9" s="141">
        <f>Hoja14!V19/Hoja15!C11</f>
        <v>0</v>
      </c>
      <c r="J9">
        <f>Hoja14!X19/Hoja15!C11</f>
        <v>0</v>
      </c>
    </row>
    <row r="10" spans="2:14" x14ac:dyDescent="0.25">
      <c r="B10" s="49" t="s">
        <v>70</v>
      </c>
      <c r="C10">
        <f>Hoja14!P20/Hoja15!C12</f>
        <v>7.4935790091000101</v>
      </c>
      <c r="D10">
        <f>Hoja14!P20/Hoja14!F20</f>
        <v>13.182567554519625</v>
      </c>
      <c r="E10">
        <f>Hoja14!N20/Hoja15!C12</f>
        <v>81.015560909130485</v>
      </c>
      <c r="F10">
        <f>Hoja14!N20/Hoja14!F20</f>
        <v>142.52109750961037</v>
      </c>
      <c r="G10">
        <f>Hoja14!T20/Hoja15!C12</f>
        <v>0</v>
      </c>
      <c r="H10">
        <f>Hoja14!R20/Hoja15!C12</f>
        <v>0</v>
      </c>
      <c r="I10" s="141">
        <f>Hoja14!V20/Hoja15!C12</f>
        <v>0</v>
      </c>
      <c r="J10">
        <f>Hoja14!X20/Hoja15!C12</f>
        <v>0</v>
      </c>
    </row>
    <row r="11" spans="2:14" x14ac:dyDescent="0.25">
      <c r="B11" s="49" t="s">
        <v>72</v>
      </c>
      <c r="C11">
        <f>Hoja14!P21/Hoja15!C13</f>
        <v>7.5437836600201038</v>
      </c>
      <c r="D11">
        <f>Hoja14!P21/Hoja14!F21</f>
        <v>13.149257203905131</v>
      </c>
      <c r="E11">
        <f>Hoja14!N21/Hoja15!C13</f>
        <v>81.233842000087407</v>
      </c>
      <c r="F11">
        <f>Hoja14!N21/Hoja14!F21</f>
        <v>141.59534926505222</v>
      </c>
      <c r="G11">
        <f>Hoja14!T21/Hoja15!C13</f>
        <v>0</v>
      </c>
      <c r="H11">
        <f>Hoja14!R21/Hoja15!C13</f>
        <v>0</v>
      </c>
      <c r="I11" s="141">
        <f>Hoja14!V21/Hoja15!C13</f>
        <v>0</v>
      </c>
      <c r="J11">
        <f>Hoja14!X21/Hoja15!C13</f>
        <v>0</v>
      </c>
      <c r="M11" t="s">
        <v>218</v>
      </c>
      <c r="N11" s="140">
        <f>K33</f>
        <v>0</v>
      </c>
    </row>
    <row r="12" spans="2:14" x14ac:dyDescent="0.25">
      <c r="B12" s="49" t="s">
        <v>74</v>
      </c>
      <c r="C12">
        <f>Hoja14!P22/Hoja15!C14</f>
        <v>7.364769939695373</v>
      </c>
      <c r="D12">
        <f>Hoja14!P22/Hoja14!F22</f>
        <v>12.919143786996035</v>
      </c>
      <c r="E12">
        <f>Hoja14!N22/Hoja15!C14</f>
        <v>80.455521476936411</v>
      </c>
      <c r="F12">
        <f>Hoja14!N22/Hoja14!F22</f>
        <v>141.13359397907848</v>
      </c>
      <c r="G12">
        <f>Hoja14!T22/Hoja15!C14</f>
        <v>0</v>
      </c>
      <c r="H12">
        <f>Hoja14!R22/Hoja15!C14</f>
        <v>0</v>
      </c>
      <c r="I12" s="141">
        <f>Hoja14!V22/Hoja15!C14</f>
        <v>0</v>
      </c>
      <c r="J12">
        <f>Hoja14!X22/Hoja15!C14</f>
        <v>0</v>
      </c>
    </row>
    <row r="13" spans="2:14" x14ac:dyDescent="0.25">
      <c r="B13" s="49" t="s">
        <v>76</v>
      </c>
      <c r="C13">
        <f>Hoja14!P23/Hoja15!C15</f>
        <v>7.364769939695373</v>
      </c>
      <c r="D13">
        <f>Hoja14!P23/Hoja14!F23</f>
        <v>12.919143786996035</v>
      </c>
      <c r="E13">
        <f>Hoja14!N23/Hoja15!C15</f>
        <v>80.455521476936411</v>
      </c>
      <c r="F13">
        <f>Hoja14!N23/Hoja14!F23</f>
        <v>141.13359397907848</v>
      </c>
      <c r="G13">
        <f>Hoja14!T23/Hoja15!C15</f>
        <v>0</v>
      </c>
      <c r="H13">
        <f>Hoja14!R23/Hoja15!C15</f>
        <v>0</v>
      </c>
      <c r="I13" s="141">
        <f>Hoja14!V23/Hoja15!C15</f>
        <v>0</v>
      </c>
      <c r="J13">
        <f>Hoja14!X23/Hoja15!C15</f>
        <v>0</v>
      </c>
    </row>
    <row r="14" spans="2:14" x14ac:dyDescent="0.25">
      <c r="B14" s="49" t="s">
        <v>78</v>
      </c>
      <c r="C14">
        <f>Hoja14!P24/Hoja15!C16</f>
        <v>7.2776699353110379</v>
      </c>
      <c r="D14">
        <f>Hoja14!P24/Hoja14!F24</f>
        <v>12.781149058553197</v>
      </c>
      <c r="E14">
        <f>Hoja14!N24/Hoja15!C16</f>
        <v>80.076825805700167</v>
      </c>
      <c r="F14">
        <f>Hoja14!N24/Hoja14!F24</f>
        <v>140.63207810409048</v>
      </c>
      <c r="G14">
        <f>Hoja14!T24/Hoja15!C16</f>
        <v>0</v>
      </c>
      <c r="H14">
        <f>Hoja14!R24/Hoja15!C16</f>
        <v>0</v>
      </c>
      <c r="I14" s="141">
        <f>Hoja14!V24/Hoja15!C16</f>
        <v>0</v>
      </c>
      <c r="J14">
        <f>Hoja14!X24/Hoja15!C16</f>
        <v>0</v>
      </c>
    </row>
    <row r="15" spans="2:14" x14ac:dyDescent="0.25">
      <c r="B15" s="49" t="s">
        <v>80</v>
      </c>
      <c r="C15">
        <f>Hoja14!P25/Hoja15!C17</f>
        <v>7.2721803089902508</v>
      </c>
      <c r="D15">
        <f>Hoja14!P25/Hoja14!F25</f>
        <v>12.756714592391861</v>
      </c>
      <c r="E15">
        <f>Hoja14!N25/Hoja15!C17</f>
        <v>80.052957865175003</v>
      </c>
      <c r="F15">
        <f>Hoja14!N25/Hoja14!F25</f>
        <v>140.42731235642384</v>
      </c>
      <c r="G15">
        <f>Hoja14!T25/Hoja15!C17</f>
        <v>0</v>
      </c>
      <c r="H15">
        <f>Hoja14!R25/Hoja15!C17</f>
        <v>0</v>
      </c>
      <c r="I15" s="141">
        <f>Hoja14!V25/Hoja15!C17</f>
        <v>0</v>
      </c>
      <c r="J15">
        <f>Hoja14!X25/Hoja15!C17</f>
        <v>0</v>
      </c>
    </row>
    <row r="17" spans="2:12" x14ac:dyDescent="0.25">
      <c r="B17" s="79" t="s">
        <v>219</v>
      </c>
      <c r="C17" s="140">
        <f>SUM(C4:C15)*Hoja15!C17</f>
        <v>13952287.701993063</v>
      </c>
      <c r="D17" s="140">
        <f>SUM(D4:D15)*Hoja14!F25</f>
        <v>13921210.75959396</v>
      </c>
      <c r="E17" s="140">
        <f>SUM(E4:E15)*Hoja15!C17</f>
        <v>89358140.646076918</v>
      </c>
      <c r="F17" s="140">
        <f>SUM(F4:F15)*Hoja14!F25</f>
        <v>89197482.694077313</v>
      </c>
      <c r="G17" s="140">
        <f>SUM(G4:G15)*Hoja15!C17</f>
        <v>0</v>
      </c>
      <c r="H17" s="140">
        <f>SUM(H4:H15)*Hoja15!C17</f>
        <v>0</v>
      </c>
      <c r="I17">
        <f>SUM(I4:I15)*Hoja15!$C$17</f>
        <v>0</v>
      </c>
      <c r="J17">
        <f>SUM(J4:J15)*Hoja15!$C$17</f>
        <v>0</v>
      </c>
    </row>
    <row r="19" spans="2:12" x14ac:dyDescent="0.25">
      <c r="D19" s="141" t="s">
        <v>220</v>
      </c>
    </row>
    <row r="20" spans="2:12" x14ac:dyDescent="0.25">
      <c r="B20" s="141" t="s">
        <v>44</v>
      </c>
      <c r="C20" s="140">
        <f>E17+H17-Hoja14!J272-Hoja14!J34-Hoja14!R5</f>
        <v>89358140.646076918</v>
      </c>
      <c r="D20" s="140">
        <f>E17+H17-Hoja14!J272-Hoja14!J34+I22-Hoja14!R5</f>
        <v>89358140.646076918</v>
      </c>
      <c r="H20" s="141" t="s">
        <v>221</v>
      </c>
      <c r="I20" s="140">
        <f>MIN(30%*I17,15*Hoja15!C17*12)</f>
        <v>0</v>
      </c>
    </row>
    <row r="21" spans="2:12" x14ac:dyDescent="0.25">
      <c r="B21" s="141" t="s">
        <v>160</v>
      </c>
      <c r="C21" s="145">
        <f>IFERROR((VLOOKUP(C20,Hoja15!$J$105:$M$112,3)),0)</f>
        <v>0.30399999999999999</v>
      </c>
      <c r="D21">
        <f>VLOOKUP(D20,Hoja15!$J$105:$M$112,3)</f>
        <v>0.30399999999999999</v>
      </c>
    </row>
    <row r="22" spans="2:12" x14ac:dyDescent="0.25">
      <c r="B22" s="141" t="s">
        <v>36</v>
      </c>
      <c r="C22">
        <f>IFERROR((VLOOKUP(C20,Hoja15!$J$105:$M$112,4)),0)</f>
        <v>14854171.199999999</v>
      </c>
      <c r="D22">
        <f>VLOOKUP(D20,Hoja15!$J$105:$M$112,4)</f>
        <v>14854171.199999999</v>
      </c>
      <c r="H22" s="141" t="s">
        <v>222</v>
      </c>
      <c r="I22" s="140">
        <f>I17-I20</f>
        <v>0</v>
      </c>
    </row>
    <row r="23" spans="2:12" x14ac:dyDescent="0.25">
      <c r="B23" s="141" t="s">
        <v>223</v>
      </c>
      <c r="C23" s="140">
        <f>C20*C21-C22</f>
        <v>12310703.556407385</v>
      </c>
      <c r="D23" s="140">
        <f>D20*D21-D22</f>
        <v>12310703.556407385</v>
      </c>
      <c r="K23" s="140">
        <f>H17</f>
        <v>0</v>
      </c>
    </row>
    <row r="24" spans="2:12" x14ac:dyDescent="0.25">
      <c r="K24" s="140">
        <f>E17</f>
        <v>89358140.646076918</v>
      </c>
    </row>
    <row r="25" spans="2:12" x14ac:dyDescent="0.25">
      <c r="B25" s="141" t="s">
        <v>224</v>
      </c>
      <c r="C25" s="140">
        <f>C17+G17</f>
        <v>13952287.701993063</v>
      </c>
      <c r="D25" s="140">
        <f>C17+G17+J17</f>
        <v>13952287.701993063</v>
      </c>
      <c r="K25" s="140">
        <f>K23+K24</f>
        <v>89358140.646076918</v>
      </c>
      <c r="L25" s="140">
        <f>K25+I22</f>
        <v>89358140.646076918</v>
      </c>
    </row>
    <row r="26" spans="2:12" x14ac:dyDescent="0.25">
      <c r="K26" s="140">
        <f>C23</f>
        <v>12310703.556407385</v>
      </c>
    </row>
    <row r="27" spans="2:12" x14ac:dyDescent="0.25">
      <c r="B27" s="141" t="s">
        <v>225</v>
      </c>
      <c r="C27" s="140">
        <f>C23-C25</f>
        <v>-1641584.1455856785</v>
      </c>
      <c r="D27" s="140">
        <f>D23-D25</f>
        <v>-1641584.1455856785</v>
      </c>
      <c r="G27" s="142" t="s">
        <v>102</v>
      </c>
      <c r="H27" s="122">
        <f>IF(Hoja14!M26&gt;0,1,0)</f>
        <v>0</v>
      </c>
      <c r="I27" s="55"/>
    </row>
    <row r="28" spans="2:12" x14ac:dyDescent="0.25">
      <c r="G28" s="142" t="s">
        <v>103</v>
      </c>
      <c r="H28" s="122">
        <f>IF(Hoja14!J34&gt;0,1,0)</f>
        <v>0</v>
      </c>
      <c r="I28" s="55"/>
      <c r="K28" s="140">
        <f>C23-D23</f>
        <v>0</v>
      </c>
    </row>
    <row r="29" spans="2:12" x14ac:dyDescent="0.25">
      <c r="G29" s="142" t="s">
        <v>97</v>
      </c>
      <c r="H29" s="122">
        <f>IF(Hoja14!R5&gt;0,1,0)</f>
        <v>0</v>
      </c>
      <c r="I29" s="55"/>
      <c r="K29" s="140">
        <f>J17</f>
        <v>0</v>
      </c>
    </row>
    <row r="30" spans="2:12" x14ac:dyDescent="0.25">
      <c r="H30">
        <f>SUM(H27:H29)</f>
        <v>0</v>
      </c>
      <c r="K30" s="146">
        <f>K28+K29</f>
        <v>0</v>
      </c>
      <c r="L30" t="s">
        <v>226</v>
      </c>
    </row>
    <row r="31" spans="2:12" x14ac:dyDescent="0.25">
      <c r="G31" s="55" t="s">
        <v>227</v>
      </c>
      <c r="H31" t="str">
        <f>IF(H30&gt;0,"Si", "No")</f>
        <v>No</v>
      </c>
    </row>
    <row r="32" spans="2:12" x14ac:dyDescent="0.25">
      <c r="B32" t="s">
        <v>228</v>
      </c>
    </row>
    <row r="33" spans="1:12" x14ac:dyDescent="0.25">
      <c r="B33" t="s">
        <v>229</v>
      </c>
      <c r="G33" s="55" t="s">
        <v>48</v>
      </c>
      <c r="H33">
        <f>IF(Hoja14!V26=0,0,1)</f>
        <v>0</v>
      </c>
      <c r="K33" s="140">
        <f>K30+M7</f>
        <v>0</v>
      </c>
      <c r="L33" t="s">
        <v>225</v>
      </c>
    </row>
    <row r="34" spans="1:12" x14ac:dyDescent="0.25">
      <c r="G34" t="s">
        <v>230</v>
      </c>
      <c r="H34">
        <f>IF(M7=0,0,1)</f>
        <v>0</v>
      </c>
    </row>
    <row r="36" spans="1:12" x14ac:dyDescent="0.25">
      <c r="A36">
        <f>IF(AND(E17=0,H17=0,I17&gt;0,H30=0),1,0)</f>
        <v>0</v>
      </c>
      <c r="B36" t="s">
        <v>231</v>
      </c>
      <c r="C36" s="140">
        <f>D27</f>
        <v>-1641584.1455856785</v>
      </c>
    </row>
    <row r="37" spans="1:12" x14ac:dyDescent="0.25">
      <c r="A37">
        <v>0</v>
      </c>
      <c r="B37" t="s">
        <v>232</v>
      </c>
      <c r="C37" s="140">
        <f>D27</f>
        <v>-1641584.1455856785</v>
      </c>
    </row>
    <row r="38" spans="1:12" x14ac:dyDescent="0.25">
      <c r="A38">
        <f>IF(AND(I17&gt;0,M7&gt;0,H30=0),1,0)</f>
        <v>0</v>
      </c>
      <c r="B38" t="s">
        <v>233</v>
      </c>
      <c r="C38" s="140">
        <f>K33*-1</f>
        <v>0</v>
      </c>
    </row>
    <row r="39" spans="1:12" x14ac:dyDescent="0.25">
      <c r="A39">
        <f>IF(H30=0,(IF(OR(ABS(I17)&gt;0,ABS(M7)&gt;0),1,0)),0)</f>
        <v>0</v>
      </c>
      <c r="B39" t="s">
        <v>234</v>
      </c>
      <c r="C39" s="140">
        <f>K33*-1</f>
        <v>0</v>
      </c>
    </row>
    <row r="40" spans="1:12" x14ac:dyDescent="0.25">
      <c r="A40">
        <f>IF(H30&gt;0,1,0)</f>
        <v>0</v>
      </c>
      <c r="B40" t="s">
        <v>235</v>
      </c>
      <c r="C40" s="140">
        <f>D27</f>
        <v>-1641584.1455856785</v>
      </c>
    </row>
    <row r="41" spans="1:12" x14ac:dyDescent="0.25">
      <c r="A41">
        <f>IF(H30+H33+H34=0,1,0)</f>
        <v>1</v>
      </c>
      <c r="B41" t="s">
        <v>236</v>
      </c>
      <c r="C41">
        <v>0</v>
      </c>
    </row>
    <row r="44" spans="1:12" x14ac:dyDescent="0.25">
      <c r="C44">
        <f>VLOOKUP(1,A36:C41,3,)</f>
        <v>0</v>
      </c>
    </row>
  </sheetData>
  <sheetProtection password="CFC3" sheet="1"/>
  <pageMargins left="0.7" right="0.7" top="0.75" bottom="0.75" header="0.3" footer="0.3"/>
  <pageSetup orientation="portrait" r:id="rId1"/>
  <headerFooter>
    <oddFooter>&amp;C&amp;1#&amp;"Calibri"&amp;10&amp;K000000Uso Interno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D763C-421E-424E-8DC6-2CAAAED4A6C1}">
  <dimension ref="B1:HQ127"/>
  <sheetViews>
    <sheetView topLeftCell="BH1" workbookViewId="0">
      <selection sqref="A1:CF65536"/>
    </sheetView>
  </sheetViews>
  <sheetFormatPr baseColWidth="10" defaultColWidth="11.44140625" defaultRowHeight="13.2" x14ac:dyDescent="0.25"/>
  <cols>
    <col min="1" max="2" width="7.21875" style="1" customWidth="1"/>
    <col min="3" max="3" width="11.44140625" style="1" customWidth="1"/>
    <col min="4" max="4" width="11.5546875" style="1" customWidth="1"/>
    <col min="5" max="5" width="7.21875" style="1" customWidth="1"/>
    <col min="6" max="6" width="12.5546875" style="2" customWidth="1"/>
    <col min="7" max="7" width="14" style="1" customWidth="1"/>
    <col min="8" max="10" width="7.21875" style="1" customWidth="1"/>
    <col min="11" max="14" width="7.21875" style="2" customWidth="1"/>
    <col min="15" max="20" width="7.21875" style="1" customWidth="1"/>
    <col min="21" max="21" width="12.21875" style="1" bestFit="1" customWidth="1"/>
    <col min="22" max="22" width="7.21875" style="1" customWidth="1"/>
    <col min="23" max="24" width="7.21875" style="2" customWidth="1"/>
    <col min="25" max="32" width="7.21875" style="1" customWidth="1"/>
    <col min="33" max="33" width="7.21875" style="77" customWidth="1"/>
    <col min="34" max="88" width="7.21875" style="1" customWidth="1"/>
    <col min="89" max="124" width="11.44140625" style="1" customWidth="1"/>
    <col min="125" max="125" width="8" style="1" customWidth="1"/>
    <col min="126" max="216" width="11.44140625" style="1" customWidth="1"/>
    <col min="217" max="217" width="11.44140625" style="1"/>
    <col min="218" max="218" width="0" style="1" hidden="1" customWidth="1"/>
    <col min="219" max="16384" width="11.44140625" style="1"/>
  </cols>
  <sheetData>
    <row r="1" spans="2:225" ht="15.75" customHeight="1" x14ac:dyDescent="0.25">
      <c r="Z1" s="1" t="s">
        <v>2</v>
      </c>
    </row>
    <row r="2" spans="2:225" ht="2.25" hidden="1" customHeight="1" x14ac:dyDescent="0.25"/>
    <row r="3" spans="2:225" ht="5.25" customHeight="1" x14ac:dyDescent="0.25"/>
    <row r="4" spans="2:225" ht="11.25" customHeight="1" x14ac:dyDescent="0.25">
      <c r="K4" s="486" t="s">
        <v>3</v>
      </c>
      <c r="L4" s="486"/>
      <c r="M4" s="486"/>
      <c r="N4" s="494" t="s">
        <v>4</v>
      </c>
      <c r="O4" s="494"/>
      <c r="Q4" s="495" t="s">
        <v>237</v>
      </c>
      <c r="R4" s="496"/>
      <c r="S4" s="497"/>
      <c r="T4" s="480">
        <v>0</v>
      </c>
      <c r="U4" s="480"/>
      <c r="HJ4" s="8">
        <f>MIN(T4,Hoja15!J19)</f>
        <v>0</v>
      </c>
    </row>
    <row r="5" spans="2:225" ht="11.25" customHeight="1" thickBot="1" x14ac:dyDescent="0.3">
      <c r="K5" s="486"/>
      <c r="L5" s="486"/>
      <c r="M5" s="486"/>
      <c r="N5" s="494"/>
      <c r="O5" s="494"/>
      <c r="Q5" s="498"/>
      <c r="R5" s="499"/>
      <c r="S5" s="500"/>
      <c r="T5" s="480"/>
      <c r="U5" s="480"/>
      <c r="HM5" s="486" t="s">
        <v>15</v>
      </c>
      <c r="HN5" s="486"/>
      <c r="HO5" s="486"/>
      <c r="HP5" s="487" t="s">
        <v>16</v>
      </c>
      <c r="HQ5" s="487"/>
    </row>
    <row r="6" spans="2:225" ht="5.25" customHeight="1" thickBot="1" x14ac:dyDescent="0.3">
      <c r="C6" s="78"/>
      <c r="E6" s="46"/>
      <c r="K6" s="79"/>
      <c r="L6" s="57"/>
      <c r="M6" s="54"/>
      <c r="N6" s="47"/>
      <c r="P6" s="56"/>
      <c r="Q6" s="54"/>
      <c r="R6" s="54"/>
      <c r="S6" s="54"/>
      <c r="T6" s="75"/>
      <c r="U6" s="75"/>
      <c r="X6" s="64">
        <f>IF(N4="No pensionado",0,1)</f>
        <v>1</v>
      </c>
      <c r="BC6" s="80">
        <f>IF(N4="Pensionado no cotizante",0,1)</f>
        <v>1</v>
      </c>
      <c r="HM6" s="486"/>
      <c r="HN6" s="486"/>
      <c r="HO6" s="486"/>
      <c r="HP6" s="487"/>
      <c r="HQ6" s="487"/>
    </row>
    <row r="7" spans="2:225" ht="3" customHeight="1" x14ac:dyDescent="0.25">
      <c r="C7" s="78"/>
      <c r="E7" s="46"/>
      <c r="Q7" s="488"/>
      <c r="R7" s="488"/>
      <c r="S7" s="488"/>
      <c r="T7" s="489"/>
      <c r="U7" s="489"/>
      <c r="BC7" s="81"/>
    </row>
    <row r="8" spans="2:225" ht="3" customHeight="1" x14ac:dyDescent="0.25">
      <c r="C8" s="78"/>
      <c r="E8" s="46"/>
      <c r="Q8" s="488"/>
      <c r="R8" s="488"/>
      <c r="S8" s="488"/>
      <c r="T8" s="489"/>
      <c r="U8" s="489"/>
      <c r="BC8" s="81"/>
    </row>
    <row r="9" spans="2:225" ht="2.25" customHeight="1" x14ac:dyDescent="0.25">
      <c r="C9" s="78"/>
      <c r="E9" s="78"/>
      <c r="K9" s="1"/>
      <c r="L9" s="1"/>
      <c r="M9" s="1"/>
      <c r="N9" s="47"/>
      <c r="P9" s="45"/>
    </row>
    <row r="10" spans="2:225" ht="13.5" hidden="1" customHeight="1" x14ac:dyDescent="0.2">
      <c r="B10" s="2"/>
      <c r="C10" s="82"/>
      <c r="D10" s="39"/>
      <c r="E10" s="2"/>
      <c r="F10" s="490"/>
      <c r="G10" s="490"/>
      <c r="H10" s="491" t="s">
        <v>18</v>
      </c>
      <c r="I10" s="492"/>
      <c r="J10" s="2"/>
      <c r="O10" s="2"/>
      <c r="P10" s="2"/>
      <c r="Q10" s="2"/>
      <c r="R10" s="2"/>
      <c r="S10" s="2"/>
      <c r="T10" s="2"/>
      <c r="U10" s="2"/>
      <c r="V10" s="83"/>
      <c r="W10" s="1"/>
      <c r="X10" s="84"/>
      <c r="Y10" s="85"/>
      <c r="Z10" s="85"/>
      <c r="AA10" s="85"/>
      <c r="AB10" s="493" t="s">
        <v>19</v>
      </c>
      <c r="AC10" s="493"/>
      <c r="AD10" s="493" t="s">
        <v>20</v>
      </c>
      <c r="AE10" s="493"/>
      <c r="AG10" s="1"/>
    </row>
    <row r="11" spans="2:225" ht="23.25" customHeight="1" x14ac:dyDescent="0.25">
      <c r="B11" s="505" t="s">
        <v>21</v>
      </c>
      <c r="C11" s="10" t="s">
        <v>22</v>
      </c>
      <c r="D11" s="481" t="s">
        <v>238</v>
      </c>
      <c r="E11" s="481" t="s">
        <v>239</v>
      </c>
      <c r="F11" s="481" t="s">
        <v>240</v>
      </c>
      <c r="G11" s="68" t="s">
        <v>28</v>
      </c>
      <c r="H11" s="68" t="s">
        <v>27</v>
      </c>
      <c r="I11" s="68" t="s">
        <v>28</v>
      </c>
      <c r="J11" s="68" t="s">
        <v>27</v>
      </c>
      <c r="K11" s="482" t="s">
        <v>241</v>
      </c>
      <c r="L11" s="483"/>
      <c r="M11" s="482" t="s">
        <v>242</v>
      </c>
      <c r="N11" s="483"/>
      <c r="O11" s="482" t="s">
        <v>243</v>
      </c>
      <c r="P11" s="483"/>
      <c r="Q11" s="481" t="s">
        <v>244</v>
      </c>
      <c r="S11" s="482" t="s">
        <v>245</v>
      </c>
      <c r="T11" s="483"/>
      <c r="U11" s="481" t="s">
        <v>246</v>
      </c>
      <c r="V11" s="86"/>
      <c r="W11" s="87" t="s">
        <v>35</v>
      </c>
      <c r="X11" s="87" t="s">
        <v>36</v>
      </c>
      <c r="Y11" s="87" t="s">
        <v>37</v>
      </c>
      <c r="Z11" s="87" t="s">
        <v>38</v>
      </c>
      <c r="AA11" s="87" t="s">
        <v>39</v>
      </c>
      <c r="AB11" s="87" t="s">
        <v>40</v>
      </c>
      <c r="AC11" s="88" t="s">
        <v>28</v>
      </c>
      <c r="AD11" s="88" t="s">
        <v>27</v>
      </c>
      <c r="AE11" s="88" t="s">
        <v>28</v>
      </c>
      <c r="AF11" s="88" t="s">
        <v>27</v>
      </c>
      <c r="AU11" s="87" t="s">
        <v>35</v>
      </c>
      <c r="AV11" s="87" t="s">
        <v>36</v>
      </c>
      <c r="AW11" s="87" t="s">
        <v>37</v>
      </c>
      <c r="AX11" s="87" t="s">
        <v>41</v>
      </c>
      <c r="AY11" s="87" t="s">
        <v>42</v>
      </c>
      <c r="AZ11" s="87" t="s">
        <v>40</v>
      </c>
      <c r="BA11" s="87" t="s">
        <v>38</v>
      </c>
      <c r="BG11" s="87" t="s">
        <v>35</v>
      </c>
      <c r="BH11" s="87" t="s">
        <v>36</v>
      </c>
    </row>
    <row r="12" spans="2:225" ht="15.75" customHeight="1" x14ac:dyDescent="0.25">
      <c r="B12" s="506"/>
      <c r="C12" s="10"/>
      <c r="D12" s="481"/>
      <c r="E12" s="481"/>
      <c r="F12" s="481"/>
      <c r="G12" s="68"/>
      <c r="H12" s="68"/>
      <c r="I12" s="68"/>
      <c r="J12" s="68"/>
      <c r="K12" s="484"/>
      <c r="L12" s="485"/>
      <c r="M12" s="484"/>
      <c r="N12" s="485"/>
      <c r="O12" s="484"/>
      <c r="P12" s="485"/>
      <c r="Q12" s="481"/>
      <c r="S12" s="484"/>
      <c r="T12" s="485"/>
      <c r="U12" s="481"/>
      <c r="V12" s="86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77">
        <f>SUM(AG13:AG24)</f>
        <v>0</v>
      </c>
      <c r="AU12" s="87"/>
      <c r="AV12" s="87"/>
      <c r="AW12" s="87"/>
      <c r="AX12" s="87"/>
      <c r="AY12" s="87"/>
      <c r="AZ12" s="87"/>
      <c r="BA12" s="87"/>
      <c r="BG12" s="87"/>
      <c r="BH12" s="87"/>
    </row>
    <row r="13" spans="2:225" x14ac:dyDescent="0.25">
      <c r="B13" s="49" t="s">
        <v>52</v>
      </c>
      <c r="C13" s="89">
        <f>Hoja14!F14</f>
        <v>38384.410000000003</v>
      </c>
      <c r="D13" s="9">
        <f>Hoja14!$G$26/12</f>
        <v>8750000</v>
      </c>
      <c r="E13" s="9"/>
      <c r="F13" s="3">
        <f t="shared" ref="F13:F24" si="0">IF(D13-Y13-Z13-AA13-AB13&lt;(50*C13),D13-Y13-Z13-AA13-AB13,50*C13)</f>
        <v>1919220.5000000002</v>
      </c>
      <c r="G13" s="9">
        <v>0</v>
      </c>
      <c r="H13" s="9">
        <v>0</v>
      </c>
      <c r="I13" s="9">
        <v>0</v>
      </c>
      <c r="J13" s="9">
        <v>0</v>
      </c>
      <c r="K13" s="501">
        <f>D13-Y13-Z13-AA13-AB13-AC13</f>
        <v>8156859.5306576015</v>
      </c>
      <c r="L13" s="502"/>
      <c r="M13" s="503">
        <f>K13*W13-X13</f>
        <v>1282456.5557301606</v>
      </c>
      <c r="N13" s="504"/>
      <c r="O13" s="501">
        <f>AT13</f>
        <v>0</v>
      </c>
      <c r="P13" s="502"/>
      <c r="Q13" s="3">
        <f>AT13*AU13-AV13</f>
        <v>0</v>
      </c>
      <c r="S13" s="501">
        <f>Hoja14!V14</f>
        <v>0</v>
      </c>
      <c r="T13" s="502"/>
      <c r="U13" s="3">
        <f>S13*12.25%</f>
        <v>0</v>
      </c>
      <c r="V13" s="90"/>
      <c r="W13" s="231">
        <f>VLOOKUP(K13,Hoja15!$E$6:$H$13,3)</f>
        <v>0.35</v>
      </c>
      <c r="X13" s="91">
        <f>VLOOKUP(K13,Hoja15!$E$6:$H$14,4)</f>
        <v>1572444.28</v>
      </c>
      <c r="Y13" s="92">
        <f t="shared" ref="Y13:Y24" si="1">IF($BC$6=0,0,IF(D13&gt;81.6*C13,7.83*C13,10%*D13))</f>
        <v>300549.93030000001</v>
      </c>
      <c r="Z13" s="93">
        <f t="shared" ref="Z13:Z24" si="2">IF($BC$6=0,0,(IF(D13&gt;81.6*C13,81.6*C13*1.44%,1.44%*D13)))</f>
        <v>45103.217126399999</v>
      </c>
      <c r="AA13" s="92">
        <f t="shared" ref="AA13:AA24" si="3">IF(D13&gt;81.6*C13,81.6*7%*C13,7%*D13)</f>
        <v>219251.74992</v>
      </c>
      <c r="AB13" s="92">
        <f t="shared" ref="AB13:AB24" si="4">IF($BC$6=0,0,IF($HP$5="No",0,IF(D13&gt;122.6*C13,0.6%*122.6*C13,0.6%*D13)))</f>
        <v>28235.571996000002</v>
      </c>
      <c r="AC13" s="91">
        <f t="shared" ref="AC13:AC24" si="5">IF($AG$41=2,G13*C13,G13)</f>
        <v>0</v>
      </c>
      <c r="AD13" s="94">
        <f>IF($AH$41=2,J13*C13,J13)</f>
        <v>0</v>
      </c>
      <c r="AE13" s="91">
        <f t="shared" ref="AE13:AE24" si="6">IF($AI$41=2,I13*C13,I13)</f>
        <v>0</v>
      </c>
      <c r="AF13" s="94">
        <f t="shared" ref="AF13:AF24" si="7">IF($AJ$41=2,J13*C13,J13)</f>
        <v>0</v>
      </c>
      <c r="AG13" s="77">
        <f t="shared" ref="AG13:AG25" si="8">IF(AC13&gt;F13,1,0)</f>
        <v>0</v>
      </c>
      <c r="AH13" s="95">
        <f t="shared" ref="AH13:AH24" si="9">F13/C13</f>
        <v>50</v>
      </c>
      <c r="AI13" s="96">
        <f t="shared" ref="AI13:AI24" si="10">AC13/C13</f>
        <v>0</v>
      </c>
      <c r="AJ13" s="95">
        <f t="shared" ref="AJ13:AJ24" si="11">AD13/C13</f>
        <v>0</v>
      </c>
      <c r="AK13" s="95">
        <f t="shared" ref="AK13:AK24" si="12">AE13/C13</f>
        <v>0</v>
      </c>
      <c r="AL13" s="95">
        <f t="shared" ref="AL13:AL24" si="13">AF13/C13</f>
        <v>0</v>
      </c>
      <c r="AO13" s="1">
        <f t="shared" ref="AO13:AO24" si="14">M13/C13</f>
        <v>33.41087060424168</v>
      </c>
      <c r="AT13" s="97">
        <f>BC13-AY13-AW13</f>
        <v>0</v>
      </c>
      <c r="AU13" s="98">
        <f>VLOOKUP(AT13,Hoja15!$E$6:$H$13,3)</f>
        <v>0</v>
      </c>
      <c r="AV13" s="92">
        <f>VLOOKUP(AT13,Hoja15!$E$6:$H$13,4)</f>
        <v>0</v>
      </c>
      <c r="AW13" s="92"/>
      <c r="AX13" s="93">
        <f>1.25%*BC13</f>
        <v>0</v>
      </c>
      <c r="AY13" s="92">
        <f t="shared" ref="AY13:AY24" si="15">IF(BC13&gt;81.6*C13,81.6*7%*C13,7%*BC13)</f>
        <v>0</v>
      </c>
      <c r="AZ13" s="92">
        <f t="shared" ref="AZ13:AZ24" si="16">IF($HP$5="No",0,IF(AI13&gt;122.6*AH13,0.6%*122.6*AH13,0.6%*AI13))</f>
        <v>0</v>
      </c>
      <c r="BA13" s="93">
        <f t="shared" ref="BA13:BA24" si="17">IF(BC13&gt;81.6*C13,81.6*C13*1.44%,1.44%*BC13)</f>
        <v>0</v>
      </c>
      <c r="BC13" s="93">
        <f t="shared" ref="BC13:BC24" si="18">IF($N$4="No pensionado",0,E13)</f>
        <v>0</v>
      </c>
      <c r="BF13" s="97">
        <f>K13+O13</f>
        <v>8156859.5306576015</v>
      </c>
      <c r="BG13" s="98">
        <f>VLOOKUP(BF13,Hoja15!$E$6:$H$13,3)</f>
        <v>0.35</v>
      </c>
      <c r="BH13" s="92">
        <f>VLOOKUP(BF13,Hoja15!$E$6:$H$13,4)</f>
        <v>1572444.28</v>
      </c>
      <c r="BI13" s="97">
        <f>BF13*BG13-BH13</f>
        <v>1282456.5557301606</v>
      </c>
      <c r="BM13" s="1">
        <f>M13/Hoja15!C6</f>
        <v>19.019361932257048</v>
      </c>
      <c r="BN13" s="1">
        <f>Q13/Hoja15!C6</f>
        <v>0</v>
      </c>
    </row>
    <row r="14" spans="2:225" x14ac:dyDescent="0.25">
      <c r="B14" s="49" t="s">
        <v>54</v>
      </c>
      <c r="C14" s="89">
        <f>Hoja14!F15</f>
        <v>38647.94</v>
      </c>
      <c r="D14" s="9">
        <f>Hoja14!$G$26/12</f>
        <v>8750000</v>
      </c>
      <c r="E14" s="9"/>
      <c r="F14" s="3">
        <f t="shared" si="0"/>
        <v>1932397</v>
      </c>
      <c r="G14" s="9">
        <v>0</v>
      </c>
      <c r="H14" s="9">
        <v>0</v>
      </c>
      <c r="I14" s="9">
        <v>0</v>
      </c>
      <c r="J14" s="9">
        <v>0</v>
      </c>
      <c r="K14" s="501">
        <f t="shared" ref="K14:K24" si="19">D14-Y14-Z14-AA14-AB14-AC14</f>
        <v>8152787.2964383997</v>
      </c>
      <c r="L14" s="502"/>
      <c r="M14" s="503">
        <f t="shared" ref="M14:M23" si="20">K14*W14-X14</f>
        <v>1284179.4737534397</v>
      </c>
      <c r="N14" s="504"/>
      <c r="O14" s="501">
        <f t="shared" ref="O14:O24" si="21">AT14</f>
        <v>0</v>
      </c>
      <c r="P14" s="502"/>
      <c r="Q14" s="3">
        <f t="shared" ref="Q14:Q24" si="22">AT14*AU14-AV14</f>
        <v>0</v>
      </c>
      <c r="S14" s="501">
        <f>Hoja14!V15</f>
        <v>0</v>
      </c>
      <c r="T14" s="502"/>
      <c r="U14" s="3">
        <f t="shared" ref="U14:U24" si="23">S14*12.25%</f>
        <v>0</v>
      </c>
      <c r="V14" s="90"/>
      <c r="W14" s="231">
        <f>VLOOKUP(K14,Hoja15!$E$15:$H$22,3)</f>
        <v>0.35</v>
      </c>
      <c r="X14" s="91">
        <f>VLOOKUP(K14,Hoja15!$E$15:$H$22,4)</f>
        <v>1569296.08</v>
      </c>
      <c r="Y14" s="92">
        <f t="shared" si="1"/>
        <v>302613.3702</v>
      </c>
      <c r="Z14" s="93">
        <f t="shared" si="2"/>
        <v>45412.8754176</v>
      </c>
      <c r="AA14" s="92">
        <f t="shared" si="3"/>
        <v>220757.03328</v>
      </c>
      <c r="AB14" s="92">
        <f t="shared" si="4"/>
        <v>28429.424664000002</v>
      </c>
      <c r="AC14" s="91">
        <f t="shared" si="5"/>
        <v>0</v>
      </c>
      <c r="AD14" s="94">
        <f t="shared" ref="AD14:AD24" si="24">IF($AH$41=2,J14*C14,J14)</f>
        <v>0</v>
      </c>
      <c r="AE14" s="91">
        <f t="shared" si="6"/>
        <v>0</v>
      </c>
      <c r="AF14" s="94">
        <f t="shared" si="7"/>
        <v>0</v>
      </c>
      <c r="AG14" s="77">
        <f t="shared" si="8"/>
        <v>0</v>
      </c>
      <c r="AH14" s="95">
        <f t="shared" si="9"/>
        <v>50</v>
      </c>
      <c r="AI14" s="95">
        <f t="shared" si="10"/>
        <v>0</v>
      </c>
      <c r="AJ14" s="95">
        <f t="shared" si="11"/>
        <v>0</v>
      </c>
      <c r="AK14" s="95">
        <f t="shared" si="12"/>
        <v>0</v>
      </c>
      <c r="AL14" s="95">
        <f t="shared" si="13"/>
        <v>0</v>
      </c>
      <c r="AO14" s="1">
        <f t="shared" si="14"/>
        <v>33.227630599546565</v>
      </c>
      <c r="AT14" s="97">
        <f t="shared" ref="AT14:AT23" si="25">BC14-AY14-AW14</f>
        <v>0</v>
      </c>
      <c r="AU14" s="98">
        <f>VLOOKUP(AT14,Hoja15!$E$15:$H$22,3)</f>
        <v>0</v>
      </c>
      <c r="AV14" s="92">
        <f>VLOOKUP(AT14,Hoja15!$E$15:$H$22,4)</f>
        <v>0</v>
      </c>
      <c r="AW14" s="92"/>
      <c r="AX14" s="93">
        <f t="shared" ref="AX14:AX24" si="26">1.25%*BC14</f>
        <v>0</v>
      </c>
      <c r="AY14" s="92">
        <f t="shared" si="15"/>
        <v>0</v>
      </c>
      <c r="AZ14" s="92">
        <f t="shared" si="16"/>
        <v>0</v>
      </c>
      <c r="BA14" s="93">
        <f t="shared" si="17"/>
        <v>0</v>
      </c>
      <c r="BC14" s="93">
        <f t="shared" si="18"/>
        <v>0</v>
      </c>
      <c r="BF14" s="97">
        <f t="shared" ref="BF14:BF24" si="27">K14+O14</f>
        <v>8152787.2964383997</v>
      </c>
      <c r="BG14" s="98">
        <f>VLOOKUP(BF14,Hoja15!$E$15:$H$22,3)</f>
        <v>0.35</v>
      </c>
      <c r="BH14" s="92">
        <f>VLOOKUP(BF14,Hoja15!$E$15:$H$22,4)</f>
        <v>1569296.08</v>
      </c>
      <c r="BI14" s="97">
        <f t="shared" ref="BI14:BI24" si="28">BF14*BG14-BH14</f>
        <v>1284179.4737534397</v>
      </c>
      <c r="BM14" s="1">
        <f>M14/Hoja15!C7</f>
        <v>19.083119947594728</v>
      </c>
      <c r="BN14" s="1">
        <f>Q14/Hoja15!C7</f>
        <v>0</v>
      </c>
    </row>
    <row r="15" spans="2:225" x14ac:dyDescent="0.25">
      <c r="B15" s="49" t="s">
        <v>57</v>
      </c>
      <c r="C15" s="89">
        <f>Hoja14!F16</f>
        <v>38894.11</v>
      </c>
      <c r="D15" s="9">
        <f>Hoja14!$G$26/12</f>
        <v>8750000</v>
      </c>
      <c r="E15" s="9"/>
      <c r="F15" s="3">
        <f t="shared" si="0"/>
        <v>1944705.5</v>
      </c>
      <c r="G15" s="9">
        <v>0</v>
      </c>
      <c r="H15" s="9">
        <v>0</v>
      </c>
      <c r="I15" s="9">
        <v>0</v>
      </c>
      <c r="J15" s="9">
        <v>0</v>
      </c>
      <c r="K15" s="501">
        <f t="shared" si="19"/>
        <v>8148983.3200495997</v>
      </c>
      <c r="L15" s="502"/>
      <c r="M15" s="503">
        <f t="shared" si="20"/>
        <v>1266285.7292950787</v>
      </c>
      <c r="N15" s="504"/>
      <c r="O15" s="501">
        <f t="shared" si="21"/>
        <v>0</v>
      </c>
      <c r="P15" s="502"/>
      <c r="Q15" s="3">
        <f t="shared" si="22"/>
        <v>0</v>
      </c>
      <c r="S15" s="501">
        <f>Hoja14!V16</f>
        <v>0</v>
      </c>
      <c r="T15" s="502"/>
      <c r="U15" s="3">
        <f t="shared" si="23"/>
        <v>0</v>
      </c>
      <c r="V15" s="90"/>
      <c r="W15" s="231">
        <f>VLOOKUP(K15,Hoja15!$E$24:$H$31,3)</f>
        <v>0.30399999999999999</v>
      </c>
      <c r="X15" s="91">
        <f>VLOOKUP(K15,Hoja15!$E$24:$H$31,4)</f>
        <v>1211005.1999999997</v>
      </c>
      <c r="Y15" s="92">
        <f t="shared" si="1"/>
        <v>304540.88130000001</v>
      </c>
      <c r="Z15" s="93">
        <f t="shared" si="2"/>
        <v>45702.135014399995</v>
      </c>
      <c r="AA15" s="92">
        <f t="shared" si="3"/>
        <v>222163.15631999998</v>
      </c>
      <c r="AB15" s="92">
        <f t="shared" si="4"/>
        <v>28610.507316000003</v>
      </c>
      <c r="AC15" s="91">
        <f t="shared" si="5"/>
        <v>0</v>
      </c>
      <c r="AD15" s="94">
        <f t="shared" si="24"/>
        <v>0</v>
      </c>
      <c r="AE15" s="91">
        <f t="shared" si="6"/>
        <v>0</v>
      </c>
      <c r="AF15" s="94">
        <f t="shared" si="7"/>
        <v>0</v>
      </c>
      <c r="AG15" s="77">
        <f t="shared" si="8"/>
        <v>0</v>
      </c>
      <c r="AH15" s="95">
        <f t="shared" si="9"/>
        <v>50</v>
      </c>
      <c r="AI15" s="95">
        <f t="shared" si="10"/>
        <v>0</v>
      </c>
      <c r="AJ15" s="95">
        <f t="shared" si="11"/>
        <v>0</v>
      </c>
      <c r="AK15" s="95">
        <f t="shared" si="12"/>
        <v>0</v>
      </c>
      <c r="AL15" s="95">
        <f t="shared" si="13"/>
        <v>0</v>
      </c>
      <c r="AO15" s="1">
        <f t="shared" si="14"/>
        <v>32.557261994041738</v>
      </c>
      <c r="AT15" s="97">
        <f t="shared" si="25"/>
        <v>0</v>
      </c>
      <c r="AU15" s="98">
        <f>VLOOKUP(AT15,Hoja15!$E$24:$H$31,3)</f>
        <v>0</v>
      </c>
      <c r="AV15" s="92">
        <f>VLOOKUP(AT15,Hoja15!$E$24:$H$31,4)</f>
        <v>0</v>
      </c>
      <c r="AW15" s="92"/>
      <c r="AX15" s="93">
        <f t="shared" si="26"/>
        <v>0</v>
      </c>
      <c r="AY15" s="92">
        <f t="shared" si="15"/>
        <v>0</v>
      </c>
      <c r="AZ15" s="92">
        <f t="shared" si="16"/>
        <v>0</v>
      </c>
      <c r="BA15" s="93">
        <f t="shared" si="17"/>
        <v>0</v>
      </c>
      <c r="BC15" s="93">
        <f t="shared" si="18"/>
        <v>0</v>
      </c>
      <c r="BF15" s="97">
        <f t="shared" si="27"/>
        <v>8148983.3200495997</v>
      </c>
      <c r="BG15" s="98">
        <f>VLOOKUP(BF15,Hoja15!$E$24:$H$31,3)</f>
        <v>0.30399999999999999</v>
      </c>
      <c r="BH15" s="92">
        <f>VLOOKUP(BF15,Hoja15!$E$24:$H$31,4)</f>
        <v>1211005.1999999997</v>
      </c>
      <c r="BI15" s="97">
        <f t="shared" si="28"/>
        <v>1266285.7292950787</v>
      </c>
      <c r="BM15" s="1">
        <f>M15/Hoja15!C8</f>
        <v>18.612542688877305</v>
      </c>
      <c r="BN15" s="1">
        <f>Q15/Hoja15!C8</f>
        <v>0</v>
      </c>
    </row>
    <row r="16" spans="2:225" x14ac:dyDescent="0.25">
      <c r="B16" s="49" t="s">
        <v>61</v>
      </c>
      <c r="C16" s="89">
        <f>Hoja14!F17</f>
        <v>39075.410000000003</v>
      </c>
      <c r="D16" s="9">
        <f>Hoja14!$G$26/12</f>
        <v>8750000</v>
      </c>
      <c r="E16" s="9"/>
      <c r="F16" s="3">
        <f t="shared" si="0"/>
        <v>1953770.5000000002</v>
      </c>
      <c r="G16" s="9">
        <v>0</v>
      </c>
      <c r="H16" s="9">
        <v>0</v>
      </c>
      <c r="I16" s="9">
        <v>0</v>
      </c>
      <c r="J16" s="9">
        <v>0</v>
      </c>
      <c r="K16" s="501">
        <f t="shared" si="19"/>
        <v>8146181.7564175995</v>
      </c>
      <c r="L16" s="502"/>
      <c r="M16" s="503">
        <f t="shared" si="20"/>
        <v>1260592.4539509504</v>
      </c>
      <c r="N16" s="504"/>
      <c r="O16" s="501">
        <f t="shared" si="21"/>
        <v>0</v>
      </c>
      <c r="P16" s="502"/>
      <c r="Q16" s="3">
        <f t="shared" si="22"/>
        <v>0</v>
      </c>
      <c r="S16" s="501">
        <f>Hoja14!V17</f>
        <v>0</v>
      </c>
      <c r="T16" s="502"/>
      <c r="U16" s="3">
        <f t="shared" si="23"/>
        <v>0</v>
      </c>
      <c r="V16" s="90"/>
      <c r="W16" s="231">
        <f>VLOOKUP(K16,Hoja15!$E$33:$H$40,3)</f>
        <v>0.30399999999999999</v>
      </c>
      <c r="X16" s="91">
        <f>VLOOKUP(K16,Hoja15!$E$33:$H$40,4)</f>
        <v>1215846.7999999998</v>
      </c>
      <c r="Y16" s="92">
        <f t="shared" si="1"/>
        <v>305960.46030000004</v>
      </c>
      <c r="Z16" s="93">
        <f t="shared" si="2"/>
        <v>45915.169766400002</v>
      </c>
      <c r="AA16" s="92">
        <f t="shared" si="3"/>
        <v>223198.74192</v>
      </c>
      <c r="AB16" s="92">
        <f t="shared" si="4"/>
        <v>28743.871596000005</v>
      </c>
      <c r="AC16" s="91">
        <f t="shared" si="5"/>
        <v>0</v>
      </c>
      <c r="AD16" s="94">
        <f t="shared" si="24"/>
        <v>0</v>
      </c>
      <c r="AE16" s="91">
        <f t="shared" si="6"/>
        <v>0</v>
      </c>
      <c r="AF16" s="94">
        <f t="shared" si="7"/>
        <v>0</v>
      </c>
      <c r="AG16" s="77">
        <f t="shared" si="8"/>
        <v>0</v>
      </c>
      <c r="AH16" s="95">
        <f t="shared" si="9"/>
        <v>50</v>
      </c>
      <c r="AI16" s="95">
        <f t="shared" si="10"/>
        <v>0</v>
      </c>
      <c r="AJ16" s="95">
        <f t="shared" si="11"/>
        <v>0</v>
      </c>
      <c r="AK16" s="95">
        <f t="shared" si="12"/>
        <v>0</v>
      </c>
      <c r="AL16" s="95">
        <f t="shared" si="13"/>
        <v>0</v>
      </c>
      <c r="AO16" s="1">
        <f t="shared" si="14"/>
        <v>32.260504853332321</v>
      </c>
      <c r="AT16" s="97">
        <f t="shared" si="25"/>
        <v>0</v>
      </c>
      <c r="AU16" s="98">
        <f>VLOOKUP(AT16,Hoja15!$E$33:$H$40,3)</f>
        <v>0</v>
      </c>
      <c r="AV16" s="92">
        <f>VLOOKUP(AT16,Hoja15!$E$33:$H$40,4)</f>
        <v>0</v>
      </c>
      <c r="AW16" s="92"/>
      <c r="AX16" s="93">
        <f t="shared" si="26"/>
        <v>0</v>
      </c>
      <c r="AY16" s="92">
        <f t="shared" si="15"/>
        <v>0</v>
      </c>
      <c r="AZ16" s="92">
        <f t="shared" si="16"/>
        <v>0</v>
      </c>
      <c r="BA16" s="93">
        <f t="shared" si="17"/>
        <v>0</v>
      </c>
      <c r="BC16" s="93">
        <f t="shared" si="18"/>
        <v>0</v>
      </c>
      <c r="BF16" s="97">
        <f t="shared" si="27"/>
        <v>8146181.7564175995</v>
      </c>
      <c r="BG16" s="98">
        <f>VLOOKUP(BF16,Hoja15!$E$33:$H$40,3)</f>
        <v>0.30399999999999999</v>
      </c>
      <c r="BH16" s="92">
        <f>VLOOKUP(BF16,Hoja15!$E$33:$H$40,4)</f>
        <v>1215846.7999999998</v>
      </c>
      <c r="BI16" s="97">
        <f t="shared" si="28"/>
        <v>1260592.4539509504</v>
      </c>
      <c r="BM16" s="1">
        <f>M16/Hoja15!C9</f>
        <v>18.455076478654149</v>
      </c>
      <c r="BN16" s="1">
        <f>Q16/Hoja15!C9</f>
        <v>0</v>
      </c>
    </row>
    <row r="17" spans="2:67" x14ac:dyDescent="0.25">
      <c r="B17" s="49" t="s">
        <v>64</v>
      </c>
      <c r="C17" s="89">
        <f>Hoja14!F18</f>
        <v>39189.449999999997</v>
      </c>
      <c r="D17" s="9">
        <f>Hoja14!$G$26/12</f>
        <v>8750000</v>
      </c>
      <c r="E17" s="9"/>
      <c r="F17" s="3">
        <f t="shared" si="0"/>
        <v>1959472.4999999998</v>
      </c>
      <c r="G17" s="9">
        <v>0</v>
      </c>
      <c r="H17" s="9">
        <v>0</v>
      </c>
      <c r="I17" s="9">
        <v>0</v>
      </c>
      <c r="J17" s="9">
        <v>0</v>
      </c>
      <c r="K17" s="501">
        <f t="shared" si="19"/>
        <v>8144419.5373519994</v>
      </c>
      <c r="L17" s="502"/>
      <c r="M17" s="503">
        <f t="shared" si="20"/>
        <v>1253969.139355008</v>
      </c>
      <c r="N17" s="504"/>
      <c r="O17" s="501">
        <f t="shared" si="21"/>
        <v>0</v>
      </c>
      <c r="P17" s="502"/>
      <c r="Q17" s="3">
        <f t="shared" si="22"/>
        <v>0</v>
      </c>
      <c r="S17" s="501">
        <f>Hoja14!V18</f>
        <v>0</v>
      </c>
      <c r="T17" s="502"/>
      <c r="U17" s="3">
        <f t="shared" si="23"/>
        <v>0</v>
      </c>
      <c r="V17" s="90"/>
      <c r="W17" s="231">
        <f>VLOOKUP(K17,Hoja15!$E$42:$H$49,3)</f>
        <v>0.30399999999999999</v>
      </c>
      <c r="X17" s="91">
        <f>VLOOKUP(K17,Hoja15!$E$42:$H$49,4)</f>
        <v>1221934.3999999999</v>
      </c>
      <c r="Y17" s="92">
        <f t="shared" si="1"/>
        <v>306853.39350000001</v>
      </c>
      <c r="Z17" s="93">
        <f t="shared" si="2"/>
        <v>46049.171327999997</v>
      </c>
      <c r="AA17" s="92">
        <f t="shared" si="3"/>
        <v>223850.13839999997</v>
      </c>
      <c r="AB17" s="92">
        <f t="shared" si="4"/>
        <v>28827.759419999998</v>
      </c>
      <c r="AC17" s="91">
        <f t="shared" si="5"/>
        <v>0</v>
      </c>
      <c r="AD17" s="94">
        <f t="shared" si="24"/>
        <v>0</v>
      </c>
      <c r="AE17" s="91">
        <f t="shared" si="6"/>
        <v>0</v>
      </c>
      <c r="AF17" s="94">
        <f t="shared" si="7"/>
        <v>0</v>
      </c>
      <c r="AG17" s="77">
        <f t="shared" si="8"/>
        <v>0</v>
      </c>
      <c r="AH17" s="95">
        <f t="shared" si="9"/>
        <v>50</v>
      </c>
      <c r="AI17" s="95">
        <f t="shared" si="10"/>
        <v>0</v>
      </c>
      <c r="AJ17" s="95">
        <f t="shared" si="11"/>
        <v>0</v>
      </c>
      <c r="AK17" s="95">
        <f t="shared" si="12"/>
        <v>0</v>
      </c>
      <c r="AL17" s="95">
        <f t="shared" si="13"/>
        <v>0</v>
      </c>
      <c r="AO17" s="1">
        <f t="shared" si="14"/>
        <v>31.997620261448123</v>
      </c>
      <c r="AT17" s="97">
        <f t="shared" si="25"/>
        <v>0</v>
      </c>
      <c r="AU17" s="98">
        <f>VLOOKUP(AT17,Hoja15!$E$42:$H$49,3)</f>
        <v>0</v>
      </c>
      <c r="AV17" s="92">
        <f>VLOOKUP(AT17,Hoja15!$E$42:$H$49,4)</f>
        <v>0</v>
      </c>
      <c r="AW17" s="92"/>
      <c r="AX17" s="93">
        <f t="shared" si="26"/>
        <v>0</v>
      </c>
      <c r="AY17" s="92">
        <f t="shared" si="15"/>
        <v>0</v>
      </c>
      <c r="AZ17" s="92">
        <f t="shared" si="16"/>
        <v>0</v>
      </c>
      <c r="BA17" s="93">
        <f t="shared" si="17"/>
        <v>0</v>
      </c>
      <c r="BC17" s="93">
        <f t="shared" si="18"/>
        <v>0</v>
      </c>
      <c r="BF17" s="97">
        <f t="shared" si="27"/>
        <v>8144419.5373519994</v>
      </c>
      <c r="BG17" s="98">
        <f>VLOOKUP(BF17,Hoja15!$E$42:$H$49,3)</f>
        <v>0.30399999999999999</v>
      </c>
      <c r="BH17" s="92">
        <f>VLOOKUP(BF17,Hoja15!$E$42:$H$49,4)</f>
        <v>1221934.3999999999</v>
      </c>
      <c r="BI17" s="97">
        <f t="shared" si="28"/>
        <v>1253969.139355008</v>
      </c>
      <c r="BM17" s="1">
        <f>M17/Hoja15!C10</f>
        <v>18.26665218731803</v>
      </c>
      <c r="BN17" s="1">
        <f>Q17/Hoja15!C10</f>
        <v>0</v>
      </c>
    </row>
    <row r="18" spans="2:67" x14ac:dyDescent="0.25">
      <c r="B18" s="49" t="s">
        <v>67</v>
      </c>
      <c r="C18" s="89">
        <f>Hoja14!F19</f>
        <v>39267.07</v>
      </c>
      <c r="D18" s="9">
        <f>Hoja14!$G$26/12</f>
        <v>8750000</v>
      </c>
      <c r="E18" s="9"/>
      <c r="F18" s="3">
        <f t="shared" si="0"/>
        <v>1963353.5</v>
      </c>
      <c r="G18" s="9">
        <v>0</v>
      </c>
      <c r="H18" s="9">
        <v>0</v>
      </c>
      <c r="I18" s="9">
        <v>0</v>
      </c>
      <c r="J18" s="9">
        <v>0</v>
      </c>
      <c r="K18" s="501">
        <f t="shared" si="19"/>
        <v>8143220.1034351997</v>
      </c>
      <c r="L18" s="502"/>
      <c r="M18" s="503">
        <f t="shared" si="20"/>
        <v>1251165.911444301</v>
      </c>
      <c r="N18" s="504"/>
      <c r="O18" s="501">
        <f t="shared" si="21"/>
        <v>0</v>
      </c>
      <c r="P18" s="502"/>
      <c r="Q18" s="3">
        <f t="shared" si="22"/>
        <v>0</v>
      </c>
      <c r="S18" s="501">
        <f>Hoja14!V19</f>
        <v>0</v>
      </c>
      <c r="T18" s="502"/>
      <c r="U18" s="3">
        <f t="shared" si="23"/>
        <v>0</v>
      </c>
      <c r="V18" s="90"/>
      <c r="W18" s="231">
        <f>VLOOKUP(K18,Hoja15!$E$51:$H$58,3)</f>
        <v>0.30399999999999999</v>
      </c>
      <c r="X18" s="91">
        <f>VLOOKUP(K18,Hoja15!$E$51:$H$58,4)</f>
        <v>1224372.9999999998</v>
      </c>
      <c r="Y18" s="92">
        <f t="shared" si="1"/>
        <v>307461.1581</v>
      </c>
      <c r="Z18" s="93">
        <f t="shared" si="2"/>
        <v>46140.377932799995</v>
      </c>
      <c r="AA18" s="92">
        <f t="shared" si="3"/>
        <v>224293.50383999999</v>
      </c>
      <c r="AB18" s="92">
        <f t="shared" si="4"/>
        <v>28884.856692000001</v>
      </c>
      <c r="AC18" s="91">
        <f t="shared" si="5"/>
        <v>0</v>
      </c>
      <c r="AD18" s="94">
        <f t="shared" si="24"/>
        <v>0</v>
      </c>
      <c r="AE18" s="91">
        <f t="shared" si="6"/>
        <v>0</v>
      </c>
      <c r="AF18" s="94">
        <f t="shared" si="7"/>
        <v>0</v>
      </c>
      <c r="AG18" s="77">
        <f t="shared" si="8"/>
        <v>0</v>
      </c>
      <c r="AH18" s="95">
        <f t="shared" si="9"/>
        <v>50</v>
      </c>
      <c r="AI18" s="95">
        <f t="shared" si="10"/>
        <v>0</v>
      </c>
      <c r="AJ18" s="95">
        <f t="shared" si="11"/>
        <v>0</v>
      </c>
      <c r="AK18" s="95">
        <f t="shared" si="12"/>
        <v>0</v>
      </c>
      <c r="AL18" s="95">
        <f t="shared" si="13"/>
        <v>0</v>
      </c>
      <c r="AO18" s="1">
        <f t="shared" si="14"/>
        <v>31.862981155566256</v>
      </c>
      <c r="AT18" s="97">
        <f t="shared" si="25"/>
        <v>0</v>
      </c>
      <c r="AU18" s="98">
        <f>VLOOKUP(AT18,Hoja15!$E$51:$H$58,3)</f>
        <v>0</v>
      </c>
      <c r="AV18" s="92">
        <f>VLOOKUP(AT18,Hoja15!$E$51:$H$58,4)</f>
        <v>0</v>
      </c>
      <c r="AW18" s="92"/>
      <c r="AX18" s="93">
        <f t="shared" si="26"/>
        <v>0</v>
      </c>
      <c r="AY18" s="92">
        <f t="shared" si="15"/>
        <v>0</v>
      </c>
      <c r="AZ18" s="92">
        <f t="shared" si="16"/>
        <v>0</v>
      </c>
      <c r="BA18" s="93">
        <f t="shared" si="17"/>
        <v>0</v>
      </c>
      <c r="BC18" s="93">
        <f t="shared" si="18"/>
        <v>0</v>
      </c>
      <c r="BF18" s="97">
        <f t="shared" si="27"/>
        <v>8143220.1034351997</v>
      </c>
      <c r="BG18" s="98">
        <f>VLOOKUP(BF18,Hoja15!$E$51:$H$58,3)</f>
        <v>0.30399999999999999</v>
      </c>
      <c r="BH18" s="92">
        <f>VLOOKUP(BF18,Hoja15!$E$51:$H$58,4)</f>
        <v>1224372.9999999998</v>
      </c>
      <c r="BI18" s="97">
        <f t="shared" si="28"/>
        <v>1251165.911444301</v>
      </c>
      <c r="BM18" s="1">
        <f>M18/Hoja15!C11</f>
        <v>18.189516776103815</v>
      </c>
      <c r="BN18" s="1">
        <f>Q18/Hoja15!C11</f>
        <v>0</v>
      </c>
    </row>
    <row r="19" spans="2:67" x14ac:dyDescent="0.25">
      <c r="B19" s="49" t="s">
        <v>70</v>
      </c>
      <c r="C19" s="89">
        <f>Hoja14!F20</f>
        <v>39179.01</v>
      </c>
      <c r="D19" s="9">
        <f>Hoja14!$G$26/12</f>
        <v>8750000</v>
      </c>
      <c r="E19" s="9"/>
      <c r="F19" s="3">
        <f t="shared" si="0"/>
        <v>1958950.5</v>
      </c>
      <c r="G19" s="9">
        <v>0</v>
      </c>
      <c r="H19" s="9">
        <v>0</v>
      </c>
      <c r="I19" s="9">
        <v>0</v>
      </c>
      <c r="J19" s="9">
        <v>0</v>
      </c>
      <c r="K19" s="501">
        <f t="shared" si="19"/>
        <v>8144580.8629136002</v>
      </c>
      <c r="L19" s="502"/>
      <c r="M19" s="503">
        <f t="shared" si="20"/>
        <v>1249123.1823257343</v>
      </c>
      <c r="N19" s="504"/>
      <c r="O19" s="501">
        <f t="shared" si="21"/>
        <v>0</v>
      </c>
      <c r="P19" s="502"/>
      <c r="Q19" s="3">
        <f t="shared" si="22"/>
        <v>0</v>
      </c>
      <c r="S19" s="501">
        <f>Hoja14!V20</f>
        <v>0</v>
      </c>
      <c r="T19" s="502"/>
      <c r="U19" s="3">
        <f t="shared" si="23"/>
        <v>0</v>
      </c>
      <c r="V19" s="90"/>
      <c r="W19" s="231">
        <f>VLOOKUP(K19,Hoja15!$E$60:$H$67,3)</f>
        <v>0.30399999999999999</v>
      </c>
      <c r="X19" s="91">
        <f>VLOOKUP(K19,Hoja15!$E$60:$H$67,4)</f>
        <v>1226829.3999999999</v>
      </c>
      <c r="Y19" s="92">
        <f t="shared" si="1"/>
        <v>306771.6483</v>
      </c>
      <c r="Z19" s="93">
        <f t="shared" si="2"/>
        <v>46036.903910399997</v>
      </c>
      <c r="AA19" s="92">
        <f t="shared" si="3"/>
        <v>223790.50511999999</v>
      </c>
      <c r="AB19" s="92">
        <f t="shared" si="4"/>
        <v>28820.079756000003</v>
      </c>
      <c r="AC19" s="91">
        <f t="shared" si="5"/>
        <v>0</v>
      </c>
      <c r="AD19" s="94">
        <f t="shared" si="24"/>
        <v>0</v>
      </c>
      <c r="AE19" s="91">
        <f t="shared" si="6"/>
        <v>0</v>
      </c>
      <c r="AF19" s="94">
        <f t="shared" si="7"/>
        <v>0</v>
      </c>
      <c r="AG19" s="77">
        <f t="shared" si="8"/>
        <v>0</v>
      </c>
      <c r="AH19" s="95">
        <f t="shared" si="9"/>
        <v>50</v>
      </c>
      <c r="AI19" s="95">
        <f t="shared" si="10"/>
        <v>0</v>
      </c>
      <c r="AJ19" s="95">
        <f t="shared" si="11"/>
        <v>0</v>
      </c>
      <c r="AK19" s="95">
        <f t="shared" si="12"/>
        <v>0</v>
      </c>
      <c r="AL19" s="95">
        <f t="shared" si="13"/>
        <v>0</v>
      </c>
      <c r="AO19" s="1">
        <f t="shared" si="14"/>
        <v>31.882459059729541</v>
      </c>
      <c r="AT19" s="97">
        <f t="shared" si="25"/>
        <v>0</v>
      </c>
      <c r="AU19" s="98">
        <f>VLOOKUP(AT19,Hoja15!$E$60:$H$67,3)</f>
        <v>0</v>
      </c>
      <c r="AV19" s="92">
        <f>VLOOKUP(AT19,Hoja15!$E$60:$H$67,4)</f>
        <v>0</v>
      </c>
      <c r="AW19" s="92"/>
      <c r="AX19" s="93">
        <f t="shared" si="26"/>
        <v>0</v>
      </c>
      <c r="AY19" s="92">
        <f t="shared" si="15"/>
        <v>0</v>
      </c>
      <c r="AZ19" s="92">
        <f t="shared" si="16"/>
        <v>0</v>
      </c>
      <c r="BA19" s="93">
        <f t="shared" si="17"/>
        <v>0</v>
      </c>
      <c r="BC19" s="93">
        <f t="shared" si="18"/>
        <v>0</v>
      </c>
      <c r="BF19" s="97">
        <f t="shared" si="27"/>
        <v>8144580.8629136002</v>
      </c>
      <c r="BG19" s="98">
        <f>VLOOKUP(BF19,Hoja15!$E$60:$H$67,3)</f>
        <v>0.30399999999999999</v>
      </c>
      <c r="BH19" s="92">
        <f>VLOOKUP(BF19,Hoja15!$E$60:$H$67,4)</f>
        <v>1226829.3999999999</v>
      </c>
      <c r="BI19" s="97">
        <f t="shared" si="28"/>
        <v>1249123.1823257343</v>
      </c>
      <c r="BM19" s="1">
        <f>M19/Hoja15!C12</f>
        <v>18.123459256354689</v>
      </c>
      <c r="BN19" s="1">
        <f>Q19/Hoja15!C12</f>
        <v>0</v>
      </c>
    </row>
    <row r="20" spans="2:67" x14ac:dyDescent="0.25">
      <c r="B20" s="49" t="s">
        <v>72</v>
      </c>
      <c r="C20" s="89">
        <f>Hoja14!F21</f>
        <v>39383.07</v>
      </c>
      <c r="D20" s="9">
        <f>Hoja14!$G$26/12</f>
        <v>8750000</v>
      </c>
      <c r="E20" s="9"/>
      <c r="F20" s="3">
        <f t="shared" si="0"/>
        <v>1969153.5</v>
      </c>
      <c r="G20" s="9">
        <v>0</v>
      </c>
      <c r="H20" s="9">
        <v>0</v>
      </c>
      <c r="I20" s="9">
        <v>0</v>
      </c>
      <c r="J20" s="9">
        <v>0</v>
      </c>
      <c r="K20" s="501">
        <f t="shared" si="19"/>
        <v>8141427.5971951988</v>
      </c>
      <c r="L20" s="502"/>
      <c r="M20" s="503">
        <f t="shared" si="20"/>
        <v>1253077.3895473403</v>
      </c>
      <c r="N20" s="504"/>
      <c r="O20" s="501">
        <f t="shared" si="21"/>
        <v>0</v>
      </c>
      <c r="P20" s="502"/>
      <c r="Q20" s="3">
        <f t="shared" si="22"/>
        <v>0</v>
      </c>
      <c r="S20" s="501">
        <f>Hoja14!V21</f>
        <v>0</v>
      </c>
      <c r="T20" s="502"/>
      <c r="U20" s="3">
        <f t="shared" si="23"/>
        <v>0</v>
      </c>
      <c r="V20" s="90"/>
      <c r="W20" s="231">
        <f>VLOOKUP(K20,Hoja15!$E$69:$H$76,3)</f>
        <v>0.30399999999999999</v>
      </c>
      <c r="X20" s="91">
        <f>VLOOKUP(K20,Hoja15!$E$69:$H$76,4)</f>
        <v>1221916.5999999999</v>
      </c>
      <c r="Y20" s="92">
        <f t="shared" si="1"/>
        <v>308369.43810000003</v>
      </c>
      <c r="Z20" s="93">
        <f t="shared" si="2"/>
        <v>46276.682572799997</v>
      </c>
      <c r="AA20" s="92">
        <f t="shared" si="3"/>
        <v>224956.09583999999</v>
      </c>
      <c r="AB20" s="92">
        <f t="shared" si="4"/>
        <v>28970.186292000002</v>
      </c>
      <c r="AC20" s="91">
        <f t="shared" si="5"/>
        <v>0</v>
      </c>
      <c r="AD20" s="94">
        <f t="shared" si="24"/>
        <v>0</v>
      </c>
      <c r="AE20" s="91">
        <f t="shared" si="6"/>
        <v>0</v>
      </c>
      <c r="AF20" s="94">
        <f t="shared" si="7"/>
        <v>0</v>
      </c>
      <c r="AG20" s="77">
        <f t="shared" si="8"/>
        <v>0</v>
      </c>
      <c r="AH20" s="95">
        <f t="shared" si="9"/>
        <v>50</v>
      </c>
      <c r="AI20" s="95">
        <f t="shared" si="10"/>
        <v>0</v>
      </c>
      <c r="AJ20" s="95">
        <f t="shared" si="11"/>
        <v>0</v>
      </c>
      <c r="AK20" s="95">
        <f t="shared" si="12"/>
        <v>0</v>
      </c>
      <c r="AL20" s="95">
        <f t="shared" si="13"/>
        <v>0</v>
      </c>
      <c r="AO20" s="1">
        <f t="shared" si="14"/>
        <v>31.817666564524817</v>
      </c>
      <c r="AT20" s="97">
        <f t="shared" si="25"/>
        <v>0</v>
      </c>
      <c r="AU20" s="98">
        <f>VLOOKUP(AT20,Hoja15!$E$69:$H$76,3)</f>
        <v>0</v>
      </c>
      <c r="AV20" s="92">
        <f>VLOOKUP(AT20,Hoja15!$E$69:$H$76,4)</f>
        <v>0</v>
      </c>
      <c r="AW20" s="92"/>
      <c r="AX20" s="93">
        <f t="shared" si="26"/>
        <v>0</v>
      </c>
      <c r="AY20" s="92">
        <f t="shared" si="15"/>
        <v>0</v>
      </c>
      <c r="AZ20" s="92">
        <f t="shared" si="16"/>
        <v>0</v>
      </c>
      <c r="BA20" s="93">
        <f t="shared" si="17"/>
        <v>0</v>
      </c>
      <c r="BC20" s="93">
        <f t="shared" si="18"/>
        <v>0</v>
      </c>
      <c r="BF20" s="97">
        <f t="shared" si="27"/>
        <v>8141427.5971951988</v>
      </c>
      <c r="BG20" s="98">
        <f>VLOOKUP(BF20,Hoja15!$E$69:$H$76,3)</f>
        <v>0.30399999999999999</v>
      </c>
      <c r="BH20" s="92">
        <f>VLOOKUP(BF20,Hoja15!$E$69:$H$76,4)</f>
        <v>1221916.5999999999</v>
      </c>
      <c r="BI20" s="97">
        <f t="shared" si="28"/>
        <v>1253077.3895473403</v>
      </c>
      <c r="BM20" s="1">
        <f>M20/Hoja15!C13</f>
        <v>18.253927914509596</v>
      </c>
      <c r="BN20" s="1">
        <f>Q20/Hoja15!C13</f>
        <v>0</v>
      </c>
    </row>
    <row r="21" spans="2:67" x14ac:dyDescent="0.25">
      <c r="B21" s="49" t="s">
        <v>74</v>
      </c>
      <c r="C21" s="89">
        <f>Hoja14!F22</f>
        <v>39485.65</v>
      </c>
      <c r="D21" s="9">
        <f>Hoja14!$G$26/12</f>
        <v>8750000</v>
      </c>
      <c r="E21" s="9"/>
      <c r="F21" s="3">
        <f t="shared" si="0"/>
        <v>1974282.5</v>
      </c>
      <c r="G21" s="9">
        <v>0</v>
      </c>
      <c r="H21" s="9">
        <v>0</v>
      </c>
      <c r="I21" s="9">
        <v>0</v>
      </c>
      <c r="J21" s="9">
        <v>0</v>
      </c>
      <c r="K21" s="501">
        <f t="shared" si="19"/>
        <v>8139842.465384</v>
      </c>
      <c r="L21" s="502"/>
      <c r="M21" s="503">
        <f t="shared" si="20"/>
        <v>1241595.109476736</v>
      </c>
      <c r="N21" s="504"/>
      <c r="O21" s="501">
        <f t="shared" si="21"/>
        <v>0</v>
      </c>
      <c r="P21" s="502"/>
      <c r="Q21" s="3">
        <f t="shared" si="22"/>
        <v>0</v>
      </c>
      <c r="S21" s="501">
        <f>Hoja14!V22</f>
        <v>0</v>
      </c>
      <c r="T21" s="502"/>
      <c r="U21" s="3">
        <f t="shared" si="23"/>
        <v>0</v>
      </c>
      <c r="V21" s="99"/>
      <c r="W21" s="231">
        <f>VLOOKUP(K21,Hoja15!$E$78:$H$85,3)</f>
        <v>0.30399999999999999</v>
      </c>
      <c r="X21" s="91">
        <f>VLOOKUP(K21,Hoja15!$E$78:$H$85,4)</f>
        <v>1232916.9999999998</v>
      </c>
      <c r="Y21" s="92">
        <f t="shared" si="1"/>
        <v>309172.63949999999</v>
      </c>
      <c r="Z21" s="93">
        <f t="shared" si="2"/>
        <v>46397.218176000002</v>
      </c>
      <c r="AA21" s="92">
        <f t="shared" si="3"/>
        <v>225542.03279999999</v>
      </c>
      <c r="AB21" s="92">
        <f t="shared" si="4"/>
        <v>29045.644140000004</v>
      </c>
      <c r="AC21" s="91">
        <f t="shared" si="5"/>
        <v>0</v>
      </c>
      <c r="AD21" s="94">
        <f t="shared" si="24"/>
        <v>0</v>
      </c>
      <c r="AE21" s="91">
        <f t="shared" si="6"/>
        <v>0</v>
      </c>
      <c r="AF21" s="94">
        <f t="shared" si="7"/>
        <v>0</v>
      </c>
      <c r="AG21" s="77">
        <f t="shared" si="8"/>
        <v>0</v>
      </c>
      <c r="AH21" s="95">
        <f t="shared" si="9"/>
        <v>50</v>
      </c>
      <c r="AI21" s="95">
        <f t="shared" si="10"/>
        <v>0</v>
      </c>
      <c r="AJ21" s="95">
        <f t="shared" si="11"/>
        <v>0</v>
      </c>
      <c r="AK21" s="95">
        <f t="shared" si="12"/>
        <v>0</v>
      </c>
      <c r="AL21" s="95">
        <f t="shared" si="13"/>
        <v>0</v>
      </c>
      <c r="AO21" s="1">
        <f t="shared" si="14"/>
        <v>31.444210984920751</v>
      </c>
      <c r="AT21" s="97">
        <f t="shared" si="25"/>
        <v>0</v>
      </c>
      <c r="AU21" s="98">
        <f>VLOOKUP(AT21,Hoja15!$E$78:$H$85,3)</f>
        <v>0</v>
      </c>
      <c r="AV21" s="92">
        <f>VLOOKUP(AT21,Hoja15!$E$78:$H$85,4)</f>
        <v>0</v>
      </c>
      <c r="AW21" s="92"/>
      <c r="AX21" s="93">
        <f t="shared" si="26"/>
        <v>0</v>
      </c>
      <c r="AY21" s="92">
        <f t="shared" si="15"/>
        <v>0</v>
      </c>
      <c r="AZ21" s="92">
        <f t="shared" si="16"/>
        <v>0</v>
      </c>
      <c r="BA21" s="93">
        <f t="shared" si="17"/>
        <v>0</v>
      </c>
      <c r="BC21" s="93">
        <f t="shared" si="18"/>
        <v>0</v>
      </c>
      <c r="BF21" s="97">
        <f t="shared" si="27"/>
        <v>8139842.465384</v>
      </c>
      <c r="BG21" s="98">
        <f>VLOOKUP(BF21,Hoja15!$E$78:$H$85,3)</f>
        <v>0.30399999999999999</v>
      </c>
      <c r="BH21" s="92">
        <f>VLOOKUP(BF21,Hoja15!$E$78:$H$85,4)</f>
        <v>1232916.9999999998</v>
      </c>
      <c r="BI21" s="97">
        <f t="shared" si="28"/>
        <v>1241595.109476736</v>
      </c>
      <c r="BM21" s="1">
        <f>M21/Hoja15!C14</f>
        <v>17.925288522005861</v>
      </c>
      <c r="BN21" s="1">
        <f>Q21/Hoja15!C14</f>
        <v>0</v>
      </c>
    </row>
    <row r="22" spans="2:67" x14ac:dyDescent="0.25">
      <c r="B22" s="49" t="s">
        <v>76</v>
      </c>
      <c r="C22" s="89">
        <f>Hoja14!F23</f>
        <v>39485.65</v>
      </c>
      <c r="D22" s="9">
        <f>Hoja14!$G$26/12</f>
        <v>8750000</v>
      </c>
      <c r="E22" s="9"/>
      <c r="F22" s="3">
        <f t="shared" si="0"/>
        <v>1974282.5</v>
      </c>
      <c r="G22" s="9">
        <v>0</v>
      </c>
      <c r="H22" s="9">
        <v>0</v>
      </c>
      <c r="I22" s="9"/>
      <c r="J22" s="9">
        <v>0</v>
      </c>
      <c r="K22" s="501">
        <f t="shared" si="19"/>
        <v>8139842.465384</v>
      </c>
      <c r="L22" s="502"/>
      <c r="M22" s="503">
        <f t="shared" si="20"/>
        <v>1241595.109476736</v>
      </c>
      <c r="N22" s="504"/>
      <c r="O22" s="501">
        <f t="shared" si="21"/>
        <v>0</v>
      </c>
      <c r="P22" s="502"/>
      <c r="Q22" s="3">
        <f t="shared" si="22"/>
        <v>0</v>
      </c>
      <c r="S22" s="501">
        <f>Hoja14!V23</f>
        <v>0</v>
      </c>
      <c r="T22" s="502"/>
      <c r="U22" s="3">
        <f t="shared" si="23"/>
        <v>0</v>
      </c>
      <c r="V22" s="90"/>
      <c r="W22" s="231">
        <f>VLOOKUP(K22,Hoja15!$E$87:$H$94,3)</f>
        <v>0.30399999999999999</v>
      </c>
      <c r="X22" s="91">
        <f>VLOOKUP(K22,Hoja15!$E$87:$H$94,4)</f>
        <v>1232916.9999999998</v>
      </c>
      <c r="Y22" s="92">
        <f t="shared" si="1"/>
        <v>309172.63949999999</v>
      </c>
      <c r="Z22" s="93">
        <f t="shared" si="2"/>
        <v>46397.218176000002</v>
      </c>
      <c r="AA22" s="92">
        <f t="shared" si="3"/>
        <v>225542.03279999999</v>
      </c>
      <c r="AB22" s="92">
        <f t="shared" si="4"/>
        <v>29045.644140000004</v>
      </c>
      <c r="AC22" s="91">
        <f t="shared" si="5"/>
        <v>0</v>
      </c>
      <c r="AD22" s="94">
        <f t="shared" si="24"/>
        <v>0</v>
      </c>
      <c r="AE22" s="91">
        <f t="shared" si="6"/>
        <v>0</v>
      </c>
      <c r="AF22" s="94">
        <f t="shared" si="7"/>
        <v>0</v>
      </c>
      <c r="AG22" s="77">
        <f t="shared" si="8"/>
        <v>0</v>
      </c>
      <c r="AH22" s="95">
        <f t="shared" si="9"/>
        <v>50</v>
      </c>
      <c r="AI22" s="95">
        <f t="shared" si="10"/>
        <v>0</v>
      </c>
      <c r="AJ22" s="95">
        <f t="shared" si="11"/>
        <v>0</v>
      </c>
      <c r="AK22" s="95">
        <f t="shared" si="12"/>
        <v>0</v>
      </c>
      <c r="AL22" s="95">
        <f t="shared" si="13"/>
        <v>0</v>
      </c>
      <c r="AO22" s="1">
        <f t="shared" si="14"/>
        <v>31.444210984920751</v>
      </c>
      <c r="AT22" s="97">
        <f t="shared" si="25"/>
        <v>0</v>
      </c>
      <c r="AU22" s="98">
        <f>VLOOKUP(AT22,Hoja15!$E$87:$H$94,3)</f>
        <v>0</v>
      </c>
      <c r="AV22" s="92">
        <f>VLOOKUP(AT22,Hoja15!$E$87:$H$94,4)</f>
        <v>0</v>
      </c>
      <c r="AW22" s="92"/>
      <c r="AX22" s="93">
        <f t="shared" si="26"/>
        <v>0</v>
      </c>
      <c r="AY22" s="92">
        <f t="shared" si="15"/>
        <v>0</v>
      </c>
      <c r="AZ22" s="92">
        <f t="shared" si="16"/>
        <v>0</v>
      </c>
      <c r="BA22" s="93">
        <f t="shared" si="17"/>
        <v>0</v>
      </c>
      <c r="BC22" s="93">
        <f t="shared" si="18"/>
        <v>0</v>
      </c>
      <c r="BF22" s="97">
        <f t="shared" si="27"/>
        <v>8139842.465384</v>
      </c>
      <c r="BG22" s="98">
        <f>VLOOKUP(BF22,Hoja15!$E$87:$H$94,3)</f>
        <v>0.30399999999999999</v>
      </c>
      <c r="BH22" s="92">
        <f>VLOOKUP(BF22,Hoja15!$E$87:$H$94,4)</f>
        <v>1232916.9999999998</v>
      </c>
      <c r="BI22" s="97">
        <f t="shared" si="28"/>
        <v>1241595.109476736</v>
      </c>
      <c r="BM22" s="1">
        <f>M22/Hoja15!C15</f>
        <v>17.925288522005861</v>
      </c>
      <c r="BN22" s="1">
        <f>Q22/Hoja15!C15</f>
        <v>0</v>
      </c>
    </row>
    <row r="23" spans="2:67" x14ac:dyDescent="0.25">
      <c r="B23" s="49" t="s">
        <v>78</v>
      </c>
      <c r="C23" s="89">
        <f>Hoja14!F24</f>
        <v>39597.67</v>
      </c>
      <c r="D23" s="9">
        <f>Hoja14!$G$26/12</f>
        <v>8750000</v>
      </c>
      <c r="E23" s="9"/>
      <c r="F23" s="3">
        <f t="shared" si="0"/>
        <v>1979883.5</v>
      </c>
      <c r="G23" s="9">
        <v>0</v>
      </c>
      <c r="H23" s="9">
        <v>0</v>
      </c>
      <c r="I23" s="9">
        <v>0</v>
      </c>
      <c r="J23" s="9">
        <v>0</v>
      </c>
      <c r="K23" s="501">
        <f t="shared" si="19"/>
        <v>8138111.4606511993</v>
      </c>
      <c r="L23" s="502"/>
      <c r="M23" s="503">
        <f t="shared" si="20"/>
        <v>1236138.2840379647</v>
      </c>
      <c r="N23" s="504"/>
      <c r="O23" s="501">
        <f t="shared" si="21"/>
        <v>0</v>
      </c>
      <c r="P23" s="502"/>
      <c r="Q23" s="3">
        <f t="shared" si="22"/>
        <v>0</v>
      </c>
      <c r="S23" s="501">
        <f>Hoja14!V24</f>
        <v>0</v>
      </c>
      <c r="T23" s="502"/>
      <c r="U23" s="3">
        <f t="shared" si="23"/>
        <v>0</v>
      </c>
      <c r="V23" s="90"/>
      <c r="W23" s="231">
        <f>VLOOKUP(K23,Hoja15!$E$96:$H$103,3)</f>
        <v>0.30399999999999999</v>
      </c>
      <c r="X23" s="91">
        <f>VLOOKUP(K23,Hoja15!$E$96:$H$103,4)</f>
        <v>1237847.5999999999</v>
      </c>
      <c r="Y23" s="92">
        <f t="shared" si="1"/>
        <v>310049.7561</v>
      </c>
      <c r="Z23" s="93">
        <f t="shared" si="2"/>
        <v>46528.846156799991</v>
      </c>
      <c r="AA23" s="92">
        <f t="shared" si="3"/>
        <v>226181.89103999999</v>
      </c>
      <c r="AB23" s="92">
        <f t="shared" si="4"/>
        <v>29128.046052000002</v>
      </c>
      <c r="AC23" s="91">
        <f t="shared" si="5"/>
        <v>0</v>
      </c>
      <c r="AD23" s="94">
        <f t="shared" si="24"/>
        <v>0</v>
      </c>
      <c r="AE23" s="91">
        <f t="shared" si="6"/>
        <v>0</v>
      </c>
      <c r="AF23" s="94">
        <f t="shared" si="7"/>
        <v>0</v>
      </c>
      <c r="AG23" s="77">
        <f t="shared" si="8"/>
        <v>0</v>
      </c>
      <c r="AH23" s="95">
        <f t="shared" si="9"/>
        <v>50</v>
      </c>
      <c r="AI23" s="95">
        <f t="shared" si="10"/>
        <v>0</v>
      </c>
      <c r="AJ23" s="95">
        <f t="shared" si="11"/>
        <v>0</v>
      </c>
      <c r="AK23" s="95">
        <f t="shared" si="12"/>
        <v>0</v>
      </c>
      <c r="AL23" s="95">
        <f t="shared" si="13"/>
        <v>0</v>
      </c>
      <c r="AO23" s="1">
        <f t="shared" si="14"/>
        <v>31.217450017588529</v>
      </c>
      <c r="AT23" s="97">
        <f t="shared" si="25"/>
        <v>0</v>
      </c>
      <c r="AU23" s="98">
        <f>VLOOKUP(AT23,Hoja15!$E$96:$H$103,3)</f>
        <v>0</v>
      </c>
      <c r="AV23" s="92">
        <f>VLOOKUP(AT23,Hoja15!$E$96:$H$103,4)</f>
        <v>0</v>
      </c>
      <c r="AW23" s="92"/>
      <c r="AX23" s="93">
        <f t="shared" si="26"/>
        <v>0</v>
      </c>
      <c r="AY23" s="92">
        <f t="shared" si="15"/>
        <v>0</v>
      </c>
      <c r="AZ23" s="92">
        <f t="shared" si="16"/>
        <v>0</v>
      </c>
      <c r="BA23" s="93">
        <f t="shared" si="17"/>
        <v>0</v>
      </c>
      <c r="BC23" s="93">
        <f t="shared" si="18"/>
        <v>0</v>
      </c>
      <c r="BF23" s="97">
        <f t="shared" si="27"/>
        <v>8138111.4606511993</v>
      </c>
      <c r="BG23" s="98">
        <f>VLOOKUP(BF23,Hoja15!$E$96:$H$103,3)</f>
        <v>0.30399999999999999</v>
      </c>
      <c r="BH23" s="92">
        <f>VLOOKUP(BF23,Hoja15!$E$96:$H$103,4)</f>
        <v>1237847.5999999999</v>
      </c>
      <c r="BI23" s="97">
        <f t="shared" si="28"/>
        <v>1236138.2840379647</v>
      </c>
      <c r="BM23" s="1">
        <f>M23/Hoja15!C16</f>
        <v>17.775420379597431</v>
      </c>
      <c r="BN23" s="1">
        <f>Q23/Hoja15!C16</f>
        <v>0</v>
      </c>
    </row>
    <row r="24" spans="2:67" x14ac:dyDescent="0.25">
      <c r="B24" s="49" t="s">
        <v>80</v>
      </c>
      <c r="C24" s="89">
        <f>Hoja14!F25</f>
        <v>39643.589999999997</v>
      </c>
      <c r="D24" s="9">
        <f>Hoja14!$G$26/12</f>
        <v>8750000</v>
      </c>
      <c r="E24" s="9"/>
      <c r="F24" s="3">
        <f t="shared" si="0"/>
        <v>1982179.4999999998</v>
      </c>
      <c r="G24" s="9">
        <v>0</v>
      </c>
      <c r="H24" s="9">
        <v>0</v>
      </c>
      <c r="I24" s="9">
        <v>0</v>
      </c>
      <c r="J24" s="9">
        <v>0</v>
      </c>
      <c r="K24" s="501">
        <f t="shared" si="19"/>
        <v>8137401.8754224014</v>
      </c>
      <c r="L24" s="502"/>
      <c r="M24" s="503">
        <f>K24*W24-X24</f>
        <v>1235922.5701284099</v>
      </c>
      <c r="N24" s="504"/>
      <c r="O24" s="501">
        <f t="shared" si="21"/>
        <v>0</v>
      </c>
      <c r="P24" s="502"/>
      <c r="Q24" s="3">
        <f t="shared" si="22"/>
        <v>0</v>
      </c>
      <c r="S24" s="501">
        <f>Hoja14!V25</f>
        <v>0</v>
      </c>
      <c r="T24" s="502"/>
      <c r="U24" s="3">
        <f t="shared" si="23"/>
        <v>0</v>
      </c>
      <c r="V24" s="90"/>
      <c r="W24" s="231">
        <f>VLOOKUP(K24,Hoja15!$E$105:$H$112,3)</f>
        <v>0.30399999999999999</v>
      </c>
      <c r="X24" s="91">
        <f>VLOOKUP(K24,Hoja15!$E$105:$H$112,4)</f>
        <v>1237847.5999999999</v>
      </c>
      <c r="Y24" s="92">
        <f t="shared" si="1"/>
        <v>310409.30969999998</v>
      </c>
      <c r="Z24" s="93">
        <f t="shared" si="2"/>
        <v>46582.803993599991</v>
      </c>
      <c r="AA24" s="92">
        <f t="shared" si="3"/>
        <v>226444.18607999996</v>
      </c>
      <c r="AB24" s="92">
        <f t="shared" si="4"/>
        <v>29161.824804</v>
      </c>
      <c r="AC24" s="91">
        <f t="shared" si="5"/>
        <v>0</v>
      </c>
      <c r="AD24" s="94">
        <f t="shared" si="24"/>
        <v>0</v>
      </c>
      <c r="AE24" s="91">
        <f t="shared" si="6"/>
        <v>0</v>
      </c>
      <c r="AF24" s="94">
        <f t="shared" si="7"/>
        <v>0</v>
      </c>
      <c r="AG24" s="77">
        <f t="shared" si="8"/>
        <v>0</v>
      </c>
      <c r="AH24" s="95">
        <f t="shared" si="9"/>
        <v>50</v>
      </c>
      <c r="AI24" s="95">
        <f t="shared" si="10"/>
        <v>0</v>
      </c>
      <c r="AJ24" s="95">
        <f t="shared" si="11"/>
        <v>0</v>
      </c>
      <c r="AK24" s="95">
        <f t="shared" si="12"/>
        <v>0</v>
      </c>
      <c r="AL24" s="95">
        <f t="shared" si="13"/>
        <v>0</v>
      </c>
      <c r="AO24" s="1">
        <f t="shared" si="14"/>
        <v>31.175848860519697</v>
      </c>
      <c r="AT24" s="97">
        <f>BC24-AY24-AW24</f>
        <v>0</v>
      </c>
      <c r="AU24" s="98">
        <f>VLOOKUP(AT24,Hoja15!$E$105:$H$112,3)</f>
        <v>0</v>
      </c>
      <c r="AV24" s="92">
        <f>VLOOKUP(AT24,Hoja15!$E$105:$H$112,4)</f>
        <v>0</v>
      </c>
      <c r="AW24" s="92"/>
      <c r="AX24" s="93">
        <f t="shared" si="26"/>
        <v>0</v>
      </c>
      <c r="AY24" s="92">
        <f t="shared" si="15"/>
        <v>0</v>
      </c>
      <c r="AZ24" s="92">
        <f t="shared" si="16"/>
        <v>0</v>
      </c>
      <c r="BA24" s="93">
        <f t="shared" si="17"/>
        <v>0</v>
      </c>
      <c r="BC24" s="93">
        <f t="shared" si="18"/>
        <v>0</v>
      </c>
      <c r="BF24" s="97">
        <f t="shared" si="27"/>
        <v>8137401.8754224014</v>
      </c>
      <c r="BG24" s="98">
        <f>VLOOKUP(BF24,Hoja15!$E$105:$H$112,3)</f>
        <v>0.30399999999999999</v>
      </c>
      <c r="BH24" s="92">
        <f>VLOOKUP(BF24,Hoja15!$E$105:$H$112,4)</f>
        <v>1237847.5999999999</v>
      </c>
      <c r="BI24" s="97">
        <f t="shared" si="28"/>
        <v>1235922.5701284099</v>
      </c>
      <c r="BM24" s="1">
        <f>M24/Hoja15!C17</f>
        <v>17.772318456880875</v>
      </c>
      <c r="BN24" s="1">
        <f>Q24/Hoja15!C17</f>
        <v>0</v>
      </c>
    </row>
    <row r="25" spans="2:67" ht="16.5" customHeight="1" x14ac:dyDescent="0.25">
      <c r="B25" s="11" t="s">
        <v>82</v>
      </c>
      <c r="C25" s="12"/>
      <c r="D25" s="13">
        <f>SUM(D13:D24)</f>
        <v>105000000</v>
      </c>
      <c r="E25" s="63">
        <f>SUM(E13:E24)</f>
        <v>0</v>
      </c>
      <c r="F25" s="4">
        <f>SUM(F13:F24)</f>
        <v>23511651.5</v>
      </c>
      <c r="G25" s="4">
        <f>AC25</f>
        <v>0</v>
      </c>
      <c r="H25" s="4">
        <f>AD25</f>
        <v>0</v>
      </c>
      <c r="I25" s="4">
        <f>AE25</f>
        <v>0</v>
      </c>
      <c r="J25" s="4">
        <f>(IF(AH41=1,SUM(J13:J24),AF25))+S61</f>
        <v>0</v>
      </c>
      <c r="K25" s="507">
        <f>SUM(K13:K24)</f>
        <v>97733658.271300822</v>
      </c>
      <c r="L25" s="508"/>
      <c r="M25" s="507">
        <f>SUM(M13:M24)</f>
        <v>15056100.908521857</v>
      </c>
      <c r="N25" s="508"/>
      <c r="O25" s="507">
        <f>SUM(O13:O24)</f>
        <v>0</v>
      </c>
      <c r="P25" s="508"/>
      <c r="Q25" s="4">
        <f>SUM(Q13:Q24)</f>
        <v>0</v>
      </c>
      <c r="S25" s="507">
        <f>SUM(S13:S24)</f>
        <v>0</v>
      </c>
      <c r="T25" s="508"/>
      <c r="U25" s="4">
        <f>SUM(U13:U24)</f>
        <v>0</v>
      </c>
      <c r="V25" s="100"/>
      <c r="W25" s="101"/>
      <c r="X25" s="101"/>
      <c r="Y25" s="102">
        <f t="shared" ref="Y25:AD25" si="29">SUM(Y13:Y24)</f>
        <v>3681924.6249000002</v>
      </c>
      <c r="Z25" s="102">
        <f t="shared" si="29"/>
        <v>552542.61957119999</v>
      </c>
      <c r="AA25" s="102">
        <f t="shared" si="29"/>
        <v>2685971.0673599998</v>
      </c>
      <c r="AB25" s="102">
        <f t="shared" si="29"/>
        <v>345903.416868</v>
      </c>
      <c r="AC25" s="103">
        <f t="shared" si="29"/>
        <v>0</v>
      </c>
      <c r="AD25" s="103">
        <f t="shared" si="29"/>
        <v>0</v>
      </c>
      <c r="AE25" s="103">
        <f>IF(AH41=2,SUMPRODUCT(C13:C24,AE13:AE24),SUM(AE13:AE24))</f>
        <v>0</v>
      </c>
      <c r="AF25" s="103">
        <f>SUMPRODUCT(AF13:AF24,C13:C24)</f>
        <v>0</v>
      </c>
      <c r="AG25" s="77">
        <f t="shared" si="8"/>
        <v>0</v>
      </c>
      <c r="AH25" s="95">
        <f>SUM(AH13:AH24)</f>
        <v>600</v>
      </c>
      <c r="AI25" s="95">
        <f>SUM(AI13:AI24)</f>
        <v>0</v>
      </c>
      <c r="AJ25" s="95">
        <f>SUM(AJ13:AJ24)</f>
        <v>0</v>
      </c>
      <c r="AK25" s="95">
        <f>SUM(AK13:AK24)</f>
        <v>0</v>
      </c>
      <c r="AL25" s="95">
        <f>SUM(AL13:AL24)</f>
        <v>0</v>
      </c>
      <c r="AO25" s="1">
        <f>SUM(AO13:AO24)</f>
        <v>384.29871594038076</v>
      </c>
      <c r="AP25" s="1">
        <f>AO25*Hoja14!F25</f>
        <v>15234980.732266918</v>
      </c>
      <c r="AT25" s="104">
        <f>SUM(AT13:AT24)</f>
        <v>0</v>
      </c>
      <c r="AU25" s="101"/>
      <c r="AV25" s="101"/>
      <c r="AW25" s="102">
        <f>SUM(AW13:AW24)</f>
        <v>0</v>
      </c>
      <c r="AX25" s="102">
        <f>SUM(AX13:AX24)</f>
        <v>0</v>
      </c>
      <c r="AY25" s="102">
        <f>SUM(AY13:AY24)</f>
        <v>0</v>
      </c>
      <c r="AZ25" s="102">
        <f>SUM(AZ13:AZ24)</f>
        <v>0</v>
      </c>
      <c r="BA25" s="102">
        <f>SUM(BA13:BA24)</f>
        <v>0</v>
      </c>
      <c r="BI25" s="104">
        <f>SUM(BI13:BI24)</f>
        <v>15056100.908521857</v>
      </c>
      <c r="BM25" s="1">
        <f>SUM(BM13:BM24)*Hoja15!C17</f>
        <v>15257652.01068869</v>
      </c>
      <c r="BN25" s="1">
        <f>SUM(BN13:BN24)*Hoja15!C17</f>
        <v>0</v>
      </c>
      <c r="BO25" s="97">
        <f>BM25+BN25</f>
        <v>15257652.01068869</v>
      </c>
    </row>
    <row r="26" spans="2:67" ht="6" customHeight="1" x14ac:dyDescent="0.25">
      <c r="F26" s="75"/>
      <c r="K26" s="522"/>
      <c r="L26" s="523"/>
      <c r="M26" s="522"/>
      <c r="N26" s="523"/>
    </row>
    <row r="27" spans="2:67" ht="4.5" customHeight="1" x14ac:dyDescent="0.25"/>
    <row r="28" spans="2:67" ht="11.25" customHeight="1" x14ac:dyDescent="0.25">
      <c r="K28" s="73"/>
    </row>
    <row r="29" spans="2:67" ht="12.75" customHeight="1" x14ac:dyDescent="0.25">
      <c r="B29" s="513" t="s">
        <v>129</v>
      </c>
      <c r="C29" s="514"/>
      <c r="D29" s="514"/>
      <c r="E29" s="514"/>
      <c r="F29" s="515"/>
      <c r="G29" s="58">
        <f>Hoja1!I17</f>
        <v>99029727.205790997</v>
      </c>
      <c r="J29" s="1" t="s">
        <v>128</v>
      </c>
      <c r="K29" s="5"/>
      <c r="L29" s="75"/>
      <c r="M29" s="75"/>
      <c r="N29" s="39"/>
      <c r="S29" s="1">
        <f>STDEVA(D13:D24)</f>
        <v>0</v>
      </c>
      <c r="V29" s="39"/>
      <c r="W29" s="105"/>
    </row>
    <row r="30" spans="2:67" ht="12.75" customHeight="1" x14ac:dyDescent="0.25">
      <c r="B30" s="513" t="s">
        <v>130</v>
      </c>
      <c r="C30" s="514"/>
      <c r="D30" s="514"/>
      <c r="E30" s="514"/>
      <c r="F30" s="515"/>
      <c r="G30" s="58">
        <f>O25</f>
        <v>0</v>
      </c>
      <c r="H30" s="2"/>
      <c r="I30" s="2"/>
      <c r="V30" s="39"/>
      <c r="W30" s="106">
        <v>20939.490000000002</v>
      </c>
      <c r="X30" s="106">
        <v>20865.849999999999</v>
      </c>
      <c r="Y30" s="106">
        <v>20924.09</v>
      </c>
      <c r="Z30" s="106">
        <v>21000.55</v>
      </c>
      <c r="AA30" s="106">
        <v>21032.2</v>
      </c>
      <c r="AB30" s="106">
        <v>21115.8</v>
      </c>
      <c r="AC30" s="106">
        <v>21204.99</v>
      </c>
      <c r="AD30" s="106">
        <v>21227.57</v>
      </c>
    </row>
    <row r="31" spans="2:67" ht="13.5" customHeight="1" x14ac:dyDescent="0.25">
      <c r="B31" s="513" t="s">
        <v>131</v>
      </c>
      <c r="C31" s="514"/>
      <c r="D31" s="514"/>
      <c r="E31" s="514"/>
      <c r="F31" s="515"/>
      <c r="G31" s="58">
        <f>Y40</f>
        <v>0</v>
      </c>
      <c r="H31" s="2"/>
      <c r="I31" s="2"/>
      <c r="V31" s="5"/>
    </row>
    <row r="32" spans="2:67" ht="14.25" customHeight="1" x14ac:dyDescent="0.25">
      <c r="B32" s="54"/>
      <c r="C32" s="54"/>
      <c r="D32" s="54"/>
      <c r="E32" s="54"/>
      <c r="F32" s="54"/>
      <c r="G32" s="59"/>
      <c r="H32" s="2"/>
      <c r="I32" s="2"/>
      <c r="V32" s="5"/>
    </row>
    <row r="33" spans="2:50" ht="12.75" customHeight="1" x14ac:dyDescent="0.25">
      <c r="B33" s="513" t="s">
        <v>117</v>
      </c>
      <c r="C33" s="514"/>
      <c r="D33" s="514"/>
      <c r="E33" s="514"/>
      <c r="F33" s="515"/>
      <c r="G33" s="58">
        <f>J25</f>
        <v>0</v>
      </c>
      <c r="H33" s="2"/>
      <c r="I33" s="107"/>
      <c r="L33" s="108" t="s">
        <v>133</v>
      </c>
      <c r="M33" s="109"/>
      <c r="N33" s="109"/>
      <c r="O33" s="109"/>
      <c r="P33" s="109"/>
      <c r="Q33" s="109"/>
      <c r="R33" s="109"/>
      <c r="S33" s="109"/>
      <c r="T33" s="110"/>
      <c r="U33" s="111">
        <f>IF(AB42&gt;0,G39-G40,0)</f>
        <v>0</v>
      </c>
      <c r="V33" s="2"/>
      <c r="X33" s="112"/>
    </row>
    <row r="34" spans="2:50" ht="14.25" customHeight="1" x14ac:dyDescent="0.25">
      <c r="B34" s="516" t="s">
        <v>247</v>
      </c>
      <c r="C34" s="517"/>
      <c r="D34" s="517"/>
      <c r="E34" s="517"/>
      <c r="F34" s="518"/>
      <c r="G34" s="58">
        <f>(AH25-(AI25+AJ25))*C24</f>
        <v>23786153.999999996</v>
      </c>
      <c r="H34" s="2"/>
      <c r="I34" s="107"/>
      <c r="L34" s="509" t="s">
        <v>134</v>
      </c>
      <c r="M34" s="510"/>
      <c r="N34" s="510"/>
      <c r="O34" s="510"/>
      <c r="P34" s="510"/>
      <c r="Q34" s="510"/>
      <c r="R34" s="510"/>
      <c r="S34" s="510"/>
      <c r="T34" s="511"/>
      <c r="U34" s="66">
        <f>BI25-M25-Q25</f>
        <v>0</v>
      </c>
      <c r="V34" s="75"/>
      <c r="W34" s="2" t="s">
        <v>91</v>
      </c>
    </row>
    <row r="35" spans="2:50" ht="12.75" customHeight="1" x14ac:dyDescent="0.25">
      <c r="B35" s="519" t="s">
        <v>89</v>
      </c>
      <c r="C35" s="520"/>
      <c r="D35" s="520"/>
      <c r="E35" s="520"/>
      <c r="F35" s="521"/>
      <c r="G35" s="60">
        <v>0</v>
      </c>
      <c r="H35" s="2"/>
      <c r="I35" s="43"/>
      <c r="L35" s="509" t="s">
        <v>124</v>
      </c>
      <c r="M35" s="510"/>
      <c r="N35" s="510"/>
      <c r="O35" s="510"/>
      <c r="P35" s="510"/>
      <c r="Q35" s="510"/>
      <c r="R35" s="510"/>
      <c r="S35" s="510"/>
      <c r="T35" s="511"/>
      <c r="U35" s="66">
        <f>AC55</f>
        <v>0</v>
      </c>
      <c r="V35" s="75"/>
      <c r="W35" s="2" t="s">
        <v>93</v>
      </c>
      <c r="Y35" s="113">
        <f>IF(T4&gt;8*Hoja15!B23,8*Hoja15!B23,Hoja14!P5)</f>
        <v>0</v>
      </c>
      <c r="AW35" s="8">
        <f>M25</f>
        <v>15056100.908521857</v>
      </c>
      <c r="AX35" s="75"/>
    </row>
    <row r="36" spans="2:50" ht="14.25" customHeight="1" x14ac:dyDescent="0.25">
      <c r="B36" s="513" t="s">
        <v>119</v>
      </c>
      <c r="C36" s="514"/>
      <c r="D36" s="514"/>
      <c r="E36" s="514"/>
      <c r="F36" s="515"/>
      <c r="G36" s="58">
        <f>IF(J36=" ",0,J36*HJ4)</f>
        <v>0</v>
      </c>
      <c r="H36" s="2"/>
      <c r="I36" s="2"/>
      <c r="J36" s="67" t="str">
        <f>IF(T4=0," ",Hoja15!N27)</f>
        <v xml:space="preserve"> </v>
      </c>
      <c r="L36" s="509" t="s">
        <v>135</v>
      </c>
      <c r="M36" s="510"/>
      <c r="N36" s="510"/>
      <c r="O36" s="510"/>
      <c r="P36" s="510"/>
      <c r="Q36" s="510"/>
      <c r="R36" s="510"/>
      <c r="S36" s="510"/>
      <c r="T36" s="511"/>
      <c r="U36" s="66">
        <f>U25</f>
        <v>0</v>
      </c>
      <c r="V36" s="2"/>
      <c r="W36" s="84" t="s">
        <v>4</v>
      </c>
      <c r="AW36" s="40">
        <f>U25</f>
        <v>0</v>
      </c>
      <c r="AX36" s="2"/>
    </row>
    <row r="37" spans="2:50" ht="14.25" customHeight="1" x14ac:dyDescent="0.25">
      <c r="B37" s="69"/>
      <c r="C37" s="69"/>
      <c r="D37" s="69"/>
      <c r="E37" s="69"/>
      <c r="F37" s="69"/>
      <c r="G37" s="48"/>
      <c r="H37" s="2"/>
      <c r="I37" s="43"/>
      <c r="L37" s="524"/>
      <c r="M37" s="524"/>
      <c r="N37" s="524"/>
      <c r="O37" s="524"/>
      <c r="P37" s="524"/>
      <c r="Q37" s="524"/>
      <c r="R37" s="524"/>
      <c r="S37" s="524"/>
      <c r="T37" s="524"/>
      <c r="U37" s="61"/>
      <c r="V37" s="6"/>
      <c r="AW37" s="8">
        <f>K25</f>
        <v>97733658.271300822</v>
      </c>
      <c r="AX37" s="6">
        <f>AW37+AW38</f>
        <v>97733658.271300822</v>
      </c>
    </row>
    <row r="38" spans="2:50" ht="14.25" customHeight="1" x14ac:dyDescent="0.25">
      <c r="B38" s="114" t="s">
        <v>125</v>
      </c>
      <c r="C38" s="115"/>
      <c r="D38" s="115"/>
      <c r="E38" s="115"/>
      <c r="F38" s="115"/>
      <c r="G38" s="111">
        <f>G29+G31-G33-G35-G36</f>
        <v>99029727.205790997</v>
      </c>
      <c r="L38" s="525" t="str">
        <f>CONCATENATE("RESULTADO RELIQUIDACION DE IMPUESTO :                        ",W63)</f>
        <v>RESULTADO RELIQUIDACION DE IMPUESTO :                        (A favor)</v>
      </c>
      <c r="M38" s="526"/>
      <c r="N38" s="526"/>
      <c r="O38" s="526"/>
      <c r="P38" s="526"/>
      <c r="Q38" s="526"/>
      <c r="R38" s="526"/>
      <c r="S38" s="526"/>
      <c r="T38" s="526"/>
      <c r="U38" s="538">
        <f>IF((U33+U34+U35-U36-U37)&gt;0,(U33+U34+U35-U36-U37),IF(AB42=0,0,U33+U34+U35-U36-U37))</f>
        <v>0</v>
      </c>
      <c r="V38" s="2"/>
      <c r="Y38" s="116">
        <f>Hoja15!C17*15*12</f>
        <v>12517560</v>
      </c>
      <c r="AW38" s="5">
        <f>S25</f>
        <v>0</v>
      </c>
      <c r="AX38" s="2"/>
    </row>
    <row r="39" spans="2:50" ht="14.25" customHeight="1" x14ac:dyDescent="0.2">
      <c r="B39" s="117" t="s">
        <v>126</v>
      </c>
      <c r="C39" s="118"/>
      <c r="D39" s="118"/>
      <c r="E39" s="118"/>
      <c r="F39" s="118"/>
      <c r="G39" s="111">
        <f>(G38*VLOOKUP(G38,Hoja15!$J$105:$M$112,3))-(VLOOKUP(G38,Hoja15!$J$105:$M$112,4))</f>
        <v>15250865.870560464</v>
      </c>
      <c r="L39" s="527"/>
      <c r="M39" s="528"/>
      <c r="N39" s="528"/>
      <c r="O39" s="528"/>
      <c r="P39" s="528"/>
      <c r="Q39" s="528"/>
      <c r="R39" s="528"/>
      <c r="S39" s="528"/>
      <c r="T39" s="528"/>
      <c r="U39" s="539"/>
      <c r="V39" s="6"/>
      <c r="Y39" s="1">
        <f>IF(30%*S25&gt;Y38,Y38,30%*S25)</f>
        <v>0</v>
      </c>
      <c r="AA39" s="1" t="s">
        <v>94</v>
      </c>
      <c r="AB39" s="1">
        <f>IF(J25&gt;0,1,0)</f>
        <v>0</v>
      </c>
      <c r="AG39" s="119" t="s">
        <v>95</v>
      </c>
      <c r="AH39" s="120" t="s">
        <v>16</v>
      </c>
      <c r="AI39" s="121"/>
      <c r="AJ39" s="121"/>
      <c r="AW39" s="41">
        <f>IF((I109+I110)=0,0,IF(I110=0,0,J83-J93))</f>
        <v>0</v>
      </c>
      <c r="AX39" s="6"/>
    </row>
    <row r="40" spans="2:50" ht="12" customHeight="1" x14ac:dyDescent="0.2">
      <c r="B40" s="117" t="s">
        <v>127</v>
      </c>
      <c r="C40" s="118"/>
      <c r="D40" s="118"/>
      <c r="E40" s="118"/>
      <c r="F40" s="118"/>
      <c r="G40" s="111">
        <f>Hoja1!J17</f>
        <v>15257652.010688687</v>
      </c>
      <c r="J40" s="1" t="s">
        <v>128</v>
      </c>
      <c r="L40" s="529"/>
      <c r="M40" s="530"/>
      <c r="N40" s="530"/>
      <c r="O40" s="530"/>
      <c r="P40" s="530"/>
      <c r="Q40" s="530"/>
      <c r="R40" s="530"/>
      <c r="S40" s="530"/>
      <c r="T40" s="530"/>
      <c r="U40" s="540"/>
      <c r="Y40" s="8">
        <f>S25-Y39</f>
        <v>0</v>
      </c>
      <c r="AA40" s="1" t="s">
        <v>96</v>
      </c>
      <c r="AB40" s="1">
        <f>IF(G35&gt;0,1,0)</f>
        <v>0</v>
      </c>
      <c r="AG40" s="119" t="s">
        <v>22</v>
      </c>
      <c r="AH40" s="120" t="s">
        <v>11</v>
      </c>
      <c r="AI40" s="121"/>
      <c r="AJ40" s="121"/>
    </row>
    <row r="41" spans="2:50" ht="20.25" customHeight="1" x14ac:dyDescent="0.2">
      <c r="AA41" s="1" t="s">
        <v>97</v>
      </c>
      <c r="AB41" s="1">
        <f>IF(G36&gt;0,1,0)</f>
        <v>0</v>
      </c>
      <c r="AG41" s="119">
        <v>2</v>
      </c>
      <c r="AH41" s="120">
        <v>2</v>
      </c>
      <c r="AI41" s="120">
        <v>1</v>
      </c>
      <c r="AJ41" s="120">
        <v>1</v>
      </c>
      <c r="AW41" s="1">
        <f>IF((J85+J87)&gt;0,AW39,IF(S25&gt;0,Hoja15!R109,Hoja14!AZ40))</f>
        <v>0</v>
      </c>
    </row>
    <row r="42" spans="2:50" ht="12.75" customHeight="1" x14ac:dyDescent="0.25">
      <c r="G42" s="8"/>
      <c r="X42" s="5">
        <f>K25+O25</f>
        <v>97733658.271300822</v>
      </c>
      <c r="AB42" s="1">
        <f>SUM(AB39:AB41)</f>
        <v>0</v>
      </c>
    </row>
    <row r="43" spans="2:50" x14ac:dyDescent="0.25">
      <c r="N43" s="38"/>
      <c r="O43" s="38"/>
      <c r="P43" s="38"/>
      <c r="Q43" s="38"/>
      <c r="R43" s="38"/>
      <c r="U43" s="8">
        <f>U33+U34-U35-U36-U37</f>
        <v>0</v>
      </c>
      <c r="X43" s="5">
        <f>Hoja14!AA43*Hoja15!L110-Hoja15!M110</f>
        <v>11898727.696876477</v>
      </c>
    </row>
    <row r="44" spans="2:50" ht="11.25" customHeight="1" x14ac:dyDescent="0.25">
      <c r="H44" s="64"/>
      <c r="I44" s="65"/>
      <c r="L44" s="38"/>
      <c r="M44" s="38"/>
    </row>
    <row r="45" spans="2:50" ht="12.75" customHeight="1" x14ac:dyDescent="0.25"/>
    <row r="46" spans="2:50" ht="12.75" customHeight="1" x14ac:dyDescent="0.25">
      <c r="U46" s="8">
        <f>IF(AB42=0,0,U33)</f>
        <v>0</v>
      </c>
    </row>
    <row r="47" spans="2:50" ht="12.75" customHeight="1" x14ac:dyDescent="0.25">
      <c r="B47" s="512" t="s">
        <v>100</v>
      </c>
      <c r="C47" s="512"/>
      <c r="D47" s="512"/>
      <c r="E47" s="122">
        <f>IF(D25&gt;0,1,0)</f>
        <v>1</v>
      </c>
    </row>
    <row r="48" spans="2:50" x14ac:dyDescent="0.25">
      <c r="B48" s="512" t="s">
        <v>101</v>
      </c>
      <c r="C48" s="512"/>
      <c r="D48" s="512"/>
      <c r="E48" s="122">
        <f>IF(AT25&gt;0,1,0)</f>
        <v>0</v>
      </c>
      <c r="U48" s="8">
        <f>U33+U34+U35-U36-U37</f>
        <v>0</v>
      </c>
    </row>
    <row r="49" spans="2:30" ht="12.75" customHeight="1" x14ac:dyDescent="0.25">
      <c r="B49" s="512" t="s">
        <v>48</v>
      </c>
      <c r="C49" s="512"/>
      <c r="D49" s="512"/>
      <c r="E49" s="122">
        <f>IF(S25&gt;0,1,0)</f>
        <v>0</v>
      </c>
      <c r="AC49" s="8"/>
    </row>
    <row r="50" spans="2:30" ht="12.75" customHeight="1" x14ac:dyDescent="0.25">
      <c r="B50" s="512" t="s">
        <v>102</v>
      </c>
      <c r="C50" s="512"/>
      <c r="D50" s="512"/>
      <c r="E50" s="122">
        <f>IF(G33&gt;0,1,0)</f>
        <v>0</v>
      </c>
    </row>
    <row r="51" spans="2:30" ht="12.75" customHeight="1" x14ac:dyDescent="0.25">
      <c r="B51" s="512" t="s">
        <v>103</v>
      </c>
      <c r="C51" s="512"/>
      <c r="D51" s="512"/>
      <c r="E51" s="122">
        <f>IF(G35&gt;0,1,0)</f>
        <v>0</v>
      </c>
    </row>
    <row r="52" spans="2:30" ht="12.75" customHeight="1" x14ac:dyDescent="0.25">
      <c r="B52" s="512" t="s">
        <v>97</v>
      </c>
      <c r="C52" s="512"/>
      <c r="D52" s="512"/>
      <c r="E52" s="122">
        <f>IF(G36&gt;0,1,0)</f>
        <v>0</v>
      </c>
    </row>
    <row r="53" spans="2:30" ht="12.75" customHeight="1" x14ac:dyDescent="0.25">
      <c r="B53" s="512" t="s">
        <v>106</v>
      </c>
      <c r="C53" s="512"/>
      <c r="D53" s="512"/>
      <c r="E53" s="122">
        <f>IF(T7&gt;0,1,0)</f>
        <v>0</v>
      </c>
      <c r="X53" s="55" t="s">
        <v>107</v>
      </c>
      <c r="AD53" s="2"/>
    </row>
    <row r="54" spans="2:30" ht="12.75" customHeight="1" x14ac:dyDescent="0.25">
      <c r="X54" s="509" t="s">
        <v>107</v>
      </c>
      <c r="Y54" s="510"/>
      <c r="Z54" s="510"/>
      <c r="AA54" s="510"/>
      <c r="AB54" s="511"/>
      <c r="AC54" s="534">
        <f>T7</f>
        <v>0</v>
      </c>
      <c r="AD54" s="535"/>
    </row>
    <row r="55" spans="2:30" ht="12" customHeight="1" x14ac:dyDescent="0.25">
      <c r="X55" s="509" t="s">
        <v>108</v>
      </c>
      <c r="Y55" s="510"/>
      <c r="Z55" s="510"/>
      <c r="AA55" s="510"/>
      <c r="AB55" s="511"/>
      <c r="AC55" s="534">
        <f>IF(AC54=0,0,AC54*AC56)</f>
        <v>0</v>
      </c>
      <c r="AD55" s="535"/>
    </row>
    <row r="56" spans="2:30" x14ac:dyDescent="0.25">
      <c r="X56" s="509" t="s">
        <v>109</v>
      </c>
      <c r="Y56" s="510"/>
      <c r="Z56" s="510"/>
      <c r="AA56" s="510"/>
      <c r="AB56" s="511"/>
      <c r="AC56" s="541">
        <f>IF(AC54=0,0,IF(N4="No pensionado",Hoja15!R118,Hoja15!R117))</f>
        <v>0</v>
      </c>
      <c r="AD56" s="542"/>
    </row>
    <row r="57" spans="2:30" x14ac:dyDescent="0.25">
      <c r="X57" s="543" t="s">
        <v>110</v>
      </c>
      <c r="Y57" s="543"/>
      <c r="Z57" s="543"/>
      <c r="AA57" s="543"/>
      <c r="AB57" s="543"/>
      <c r="AC57" s="534">
        <f>IF(AC54=0,0,T7*15%)</f>
        <v>0</v>
      </c>
      <c r="AD57" s="535"/>
    </row>
    <row r="58" spans="2:30" x14ac:dyDescent="0.25">
      <c r="X58" s="509" t="s">
        <v>111</v>
      </c>
      <c r="Y58" s="510"/>
      <c r="Z58" s="510"/>
      <c r="AA58" s="510"/>
      <c r="AB58" s="511"/>
      <c r="AC58" s="534">
        <f>IF(AC54=0,0,AC57-AC55)</f>
        <v>0</v>
      </c>
      <c r="AD58" s="535"/>
    </row>
    <row r="59" spans="2:30" x14ac:dyDescent="0.25">
      <c r="G59" s="1">
        <f>Hoja15!B39*Hoja15!C17</f>
        <v>13952287.701993063</v>
      </c>
    </row>
    <row r="60" spans="2:30" x14ac:dyDescent="0.25">
      <c r="C60" s="54"/>
      <c r="D60" s="54"/>
      <c r="E60" s="54"/>
      <c r="F60" s="54"/>
      <c r="G60" s="5"/>
      <c r="S60" s="1">
        <v>9.9999999999999995E-7</v>
      </c>
      <c r="X60" s="5">
        <f>M25+Q25</f>
        <v>15056100.908521857</v>
      </c>
    </row>
    <row r="61" spans="2:30" ht="16.5" customHeight="1" x14ac:dyDescent="0.25">
      <c r="S61" s="1">
        <f>IF(S25&gt;0,S60,0)</f>
        <v>0</v>
      </c>
      <c r="X61" s="8"/>
    </row>
    <row r="63" spans="2:30" ht="12" customHeight="1" x14ac:dyDescent="0.25">
      <c r="W63" s="2" t="str">
        <f>IF(U38&gt;0, "(En contra)","(A favor)")</f>
        <v>(A favor)</v>
      </c>
    </row>
    <row r="65" spans="2:23" x14ac:dyDescent="0.25">
      <c r="K65" s="75"/>
    </row>
    <row r="66" spans="2:23" x14ac:dyDescent="0.25">
      <c r="K66" s="75"/>
      <c r="W66" s="2">
        <v>20939.490000000002</v>
      </c>
    </row>
    <row r="67" spans="2:23" ht="12.75" customHeight="1" x14ac:dyDescent="0.25">
      <c r="B67" s="536" t="s">
        <v>248</v>
      </c>
      <c r="C67" s="537"/>
      <c r="D67" s="537"/>
      <c r="E67" s="537"/>
      <c r="F67" s="537"/>
      <c r="G67" s="537"/>
      <c r="H67" s="537"/>
      <c r="I67" s="537"/>
      <c r="J67" s="537"/>
      <c r="K67" s="537"/>
      <c r="L67" s="537"/>
      <c r="M67" s="537"/>
      <c r="N67" s="537"/>
      <c r="O67" s="537"/>
      <c r="P67" s="537"/>
      <c r="Q67" s="537"/>
      <c r="R67" s="537"/>
      <c r="S67" s="537"/>
      <c r="T67" s="537"/>
      <c r="U67" s="537"/>
      <c r="W67" s="2">
        <v>20865.849999999999</v>
      </c>
    </row>
    <row r="68" spans="2:23" x14ac:dyDescent="0.25">
      <c r="B68" s="537"/>
      <c r="C68" s="537"/>
      <c r="D68" s="537"/>
      <c r="E68" s="537"/>
      <c r="F68" s="537"/>
      <c r="G68" s="537"/>
      <c r="H68" s="537"/>
      <c r="I68" s="537"/>
      <c r="J68" s="537"/>
      <c r="K68" s="537"/>
      <c r="L68" s="537"/>
      <c r="M68" s="537"/>
      <c r="N68" s="537"/>
      <c r="O68" s="537"/>
      <c r="P68" s="537"/>
      <c r="Q68" s="537"/>
      <c r="R68" s="537"/>
      <c r="S68" s="537"/>
      <c r="T68" s="537"/>
      <c r="U68" s="537"/>
      <c r="W68" s="2">
        <v>20924.09</v>
      </c>
    </row>
    <row r="69" spans="2:23" ht="14.25" customHeight="1" x14ac:dyDescent="0.25">
      <c r="B69" s="537"/>
      <c r="C69" s="537"/>
      <c r="D69" s="537"/>
      <c r="E69" s="537"/>
      <c r="F69" s="537"/>
      <c r="G69" s="537"/>
      <c r="H69" s="537"/>
      <c r="I69" s="537"/>
      <c r="J69" s="537"/>
      <c r="K69" s="537"/>
      <c r="L69" s="537"/>
      <c r="M69" s="537"/>
      <c r="N69" s="537"/>
      <c r="O69" s="537"/>
      <c r="P69" s="537"/>
      <c r="Q69" s="537"/>
      <c r="R69" s="537"/>
      <c r="S69" s="537"/>
      <c r="T69" s="537"/>
      <c r="U69" s="537"/>
      <c r="W69" s="2">
        <v>21000.55</v>
      </c>
    </row>
    <row r="70" spans="2:23" hidden="1" x14ac:dyDescent="0.25">
      <c r="K70" s="75"/>
      <c r="W70" s="2">
        <v>21032.2</v>
      </c>
    </row>
    <row r="71" spans="2:23" hidden="1" x14ac:dyDescent="0.25">
      <c r="W71" s="2">
        <v>21115.8</v>
      </c>
    </row>
    <row r="72" spans="2:23" hidden="1" x14ac:dyDescent="0.25">
      <c r="K72" s="48"/>
      <c r="W72" s="2">
        <v>21204.99</v>
      </c>
    </row>
    <row r="73" spans="2:23" hidden="1" x14ac:dyDescent="0.25">
      <c r="K73" s="1"/>
      <c r="W73" s="2">
        <v>21227.57</v>
      </c>
    </row>
    <row r="74" spans="2:23" hidden="1" x14ac:dyDescent="0.25"/>
    <row r="75" spans="2:23" hidden="1" x14ac:dyDescent="0.25">
      <c r="K75" s="5"/>
    </row>
    <row r="76" spans="2:23" hidden="1" x14ac:dyDescent="0.25">
      <c r="K76" s="5"/>
    </row>
    <row r="77" spans="2:23" hidden="1" x14ac:dyDescent="0.25">
      <c r="K77" s="41"/>
    </row>
    <row r="78" spans="2:23" hidden="1" x14ac:dyDescent="0.25">
      <c r="B78" s="513" t="s">
        <v>112</v>
      </c>
      <c r="C78" s="514"/>
      <c r="D78" s="514"/>
      <c r="E78" s="514"/>
      <c r="F78" s="514"/>
      <c r="G78" s="515"/>
      <c r="H78" s="2"/>
      <c r="I78" s="2"/>
      <c r="J78" s="58" t="e">
        <f>G29-#REF!-G33-G35</f>
        <v>#REF!</v>
      </c>
    </row>
    <row r="79" spans="2:23" hidden="1" x14ac:dyDescent="0.25">
      <c r="B79" s="513" t="s">
        <v>113</v>
      </c>
      <c r="C79" s="514"/>
      <c r="D79" s="514"/>
      <c r="E79" s="514"/>
      <c r="F79" s="514"/>
      <c r="G79" s="515"/>
      <c r="H79" s="2"/>
      <c r="I79" s="2"/>
      <c r="J79" s="58">
        <f>Hoja15!R78</f>
        <v>0</v>
      </c>
    </row>
    <row r="80" spans="2:23" hidden="1" x14ac:dyDescent="0.25">
      <c r="B80" s="531" t="s">
        <v>114</v>
      </c>
      <c r="C80" s="532"/>
      <c r="D80" s="532"/>
      <c r="E80" s="532"/>
      <c r="F80" s="532"/>
      <c r="G80" s="532"/>
      <c r="H80" s="7"/>
      <c r="I80" s="44"/>
      <c r="J80" s="62">
        <f>G31-J79+T2</f>
        <v>0</v>
      </c>
    </row>
    <row r="81" spans="2:10" hidden="1" x14ac:dyDescent="0.25"/>
    <row r="82" spans="2:10" hidden="1" x14ac:dyDescent="0.25">
      <c r="B82" s="513" t="s">
        <v>115</v>
      </c>
      <c r="C82" s="514"/>
      <c r="D82" s="514"/>
      <c r="E82" s="514"/>
      <c r="F82" s="514"/>
      <c r="G82" s="515"/>
      <c r="H82" s="2"/>
      <c r="I82" s="2"/>
      <c r="J82" s="58">
        <f>K25+O25+S25</f>
        <v>97733658.271300822</v>
      </c>
    </row>
    <row r="83" spans="2:10" hidden="1" x14ac:dyDescent="0.25">
      <c r="B83" s="513" t="s">
        <v>116</v>
      </c>
      <c r="C83" s="514"/>
      <c r="D83" s="514"/>
      <c r="E83" s="514"/>
      <c r="F83" s="514"/>
      <c r="G83" s="515"/>
      <c r="H83" s="2"/>
      <c r="I83" s="2"/>
      <c r="J83" s="58">
        <f>M25+U25+Q25</f>
        <v>15056100.908521857</v>
      </c>
    </row>
    <row r="84" spans="2:10" hidden="1" x14ac:dyDescent="0.25">
      <c r="B84" s="54"/>
      <c r="C84" s="54"/>
      <c r="D84" s="54"/>
      <c r="E84" s="54"/>
      <c r="F84" s="54"/>
      <c r="G84" s="54"/>
      <c r="H84" s="2"/>
      <c r="I84" s="2"/>
      <c r="J84" s="59"/>
    </row>
    <row r="85" spans="2:10" hidden="1" x14ac:dyDescent="0.25">
      <c r="B85" s="513" t="s">
        <v>117</v>
      </c>
      <c r="C85" s="514"/>
      <c r="D85" s="514"/>
      <c r="E85" s="514"/>
      <c r="F85" s="514"/>
      <c r="G85" s="515"/>
      <c r="H85" s="2"/>
      <c r="J85" s="58">
        <f>AD25</f>
        <v>0</v>
      </c>
    </row>
    <row r="86" spans="2:10" hidden="1" x14ac:dyDescent="0.25">
      <c r="B86" s="516" t="s">
        <v>118</v>
      </c>
      <c r="C86" s="517"/>
      <c r="D86" s="517"/>
      <c r="E86" s="517"/>
      <c r="F86" s="517"/>
      <c r="G86" s="518"/>
      <c r="H86" s="2"/>
      <c r="J86" s="58">
        <f>(AH25-(AI25+AJ25))*C24</f>
        <v>23786153.999999996</v>
      </c>
    </row>
    <row r="87" spans="2:10" hidden="1" x14ac:dyDescent="0.25">
      <c r="B87" s="519" t="s">
        <v>89</v>
      </c>
      <c r="C87" s="520"/>
      <c r="D87" s="520"/>
      <c r="E87" s="520"/>
      <c r="F87" s="520"/>
      <c r="G87" s="521"/>
      <c r="H87" s="2"/>
      <c r="I87" s="43"/>
      <c r="J87" s="60">
        <v>0</v>
      </c>
    </row>
    <row r="88" spans="2:10" hidden="1" x14ac:dyDescent="0.25">
      <c r="B88" s="513" t="s">
        <v>119</v>
      </c>
      <c r="C88" s="514"/>
      <c r="D88" s="514"/>
      <c r="E88" s="514"/>
      <c r="F88" s="514"/>
      <c r="G88" s="515"/>
      <c r="H88" s="2"/>
      <c r="I88" s="2"/>
    </row>
    <row r="89" spans="2:10" hidden="1" x14ac:dyDescent="0.25">
      <c r="B89" s="69"/>
      <c r="C89" s="69"/>
      <c r="D89" s="69"/>
      <c r="E89" s="69"/>
      <c r="F89" s="69"/>
      <c r="G89" s="69"/>
      <c r="H89" s="2"/>
      <c r="I89" s="43"/>
      <c r="J89" s="48"/>
    </row>
    <row r="90" spans="2:10" hidden="1" x14ac:dyDescent="0.25">
      <c r="B90" s="533"/>
      <c r="C90" s="533"/>
      <c r="D90" s="533"/>
      <c r="E90" s="533"/>
      <c r="F90" s="533"/>
      <c r="G90" s="533"/>
      <c r="H90" s="2"/>
      <c r="I90" s="43"/>
      <c r="J90" s="61"/>
    </row>
    <row r="91" spans="2:10" hidden="1" x14ac:dyDescent="0.25">
      <c r="J91" s="123"/>
    </row>
    <row r="92" spans="2:10" hidden="1" x14ac:dyDescent="0.25">
      <c r="B92" s="513" t="s">
        <v>112</v>
      </c>
      <c r="C92" s="514"/>
      <c r="D92" s="514"/>
      <c r="E92" s="514"/>
      <c r="F92" s="514"/>
      <c r="G92" s="515"/>
      <c r="H92" s="2"/>
      <c r="I92" s="2"/>
      <c r="J92" s="58">
        <f>J82-G36-J85-J87</f>
        <v>97733658.271300822</v>
      </c>
    </row>
    <row r="93" spans="2:10" hidden="1" x14ac:dyDescent="0.25">
      <c r="B93" s="513" t="s">
        <v>113</v>
      </c>
      <c r="C93" s="514"/>
      <c r="D93" s="514"/>
      <c r="E93" s="514"/>
      <c r="F93" s="514"/>
      <c r="G93" s="515"/>
      <c r="H93" s="2"/>
      <c r="I93" s="2"/>
      <c r="J93" s="58">
        <f>Hoja15!R113</f>
        <v>15546727.696876477</v>
      </c>
    </row>
    <row r="94" spans="2:10" hidden="1" x14ac:dyDescent="0.25">
      <c r="B94" s="531" t="s">
        <v>114</v>
      </c>
      <c r="C94" s="532"/>
      <c r="D94" s="532"/>
      <c r="E94" s="532"/>
      <c r="F94" s="532"/>
      <c r="G94" s="532"/>
      <c r="H94" s="7"/>
      <c r="I94" s="44"/>
      <c r="J94" s="62">
        <f>J83-J93+AC58</f>
        <v>-490626.78835462034</v>
      </c>
    </row>
    <row r="95" spans="2:10" hidden="1" x14ac:dyDescent="0.25"/>
    <row r="96" spans="2:10" hidden="1" x14ac:dyDescent="0.25"/>
    <row r="97" spans="3:11" hidden="1" x14ac:dyDescent="0.25"/>
    <row r="98" spans="3:11" hidden="1" x14ac:dyDescent="0.25"/>
    <row r="99" spans="3:11" hidden="1" x14ac:dyDescent="0.25"/>
    <row r="100" spans="3:11" hidden="1" x14ac:dyDescent="0.25"/>
    <row r="101" spans="3:11" hidden="1" x14ac:dyDescent="0.25"/>
    <row r="102" spans="3:11" hidden="1" x14ac:dyDescent="0.25">
      <c r="C102" s="8" t="s">
        <v>120</v>
      </c>
    </row>
    <row r="103" spans="3:11" hidden="1" x14ac:dyDescent="0.25">
      <c r="C103" s="8" t="s">
        <v>121</v>
      </c>
      <c r="G103" s="8"/>
    </row>
    <row r="104" spans="3:11" hidden="1" x14ac:dyDescent="0.25">
      <c r="C104" s="38"/>
      <c r="G104" s="8"/>
    </row>
    <row r="105" spans="3:11" hidden="1" x14ac:dyDescent="0.25">
      <c r="C105" s="8"/>
      <c r="D105" s="38"/>
      <c r="E105" s="38"/>
      <c r="F105" s="38"/>
      <c r="G105" s="38"/>
      <c r="H105" s="38"/>
      <c r="I105" s="38"/>
      <c r="J105" s="38"/>
      <c r="K105" s="38"/>
    </row>
    <row r="106" spans="3:11" hidden="1" x14ac:dyDescent="0.25">
      <c r="G106" s="8"/>
    </row>
    <row r="107" spans="3:11" hidden="1" x14ac:dyDescent="0.25">
      <c r="C107" s="124">
        <f>STDEV(D13:D24)</f>
        <v>0</v>
      </c>
      <c r="F107" s="1"/>
      <c r="G107" s="8"/>
      <c r="I107" s="8">
        <f>J83-J93</f>
        <v>-490626.78835462034</v>
      </c>
    </row>
    <row r="108" spans="3:11" hidden="1" x14ac:dyDescent="0.25">
      <c r="G108" s="125">
        <f>IF((J85+J87)=0,J83,(J92*Hoja15!J114-Hoja15!K114))</f>
        <v>15056100.908521857</v>
      </c>
      <c r="I108" s="8">
        <f>IF((J85+J87)&gt;0,J83-J93,0)</f>
        <v>0</v>
      </c>
    </row>
    <row r="109" spans="3:11" hidden="1" x14ac:dyDescent="0.25">
      <c r="E109" s="104"/>
      <c r="G109" s="8">
        <f>J92*Hoja15!J114-Hoja15!K114</f>
        <v>14856860.914475448</v>
      </c>
      <c r="I109" s="1">
        <f>IF(C107&gt;0,1,0)</f>
        <v>0</v>
      </c>
      <c r="J109" s="1" t="str">
        <f>IF(I109=0,"FIJO","VARIABLE")</f>
        <v>FIJO</v>
      </c>
    </row>
    <row r="110" spans="3:11" ht="30.6" hidden="1" x14ac:dyDescent="0.25">
      <c r="C110" s="126" t="s">
        <v>122</v>
      </c>
      <c r="I110" s="1">
        <f>IF((J85+J87)&gt;0,1,0)</f>
        <v>0</v>
      </c>
      <c r="J110" s="1" t="str">
        <f>IF(I110=0,"NO HAY","SI HAY")</f>
        <v>NO HAY</v>
      </c>
    </row>
    <row r="111" spans="3:11" ht="20.399999999999999" hidden="1" x14ac:dyDescent="0.25">
      <c r="C111" s="126" t="s">
        <v>123</v>
      </c>
      <c r="D111" s="126"/>
      <c r="E111" s="126"/>
      <c r="F111" s="126"/>
      <c r="G111" s="125">
        <f>M25</f>
        <v>15056100.908521857</v>
      </c>
    </row>
    <row r="112" spans="3:11" ht="30.6" hidden="1" x14ac:dyDescent="0.25">
      <c r="C112" s="126" t="s">
        <v>117</v>
      </c>
      <c r="D112" s="126"/>
      <c r="E112" s="126"/>
      <c r="F112" s="126"/>
      <c r="G112" s="125">
        <f>K25</f>
        <v>97733658.271300822</v>
      </c>
      <c r="I112" s="14">
        <f>IF((I109+I110)=0,0,IF(I110=0,0,J83-J93))</f>
        <v>0</v>
      </c>
    </row>
    <row r="113" spans="3:7" ht="30.6" hidden="1" x14ac:dyDescent="0.25">
      <c r="C113" s="127" t="s">
        <v>89</v>
      </c>
      <c r="D113" s="128"/>
      <c r="E113" s="128"/>
      <c r="F113" s="128"/>
      <c r="G113" s="129">
        <v>0</v>
      </c>
    </row>
    <row r="114" spans="3:7" hidden="1" x14ac:dyDescent="0.25">
      <c r="C114" s="54"/>
      <c r="D114" s="69"/>
      <c r="E114" s="69"/>
      <c r="F114" s="69"/>
      <c r="G114" s="6"/>
    </row>
    <row r="115" spans="3:7" hidden="1" x14ac:dyDescent="0.25"/>
    <row r="116" spans="3:7" hidden="1" x14ac:dyDescent="0.25"/>
    <row r="117" spans="3:7" hidden="1" x14ac:dyDescent="0.25"/>
    <row r="118" spans="3:7" hidden="1" x14ac:dyDescent="0.25"/>
    <row r="119" spans="3:7" hidden="1" x14ac:dyDescent="0.25"/>
    <row r="120" spans="3:7" hidden="1" x14ac:dyDescent="0.25"/>
    <row r="121" spans="3:7" hidden="1" x14ac:dyDescent="0.25"/>
    <row r="122" spans="3:7" hidden="1" x14ac:dyDescent="0.25"/>
    <row r="123" spans="3:7" hidden="1" x14ac:dyDescent="0.25"/>
    <row r="124" spans="3:7" hidden="1" x14ac:dyDescent="0.25"/>
    <row r="125" spans="3:7" hidden="1" x14ac:dyDescent="0.25"/>
    <row r="126" spans="3:7" hidden="1" x14ac:dyDescent="0.25"/>
    <row r="127" spans="3:7" ht="13.5" customHeight="1" x14ac:dyDescent="0.25"/>
  </sheetData>
  <sheetProtection password="CFC3" sheet="1"/>
  <mergeCells count="120">
    <mergeCell ref="X58:AB58"/>
    <mergeCell ref="AC58:AD58"/>
    <mergeCell ref="B67:U69"/>
    <mergeCell ref="B78:G78"/>
    <mergeCell ref="B79:G79"/>
    <mergeCell ref="B80:G80"/>
    <mergeCell ref="U38:U40"/>
    <mergeCell ref="B47:D47"/>
    <mergeCell ref="B48:D48"/>
    <mergeCell ref="B49:D49"/>
    <mergeCell ref="B50:D50"/>
    <mergeCell ref="B51:D51"/>
    <mergeCell ref="B53:D53"/>
    <mergeCell ref="X54:AB54"/>
    <mergeCell ref="AC54:AD54"/>
    <mergeCell ref="X55:AB55"/>
    <mergeCell ref="AC55:AD55"/>
    <mergeCell ref="X56:AB56"/>
    <mergeCell ref="AC56:AD56"/>
    <mergeCell ref="X57:AB57"/>
    <mergeCell ref="AC57:AD57"/>
    <mergeCell ref="B94:G94"/>
    <mergeCell ref="B82:G82"/>
    <mergeCell ref="B83:G83"/>
    <mergeCell ref="B85:G85"/>
    <mergeCell ref="B86:G86"/>
    <mergeCell ref="B87:G87"/>
    <mergeCell ref="B88:G88"/>
    <mergeCell ref="B90:G90"/>
    <mergeCell ref="B92:G92"/>
    <mergeCell ref="B93:G93"/>
    <mergeCell ref="L34:T34"/>
    <mergeCell ref="M22:N22"/>
    <mergeCell ref="O22:P22"/>
    <mergeCell ref="S22:T22"/>
    <mergeCell ref="K23:L23"/>
    <mergeCell ref="B52:D52"/>
    <mergeCell ref="B29:F29"/>
    <mergeCell ref="B30:F30"/>
    <mergeCell ref="B31:F31"/>
    <mergeCell ref="B33:F33"/>
    <mergeCell ref="B34:F34"/>
    <mergeCell ref="B35:F35"/>
    <mergeCell ref="B36:F36"/>
    <mergeCell ref="L36:T36"/>
    <mergeCell ref="K24:L24"/>
    <mergeCell ref="M24:N24"/>
    <mergeCell ref="O24:P24"/>
    <mergeCell ref="S24:T24"/>
    <mergeCell ref="K25:L25"/>
    <mergeCell ref="K26:L26"/>
    <mergeCell ref="M26:N26"/>
    <mergeCell ref="L35:T35"/>
    <mergeCell ref="L37:T37"/>
    <mergeCell ref="L38:T40"/>
    <mergeCell ref="M23:N23"/>
    <mergeCell ref="O23:P23"/>
    <mergeCell ref="S23:T23"/>
    <mergeCell ref="M25:N25"/>
    <mergeCell ref="O25:P25"/>
    <mergeCell ref="S25:T25"/>
    <mergeCell ref="K21:L21"/>
    <mergeCell ref="M21:N21"/>
    <mergeCell ref="O21:P21"/>
    <mergeCell ref="S21:T21"/>
    <mergeCell ref="K22:L22"/>
    <mergeCell ref="K18:L18"/>
    <mergeCell ref="M18:N18"/>
    <mergeCell ref="O18:P18"/>
    <mergeCell ref="S18:T18"/>
    <mergeCell ref="K19:L19"/>
    <mergeCell ref="M19:N19"/>
    <mergeCell ref="O19:P19"/>
    <mergeCell ref="S19:T19"/>
    <mergeCell ref="K20:L20"/>
    <mergeCell ref="M20:N20"/>
    <mergeCell ref="O20:P20"/>
    <mergeCell ref="S20:T20"/>
    <mergeCell ref="B11:B12"/>
    <mergeCell ref="D11:D12"/>
    <mergeCell ref="E11:E12"/>
    <mergeCell ref="F11:F12"/>
    <mergeCell ref="K11:L12"/>
    <mergeCell ref="M11:N12"/>
    <mergeCell ref="S13:T13"/>
    <mergeCell ref="K14:L14"/>
    <mergeCell ref="M14:N14"/>
    <mergeCell ref="O14:P14"/>
    <mergeCell ref="S14:T14"/>
    <mergeCell ref="K13:L13"/>
    <mergeCell ref="M13:N13"/>
    <mergeCell ref="O13:P13"/>
    <mergeCell ref="K17:L17"/>
    <mergeCell ref="M17:N17"/>
    <mergeCell ref="O17:P17"/>
    <mergeCell ref="S17:T17"/>
    <mergeCell ref="O16:P16"/>
    <mergeCell ref="S16:T16"/>
    <mergeCell ref="K15:L15"/>
    <mergeCell ref="M15:N15"/>
    <mergeCell ref="O15:P15"/>
    <mergeCell ref="S15:T15"/>
    <mergeCell ref="K16:L16"/>
    <mergeCell ref="M16:N16"/>
    <mergeCell ref="T4:U5"/>
    <mergeCell ref="U11:U12"/>
    <mergeCell ref="O11:P12"/>
    <mergeCell ref="HM5:HO6"/>
    <mergeCell ref="HP5:HQ6"/>
    <mergeCell ref="Q7:S8"/>
    <mergeCell ref="T7:U8"/>
    <mergeCell ref="F10:G10"/>
    <mergeCell ref="H10:I10"/>
    <mergeCell ref="AB10:AC10"/>
    <mergeCell ref="AD10:AE10"/>
    <mergeCell ref="Q11:Q12"/>
    <mergeCell ref="S11:T12"/>
    <mergeCell ref="K4:M5"/>
    <mergeCell ref="N4:O5"/>
    <mergeCell ref="Q4:S5"/>
  </mergeCells>
  <conditionalFormatting sqref="C6:C9 E9">
    <cfRule type="expression" dxfId="13" priority="2" stopIfTrue="1">
      <formula>$AG$12&gt;0</formula>
    </cfRule>
  </conditionalFormatting>
  <conditionalFormatting sqref="E13:E25">
    <cfRule type="expression" dxfId="12" priority="1" stopIfTrue="1">
      <formula>$X$6=0</formula>
    </cfRule>
  </conditionalFormatting>
  <conditionalFormatting sqref="G13:G24">
    <cfRule type="expression" dxfId="11" priority="13" stopIfTrue="1">
      <formula>$AC$13&gt;$F$13</formula>
    </cfRule>
  </conditionalFormatting>
  <conditionalFormatting sqref="G14">
    <cfRule type="expression" dxfId="10" priority="14" stopIfTrue="1">
      <formula>$AC$14&gt;$F$14</formula>
    </cfRule>
  </conditionalFormatting>
  <conditionalFormatting sqref="G15">
    <cfRule type="expression" dxfId="9" priority="12" stopIfTrue="1">
      <formula>$AC$15&gt;$F$15</formula>
    </cfRule>
  </conditionalFormatting>
  <conditionalFormatting sqref="G16">
    <cfRule type="expression" dxfId="8" priority="10" stopIfTrue="1">
      <formula>$AC$16&gt;$F$16</formula>
    </cfRule>
  </conditionalFormatting>
  <conditionalFormatting sqref="G17">
    <cfRule type="expression" dxfId="7" priority="11" stopIfTrue="1">
      <formula>$AC$17&gt;$F$17</formula>
    </cfRule>
  </conditionalFormatting>
  <conditionalFormatting sqref="G18">
    <cfRule type="expression" dxfId="6" priority="9" stopIfTrue="1">
      <formula>$AC$18&gt;$F$18</formula>
    </cfRule>
  </conditionalFormatting>
  <conditionalFormatting sqref="G19">
    <cfRule type="expression" dxfId="5" priority="8" stopIfTrue="1">
      <formula>$AC$19&gt;$F$19</formula>
    </cfRule>
  </conditionalFormatting>
  <conditionalFormatting sqref="G20">
    <cfRule type="expression" dxfId="4" priority="7" stopIfTrue="1">
      <formula>$AC$20&gt;$F$20</formula>
    </cfRule>
  </conditionalFormatting>
  <conditionalFormatting sqref="G21">
    <cfRule type="expression" dxfId="3" priority="6" stopIfTrue="1">
      <formula>$AC$21&gt;$F$21</formula>
    </cfRule>
  </conditionalFormatting>
  <conditionalFormatting sqref="G22">
    <cfRule type="expression" dxfId="2" priority="5" stopIfTrue="1">
      <formula>$AC$22&gt;$F$22</formula>
    </cfRule>
  </conditionalFormatting>
  <conditionalFormatting sqref="G23">
    <cfRule type="expression" dxfId="1" priority="4" stopIfTrue="1">
      <formula>$AC$23&gt;$F$23</formula>
    </cfRule>
  </conditionalFormatting>
  <conditionalFormatting sqref="G24">
    <cfRule type="expression" dxfId="0" priority="3" stopIfTrue="1">
      <formula>$AC$24&gt;$F$24</formula>
    </cfRule>
  </conditionalFormatting>
  <dataValidations count="4">
    <dataValidation type="list" allowBlank="1" showInputMessage="1" showErrorMessage="1" sqref="N4 L6" xr:uid="{F628E7D9-0412-4D65-930F-A4F8B89E59AA}">
      <formula1>$W$34:$W$36</formula1>
    </dataValidation>
    <dataValidation type="custom" allowBlank="1" showInputMessage="1" showErrorMessage="1" error="APV directo supera máximo anual permitido._x000a_" sqref="J87 G37 U34:U36 G114 J89:J90" xr:uid="{9656AF1F-5FC7-4E8D-850D-8AE93A40E50D}">
      <formula1>G34&lt;(#REF!+1)</formula1>
    </dataValidation>
    <dataValidation type="list" allowBlank="1" showInputMessage="1" showErrorMessage="1" sqref="HP5:HQ6 P9" xr:uid="{A0B064AE-6D57-4A88-9F14-1DC4455BB394}">
      <formula1>$AH$39:$AH$40</formula1>
    </dataValidation>
    <dataValidation type="custom" allowBlank="1" showInputMessage="1" showErrorMessage="1" error="APV directo supera máximo anual permitido._x000a_" sqref="G35" xr:uid="{492E40E7-6B65-4709-849B-13E74F3E74E4}">
      <formula1>G35&lt;(G34+1)</formula1>
    </dataValidation>
  </dataValidations>
  <pageMargins left="0.7" right="0.7" top="0.75" bottom="0.75" header="0.3" footer="0.3"/>
  <pageSetup orientation="portrait" r:id="rId1"/>
  <headerFooter>
    <oddFooter>&amp;C&amp;1#&amp;"Calibri"&amp;10&amp;K000000Uso Interno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75201" r:id="rId4" name="Drop Down 1">
              <controlPr locked="0" defaultSize="0" autoLine="0" autoPict="0">
                <anchor moveWithCells="1">
                  <from>
                    <xdr:col>6</xdr:col>
                    <xdr:colOff>0</xdr:colOff>
                    <xdr:row>11</xdr:row>
                    <xdr:rowOff>0</xdr:rowOff>
                  </from>
                  <to>
                    <xdr:col>7</xdr:col>
                    <xdr:colOff>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202" r:id="rId5" name="Drop Down 2">
              <controlPr locked="0" defaultSize="0" autoLine="0" autoPict="0">
                <anchor moveWithCells="1">
                  <from>
                    <xdr:col>9</xdr:col>
                    <xdr:colOff>0</xdr:colOff>
                    <xdr:row>11</xdr:row>
                    <xdr:rowOff>0</xdr:rowOff>
                  </from>
                  <to>
                    <xdr:col>11</xdr:col>
                    <xdr:colOff>0</xdr:colOff>
                    <xdr:row>12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B3486-7A07-426F-9C08-8EE224B3203A}">
  <dimension ref="E2:Y28"/>
  <sheetViews>
    <sheetView topLeftCell="G1" zoomScale="79" zoomScaleNormal="90" workbookViewId="0">
      <selection activeCell="X20" sqref="X20"/>
    </sheetView>
  </sheetViews>
  <sheetFormatPr baseColWidth="10" defaultColWidth="8.77734375" defaultRowHeight="13.2" x14ac:dyDescent="0.25"/>
  <cols>
    <col min="1" max="4" width="11.44140625" customWidth="1"/>
    <col min="5" max="5" width="24.77734375" customWidth="1"/>
    <col min="6" max="6" width="22.21875" customWidth="1"/>
    <col min="7" max="7" width="18.21875" customWidth="1"/>
    <col min="8" max="8" width="18.44140625" customWidth="1"/>
    <col min="9" max="9" width="20.77734375" customWidth="1"/>
    <col min="10" max="11" width="11.44140625" customWidth="1"/>
    <col min="12" max="12" width="2.5546875" customWidth="1"/>
    <col min="13" max="13" width="16.77734375" customWidth="1"/>
    <col min="14" max="16" width="2.5546875" customWidth="1"/>
    <col min="17" max="33" width="8.77734375" customWidth="1"/>
    <col min="34" max="59" width="2.5546875" customWidth="1"/>
    <col min="60" max="60" width="10" customWidth="1"/>
    <col min="61" max="256" width="11.44140625" customWidth="1"/>
  </cols>
  <sheetData>
    <row r="2" spans="5:25" x14ac:dyDescent="0.25">
      <c r="G2" s="199">
        <f>F3+F4</f>
        <v>88002956.897619992</v>
      </c>
      <c r="H2">
        <v>0</v>
      </c>
      <c r="R2" t="s">
        <v>44</v>
      </c>
      <c r="S2" t="s">
        <v>249</v>
      </c>
      <c r="T2" t="s">
        <v>250</v>
      </c>
      <c r="U2" t="s">
        <v>51</v>
      </c>
      <c r="W2" t="s">
        <v>251</v>
      </c>
      <c r="X2" t="s">
        <v>252</v>
      </c>
      <c r="Y2" t="s">
        <v>253</v>
      </c>
    </row>
    <row r="3" spans="5:25" x14ac:dyDescent="0.25">
      <c r="E3" s="141" t="s">
        <v>254</v>
      </c>
      <c r="F3" s="199">
        <f>Hoja14!N26</f>
        <v>88002956.897619992</v>
      </c>
      <c r="G3" s="225">
        <f>R16</f>
        <v>89358140.646076918</v>
      </c>
      <c r="Q3" t="str">
        <f>Hoja15!B6</f>
        <v>Enero</v>
      </c>
      <c r="R3">
        <f>Hoja14!N14/Hoja15!C6</f>
        <v>83.236546829109145</v>
      </c>
      <c r="S3">
        <f>Hoja14!R14/Hoja15!C6</f>
        <v>0</v>
      </c>
      <c r="T3">
        <f>Hoja14!V14/Hoja15!C6</f>
        <v>0</v>
      </c>
      <c r="U3">
        <f>Hoja14!AG14/Hoja15!C6</f>
        <v>0</v>
      </c>
      <c r="W3">
        <f>Hoja14!P14/Hoja15!C6</f>
        <v>8.0044057706951044</v>
      </c>
      <c r="X3">
        <f>Hoja14!T14/Hoja15!C6</f>
        <v>0</v>
      </c>
      <c r="Y3">
        <f>Hoja14!X14/Hoja15!C6</f>
        <v>0</v>
      </c>
    </row>
    <row r="4" spans="5:25" x14ac:dyDescent="0.25">
      <c r="E4" s="141" t="s">
        <v>255</v>
      </c>
      <c r="F4" s="199">
        <f>Hoja14!R26</f>
        <v>0</v>
      </c>
      <c r="G4" s="225">
        <f>S16</f>
        <v>0</v>
      </c>
      <c r="Q4" t="str">
        <f>Hoja15!B7</f>
        <v> Febrero</v>
      </c>
      <c r="R4">
        <f>Hoja14!N15/Hoja15!C7</f>
        <v>83.261978196570269</v>
      </c>
      <c r="S4">
        <f>Hoja14!R15/Hoja15!C7</f>
        <v>0</v>
      </c>
      <c r="T4">
        <f>Hoja14!V15/Hoja15!C7</f>
        <v>0</v>
      </c>
      <c r="U4">
        <f>Hoja14!AG15/Hoja15!C7</f>
        <v>0</v>
      </c>
      <c r="W4">
        <f>Hoja14!P15/Hoja15!C7</f>
        <v>8.010254985211164</v>
      </c>
      <c r="X4">
        <f>Hoja14!T15/Hoja15!C7</f>
        <v>0</v>
      </c>
      <c r="Y4">
        <f>Hoja14!X15/Hoja15!C7</f>
        <v>0</v>
      </c>
    </row>
    <row r="5" spans="5:25" x14ac:dyDescent="0.25">
      <c r="E5" s="141" t="s">
        <v>256</v>
      </c>
      <c r="F5" s="199">
        <f>Hoja14!V26-(MIN(30%*Hoja14!V26,Hoja5!I5))</f>
        <v>0</v>
      </c>
      <c r="G5" s="225">
        <f>T16</f>
        <v>0</v>
      </c>
      <c r="H5" s="141" t="s">
        <v>257</v>
      </c>
      <c r="I5" s="199">
        <f>15*Hoja15!C17*12</f>
        <v>12517560</v>
      </c>
      <c r="J5">
        <f>Hoja14!V26*30%</f>
        <v>0</v>
      </c>
      <c r="M5">
        <f>1.667*(250-L8)/100</f>
        <v>2.4095584065704596</v>
      </c>
      <c r="Q5" t="str">
        <f>Hoja15!B8</f>
        <v> Marzo</v>
      </c>
      <c r="R5">
        <f>Hoja14!N16/Hoja15!C8</f>
        <v>390.89475115295295</v>
      </c>
      <c r="S5">
        <f>Hoja14!R16/Hoja15!C8</f>
        <v>0</v>
      </c>
      <c r="T5">
        <f>Hoja14!V16/Hoja15!C8</f>
        <v>0</v>
      </c>
      <c r="U5">
        <f>Hoja14!AG16/Hoja15!C8</f>
        <v>0</v>
      </c>
      <c r="W5">
        <f>Hoja14!P16/Hoja15!C8</f>
        <v>117.53790046118118</v>
      </c>
      <c r="X5">
        <f>Hoja14!T16/Hoja15!C8</f>
        <v>0</v>
      </c>
      <c r="Y5">
        <f>Hoja14!X16/Hoja15!C8</f>
        <v>0</v>
      </c>
    </row>
    <row r="6" spans="5:25" x14ac:dyDescent="0.25">
      <c r="E6" s="141" t="s">
        <v>258</v>
      </c>
      <c r="F6" s="199">
        <f>F3+F4+F5</f>
        <v>88002956.897619992</v>
      </c>
      <c r="G6" s="199">
        <f>G3+G4+G5</f>
        <v>89358140.646076918</v>
      </c>
      <c r="Q6" t="str">
        <f>Hoja15!B9</f>
        <v> Abril</v>
      </c>
      <c r="R6">
        <f>Hoja14!N17/Hoja15!C9</f>
        <v>81.802187657599632</v>
      </c>
      <c r="S6">
        <f>Hoja14!R17/Hoja15!C9</f>
        <v>0</v>
      </c>
      <c r="T6">
        <f>Hoja14!V17/Hoja15!C9</f>
        <v>0</v>
      </c>
      <c r="U6">
        <f>Hoja14!AG17/Hoja15!C9</f>
        <v>0</v>
      </c>
      <c r="W6">
        <f>Hoja14!P17/Hoja15!C9</f>
        <v>7.6745031612479151</v>
      </c>
      <c r="X6">
        <f>Hoja14!T17/Hoja15!C9</f>
        <v>0</v>
      </c>
      <c r="Y6">
        <f>Hoja14!X17/Hoja15!C9</f>
        <v>0</v>
      </c>
    </row>
    <row r="7" spans="5:25" x14ac:dyDescent="0.25">
      <c r="E7" s="141" t="s">
        <v>259</v>
      </c>
      <c r="F7" s="199">
        <f>F6-Hoja14!J272-Hoja14!J34</f>
        <v>88002956.897619992</v>
      </c>
      <c r="G7" s="225">
        <f>G6-(U16+Hoja14!J34)</f>
        <v>89358140.646076918</v>
      </c>
      <c r="H7" s="141" t="s">
        <v>260</v>
      </c>
      <c r="I7" s="199">
        <f>Hoja14!J272+Hoja14!J34</f>
        <v>0</v>
      </c>
      <c r="Q7" t="str">
        <f>Hoja15!B10</f>
        <v> Mayo</v>
      </c>
      <c r="R7">
        <f>Hoja14!N18/Hoja15!C10</f>
        <v>81.334607567591192</v>
      </c>
      <c r="S7">
        <f>Hoja14!R18/Hoja15!C10</f>
        <v>0</v>
      </c>
      <c r="T7">
        <f>Hoja14!V18/Hoja15!C10</f>
        <v>0</v>
      </c>
      <c r="U7">
        <f>Hoja14!AG18/Hoja15!C10</f>
        <v>0</v>
      </c>
      <c r="W7">
        <f>Hoja14!P18/Hoja15!C10</f>
        <v>7.5669597405459745</v>
      </c>
      <c r="X7">
        <f>Hoja14!T18/Hoja15!C10</f>
        <v>0</v>
      </c>
      <c r="Y7">
        <f>Hoja14!X18/Hoja15!C10</f>
        <v>0</v>
      </c>
    </row>
    <row r="8" spans="5:25" x14ac:dyDescent="0.25">
      <c r="E8" s="141" t="s">
        <v>261</v>
      </c>
      <c r="F8" s="199">
        <f>F7-I8</f>
        <v>88002956.897619992</v>
      </c>
      <c r="G8" s="225">
        <f>G7-Hoja14!R5</f>
        <v>89358140.646076918</v>
      </c>
      <c r="H8" s="141" t="s">
        <v>262</v>
      </c>
      <c r="I8" s="199">
        <f>MIN(8*Hoja15!C17*12,Hoja5!M8*Hoja14!P5)</f>
        <v>0</v>
      </c>
      <c r="K8" s="141"/>
      <c r="L8">
        <f>F7/(Hoja15!C17*12)</f>
        <v>105.45540452486746</v>
      </c>
      <c r="M8" s="198">
        <f>IF(L8&lt;=90,100%,IF(L8&gt;150,0%,(250-L8*1.667)/100))</f>
        <v>0.74205840657045941</v>
      </c>
      <c r="Q8" t="str">
        <f>Hoja15!B11</f>
        <v> Junio</v>
      </c>
      <c r="R8">
        <f>Hoja14!N19/Hoja15!C11</f>
        <v>81.131823621138324</v>
      </c>
      <c r="S8">
        <f>Hoja14!R19/Hoja15!C11</f>
        <v>0</v>
      </c>
      <c r="T8">
        <f>Hoja14!V19/Hoja15!C11</f>
        <v>0</v>
      </c>
      <c r="U8">
        <f>Hoja14!AG19/Hoja15!C11</f>
        <v>0</v>
      </c>
      <c r="W8">
        <f>Hoja14!P19/Hoja15!C11</f>
        <v>7.5203194328618155</v>
      </c>
      <c r="X8">
        <f>Hoja14!T19/Hoja15!C11</f>
        <v>0</v>
      </c>
      <c r="Y8">
        <f>Hoja14!X19/Hoja15!C11</f>
        <v>0</v>
      </c>
    </row>
    <row r="9" spans="5:25" x14ac:dyDescent="0.25">
      <c r="E9" s="141" t="s">
        <v>263</v>
      </c>
      <c r="F9" s="199">
        <f>(F8*VLOOKUP(F8,Hoja15!$J$105:$M$112,3))-(VLOOKUP(F8,Hoja15!$J$105:$M$112,4))</f>
        <v>11898727.696876477</v>
      </c>
      <c r="G9" s="199">
        <f>(G8*VLOOKUP(G8,Hoja15!$J$105:$M$112,3))-(VLOOKUP(G8,Hoja15!$J$105:$M$112,4))</f>
        <v>12310703.556407385</v>
      </c>
      <c r="Q9" t="str">
        <f>Hoja15!B12</f>
        <v> Julio</v>
      </c>
      <c r="R9">
        <f>Hoja14!N20/Hoja15!C12</f>
        <v>81.015560909130485</v>
      </c>
      <c r="S9">
        <f>Hoja14!R20/Hoja15!C12</f>
        <v>0</v>
      </c>
      <c r="T9">
        <f>Hoja14!V20/Hoja15!C12</f>
        <v>0</v>
      </c>
      <c r="U9">
        <f>Hoja14!AG20/Hoja15!C12</f>
        <v>0</v>
      </c>
      <c r="W9">
        <f>Hoja14!P20/Hoja15!C12</f>
        <v>7.4935790091000101</v>
      </c>
      <c r="X9">
        <f>Hoja14!T20/Hoja15!C12</f>
        <v>0</v>
      </c>
      <c r="Y9">
        <f>Hoja14!X20/Hoja15!C12</f>
        <v>0</v>
      </c>
    </row>
    <row r="10" spans="5:25" x14ac:dyDescent="0.25">
      <c r="E10" s="141" t="s">
        <v>264</v>
      </c>
      <c r="F10" s="199">
        <f>Hoja14!P26+Hoja14!T26+Hoja14!X26</f>
        <v>13702706.461442402</v>
      </c>
      <c r="G10" s="225">
        <f>W16+X16+Y16</f>
        <v>13952287.701993063</v>
      </c>
      <c r="L10">
        <f>8*Hoja15!C17*12</f>
        <v>6676032</v>
      </c>
      <c r="Q10" t="str">
        <f>Hoja15!B13</f>
        <v> Agosto</v>
      </c>
      <c r="R10">
        <f>Hoja14!N21/Hoja15!C13</f>
        <v>81.233842000087407</v>
      </c>
      <c r="S10">
        <f>Hoja14!R21/Hoja15!C13</f>
        <v>0</v>
      </c>
      <c r="T10">
        <f>Hoja14!V21/Hoja15!C13</f>
        <v>0</v>
      </c>
      <c r="U10">
        <f>Hoja14!AG21/Hoja15!C13</f>
        <v>0</v>
      </c>
      <c r="W10">
        <f>Hoja14!P21/Hoja15!C13</f>
        <v>7.5437836600201038</v>
      </c>
      <c r="X10">
        <f>Hoja14!T21/Hoja15!C13</f>
        <v>0</v>
      </c>
      <c r="Y10">
        <f>Hoja14!X21/Hoja15!C13</f>
        <v>0</v>
      </c>
    </row>
    <row r="11" spans="5:25" x14ac:dyDescent="0.25">
      <c r="F11" s="199">
        <f>(F9-F10)*F19</f>
        <v>-1803978.7645659242</v>
      </c>
      <c r="G11" s="199">
        <f>(G9-G10)</f>
        <v>-1641584.1455856785</v>
      </c>
      <c r="Q11" t="str">
        <f>Hoja15!B14</f>
        <v> Septiembre</v>
      </c>
      <c r="R11">
        <f>Hoja14!N22/Hoja15!C14</f>
        <v>80.455521476936411</v>
      </c>
      <c r="S11">
        <f>Hoja14!R22/Hoja15!C14</f>
        <v>0</v>
      </c>
      <c r="T11">
        <f>Hoja14!V22/Hoja15!C14</f>
        <v>0</v>
      </c>
      <c r="U11">
        <f>Hoja14!AG22/Hoja15!C14</f>
        <v>0</v>
      </c>
      <c r="W11">
        <f>Hoja14!P22/Hoja15!C14</f>
        <v>7.364769939695373</v>
      </c>
      <c r="X11">
        <f>Hoja14!T22/Hoja15!C14</f>
        <v>0</v>
      </c>
      <c r="Y11">
        <f>Hoja14!X22/Hoja15!C14</f>
        <v>0</v>
      </c>
    </row>
    <row r="12" spans="5:25" x14ac:dyDescent="0.25">
      <c r="Q12" t="str">
        <f>Hoja15!B15</f>
        <v> Octubre</v>
      </c>
      <c r="R12">
        <f>Hoja14!N23/Hoja15!C15</f>
        <v>80.455521476936411</v>
      </c>
      <c r="S12">
        <f>Hoja14!R23/Hoja15!C15</f>
        <v>0</v>
      </c>
      <c r="T12">
        <f>Hoja14!V23/Hoja15!C15</f>
        <v>0</v>
      </c>
      <c r="U12">
        <f>Hoja14!AG23/Hoja15!C15</f>
        <v>0</v>
      </c>
      <c r="W12">
        <f>Hoja14!P23/Hoja15!C15</f>
        <v>7.364769939695373</v>
      </c>
      <c r="X12">
        <f>Hoja14!T23/Hoja15!C15</f>
        <v>0</v>
      </c>
      <c r="Y12">
        <f>Hoja14!X23/Hoja15!C15</f>
        <v>0</v>
      </c>
    </row>
    <row r="13" spans="5:25" x14ac:dyDescent="0.25">
      <c r="Q13" t="str">
        <f>Hoja15!B16</f>
        <v> Noviembre</v>
      </c>
      <c r="R13">
        <f>Hoja14!N24/Hoja15!C16</f>
        <v>80.076825805700167</v>
      </c>
      <c r="S13">
        <f>Hoja14!R24/Hoja15!C16</f>
        <v>0</v>
      </c>
      <c r="T13">
        <f>Hoja14!V24/Hoja15!C16</f>
        <v>0</v>
      </c>
      <c r="U13">
        <f>Hoja14!AG24/Hoja15!C16</f>
        <v>0</v>
      </c>
      <c r="W13">
        <f>Hoja14!P24/Hoja15!C16</f>
        <v>7.2776699353110379</v>
      </c>
      <c r="X13">
        <f>Hoja14!T24/Hoja15!C16</f>
        <v>0</v>
      </c>
      <c r="Y13">
        <f>Hoja14!X24/Hoja15!C16</f>
        <v>0</v>
      </c>
    </row>
    <row r="14" spans="5:25" x14ac:dyDescent="0.25">
      <c r="F14" s="199"/>
      <c r="Q14" t="str">
        <f>Hoja15!B17</f>
        <v> Diciembre</v>
      </c>
      <c r="R14">
        <f>Hoja14!N25/Hoja15!C17</f>
        <v>80.052957865175003</v>
      </c>
      <c r="S14">
        <f>Hoja14!R25/Hoja15!C17</f>
        <v>0</v>
      </c>
      <c r="T14">
        <f>Hoja14!V25/Hoja15!C17</f>
        <v>0</v>
      </c>
      <c r="U14">
        <f>Hoja14!AG25/Hoja15!C17</f>
        <v>0</v>
      </c>
      <c r="W14">
        <f>Hoja14!P25/Hoja15!C17</f>
        <v>7.2721803089902508</v>
      </c>
      <c r="X14">
        <f>Hoja14!T25/Hoja15!C17</f>
        <v>0</v>
      </c>
      <c r="Y14">
        <f>Hoja14!X25/Hoja15!C17</f>
        <v>0</v>
      </c>
    </row>
    <row r="15" spans="5:25" x14ac:dyDescent="0.25">
      <c r="F15" s="210">
        <f>IF(Hoja14!P5+Hoja14!R26+Hoja14!V26+Hoja14!J26+Hoja14!K26+Hoja14!J34+Hoja14!R7=0,1,0)</f>
        <v>0</v>
      </c>
      <c r="R15">
        <f>SUM(R3:R14)</f>
        <v>1284.9521245589272</v>
      </c>
      <c r="S15">
        <f>SUM(S3:S14)</f>
        <v>0</v>
      </c>
      <c r="T15">
        <f>SUM(T3:T14)</f>
        <v>0</v>
      </c>
      <c r="U15">
        <f>SUM(U3:U14)</f>
        <v>0</v>
      </c>
      <c r="W15">
        <f>SUM(W3:W14)</f>
        <v>200.63109634455529</v>
      </c>
      <c r="X15">
        <f>SUM(X3:X14)</f>
        <v>0</v>
      </c>
      <c r="Y15">
        <f>SUM(Y3:Y14)</f>
        <v>0</v>
      </c>
    </row>
    <row r="16" spans="5:25" x14ac:dyDescent="0.25">
      <c r="R16" s="224">
        <f>Hoja15!$C$17*Hoja5!R15</f>
        <v>89358140.646076918</v>
      </c>
      <c r="S16" s="224">
        <f>Hoja15!$C$17*Hoja5!S15</f>
        <v>0</v>
      </c>
      <c r="T16" s="224">
        <f>Hoja15!$C$17*Hoja5!T15</f>
        <v>0</v>
      </c>
      <c r="U16" s="224">
        <f>Hoja15!$C$17*Hoja5!U15</f>
        <v>0</v>
      </c>
      <c r="W16" s="224">
        <f>Hoja15!$C$17*Hoja5!W15</f>
        <v>13952287.701993063</v>
      </c>
      <c r="X16" s="224">
        <f>Hoja15!$C$17*Hoja5!X15</f>
        <v>0</v>
      </c>
      <c r="Y16" s="224">
        <f>Hoja15!$C$17*Hoja5!Y15</f>
        <v>0</v>
      </c>
    </row>
    <row r="17" spans="5:13" x14ac:dyDescent="0.25">
      <c r="F17">
        <f>IF(Hoja14!G14=AVERAGE(Hoja14!G14:G25),1,0)</f>
        <v>0</v>
      </c>
      <c r="H17" s="199">
        <f>F8</f>
        <v>88002956.897619992</v>
      </c>
      <c r="I17" s="199">
        <f>F9</f>
        <v>11898727.696876477</v>
      </c>
    </row>
    <row r="18" spans="5:13" x14ac:dyDescent="0.25">
      <c r="H18" s="199">
        <f>H17+Hoja14!P4</f>
        <v>98002956.897619992</v>
      </c>
      <c r="I18" s="199">
        <f>(H18*VLOOKUP(H18,Hoja15!$J$105:$M$112,3))-(VLOOKUP(H18,Hoja15!$J$105:$M$112,4))</f>
        <v>14938727.696876477</v>
      </c>
    </row>
    <row r="19" spans="5:13" x14ac:dyDescent="0.25">
      <c r="F19">
        <f>IF(AND(F15=1,F17=1),0,1)</f>
        <v>1</v>
      </c>
    </row>
    <row r="20" spans="5:13" x14ac:dyDescent="0.25">
      <c r="I20" s="234">
        <f>(I18-I17)/Hoja14!P4</f>
        <v>0.30399999999999999</v>
      </c>
      <c r="J20" s="232">
        <f>I20*Hoja14!P4</f>
        <v>3040000</v>
      </c>
      <c r="K20" s="233">
        <f>J20-15%*Hoja14!P4</f>
        <v>1540000</v>
      </c>
    </row>
    <row r="21" spans="5:13" x14ac:dyDescent="0.25">
      <c r="I21" s="235">
        <f>(I20*1.1)+3%</f>
        <v>0.36440000000000006</v>
      </c>
      <c r="J21" s="232">
        <f>I21*Hoja14!P4</f>
        <v>3644000.0000000005</v>
      </c>
      <c r="K21" s="233">
        <f>J21-Hoja14!P4*15%</f>
        <v>2144000.0000000005</v>
      </c>
      <c r="M21" s="232">
        <f>IF(Hoja14!P4=0,0,IF(Hoja14!P3="No pensionado",Hoja5!K21,Hoja5!K20))</f>
        <v>1540000</v>
      </c>
    </row>
    <row r="22" spans="5:13" x14ac:dyDescent="0.25">
      <c r="F22" s="199">
        <f>F8*Hoja15!L110-Hoja15!M110</f>
        <v>11898727.696876477</v>
      </c>
    </row>
    <row r="25" spans="5:13" x14ac:dyDescent="0.25">
      <c r="J25" s="233"/>
    </row>
    <row r="27" spans="5:13" x14ac:dyDescent="0.25">
      <c r="E27" s="130">
        <f>Hoja14!V26+Hoja14!R26-SUM(Hoja14!M20:M24)-Hoja5!I5</f>
        <v>-12517560</v>
      </c>
    </row>
    <row r="28" spans="5:13" x14ac:dyDescent="0.25">
      <c r="E28" s="130">
        <f>E27-Hoja15!J111</f>
        <v>-112658040.00834504</v>
      </c>
    </row>
  </sheetData>
  <sheetProtection password="CFC3" sheet="1"/>
  <pageMargins left="0.7" right="0.7" top="0.75" bottom="0.75" header="0.3" footer="0.3"/>
  <pageSetup orientation="portrait" r:id="rId1"/>
  <headerFooter>
    <oddFooter>&amp;C&amp;1#&amp;"Calibri"&amp;10&amp;K000000Uso Interno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D5366-4990-4772-BFA4-6611756F53B0}">
  <dimension ref="C5:C16"/>
  <sheetViews>
    <sheetView workbookViewId="0">
      <selection activeCell="J1" sqref="J1"/>
    </sheetView>
  </sheetViews>
  <sheetFormatPr baseColWidth="10" defaultColWidth="8.77734375" defaultRowHeight="13.2" x14ac:dyDescent="0.25"/>
  <cols>
    <col min="1" max="1" width="11.44140625" customWidth="1"/>
    <col min="2" max="7" width="0" hidden="1" customWidth="1"/>
    <col min="8" max="256" width="11.44140625" customWidth="1"/>
  </cols>
  <sheetData>
    <row r="5" spans="3:3" x14ac:dyDescent="0.25">
      <c r="C5" s="207">
        <v>23435.87</v>
      </c>
    </row>
    <row r="6" spans="3:3" x14ac:dyDescent="0.25">
      <c r="C6" s="207">
        <v>23508.46</v>
      </c>
    </row>
    <row r="7" spans="3:3" x14ac:dyDescent="0.25">
      <c r="C7" s="207">
        <v>23606.97</v>
      </c>
    </row>
    <row r="8" spans="3:3" x14ac:dyDescent="0.25">
      <c r="C8" s="207">
        <v>23773.41</v>
      </c>
    </row>
    <row r="9" spans="3:3" x14ac:dyDescent="0.25">
      <c r="C9" s="207">
        <v>23931.69</v>
      </c>
    </row>
    <row r="10" spans="3:3" x14ac:dyDescent="0.25">
      <c r="C10" s="207">
        <v>24023.61</v>
      </c>
    </row>
    <row r="11" spans="3:3" x14ac:dyDescent="0.25">
      <c r="C11" s="207">
        <v>24062.27</v>
      </c>
    </row>
    <row r="12" spans="3:3" x14ac:dyDescent="0.25">
      <c r="C12" s="207">
        <v>24103.41</v>
      </c>
    </row>
    <row r="13" spans="3:3" x14ac:dyDescent="0.25">
      <c r="C13" s="207">
        <v>24168.02</v>
      </c>
    </row>
    <row r="14" spans="3:3" x14ac:dyDescent="0.25">
      <c r="C14" s="207">
        <v>24326.93</v>
      </c>
    </row>
    <row r="15" spans="3:3" x14ac:dyDescent="0.25">
      <c r="C15" s="207">
        <v>24553.7</v>
      </c>
    </row>
    <row r="16" spans="3:3" x14ac:dyDescent="0.25">
      <c r="C16" s="207">
        <v>24627.1</v>
      </c>
    </row>
  </sheetData>
  <sheetProtection password="CFC3" sheet="1" objects="1" scenarios="1"/>
  <pageMargins left="0.7" right="0.7" top="0.75" bottom="0.75" header="0.3" footer="0.3"/>
  <pageSetup orientation="portrait" r:id="rId1"/>
  <headerFooter>
    <oddFooter>&amp;C&amp;1#&amp;"Calibri"&amp;10&amp;K000000Uso Interno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E8CAFC33DC40489830270A167C46A7" ma:contentTypeVersion="3" ma:contentTypeDescription="Crear nuevo documento." ma:contentTypeScope="" ma:versionID="0d6394624c6689ef2579130f5790b141">
  <xsd:schema xmlns:xsd="http://www.w3.org/2001/XMLSchema" xmlns:xs="http://www.w3.org/2001/XMLSchema" xmlns:p="http://schemas.microsoft.com/office/2006/metadata/properties" xmlns:ns2="8f41c1ca-6a66-47a9-8855-0aead1d0efe4" targetNamespace="http://schemas.microsoft.com/office/2006/metadata/properties" ma:root="true" ma:fieldsID="ae003e74750e9cd0fef91a0a22224179" ns2:_="">
    <xsd:import namespace="8f41c1ca-6a66-47a9-8855-0aead1d0ef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41c1ca-6a66-47a9-8855-0aead1d0e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DC4D80-4928-4E39-8615-FAD87373C5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C52440-1F65-4F69-A128-823F2DE36DD4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1B2060D9-2410-4E38-9895-17C55A6A40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41c1ca-6a66-47a9-8855-0aead1d0ef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Hoja14</vt:lpstr>
      <vt:lpstr>Hoja8</vt:lpstr>
      <vt:lpstr>Hoja7</vt:lpstr>
      <vt:lpstr>Hoja15</vt:lpstr>
      <vt:lpstr>Hoja9</vt:lpstr>
      <vt:lpstr>Hoja1</vt:lpstr>
      <vt:lpstr>imp cte</vt:lpstr>
      <vt:lpstr>Hoja3</vt:lpstr>
      <vt:lpstr>Hoja4</vt:lpstr>
      <vt:lpstr>Hoja2</vt:lpstr>
      <vt:lpstr>Hoja5</vt:lpstr>
      <vt:lpstr>Hoja6</vt:lpstr>
      <vt:lpstr>Hoja14!Área_de_impresión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Sepúlveda</dc:creator>
  <cp:keywords/>
  <dc:description/>
  <cp:lastModifiedBy>Francisco Valencia</cp:lastModifiedBy>
  <cp:revision/>
  <dcterms:created xsi:type="dcterms:W3CDTF">2009-09-14T23:48:35Z</dcterms:created>
  <dcterms:modified xsi:type="dcterms:W3CDTF">2026-06-10T15:59:09Z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Documento</vt:lpwstr>
  </property>
  <property fmtid="{D5CDD505-2E9C-101B-9397-08002B2CF9AE}" pid="3" name="fff">
    <vt:lpwstr/>
  </property>
  <property fmtid="{D5CDD505-2E9C-101B-9397-08002B2CF9AE}" pid="4" name="PublishingExpirationDate">
    <vt:lpwstr/>
  </property>
  <property fmtid="{D5CDD505-2E9C-101B-9397-08002B2CF9AE}" pid="5" name="PublishingStartDate">
    <vt:lpwstr/>
  </property>
  <property fmtid="{D5CDD505-2E9C-101B-9397-08002B2CF9AE}" pid="6" name="Temas">
    <vt:lpwstr>Simuladores y Herramientas</vt:lpwstr>
  </property>
</Properties>
</file>