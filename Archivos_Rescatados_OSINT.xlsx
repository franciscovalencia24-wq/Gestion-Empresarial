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catados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<sst xmlns="http://schemas.openxmlformats.org/spreadsheetml/2006/main" count="55" uniqueCount="31">
  <si>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Motivo de Rescate</t>
  </si>
  <si>
    <t>Ruta Completa</t>
  </si>
  <si>
    <t>Acción</t>
  </si>
  <si>
    <t>ALTO_VALOR_CLP</t>
  </si>
  <si>
    <t>SINONIMO_ACCION_LIQUIDA</t>
  </si>
  <si>
    <t>C:\Users\franc\OneDrive\Documentos\ALIRO\ALIRO\KATHY\ANA LUISA 2010\PROHIBICIONES\LA ESPERANZA 1 AL 20  -    EMBARGO.doc</t>
  </si>
  <si>
    <t>C:\Users\franc\OneDrive\Documentos\ALIRO\ALIRO\KATHY\ANA LUISA 2010\PROHIBICIONES\MERCED 1 AL 10   -    EMBARGO   -   COMPAÑIA MINERA LOS MANTOS SCM.doc</t>
  </si>
  <si>
    <t>C:\Users\franc\OneDrive\Documentos\ALIRO\ALIRO\KATHY\ANA LUISA 2010\PROHIBICIONES\NUEVA TAMAYINA 1-15 Y OTRAS.- (LEONEL ZAPATA) -    EMBARGO.doc</t>
  </si>
  <si>
    <t>C:\Users\franc\OneDrive\Documentos\ALIRO\ALIRO\KATHY\ANA LUISA 2010\PROHIBICIONES\PUNITAQUI 1 AL 50   -    EMBARGO   -   COMPAÑIA MINERA TAMAYA SCM.doc</t>
  </si>
  <si>
    <t>C:\Users\franc\OneDrive\Documentos\ALIRO\ALIRO\KATHY\ANA LUISA 2010\REGISTRO ACCIONISTAS\JUNTA ACCIONISTAS CIA MRA. DEMETRIO TELLO.doc</t>
  </si>
  <si>
    <t>C:\Users\franc\OneDrive\Documentos\ALIRO\ALIRO\KATHY\ANA LUISA 2010\REGISTRO ACCIONISTAS\JUNTA EXTRAORDINARIA CIA MRA TAMAYA SCM.doc</t>
  </si>
  <si>
    <t>C:\Users\franc\OneDrive\Documentos\ALIRO\ALIRO\KATHY\ANA LUISA 2010\REGISTRO ACCIONISTAS\COMPRAVENTA DE DERECHOS MINEROS\CESION DERECHOS MANUELITO UNO AL VEINTE.doc</t>
  </si>
  <si>
    <t>C:\Users\franc\OneDrive\Documentos\ALIRO\ALIRO\KATHY\ANA LUISA 2010\SOCIEDAD CONTRACTUAL MINERA\ACCIONES  SOCIEDAD CONTRACTUAL MINERA SAN IGNACIO.doc</t>
  </si>
  <si>
    <t>C:\Users\franc\OneDrive\Documentos\ALIRO\ALIRO\KATHY\ANA LUISA 2010\VARIOS 01\37 ACCIONES SLM DORADO UNA DE PUNITAQUI -INVERSIONES ASTURIAS SpA (2018).doc</t>
  </si>
  <si>
    <t>C:\Users\franc\OneDrive\Documentos\ALIRO\ALIRO\KATHY\ANA LUISA 2010\visita\ACTA DE VISITA CUARTO BIMESTRE 2008.doc</t>
  </si>
  <si>
    <t>C:\Users\franc\OneDrive\Documentos\ALIRO\ALIRO\KATHY\ANA LUISA 2010\visita\ACTA DE VISITA SEGUNDO BIMESTRE 2008.doc</t>
  </si>
  <si>
    <t>C:\Users\franc\OneDrive\Documentos\ALIRO\ALIRO\KATHY\ANA LUISA 2010\visita\ACTA DE VISITA Tercer Bimetre 2008.doc</t>
  </si>
  <si>
    <t>C:\Users\franc\OneDrive\Documentos\ALIRO\ALIRO\KATHY\ANA LUISA 2010\visita\ACTA VISITA QUINTO BIMESTRE 2009-ULTIMA.doc</t>
  </si>
  <si>
    <t>C:\Users\franc\OneDrive\Documentos\ALIRO\ALIRO\KATHY\ANA LUISA 2010\visita\ACTA VISITA QUINTO BIMESTRE 2009.doc</t>
  </si>
  <si>
    <t>C:\Users\franc\OneDrive\Documentos\ALIRO\ALIRO\KATHY\ANA LUISA 2010\visita\ACTA VISITA SEXTO BIMESTRE 2009.doc</t>
  </si>
  <si>
    <t>C:\Users\franc\OneDrive\Documentos\ALIRO\ALIRO\KATHY\ANA LUISA 2010\visita\CUARTO BIMESTRE AÑO 2006.doc</t>
  </si>
  <si>
    <t>C:\Users\franc\OneDrive\Documentos\ALIRO\ALIRO\KATHY\ANA LUISA 2010\visita\PRIMER BIMESTRE AÑO 2007.doc</t>
  </si>
  <si>
    <t>C:\Users\franc\OneDrive\Documentos\ALIRO\ALIRO\KATHY\ANA LUISA 2010\visita\QUINTO BIMESTRE DEL AÑO 2006.doc</t>
  </si>
  <si>
    <t>C:\Users\franc\OneDrive\Documentos\ALIRO\ALIRO\KATHY\ANA LUISA 2010\visita\TERCER BIMESTRE 2007.doc</t>
  </si>
  <si>
    <t>C:\Users\franc\OneDrive\Documentos\ALIRO\ALIRO\KATHY\ANA LUISA 2010\visita\VISITA 1º BIMESTRE 2009.doc</t>
  </si>
  <si>
    <t>C:\Users\franc\OneDrive\Documentos\ALIRO\ALIRO\KATHY\ANA LUISA 2010\visita\VISITA 3º BIMESTRE 2009.doc</t>
  </si>
  <si>
    <t>C:\Users\franc\OneDrive\Documentos\ALIRO\ALIRO\KATHY\ANA LUISA 2010\visita\VISITA 4º BIMESTRE 2009.doc</t>
  </si>
  <si>
    <t>C:\Users\franc\OneDrive\Documentos\ALIRO\ALIRO\KATHY\ANA LUISA 2010\visita\VISITA 6º BIMESTRE 2008 KARIME.doc</t>
  </si>
  <si>
    <t>C:\Users\franc\OneDrive\Documentos\ALIRO\ALIRO\KATHY\ANA LUISA 2010\visita\VISITA 6º BIMESTRE 2008.doc</t>
  </si>
  <si>
    <t>C:\Users\franc\OneDrive\Documentos\ALIRO\ALIRO\KATHY\ANA LUISA 2010\visita\VISITA QUINTO BIMESTRE 2008.doc</t>
  </si>
  <si>
    <t>C:\Users\franc\OneDrive\Documentos\ALIRO\ALIRO\KATHY\ANA LUISA 2010\visita\~WRL0002.tmp.doc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</si>
</sst>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25.7109375" customWidth="1"/>
    <col min="2" max="2" width="7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f>HYPERLINK("C:\Users\franc\OneDrive\Documentos\ALIRO\ALIRO\KATHY\ANA LUISA 2010\PROHIBICIONES\LA ESPERANZA 1 AL 20  -    EMBARGO.doc", "Abrir Documento")</f>
        <v>0</v>
      </c>
    </row>
    <row r="3" spans="1:3">
      <c r="A3" t="s">
        <v>3</v>
      </c>
      <c r="B3" t="s">
        <v>6</v>
      </c>
      <c r="C3">
        <f>HYPERLINK("C:\Users\franc\OneDrive\Documentos\ALIRO\ALIRO\KATHY\ANA LUISA 2010\PROHIBICIONES\MERCED 1 AL 10   -    EMBARGO   -   COMPAÑIA MINERA LOS MANTOS SCM.doc", "Abrir Documento")</f>
        <v>0</v>
      </c>
    </row>
    <row r="4" spans="1:3">
      <c r="A4" t="s">
        <v>3</v>
      </c>
      <c r="B4" t="s">
        <v>7</v>
      </c>
      <c r="C4">
        <f>HYPERLINK("C:\Users\franc\OneDrive\Documentos\ALIRO\ALIRO\KATHY\ANA LUISA 2010\PROHIBICIONES\NUEVA TAMAYINA 1-15 Y OTRAS.- (LEONEL ZAPATA) -    EMBARGO.doc", "Abrir Documento")</f>
        <v>0</v>
      </c>
    </row>
    <row r="5" spans="1:3">
      <c r="A5" t="s">
        <v>3</v>
      </c>
      <c r="B5" t="s">
        <v>8</v>
      </c>
      <c r="C5">
        <f>HYPERLINK("C:\Users\franc\OneDrive\Documentos\ALIRO\ALIRO\KATHY\ANA LUISA 2010\PROHIBICIONES\PUNITAQUI 1 AL 50   -    EMBARGO   -   COMPAÑIA MINERA TAMAYA SCM.doc", "Abrir Documento")</f>
        <v>0</v>
      </c>
    </row>
    <row r="6" spans="1:3">
      <c r="A6" t="s">
        <v>3</v>
      </c>
      <c r="B6" t="s">
        <v>9</v>
      </c>
      <c r="C6">
        <f>HYPERLINK("C:\Users\franc\OneDrive\Documentos\ALIRO\ALIRO\KATHY\ANA LUISA 2010\REGISTRO ACCIONISTAS\JUNTA ACCIONISTAS CIA MRA. DEMETRIO TELLO.doc", "Abrir Documento")</f>
        <v>0</v>
      </c>
    </row>
    <row r="7" spans="1:3">
      <c r="A7" t="s">
        <v>3</v>
      </c>
      <c r="B7" t="s">
        <v>10</v>
      </c>
      <c r="C7">
        <f>HYPERLINK("C:\Users\franc\OneDrive\Documentos\ALIRO\ALIRO\KATHY\ANA LUISA 2010\REGISTRO ACCIONISTAS\JUNTA EXTRAORDINARIA CIA MRA TAMAYA SCM.doc", "Abrir Documento")</f>
        <v>0</v>
      </c>
    </row>
    <row r="8" spans="1:3">
      <c r="A8" t="s">
        <v>4</v>
      </c>
      <c r="B8" t="s">
        <v>11</v>
      </c>
      <c r="C8">
        <f>HYPERLINK("C:\Users\franc\OneDrive\Documentos\ALIRO\ALIRO\KATHY\ANA LUISA 2010\REGISTRO ACCIONISTAS\COMPRAVENTA DE DERECHOS MINEROS\CESION DERECHOS MANUELITO UNO AL VEINTE.doc", "Abrir Documento")</f>
        <v>0</v>
      </c>
    </row>
    <row r="9" spans="1:3">
      <c r="A9" t="s">
        <v>3</v>
      </c>
      <c r="B9" t="s">
        <v>12</v>
      </c>
      <c r="C9">
        <f>HYPERLINK("C:\Users\franc\OneDrive\Documentos\ALIRO\ALIRO\KATHY\ANA LUISA 2010\SOCIEDAD CONTRACTUAL MINERA\ACCIONES  SOCIEDAD CONTRACTUAL MINERA SAN IGNACIO.doc", "Abrir Documento")</f>
        <v>0</v>
      </c>
    </row>
    <row r="10" spans="1:3">
      <c r="A10" t="s">
        <v>3</v>
      </c>
      <c r="B10" t="s">
        <v>13</v>
      </c>
      <c r="C10">
        <f>HYPERLINK("C:\Users\franc\OneDrive\Documentos\ALIRO\ALIRO\KATHY\ANA LUISA 2010\VARIOS 01\37 ACCIONES SLM DORADO UNA DE PUNITAQUI -INVERSIONES ASTURIAS SpA (2018).doc", "Abrir Documento")</f>
        <v>0</v>
      </c>
    </row>
    <row r="11" spans="1:3">
      <c r="A11" t="s">
        <v>4</v>
      </c>
      <c r="B11" t="s">
        <v>14</v>
      </c>
      <c r="C11">
        <f>HYPERLINK("C:\Users\franc\OneDrive\Documentos\ALIRO\ALIRO\KATHY\ANA LUISA 2010\visita\ACTA DE VISITA CUARTO BIMESTRE 2008.doc", "Abrir Documento")</f>
        <v>0</v>
      </c>
    </row>
    <row r="12" spans="1:3">
      <c r="A12" t="s">
        <v>4</v>
      </c>
      <c r="B12" t="s">
        <v>15</v>
      </c>
      <c r="C12">
        <f>HYPERLINK("C:\Users\franc\OneDrive\Documentos\ALIRO\ALIRO\KATHY\ANA LUISA 2010\visita\ACTA DE VISITA SEGUNDO BIMESTRE 2008.doc", "Abrir Documento")</f>
        <v>0</v>
      </c>
    </row>
    <row r="13" spans="1:3">
      <c r="A13" t="s">
        <v>4</v>
      </c>
      <c r="B13" t="s">
        <v>16</v>
      </c>
      <c r="C13">
        <f>HYPERLINK("C:\Users\franc\OneDrive\Documentos\ALIRO\ALIRO\KATHY\ANA LUISA 2010\visita\ACTA DE VISITA Tercer Bimetre 2008.doc", "Abrir Documento")</f>
        <v>0</v>
      </c>
    </row>
    <row r="14" spans="1:3">
      <c r="A14" t="s">
        <v>4</v>
      </c>
      <c r="B14" t="s">
        <v>17</v>
      </c>
      <c r="C14">
        <f>HYPERLINK("C:\Users\franc\OneDrive\Documentos\ALIRO\ALIRO\KATHY\ANA LUISA 2010\visita\ACTA VISITA QUINTO BIMESTRE 2009-ULTIMA.doc", "Abrir Documento")</f>
        <v>0</v>
      </c>
    </row>
    <row r="15" spans="1:3">
      <c r="A15" t="s">
        <v>4</v>
      </c>
      <c r="B15" t="s">
        <v>18</v>
      </c>
      <c r="C15">
        <f>HYPERLINK("C:\Users\franc\OneDrive\Documentos\ALIRO\ALIRO\KATHY\ANA LUISA 2010\visita\ACTA VISITA QUINTO BIMESTRE 2009.doc", "Abrir Documento")</f>
        <v>0</v>
      </c>
    </row>
    <row r="16" spans="1:3">
      <c r="A16" t="s">
        <v>4</v>
      </c>
      <c r="B16" t="s">
        <v>19</v>
      </c>
      <c r="C16">
        <f>HYPERLINK("C:\Users\franc\OneDrive\Documentos\ALIRO\ALIRO\KATHY\ANA LUISA 2010\visita\ACTA VISITA SEXTO BIMESTRE 2009.doc", "Abrir Documento")</f>
        <v>0</v>
      </c>
    </row>
    <row r="17" spans="1:3">
      <c r="A17" t="s">
        <v>4</v>
      </c>
      <c r="B17" t="s">
        <v>20</v>
      </c>
      <c r="C17">
        <f>HYPERLINK("C:\Users\franc\OneDrive\Documentos\ALIRO\ALIRO\KATHY\ANA LUISA 2010\visita\CUARTO BIMESTRE AÑO 2006.doc", "Abrir Documento")</f>
        <v>0</v>
      </c>
    </row>
    <row r="18" spans="1:3">
      <c r="A18" t="s">
        <v>4</v>
      </c>
      <c r="B18" t="s">
        <v>21</v>
      </c>
      <c r="C18">
        <f>HYPERLINK("C:\Users\franc\OneDrive\Documentos\ALIRO\ALIRO\KATHY\ANA LUISA 2010\visita\PRIMER BIMESTRE AÑO 2007.doc", "Abrir Documento")</f>
        <v>0</v>
      </c>
    </row>
    <row r="19" spans="1:3">
      <c r="A19" t="s">
        <v>4</v>
      </c>
      <c r="B19" t="s">
        <v>22</v>
      </c>
      <c r="C19">
        <f>HYPERLINK("C:\Users\franc\OneDrive\Documentos\ALIRO\ALIRO\KATHY\ANA LUISA 2010\visita\QUINTO BIMESTRE DEL AÑO 2006.doc", "Abrir Documento")</f>
        <v>0</v>
      </c>
    </row>
    <row r="20" spans="1:3">
      <c r="A20" t="s">
        <v>4</v>
      </c>
      <c r="B20" t="s">
        <v>23</v>
      </c>
      <c r="C20">
        <f>HYPERLINK("C:\Users\franc\OneDrive\Documentos\ALIRO\ALIRO\KATHY\ANA LUISA 2010\visita\TERCER BIMESTRE 2007.doc", "Abrir Documento")</f>
        <v>0</v>
      </c>
    </row>
    <row r="21" spans="1:3">
      <c r="A21" t="s">
        <v>4</v>
      </c>
      <c r="B21" t="s">
        <v>24</v>
      </c>
      <c r="C21">
        <f>HYPERLINK("C:\Users\franc\OneDrive\Documentos\ALIRO\ALIRO\KATHY\ANA LUISA 2010\visita\VISITA 1º BIMESTRE 2009.doc", "Abrir Documento")</f>
        <v>0</v>
      </c>
    </row>
    <row r="22" spans="1:3">
      <c r="A22" t="s">
        <v>4</v>
      </c>
      <c r="B22" t="s">
        <v>25</v>
      </c>
      <c r="C22">
        <f>HYPERLINK("C:\Users\franc\OneDrive\Documentos\ALIRO\ALIRO\KATHY\ANA LUISA 2010\visita\VISITA 3º BIMESTRE 2009.doc", "Abrir Documento")</f>
        <v>0</v>
      </c>
    </row>
    <row r="23" spans="1:3">
      <c r="A23" t="s">
        <v>4</v>
      </c>
      <c r="B23" t="s">
        <v>26</v>
      </c>
      <c r="C23">
        <f>HYPERLINK("C:\Users\franc\OneDrive\Documentos\ALIRO\ALIRO\KATHY\ANA LUISA 2010\visita\VISITA 4º BIMESTRE 2009.doc", "Abrir Documento")</f>
        <v>0</v>
      </c>
    </row>
    <row r="24" spans="1:3">
      <c r="A24" t="s">
        <v>4</v>
      </c>
      <c r="B24" t="s">
        <v>27</v>
      </c>
      <c r="C24">
        <f>HYPERLINK("C:\Users\franc\OneDrive\Documentos\ALIRO\ALIRO\KATHY\ANA LUISA 2010\visita\VISITA 6º BIMESTRE 2008 KARIME.doc", "Abrir Documento")</f>
        <v>0</v>
      </c>
    </row>
    <row r="25" spans="1:3">
      <c r="A25" t="s">
        <v>4</v>
      </c>
      <c r="B25" t="s">
        <v>28</v>
      </c>
      <c r="C25">
        <f>HYPERLINK("C:\Users\franc\OneDrive\Documentos\ALIRO\ALIRO\KATHY\ANA LUISA 2010\visita\VISITA 6º BIMESTRE 2008.doc", "Abrir Documento")</f>
        <v>0</v>
      </c>
    </row>
    <row r="26" spans="1:3">
      <c r="A26" t="s">
        <v>4</v>
      </c>
      <c r="B26" t="s">
        <v>29</v>
      </c>
      <c r="C26">
        <f>HYPERLINK("C:\Users\franc\OneDrive\Documentos\ALIRO\ALIRO\KATHY\ANA LUISA 2010\visita\VISITA QUINTO BIMESTRE 2008.doc", "Abrir Documento")</f>
        <v>0</v>
      </c>
    </row>
    <row r="27" spans="1:3">
      <c r="A27" t="s">
        <v>4</v>
      </c>
      <c r="B27" t="s">
        <v>30</v>
      </c>
      <c r="C27">
        <f>HYPERLINK("C:\Users\franc\OneDrive\Documentos\ALIRO\ALIRO\KATHY\ANA LUISA 2010\visita\~WRL0002.tmp.doc", "Abrir Documento")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Rescatados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2026-09-07T14:09:29Z</dcterms:created>
  <dcterms:modified xsi:type="dcterms:W3CDTF">2026-09-07T14:09:29Z</dcterms:modified>
</cp:coreProperties>
</file>